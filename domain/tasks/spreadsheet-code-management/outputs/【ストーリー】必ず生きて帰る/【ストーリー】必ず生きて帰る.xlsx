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チェック対象管理" sheetId="1" state="visible" r:id="rId1"/>
    <sheet name="MstAutoPlayerSequence" sheetId="2" state="visible" r:id="rId2"/>
    <sheet name="master_config" sheetId="3" state="visible" r:id="rId3"/>
    <sheet name="マッピング設定シート_new" sheetId="4" state="visible" r:id="rId4"/>
    <sheet name="ステージ概要" sheetId="5" state="visible" r:id="rId5"/>
    <sheet name="早見表" sheetId="6" state="visible" r:id="rId6"/>
    <sheet name="ステージ設計▶︎" sheetId="7" state="visible" r:id="rId7"/>
    <sheet name="1話" sheetId="8" state="visible" r:id="rId8"/>
    <sheet name="2話" sheetId="9" state="visible" r:id="rId9"/>
    <sheet name="3話" sheetId="10" state="visible" r:id="rId10"/>
    <sheet name="4話" sheetId="11" state="visible" r:id="rId11"/>
    <sheet name="5話" sheetId="12" state="visible" r:id="rId12"/>
    <sheet name="6話" sheetId="13" state="visible" r:id="rId13"/>
    <sheet name="敗北tips" sheetId="14" state="visible" r:id="rId14"/>
    <sheet name="参照用▶︎" sheetId="15" state="visible" r:id="rId15"/>
    <sheet name="スタミナ表" sheetId="16" state="visible" r:id="rId16"/>
    <sheet name="行パターン" sheetId="17" state="visible" r:id="rId17"/>
    <sheet name="コマ効果" sheetId="18" state="visible" r:id="rId18"/>
    <sheet name="エネミー出現" sheetId="19" state="visible" r:id="rId19"/>
    <sheet name="変身設定について" sheetId="20" state="visible" r:id="rId20"/>
    <sheet name="ファントムマスター_イベント" sheetId="21" state="visible" r:id="rId21"/>
    <sheet name="アイテムID_管理" sheetId="22" state="visible" r:id="rId22"/>
    <sheet name="クエストID_管理" sheetId="23" state="visible" r:id="rId23"/>
    <sheet name="キャラID_管理" sheetId="24" state="visible" r:id="rId24"/>
    <sheet name="BGM_管理" sheetId="25" state="visible" r:id="rId25"/>
  </sheets>
  <definedNames/>
  <calcPr calcId="124519" fullCalcOnLoad="1"/>
</workbook>
</file>

<file path=xl/styles.xml><?xml version="1.0" encoding="utf-8"?>
<styleSheet xmlns="http://schemas.openxmlformats.org/spreadsheetml/2006/main">
  <numFmts count="1">
    <numFmt numFmtId="164" formatCode="yyyy-mm-dd 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styles" Target="styles.xml" Id="rId26" /><Relationship Type="http://schemas.openxmlformats.org/officeDocument/2006/relationships/theme" Target="theme/theme1.xml" Id="rId2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sheetData>
    <row r="1">
      <c r="A1" t="inlineStr">
        <is>
          <t>チェック</t>
        </is>
      </c>
      <c r="B1" t="inlineStr">
        <is>
          <t>シート名</t>
        </is>
      </c>
      <c r="C1" t="inlineStr">
        <is>
          <t>マッピング</t>
        </is>
      </c>
      <c r="D1" t="inlineStr">
        <is>
          <t>マスターURL</t>
        </is>
      </c>
      <c r="E1" t="inlineStr">
        <is>
          <t>最終チェック日時</t>
        </is>
      </c>
      <c r="F1" t="inlineStr">
        <is>
          <t>結果</t>
        </is>
      </c>
    </row>
    <row r="2">
      <c r="A2" t="b">
        <v>0</v>
      </c>
      <c r="B2" t="inlineStr">
        <is>
          <t>1話</t>
        </is>
      </c>
      <c r="C2" t="inlineStr">
        <is>
          <t>マッピング設定シート_new</t>
        </is>
      </c>
      <c r="D2" t="inlineStr">
        <is>
          <t>https://docs.google.com/spreadsheets/d/1TS8YjnOCA1QWgrPJa5HzzKVS7WefPnRxDbr5XFhNQ5o/edit?gid=1350936069#gid=1350936069</t>
        </is>
      </c>
      <c r="E2" s="1" t="n">
        <v>46027.67951388889</v>
      </c>
      <c r="F2" t="inlineStr">
        <is>
          <t>✅ OK</t>
        </is>
      </c>
    </row>
    <row r="3">
      <c r="A3" t="b">
        <v>0</v>
      </c>
      <c r="B3" t="inlineStr">
        <is>
          <t>2話</t>
        </is>
      </c>
      <c r="C3" t="inlineStr">
        <is>
          <t>マッピング設定シート_new</t>
        </is>
      </c>
      <c r="D3" t="inlineStr">
        <is>
          <t>https://docs.google.com/spreadsheets/d/1TS8YjnOCA1QWgrPJa5HzzKVS7WefPnRxDbr5XFhNQ5o/edit?gid=1350936069#gid=1350936069</t>
        </is>
      </c>
      <c r="E3" s="1" t="n">
        <v>46027.67971064815</v>
      </c>
      <c r="F3" t="inlineStr">
        <is>
          <t>✅ OK</t>
        </is>
      </c>
    </row>
    <row r="4">
      <c r="A4" t="b">
        <v>0</v>
      </c>
      <c r="B4" t="inlineStr">
        <is>
          <t>3話</t>
        </is>
      </c>
      <c r="C4" t="inlineStr">
        <is>
          <t>マッピング設定シート_new</t>
        </is>
      </c>
      <c r="D4" t="inlineStr">
        <is>
          <t>https://docs.google.com/spreadsheets/d/1TS8YjnOCA1QWgrPJa5HzzKVS7WefPnRxDbr5XFhNQ5o/edit?gid=1350936069#gid=1350936069</t>
        </is>
      </c>
      <c r="E4" s="1" t="n">
        <v>46027.67986111111</v>
      </c>
      <c r="F4" t="inlineStr">
        <is>
          <t>✅ OK</t>
        </is>
      </c>
    </row>
    <row r="5">
      <c r="A5" t="b">
        <v>0</v>
      </c>
      <c r="B5" t="inlineStr">
        <is>
          <t>4話</t>
        </is>
      </c>
      <c r="C5" t="inlineStr">
        <is>
          <t>マッピング設定シート_new</t>
        </is>
      </c>
      <c r="D5" t="inlineStr">
        <is>
          <t>https://docs.google.com/spreadsheets/d/1TS8YjnOCA1QWgrPJa5HzzKVS7WefPnRxDbr5XFhNQ5o/edit?gid=1350936069#gid=1350936069</t>
        </is>
      </c>
      <c r="E5" s="1" t="n">
        <v>46027.68005787037</v>
      </c>
      <c r="F5" t="inlineStr">
        <is>
          <t>✅ OK</t>
        </is>
      </c>
    </row>
    <row r="6">
      <c r="A6" t="b">
        <v>0</v>
      </c>
      <c r="B6" t="inlineStr">
        <is>
          <t>5話</t>
        </is>
      </c>
      <c r="C6" t="inlineStr">
        <is>
          <t>マッピング設定シート_new</t>
        </is>
      </c>
      <c r="D6" t="inlineStr">
        <is>
          <t>https://docs.google.com/spreadsheets/d/1TS8YjnOCA1QWgrPJa5HzzKVS7WefPnRxDbr5XFhNQ5o/edit?gid=1350936069#gid=1350936069</t>
        </is>
      </c>
      <c r="E6" s="1" t="n">
        <v>46027.68021990741</v>
      </c>
      <c r="F6" t="inlineStr">
        <is>
          <t>✅ OK</t>
        </is>
      </c>
    </row>
    <row r="7">
      <c r="A7" t="b">
        <v>1</v>
      </c>
      <c r="B7" t="inlineStr">
        <is>
          <t>6話</t>
        </is>
      </c>
      <c r="C7" t="inlineStr">
        <is>
          <t>マッピング設定シート_new</t>
        </is>
      </c>
      <c r="D7" t="inlineStr">
        <is>
          <t>https://docs.google.com/spreadsheets/d/1TS8YjnOCA1QWgrPJa5HzzKVS7WefPnRxDbr5XFhNQ5o/edit?gid=1350936069#gid=1350936069</t>
        </is>
      </c>
      <c r="E7" s="1" t="n">
        <v>46027.68042824074</v>
      </c>
      <c r="F7" t="inlineStr">
        <is>
          <t>✅ OK</t>
        </is>
      </c>
    </row>
    <row r="8">
      <c r="A8" t="b">
        <v>0</v>
      </c>
    </row>
    <row r="9">
      <c r="A9" t="b">
        <v>0</v>
      </c>
    </row>
    <row r="10">
      <c r="A10" t="b">
        <v>0</v>
      </c>
    </row>
    <row r="11">
      <c r="A11" t="b">
        <v>0</v>
      </c>
    </row>
    <row r="12">
      <c r="A12" t="b">
        <v>0</v>
      </c>
    </row>
    <row r="13">
      <c r="A13" t="b">
        <v>0</v>
      </c>
    </row>
    <row r="14">
      <c r="A14" t="b">
        <v>0</v>
      </c>
    </row>
    <row r="15">
      <c r="A15" t="b">
        <v>0</v>
      </c>
    </row>
    <row r="16">
      <c r="A16" t="b">
        <v>0</v>
      </c>
    </row>
    <row r="17">
      <c r="A17" t="b">
        <v>0</v>
      </c>
    </row>
    <row r="18">
      <c r="A18" t="b">
        <v>0</v>
      </c>
    </row>
    <row r="19">
      <c r="A19" t="b">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I37"/>
  <sheetViews>
    <sheetView workbookViewId="0">
      <selection activeCell="A1" sqref="A1"/>
    </sheetView>
  </sheetViews>
  <sheetFormatPr baseColWidth="8" defaultRowHeight="15"/>
  <sheetData>
    <row r="1">
      <c r="A1" t="inlineStr">
        <is>
          <t>シート名</t>
        </is>
      </c>
      <c r="B1" t="inlineStr">
        <is>
          <t>id</t>
        </is>
      </c>
      <c r="C1" t="inlineStr">
        <is>
          <t>sequence_set_id</t>
        </is>
      </c>
      <c r="D1" t="inlineStr">
        <is>
          <t>sequence_group_id</t>
        </is>
      </c>
      <c r="E1" t="inlineStr">
        <is>
          <t>sequence_element_id</t>
        </is>
      </c>
      <c r="F1" t="inlineStr">
        <is>
          <t>priority_sequence_element_id</t>
        </is>
      </c>
      <c r="G1" t="inlineStr">
        <is>
          <t>condition_type</t>
        </is>
      </c>
      <c r="H1" t="inlineStr">
        <is>
          <t>condition_value</t>
        </is>
      </c>
      <c r="I1" t="inlineStr">
        <is>
          <t>action_type</t>
        </is>
      </c>
      <c r="J1" t="inlineStr">
        <is>
          <t>action_value</t>
        </is>
      </c>
      <c r="K1" t="inlineStr">
        <is>
          <t>action_value2</t>
        </is>
      </c>
      <c r="L1" t="inlineStr">
        <is>
          <t>summon_count</t>
        </is>
      </c>
      <c r="M1" t="inlineStr">
        <is>
          <t>summon_interval</t>
        </is>
      </c>
      <c r="N1" t="inlineStr">
        <is>
          <t>summon_animation_type</t>
        </is>
      </c>
      <c r="O1" t="inlineStr">
        <is>
          <t>summon_position</t>
        </is>
      </c>
      <c r="P1" t="inlineStr">
        <is>
          <t>move_start_condition_type</t>
        </is>
      </c>
      <c r="Q1" t="inlineStr">
        <is>
          <t>move_start_condition_value</t>
        </is>
      </c>
      <c r="R1" t="inlineStr">
        <is>
          <t>move_stop_condition_type</t>
        </is>
      </c>
      <c r="S1" t="inlineStr">
        <is>
          <t>move_stop_condition_value</t>
        </is>
      </c>
      <c r="T1" t="inlineStr">
        <is>
          <t>move_restart_condition_type</t>
        </is>
      </c>
      <c r="U1" t="inlineStr">
        <is>
          <t>move_restart_condition_value</t>
        </is>
      </c>
      <c r="V1" t="inlineStr">
        <is>
          <t>move_loop_count</t>
        </is>
      </c>
      <c r="W1" t="inlineStr">
        <is>
          <t>is_summon_unit_outpost_damage_invalidation</t>
        </is>
      </c>
      <c r="X1" t="inlineStr">
        <is>
          <t>last_boss_trigger</t>
        </is>
      </c>
      <c r="Y1" t="inlineStr">
        <is>
          <t>aura_type</t>
        </is>
      </c>
      <c r="Z1" t="inlineStr">
        <is>
          <t>death_type</t>
        </is>
      </c>
      <c r="AA1" t="inlineStr">
        <is>
          <t>enemy_hp_coef</t>
        </is>
      </c>
      <c r="AB1" t="inlineStr">
        <is>
          <t>enemy_attack_coef</t>
        </is>
      </c>
      <c r="AC1" t="inlineStr">
        <is>
          <t>enemy_speed_coef</t>
        </is>
      </c>
      <c r="AD1" t="inlineStr">
        <is>
          <t>override_drop_battle_point</t>
        </is>
      </c>
      <c r="AE1" t="inlineStr">
        <is>
          <t>defeated_score</t>
        </is>
      </c>
      <c r="AF1" t="inlineStr">
        <is>
          <t>action_delay</t>
        </is>
      </c>
      <c r="AG1" t="inlineStr">
        <is>
          <t>deactivation_condition_type</t>
        </is>
      </c>
      <c r="AH1" t="inlineStr">
        <is>
          <t>deactivation_condition_value</t>
        </is>
      </c>
      <c r="AI1" t="inlineStr">
        <is>
          <t>release_key</t>
        </is>
      </c>
    </row>
    <row r="2">
      <c r="A2" t="inlineStr">
        <is>
          <t>6話</t>
        </is>
      </c>
      <c r="C2" t="inlineStr">
        <is>
          <t>event_jig1_charaget01_00006</t>
        </is>
      </c>
      <c r="E2" t="n">
        <v>1</v>
      </c>
      <c r="G2" t="inlineStr">
        <is>
          <t>ElapsedTime</t>
        </is>
      </c>
      <c r="H2" t="n">
        <v>500</v>
      </c>
      <c r="I2" t="inlineStr">
        <is>
          <t>SummonEnemy</t>
        </is>
      </c>
      <c r="J2" t="inlineStr">
        <is>
          <t>e_jig_00601_jig1_charaget01_Boss_Colorless</t>
        </is>
      </c>
      <c r="L2" t="n">
        <v>1</v>
      </c>
      <c r="M2" t="n">
        <v>0</v>
      </c>
      <c r="N2" t="inlineStr">
        <is>
          <t>None</t>
        </is>
      </c>
      <c r="P2" t="inlineStr">
        <is>
          <t>None</t>
        </is>
      </c>
      <c r="R2" t="inlineStr">
        <is>
          <t>None</t>
        </is>
      </c>
      <c r="T2" t="inlineStr">
        <is>
          <t>None</t>
        </is>
      </c>
      <c r="W2" t="b">
        <v>1</v>
      </c>
      <c r="Y2" t="inlineStr">
        <is>
          <t>Default</t>
        </is>
      </c>
      <c r="Z2" t="inlineStr">
        <is>
          <t>Normal</t>
        </is>
      </c>
      <c r="AA2" t="n">
        <v>15</v>
      </c>
      <c r="AB2" t="n">
        <v>4.5</v>
      </c>
      <c r="AC2" t="n">
        <v>1</v>
      </c>
      <c r="AD2" t="n">
        <v>200</v>
      </c>
      <c r="AE2" t="n">
        <v>0</v>
      </c>
      <c r="AG2" t="inlineStr">
        <is>
          <t>None</t>
        </is>
      </c>
      <c r="AI2" t="n">
        <v>202601010</v>
      </c>
    </row>
    <row r="3">
      <c r="A3" t="inlineStr">
        <is>
          <t>6話</t>
        </is>
      </c>
      <c r="C3" t="inlineStr">
        <is>
          <t>event_jig1_charaget01_00006</t>
        </is>
      </c>
      <c r="E3" t="n">
        <v>2</v>
      </c>
      <c r="G3" t="inlineStr">
        <is>
          <t>ElapsedTime</t>
        </is>
      </c>
      <c r="H3" t="n">
        <v>3500</v>
      </c>
      <c r="I3" t="inlineStr">
        <is>
          <t>SummonEnemy</t>
        </is>
      </c>
      <c r="J3" t="inlineStr">
        <is>
          <t>e_jig_00301_jig1_charaget01_Normal_Green</t>
        </is>
      </c>
      <c r="L3" t="n">
        <v>2</v>
      </c>
      <c r="M3" t="n">
        <v>2000</v>
      </c>
      <c r="N3" t="inlineStr">
        <is>
          <t>None</t>
        </is>
      </c>
      <c r="P3" t="inlineStr">
        <is>
          <t>None</t>
        </is>
      </c>
      <c r="R3" t="inlineStr">
        <is>
          <t>None</t>
        </is>
      </c>
      <c r="T3" t="inlineStr">
        <is>
          <t>None</t>
        </is>
      </c>
      <c r="W3" t="b">
        <v>0</v>
      </c>
      <c r="Y3" t="inlineStr">
        <is>
          <t>Default</t>
        </is>
      </c>
      <c r="Z3" t="inlineStr">
        <is>
          <t>Normal</t>
        </is>
      </c>
      <c r="AA3" t="n">
        <v>30</v>
      </c>
      <c r="AB3" t="n">
        <v>3</v>
      </c>
      <c r="AC3" t="n">
        <v>1</v>
      </c>
      <c r="AD3" t="n">
        <v>100</v>
      </c>
      <c r="AE3" t="n">
        <v>0</v>
      </c>
      <c r="AG3" t="inlineStr">
        <is>
          <t>None</t>
        </is>
      </c>
      <c r="AI3" t="n">
        <v>202601010</v>
      </c>
    </row>
    <row r="4">
      <c r="A4" t="inlineStr">
        <is>
          <t>6話</t>
        </is>
      </c>
      <c r="C4" t="inlineStr">
        <is>
          <t>event_jig1_charaget01_00006</t>
        </is>
      </c>
      <c r="E4" t="n">
        <v>3</v>
      </c>
      <c r="G4" t="inlineStr">
        <is>
          <t>ElapsedTime</t>
        </is>
      </c>
      <c r="H4" t="n">
        <v>2000</v>
      </c>
      <c r="I4" t="inlineStr">
        <is>
          <t>SummonEnemy</t>
        </is>
      </c>
      <c r="J4" t="inlineStr">
        <is>
          <t>e_jig_00001_jig1_charaget01_Normal_Colorless</t>
        </is>
      </c>
      <c r="L4" t="n">
        <v>2</v>
      </c>
      <c r="M4" t="n">
        <v>2000</v>
      </c>
      <c r="N4" t="inlineStr">
        <is>
          <t>None</t>
        </is>
      </c>
      <c r="P4" t="inlineStr">
        <is>
          <t>None</t>
        </is>
      </c>
      <c r="R4" t="inlineStr">
        <is>
          <t>None</t>
        </is>
      </c>
      <c r="T4" t="inlineStr">
        <is>
          <t>None</t>
        </is>
      </c>
      <c r="W4" t="b">
        <v>0</v>
      </c>
      <c r="Y4" t="inlineStr">
        <is>
          <t>Default</t>
        </is>
      </c>
      <c r="Z4" t="inlineStr">
        <is>
          <t>Normal</t>
        </is>
      </c>
      <c r="AA4" t="n">
        <v>80</v>
      </c>
      <c r="AB4" t="n">
        <v>1.5</v>
      </c>
      <c r="AC4" t="n">
        <v>1</v>
      </c>
      <c r="AD4" t="n">
        <v>50</v>
      </c>
      <c r="AE4" t="n">
        <v>0</v>
      </c>
      <c r="AG4" t="inlineStr">
        <is>
          <t>None</t>
        </is>
      </c>
      <c r="AI4" t="n">
        <v>202601010</v>
      </c>
    </row>
    <row r="5">
      <c r="A5" t="inlineStr">
        <is>
          <t>6話</t>
        </is>
      </c>
      <c r="C5" t="inlineStr">
        <is>
          <t>event_jig1_charaget01_00006</t>
        </is>
      </c>
      <c r="E5" t="n">
        <v>4</v>
      </c>
      <c r="G5" t="inlineStr">
        <is>
          <t>ElapsedTime</t>
        </is>
      </c>
      <c r="H5" t="n">
        <v>800</v>
      </c>
      <c r="I5" t="inlineStr">
        <is>
          <t>SummonEnemy</t>
        </is>
      </c>
      <c r="J5" t="inlineStr">
        <is>
          <t>e_jig_00401_jig1_charaget01_Normal_Green</t>
        </is>
      </c>
      <c r="L5" t="n">
        <v>2</v>
      </c>
      <c r="M5" t="n">
        <v>50</v>
      </c>
      <c r="N5" t="inlineStr">
        <is>
          <t>None</t>
        </is>
      </c>
      <c r="P5" t="inlineStr">
        <is>
          <t>None</t>
        </is>
      </c>
      <c r="R5" t="inlineStr">
        <is>
          <t>None</t>
        </is>
      </c>
      <c r="T5" t="inlineStr">
        <is>
          <t>None</t>
        </is>
      </c>
      <c r="W5" t="b">
        <v>0</v>
      </c>
      <c r="Y5" t="inlineStr">
        <is>
          <t>Default</t>
        </is>
      </c>
      <c r="Z5" t="inlineStr">
        <is>
          <t>Normal</t>
        </is>
      </c>
      <c r="AA5" t="n">
        <v>10</v>
      </c>
      <c r="AB5" t="n">
        <v>2</v>
      </c>
      <c r="AC5" t="n">
        <v>1</v>
      </c>
      <c r="AD5" t="n">
        <v>100</v>
      </c>
      <c r="AE5" t="n">
        <v>0</v>
      </c>
      <c r="AG5" t="inlineStr">
        <is>
          <t>None</t>
        </is>
      </c>
      <c r="AI5" t="n">
        <v>202601010</v>
      </c>
    </row>
    <row r="6">
      <c r="A6" t="inlineStr">
        <is>
          <t>6話</t>
        </is>
      </c>
      <c r="C6" t="inlineStr">
        <is>
          <t>event_jig1_charaget01_00006</t>
        </is>
      </c>
      <c r="E6" t="n">
        <v>5</v>
      </c>
      <c r="G6" t="inlineStr">
        <is>
          <t>ElapsedTime</t>
        </is>
      </c>
      <c r="H6" t="n">
        <v>200</v>
      </c>
      <c r="I6" t="inlineStr">
        <is>
          <t>SummonEnemy</t>
        </is>
      </c>
      <c r="J6" t="inlineStr">
        <is>
          <t>e_jig_00402_jig1_charaget01_Normal_Colorless</t>
        </is>
      </c>
      <c r="L6" t="n">
        <v>1</v>
      </c>
      <c r="M6" t="n">
        <v>50</v>
      </c>
      <c r="N6" t="inlineStr">
        <is>
          <t>None</t>
        </is>
      </c>
      <c r="P6" t="inlineStr">
        <is>
          <t>None</t>
        </is>
      </c>
      <c r="R6" t="inlineStr">
        <is>
          <t>None</t>
        </is>
      </c>
      <c r="T6" t="inlineStr">
        <is>
          <t>None</t>
        </is>
      </c>
      <c r="W6" t="b">
        <v>0</v>
      </c>
      <c r="Y6" t="inlineStr">
        <is>
          <t>Default</t>
        </is>
      </c>
      <c r="Z6" t="inlineStr">
        <is>
          <t>Normal</t>
        </is>
      </c>
      <c r="AA6" t="n">
        <v>40</v>
      </c>
      <c r="AB6" t="n">
        <v>1</v>
      </c>
      <c r="AC6" t="n">
        <v>1</v>
      </c>
      <c r="AD6" t="n">
        <v>100</v>
      </c>
      <c r="AE6" t="n">
        <v>0</v>
      </c>
      <c r="AG6" t="inlineStr">
        <is>
          <t>None</t>
        </is>
      </c>
      <c r="AI6" t="n">
        <v>202601010</v>
      </c>
    </row>
    <row r="7">
      <c r="A7" t="inlineStr">
        <is>
          <t>6話</t>
        </is>
      </c>
      <c r="C7" t="inlineStr">
        <is>
          <t>event_jig1_charaget01_00006</t>
        </is>
      </c>
      <c r="E7" t="n">
        <v>6</v>
      </c>
      <c r="G7" t="inlineStr">
        <is>
          <t>ElapsedTime</t>
        </is>
      </c>
      <c r="H7" t="n">
        <v>2700</v>
      </c>
      <c r="I7" t="inlineStr">
        <is>
          <t>SummonEnemy</t>
        </is>
      </c>
      <c r="J7" t="inlineStr">
        <is>
          <t>e_jig_00401_jig1_charaget01_Normal_Green</t>
        </is>
      </c>
      <c r="L7" t="n">
        <v>3</v>
      </c>
      <c r="M7" t="n">
        <v>50</v>
      </c>
      <c r="N7" t="inlineStr">
        <is>
          <t>None</t>
        </is>
      </c>
      <c r="P7" t="inlineStr">
        <is>
          <t>None</t>
        </is>
      </c>
      <c r="R7" t="inlineStr">
        <is>
          <t>None</t>
        </is>
      </c>
      <c r="T7" t="inlineStr">
        <is>
          <t>None</t>
        </is>
      </c>
      <c r="W7" t="b">
        <v>0</v>
      </c>
      <c r="Y7" t="inlineStr">
        <is>
          <t>Default</t>
        </is>
      </c>
      <c r="Z7" t="inlineStr">
        <is>
          <t>Normal</t>
        </is>
      </c>
      <c r="AA7" t="n">
        <v>10</v>
      </c>
      <c r="AB7" t="n">
        <v>2</v>
      </c>
      <c r="AC7" t="n">
        <v>1</v>
      </c>
      <c r="AD7" t="n">
        <v>50</v>
      </c>
      <c r="AE7" t="n">
        <v>0</v>
      </c>
      <c r="AG7" t="inlineStr">
        <is>
          <t>None</t>
        </is>
      </c>
      <c r="AI7" t="n">
        <v>202601010</v>
      </c>
    </row>
    <row r="8">
      <c r="A8" t="inlineStr">
        <is>
          <t>6話</t>
        </is>
      </c>
      <c r="C8" t="inlineStr">
        <is>
          <t>event_jig1_charaget01_00006</t>
        </is>
      </c>
      <c r="E8" t="n">
        <v>7</v>
      </c>
      <c r="G8" t="inlineStr">
        <is>
          <t>ElapsedTime</t>
        </is>
      </c>
      <c r="H8" t="n">
        <v>3500</v>
      </c>
      <c r="I8" t="inlineStr">
        <is>
          <t>SummonEnemy</t>
        </is>
      </c>
      <c r="J8" t="inlineStr">
        <is>
          <t>e_jig_00402_jig1_charaget01_Normal_Colorless</t>
        </is>
      </c>
      <c r="L8" t="n">
        <v>3</v>
      </c>
      <c r="M8" t="n">
        <v>50</v>
      </c>
      <c r="N8" t="inlineStr">
        <is>
          <t>None</t>
        </is>
      </c>
      <c r="P8" t="inlineStr">
        <is>
          <t>None</t>
        </is>
      </c>
      <c r="R8" t="inlineStr">
        <is>
          <t>None</t>
        </is>
      </c>
      <c r="T8" t="inlineStr">
        <is>
          <t>None</t>
        </is>
      </c>
      <c r="W8" t="b">
        <v>0</v>
      </c>
      <c r="Y8" t="inlineStr">
        <is>
          <t>Default</t>
        </is>
      </c>
      <c r="Z8" t="inlineStr">
        <is>
          <t>Normal</t>
        </is>
      </c>
      <c r="AA8" t="n">
        <v>40</v>
      </c>
      <c r="AB8" t="n">
        <v>1</v>
      </c>
      <c r="AC8" t="n">
        <v>1</v>
      </c>
      <c r="AD8" t="n">
        <v>50</v>
      </c>
      <c r="AE8" t="n">
        <v>0</v>
      </c>
      <c r="AG8" t="inlineStr">
        <is>
          <t>None</t>
        </is>
      </c>
      <c r="AI8" t="n">
        <v>202601010</v>
      </c>
    </row>
    <row r="9">
      <c r="A9" t="inlineStr">
        <is>
          <t>6話</t>
        </is>
      </c>
      <c r="C9" t="inlineStr">
        <is>
          <t>event_jig1_charaget01_00006</t>
        </is>
      </c>
      <c r="E9" t="n">
        <v>8</v>
      </c>
      <c r="G9" t="inlineStr">
        <is>
          <t>ElapsedTime</t>
        </is>
      </c>
      <c r="H9" t="n">
        <v>4500</v>
      </c>
      <c r="I9" t="inlineStr">
        <is>
          <t>SummonEnemy</t>
        </is>
      </c>
      <c r="J9" t="inlineStr">
        <is>
          <t>e_jig_00401_jig1_charaget01_Normal_Green</t>
        </is>
      </c>
      <c r="L9" t="n">
        <v>10</v>
      </c>
      <c r="M9" t="n">
        <v>500</v>
      </c>
      <c r="N9" t="inlineStr">
        <is>
          <t>None</t>
        </is>
      </c>
      <c r="P9" t="inlineStr">
        <is>
          <t>None</t>
        </is>
      </c>
      <c r="R9" t="inlineStr">
        <is>
          <t>None</t>
        </is>
      </c>
      <c r="T9" t="inlineStr">
        <is>
          <t>None</t>
        </is>
      </c>
      <c r="W9" t="b">
        <v>0</v>
      </c>
      <c r="Y9" t="inlineStr">
        <is>
          <t>Default</t>
        </is>
      </c>
      <c r="Z9" t="inlineStr">
        <is>
          <t>Normal</t>
        </is>
      </c>
      <c r="AA9" t="n">
        <v>10</v>
      </c>
      <c r="AB9" t="n">
        <v>2</v>
      </c>
      <c r="AC9" t="n">
        <v>1</v>
      </c>
      <c r="AD9" t="n">
        <v>50</v>
      </c>
      <c r="AE9" t="n">
        <v>0</v>
      </c>
      <c r="AG9" t="inlineStr">
        <is>
          <t>None</t>
        </is>
      </c>
      <c r="AI9" t="n">
        <v>202601010</v>
      </c>
    </row>
    <row r="10">
      <c r="A10" t="inlineStr">
        <is>
          <t>5話</t>
        </is>
      </c>
      <c r="C10" t="inlineStr">
        <is>
          <t>event_jig1_charaget01_00005</t>
        </is>
      </c>
      <c r="E10" t="n">
        <v>1</v>
      </c>
      <c r="G10" t="inlineStr">
        <is>
          <t>InitialSummon</t>
        </is>
      </c>
      <c r="H10" t="n">
        <v>0</v>
      </c>
      <c r="I10" t="inlineStr">
        <is>
          <t>SummonEnemy</t>
        </is>
      </c>
      <c r="J10" t="inlineStr">
        <is>
          <t>e_jig_00601_jig1_charaget01_Boss_Colorless</t>
        </is>
      </c>
      <c r="L10" t="n">
        <v>1</v>
      </c>
      <c r="M10" t="n">
        <v>0</v>
      </c>
      <c r="N10" t="inlineStr">
        <is>
          <t>None</t>
        </is>
      </c>
      <c r="O10" t="n">
        <v>0.7</v>
      </c>
      <c r="P10" t="inlineStr">
        <is>
          <t>Damage</t>
        </is>
      </c>
      <c r="Q10" t="n">
        <v>1</v>
      </c>
      <c r="R10" t="inlineStr">
        <is>
          <t>None</t>
        </is>
      </c>
      <c r="T10" t="inlineStr">
        <is>
          <t>None</t>
        </is>
      </c>
      <c r="W10" t="b">
        <v>1</v>
      </c>
      <c r="Y10" t="inlineStr">
        <is>
          <t>Default</t>
        </is>
      </c>
      <c r="Z10" t="inlineStr">
        <is>
          <t>Normal</t>
        </is>
      </c>
      <c r="AA10" t="n">
        <v>12</v>
      </c>
      <c r="AB10" t="n">
        <v>4.5</v>
      </c>
      <c r="AC10" t="n">
        <v>1</v>
      </c>
      <c r="AD10" t="n">
        <v>200</v>
      </c>
      <c r="AE10" t="n">
        <v>0</v>
      </c>
      <c r="AG10" t="inlineStr">
        <is>
          <t>None</t>
        </is>
      </c>
      <c r="AI10" t="n">
        <v>202601010</v>
      </c>
    </row>
    <row r="11">
      <c r="A11" t="inlineStr">
        <is>
          <t>5話</t>
        </is>
      </c>
      <c r="C11" t="inlineStr">
        <is>
          <t>event_jig1_charaget01_00005</t>
        </is>
      </c>
      <c r="E11" t="n">
        <v>2</v>
      </c>
      <c r="G11" t="inlineStr">
        <is>
          <t>ElapsedTime</t>
        </is>
      </c>
      <c r="H11" t="n">
        <v>2500</v>
      </c>
      <c r="I11" t="inlineStr">
        <is>
          <t>SummonEnemy</t>
        </is>
      </c>
      <c r="J11" t="inlineStr">
        <is>
          <t>e_jig_00301_jig1_charaget01_Normal_Green</t>
        </is>
      </c>
      <c r="L11" t="n">
        <v>2</v>
      </c>
      <c r="M11" t="n">
        <v>2000</v>
      </c>
      <c r="N11" t="inlineStr">
        <is>
          <t>None</t>
        </is>
      </c>
      <c r="P11" t="inlineStr">
        <is>
          <t>None</t>
        </is>
      </c>
      <c r="R11" t="inlineStr">
        <is>
          <t>None</t>
        </is>
      </c>
      <c r="T11" t="inlineStr">
        <is>
          <t>None</t>
        </is>
      </c>
      <c r="W11" t="b">
        <v>0</v>
      </c>
      <c r="Y11" t="inlineStr">
        <is>
          <t>Default</t>
        </is>
      </c>
      <c r="Z11" t="inlineStr">
        <is>
          <t>Normal</t>
        </is>
      </c>
      <c r="AA11" t="n">
        <v>23</v>
      </c>
      <c r="AB11" t="n">
        <v>3</v>
      </c>
      <c r="AC11" t="n">
        <v>1</v>
      </c>
      <c r="AD11" t="n">
        <v>100</v>
      </c>
      <c r="AE11" t="n">
        <v>0</v>
      </c>
      <c r="AG11" t="inlineStr">
        <is>
          <t>None</t>
        </is>
      </c>
      <c r="AI11" t="n">
        <v>202601010</v>
      </c>
    </row>
    <row r="12">
      <c r="A12" t="inlineStr">
        <is>
          <t>5話</t>
        </is>
      </c>
      <c r="C12" t="inlineStr">
        <is>
          <t>event_jig1_charaget01_00005</t>
        </is>
      </c>
      <c r="E12" t="n">
        <v>3</v>
      </c>
      <c r="G12" t="inlineStr">
        <is>
          <t>FriendUnitDead</t>
        </is>
      </c>
      <c r="H12" t="n">
        <v>2</v>
      </c>
      <c r="I12" t="inlineStr">
        <is>
          <t>SummonEnemy</t>
        </is>
      </c>
      <c r="J12" t="inlineStr">
        <is>
          <t>e_jig_00301_jig1_charaget01_Normal_Green</t>
        </is>
      </c>
      <c r="L12" t="n">
        <v>1</v>
      </c>
      <c r="M12" t="n">
        <v>0</v>
      </c>
      <c r="N12" t="inlineStr">
        <is>
          <t>None</t>
        </is>
      </c>
      <c r="P12" t="inlineStr">
        <is>
          <t>None</t>
        </is>
      </c>
      <c r="R12" t="inlineStr">
        <is>
          <t>None</t>
        </is>
      </c>
      <c r="T12" t="inlineStr">
        <is>
          <t>None</t>
        </is>
      </c>
      <c r="W12" t="b">
        <v>0</v>
      </c>
      <c r="Y12" t="inlineStr">
        <is>
          <t>Default</t>
        </is>
      </c>
      <c r="Z12" t="inlineStr">
        <is>
          <t>Normal</t>
        </is>
      </c>
      <c r="AA12" t="n">
        <v>23</v>
      </c>
      <c r="AB12" t="n">
        <v>3</v>
      </c>
      <c r="AC12" t="n">
        <v>1</v>
      </c>
      <c r="AD12" t="n">
        <v>100</v>
      </c>
      <c r="AE12" t="n">
        <v>0</v>
      </c>
      <c r="AF12" t="n">
        <v>1750</v>
      </c>
      <c r="AG12" t="inlineStr">
        <is>
          <t>None</t>
        </is>
      </c>
      <c r="AI12" t="n">
        <v>202601010</v>
      </c>
    </row>
    <row r="13">
      <c r="A13" t="inlineStr">
        <is>
          <t>5話</t>
        </is>
      </c>
      <c r="C13" t="inlineStr">
        <is>
          <t>event_jig1_charaget01_00005</t>
        </is>
      </c>
      <c r="E13" t="n">
        <v>4</v>
      </c>
      <c r="G13" t="inlineStr">
        <is>
          <t>ElapsedTime</t>
        </is>
      </c>
      <c r="H13" t="n">
        <v>1200</v>
      </c>
      <c r="I13" t="inlineStr">
        <is>
          <t>SummonEnemy</t>
        </is>
      </c>
      <c r="J13" t="inlineStr">
        <is>
          <t>e_jig_00401_jig1_charaget01_Normal_Green</t>
        </is>
      </c>
      <c r="L13" t="n">
        <v>5</v>
      </c>
      <c r="M13" t="n">
        <v>1500</v>
      </c>
      <c r="N13" t="inlineStr">
        <is>
          <t>None</t>
        </is>
      </c>
      <c r="P13" t="inlineStr">
        <is>
          <t>None</t>
        </is>
      </c>
      <c r="R13" t="inlineStr">
        <is>
          <t>None</t>
        </is>
      </c>
      <c r="T13" t="inlineStr">
        <is>
          <t>None</t>
        </is>
      </c>
      <c r="W13" t="b">
        <v>0</v>
      </c>
      <c r="Y13" t="inlineStr">
        <is>
          <t>Default</t>
        </is>
      </c>
      <c r="Z13" t="inlineStr">
        <is>
          <t>Normal</t>
        </is>
      </c>
      <c r="AA13" t="n">
        <v>10</v>
      </c>
      <c r="AB13" t="n">
        <v>2.5</v>
      </c>
      <c r="AC13" t="n">
        <v>1</v>
      </c>
      <c r="AD13" t="n">
        <v>100</v>
      </c>
      <c r="AE13" t="n">
        <v>0</v>
      </c>
      <c r="AG13" t="inlineStr">
        <is>
          <t>None</t>
        </is>
      </c>
      <c r="AI13" t="n">
        <v>202601010</v>
      </c>
    </row>
    <row r="14">
      <c r="A14" t="inlineStr">
        <is>
          <t>5話</t>
        </is>
      </c>
      <c r="C14" t="inlineStr">
        <is>
          <t>event_jig1_charaget01_00005</t>
        </is>
      </c>
      <c r="E14" t="n">
        <v>5</v>
      </c>
      <c r="G14" t="inlineStr">
        <is>
          <t>ElapsedTime</t>
        </is>
      </c>
      <c r="H14" t="n">
        <v>800</v>
      </c>
      <c r="I14" t="inlineStr">
        <is>
          <t>SummonEnemy</t>
        </is>
      </c>
      <c r="J14" t="inlineStr">
        <is>
          <t>e_jig_00402_jig1_charaget01_Normal_Colorless</t>
        </is>
      </c>
      <c r="L14" t="n">
        <v>5</v>
      </c>
      <c r="M14" t="n">
        <v>800</v>
      </c>
      <c r="N14" t="inlineStr">
        <is>
          <t>None</t>
        </is>
      </c>
      <c r="P14" t="inlineStr">
        <is>
          <t>None</t>
        </is>
      </c>
      <c r="R14" t="inlineStr">
        <is>
          <t>None</t>
        </is>
      </c>
      <c r="T14" t="inlineStr">
        <is>
          <t>None</t>
        </is>
      </c>
      <c r="W14" t="b">
        <v>0</v>
      </c>
      <c r="Y14" t="inlineStr">
        <is>
          <t>Default</t>
        </is>
      </c>
      <c r="Z14" t="inlineStr">
        <is>
          <t>Normal</t>
        </is>
      </c>
      <c r="AA14" t="n">
        <v>32</v>
      </c>
      <c r="AB14" t="n">
        <v>1.5</v>
      </c>
      <c r="AC14" t="n">
        <v>1</v>
      </c>
      <c r="AD14" t="n">
        <v>100</v>
      </c>
      <c r="AE14" t="n">
        <v>0</v>
      </c>
      <c r="AG14" t="inlineStr">
        <is>
          <t>None</t>
        </is>
      </c>
      <c r="AI14" t="n">
        <v>202601010</v>
      </c>
    </row>
    <row r="15">
      <c r="A15" t="inlineStr">
        <is>
          <t>5話</t>
        </is>
      </c>
      <c r="C15" t="inlineStr">
        <is>
          <t>event_jig1_charaget01_00005</t>
        </is>
      </c>
      <c r="E15" t="n">
        <v>6</v>
      </c>
      <c r="G15" t="inlineStr">
        <is>
          <t>OutpostHpPercentage</t>
        </is>
      </c>
      <c r="H15" t="n">
        <v>99</v>
      </c>
      <c r="I15" t="inlineStr">
        <is>
          <t>SummonEnemy</t>
        </is>
      </c>
      <c r="J15" t="inlineStr">
        <is>
          <t>e_jig_00301_jig1_charaget01_Normal_Green</t>
        </is>
      </c>
      <c r="L15" t="n">
        <v>1</v>
      </c>
      <c r="M15" t="n">
        <v>0</v>
      </c>
      <c r="N15" t="inlineStr">
        <is>
          <t>None</t>
        </is>
      </c>
      <c r="P15" t="inlineStr">
        <is>
          <t>None</t>
        </is>
      </c>
      <c r="R15" t="inlineStr">
        <is>
          <t>None</t>
        </is>
      </c>
      <c r="T15" t="inlineStr">
        <is>
          <t>None</t>
        </is>
      </c>
      <c r="W15" t="b">
        <v>0</v>
      </c>
      <c r="Y15" t="inlineStr">
        <is>
          <t>Default</t>
        </is>
      </c>
      <c r="Z15" t="inlineStr">
        <is>
          <t>Normal</t>
        </is>
      </c>
      <c r="AA15" t="n">
        <v>23</v>
      </c>
      <c r="AB15" t="n">
        <v>3</v>
      </c>
      <c r="AC15" t="n">
        <v>1</v>
      </c>
      <c r="AD15" t="n">
        <v>50</v>
      </c>
      <c r="AE15" t="n">
        <v>0</v>
      </c>
      <c r="AF15" t="n">
        <v>300</v>
      </c>
      <c r="AG15" t="inlineStr">
        <is>
          <t>None</t>
        </is>
      </c>
      <c r="AI15" t="n">
        <v>202601010</v>
      </c>
    </row>
    <row r="16">
      <c r="A16" t="inlineStr">
        <is>
          <t>5話</t>
        </is>
      </c>
      <c r="C16" t="inlineStr">
        <is>
          <t>event_jig1_charaget01_00005</t>
        </is>
      </c>
      <c r="E16" t="n">
        <v>7</v>
      </c>
      <c r="G16" t="inlineStr">
        <is>
          <t>OutpostHpPercentage</t>
        </is>
      </c>
      <c r="H16" t="n">
        <v>99</v>
      </c>
      <c r="I16" t="inlineStr">
        <is>
          <t>SummonEnemy</t>
        </is>
      </c>
      <c r="J16" t="inlineStr">
        <is>
          <t>e_jig_00402_jig1_charaget01_Normal_Colorless</t>
        </is>
      </c>
      <c r="L16" t="n">
        <v>1</v>
      </c>
      <c r="M16" t="n">
        <v>0</v>
      </c>
      <c r="N16" t="inlineStr">
        <is>
          <t>None</t>
        </is>
      </c>
      <c r="P16" t="inlineStr">
        <is>
          <t>None</t>
        </is>
      </c>
      <c r="R16" t="inlineStr">
        <is>
          <t>None</t>
        </is>
      </c>
      <c r="T16" t="inlineStr">
        <is>
          <t>None</t>
        </is>
      </c>
      <c r="W16" t="b">
        <v>0</v>
      </c>
      <c r="Y16" t="inlineStr">
        <is>
          <t>Default</t>
        </is>
      </c>
      <c r="Z16" t="inlineStr">
        <is>
          <t>Normal</t>
        </is>
      </c>
      <c r="AA16" t="n">
        <v>32</v>
      </c>
      <c r="AB16" t="n">
        <v>1.5</v>
      </c>
      <c r="AC16" t="n">
        <v>1</v>
      </c>
      <c r="AD16" t="n">
        <v>50</v>
      </c>
      <c r="AE16" t="n">
        <v>0</v>
      </c>
      <c r="AF16" t="n">
        <v>50</v>
      </c>
      <c r="AG16" t="inlineStr">
        <is>
          <t>None</t>
        </is>
      </c>
      <c r="AI16" t="n">
        <v>202601010</v>
      </c>
    </row>
    <row r="17">
      <c r="A17" t="inlineStr">
        <is>
          <t>4話</t>
        </is>
      </c>
      <c r="C17" t="inlineStr">
        <is>
          <t>event_jig1_charaget01_00004</t>
        </is>
      </c>
      <c r="E17" t="n">
        <v>1</v>
      </c>
      <c r="G17" t="inlineStr">
        <is>
          <t>ElapsedTime</t>
        </is>
      </c>
      <c r="H17" t="n">
        <v>550</v>
      </c>
      <c r="I17" t="inlineStr">
        <is>
          <t>SummonEnemy</t>
        </is>
      </c>
      <c r="J17" t="inlineStr">
        <is>
          <t>c_jig_00201_jig1_charaget01_Boss_Green</t>
        </is>
      </c>
      <c r="L17" t="n">
        <v>1</v>
      </c>
      <c r="M17" t="n">
        <v>0</v>
      </c>
      <c r="N17" t="inlineStr">
        <is>
          <t>None</t>
        </is>
      </c>
      <c r="P17" t="inlineStr">
        <is>
          <t>None</t>
        </is>
      </c>
      <c r="R17" t="inlineStr">
        <is>
          <t>None</t>
        </is>
      </c>
      <c r="T17" t="inlineStr">
        <is>
          <t>None</t>
        </is>
      </c>
      <c r="W17" t="b">
        <v>0</v>
      </c>
      <c r="Y17" t="inlineStr">
        <is>
          <t>Default</t>
        </is>
      </c>
      <c r="Z17" t="inlineStr">
        <is>
          <t>Normal</t>
        </is>
      </c>
      <c r="AA17" t="n">
        <v>6</v>
      </c>
      <c r="AB17" t="n">
        <v>4</v>
      </c>
      <c r="AC17" t="n">
        <v>1</v>
      </c>
      <c r="AD17" t="n">
        <v>200</v>
      </c>
      <c r="AE17" t="n">
        <v>0</v>
      </c>
      <c r="AG17" t="inlineStr">
        <is>
          <t>None</t>
        </is>
      </c>
      <c r="AI17" t="n">
        <v>202601010</v>
      </c>
    </row>
    <row r="18">
      <c r="A18" t="inlineStr">
        <is>
          <t>4話</t>
        </is>
      </c>
      <c r="C18" t="inlineStr">
        <is>
          <t>event_jig1_charaget01_00004</t>
        </is>
      </c>
      <c r="E18" t="n">
        <v>2</v>
      </c>
      <c r="G18" t="inlineStr">
        <is>
          <t>ElapsedTime</t>
        </is>
      </c>
      <c r="H18" t="n">
        <v>200</v>
      </c>
      <c r="I18" t="inlineStr">
        <is>
          <t>SummonEnemy</t>
        </is>
      </c>
      <c r="J18" t="inlineStr">
        <is>
          <t>c_jig_00301_jig1_charaget01_Boss_Colorless</t>
        </is>
      </c>
      <c r="L18" t="n">
        <v>1</v>
      </c>
      <c r="M18" t="n">
        <v>0</v>
      </c>
      <c r="N18" t="inlineStr">
        <is>
          <t>None</t>
        </is>
      </c>
      <c r="P18" t="inlineStr">
        <is>
          <t>None</t>
        </is>
      </c>
      <c r="R18" t="inlineStr">
        <is>
          <t>None</t>
        </is>
      </c>
      <c r="T18" t="inlineStr">
        <is>
          <t>None</t>
        </is>
      </c>
      <c r="W18" t="b">
        <v>0</v>
      </c>
      <c r="Y18" t="inlineStr">
        <is>
          <t>Default</t>
        </is>
      </c>
      <c r="Z18" t="inlineStr">
        <is>
          <t>Normal</t>
        </is>
      </c>
      <c r="AA18" t="n">
        <v>12</v>
      </c>
      <c r="AB18" t="n">
        <v>3</v>
      </c>
      <c r="AC18" t="n">
        <v>1</v>
      </c>
      <c r="AD18" t="n">
        <v>200</v>
      </c>
      <c r="AE18" t="n">
        <v>0</v>
      </c>
      <c r="AG18" t="inlineStr">
        <is>
          <t>None</t>
        </is>
      </c>
      <c r="AI18" t="n">
        <v>202601010</v>
      </c>
    </row>
    <row r="19">
      <c r="A19" t="inlineStr">
        <is>
          <t>4話</t>
        </is>
      </c>
      <c r="C19" t="inlineStr">
        <is>
          <t>event_jig1_charaget01_00004</t>
        </is>
      </c>
      <c r="E19" t="n">
        <v>3</v>
      </c>
      <c r="G19" t="inlineStr">
        <is>
          <t>FriendUnitDead</t>
        </is>
      </c>
      <c r="H19" t="n">
        <v>1</v>
      </c>
      <c r="I19" t="inlineStr">
        <is>
          <t>SummonEnemy</t>
        </is>
      </c>
      <c r="J19" t="inlineStr">
        <is>
          <t>e_jig_00301_jig1_charaget01_Normal_Green</t>
        </is>
      </c>
      <c r="L19" t="n">
        <v>1</v>
      </c>
      <c r="M19" t="n">
        <v>0</v>
      </c>
      <c r="N19" t="inlineStr">
        <is>
          <t>None</t>
        </is>
      </c>
      <c r="P19" t="inlineStr">
        <is>
          <t>None</t>
        </is>
      </c>
      <c r="R19" t="inlineStr">
        <is>
          <t>None</t>
        </is>
      </c>
      <c r="T19" t="inlineStr">
        <is>
          <t>None</t>
        </is>
      </c>
      <c r="W19" t="b">
        <v>0</v>
      </c>
      <c r="Y19" t="inlineStr">
        <is>
          <t>Default</t>
        </is>
      </c>
      <c r="Z19" t="inlineStr">
        <is>
          <t>Normal</t>
        </is>
      </c>
      <c r="AA19" t="n">
        <v>15</v>
      </c>
      <c r="AB19" t="n">
        <v>4</v>
      </c>
      <c r="AC19" t="n">
        <v>1</v>
      </c>
      <c r="AD19" t="n">
        <v>100</v>
      </c>
      <c r="AE19" t="n">
        <v>0</v>
      </c>
      <c r="AF19" t="n">
        <v>50</v>
      </c>
      <c r="AG19" t="inlineStr">
        <is>
          <t>None</t>
        </is>
      </c>
      <c r="AI19" t="n">
        <v>202601010</v>
      </c>
    </row>
    <row r="20">
      <c r="A20" t="inlineStr">
        <is>
          <t>4話</t>
        </is>
      </c>
      <c r="C20" t="inlineStr">
        <is>
          <t>event_jig1_charaget01_00004</t>
        </is>
      </c>
      <c r="E20" t="n">
        <v>4</v>
      </c>
      <c r="G20" t="inlineStr">
        <is>
          <t>ElapsedTime</t>
        </is>
      </c>
      <c r="H20" t="n">
        <v>800</v>
      </c>
      <c r="I20" t="inlineStr">
        <is>
          <t>SummonEnemy</t>
        </is>
      </c>
      <c r="J20" t="inlineStr">
        <is>
          <t>e_jig_00401_jig1_charaget01_Normal_Green</t>
        </is>
      </c>
      <c r="L20" t="n">
        <v>4</v>
      </c>
      <c r="M20" t="n">
        <v>250</v>
      </c>
      <c r="N20" t="inlineStr">
        <is>
          <t>None</t>
        </is>
      </c>
      <c r="P20" t="inlineStr">
        <is>
          <t>None</t>
        </is>
      </c>
      <c r="R20" t="inlineStr">
        <is>
          <t>None</t>
        </is>
      </c>
      <c r="T20" t="inlineStr">
        <is>
          <t>None</t>
        </is>
      </c>
      <c r="W20" t="b">
        <v>0</v>
      </c>
      <c r="Y20" t="inlineStr">
        <is>
          <t>Default</t>
        </is>
      </c>
      <c r="Z20" t="inlineStr">
        <is>
          <t>Normal</t>
        </is>
      </c>
      <c r="AA20" t="n">
        <v>1</v>
      </c>
      <c r="AB20" t="n">
        <v>2.5</v>
      </c>
      <c r="AC20" t="n">
        <v>1</v>
      </c>
      <c r="AD20" t="n">
        <v>50</v>
      </c>
      <c r="AE20" t="n">
        <v>0</v>
      </c>
      <c r="AG20" t="inlineStr">
        <is>
          <t>None</t>
        </is>
      </c>
      <c r="AI20" t="n">
        <v>202601010</v>
      </c>
    </row>
    <row r="21">
      <c r="A21" t="inlineStr">
        <is>
          <t>4話</t>
        </is>
      </c>
      <c r="C21" t="inlineStr">
        <is>
          <t>event_jig1_charaget01_00004</t>
        </is>
      </c>
      <c r="E21" t="n">
        <v>5</v>
      </c>
      <c r="G21" t="inlineStr">
        <is>
          <t>FriendUnitDead</t>
        </is>
      </c>
      <c r="H21" t="n">
        <v>2</v>
      </c>
      <c r="I21" t="inlineStr">
        <is>
          <t>SummonEnemy</t>
        </is>
      </c>
      <c r="J21" t="inlineStr">
        <is>
          <t>e_jig_00402_jig1_charaget01_Normal_Colorless</t>
        </is>
      </c>
      <c r="L21" t="n">
        <v>2</v>
      </c>
      <c r="M21" t="n">
        <v>50</v>
      </c>
      <c r="N21" t="inlineStr">
        <is>
          <t>None</t>
        </is>
      </c>
      <c r="P21" t="inlineStr">
        <is>
          <t>None</t>
        </is>
      </c>
      <c r="R21" t="inlineStr">
        <is>
          <t>None</t>
        </is>
      </c>
      <c r="T21" t="inlineStr">
        <is>
          <t>None</t>
        </is>
      </c>
      <c r="W21" t="b">
        <v>0</v>
      </c>
      <c r="Y21" t="inlineStr">
        <is>
          <t>Default</t>
        </is>
      </c>
      <c r="Z21" t="inlineStr">
        <is>
          <t>Normal</t>
        </is>
      </c>
      <c r="AA21" t="n">
        <v>30</v>
      </c>
      <c r="AB21" t="n">
        <v>1.5</v>
      </c>
      <c r="AC21" t="n">
        <v>1</v>
      </c>
      <c r="AD21" t="n">
        <v>50</v>
      </c>
      <c r="AE21" t="n">
        <v>0</v>
      </c>
      <c r="AF21" t="n">
        <v>50</v>
      </c>
      <c r="AG21" t="inlineStr">
        <is>
          <t>None</t>
        </is>
      </c>
      <c r="AI21" t="n">
        <v>202601010</v>
      </c>
    </row>
    <row r="22">
      <c r="A22" t="inlineStr">
        <is>
          <t>3話</t>
        </is>
      </c>
      <c r="C22" t="inlineStr">
        <is>
          <t>event_jig1_charaget01_00003</t>
        </is>
      </c>
      <c r="E22" t="n">
        <v>1</v>
      </c>
      <c r="G22" t="inlineStr">
        <is>
          <t>EnterTargetKomaIndex</t>
        </is>
      </c>
      <c r="H22" t="n">
        <v>1</v>
      </c>
      <c r="I22" t="inlineStr">
        <is>
          <t>SummonEnemy</t>
        </is>
      </c>
      <c r="J22" t="inlineStr">
        <is>
          <t>c_jig_00001_jig1_charaget01_Boss_Yellow</t>
        </is>
      </c>
      <c r="L22" t="n">
        <v>1</v>
      </c>
      <c r="M22" t="n">
        <v>0</v>
      </c>
      <c r="N22" t="inlineStr">
        <is>
          <t>None</t>
        </is>
      </c>
      <c r="P22" t="inlineStr">
        <is>
          <t>None</t>
        </is>
      </c>
      <c r="R22" t="inlineStr">
        <is>
          <t>None</t>
        </is>
      </c>
      <c r="T22" t="inlineStr">
        <is>
          <t>None</t>
        </is>
      </c>
      <c r="W22" t="b">
        <v>0</v>
      </c>
      <c r="Y22" t="inlineStr">
        <is>
          <t>Default</t>
        </is>
      </c>
      <c r="Z22" t="inlineStr">
        <is>
          <t>Normal</t>
        </is>
      </c>
      <c r="AA22" t="n">
        <v>4</v>
      </c>
      <c r="AB22" t="n">
        <v>2</v>
      </c>
      <c r="AC22" t="n">
        <v>1</v>
      </c>
      <c r="AD22" t="n">
        <v>200</v>
      </c>
      <c r="AE22" t="n">
        <v>0</v>
      </c>
      <c r="AF22" t="n">
        <v>50</v>
      </c>
      <c r="AG22" t="inlineStr">
        <is>
          <t>None</t>
        </is>
      </c>
      <c r="AI22" t="n">
        <v>202601010</v>
      </c>
    </row>
    <row r="23">
      <c r="A23" t="inlineStr">
        <is>
          <t>3話</t>
        </is>
      </c>
      <c r="C23" t="inlineStr">
        <is>
          <t>event_jig1_charaget01_00003</t>
        </is>
      </c>
      <c r="E23" t="n">
        <v>2</v>
      </c>
      <c r="G23" t="inlineStr">
        <is>
          <t>EnterTargetKomaIndex</t>
        </is>
      </c>
      <c r="H23" t="n">
        <v>1</v>
      </c>
      <c r="I23" t="inlineStr">
        <is>
          <t>SummonEnemy</t>
        </is>
      </c>
      <c r="J23" t="inlineStr">
        <is>
          <t>c_jig_00101_jig1_charaget01_Boss_Yellow</t>
        </is>
      </c>
      <c r="L23" t="n">
        <v>1</v>
      </c>
      <c r="M23" t="n">
        <v>0</v>
      </c>
      <c r="N23" t="inlineStr">
        <is>
          <t>None</t>
        </is>
      </c>
      <c r="P23" t="inlineStr">
        <is>
          <t>None</t>
        </is>
      </c>
      <c r="R23" t="inlineStr">
        <is>
          <t>None</t>
        </is>
      </c>
      <c r="T23" t="inlineStr">
        <is>
          <t>None</t>
        </is>
      </c>
      <c r="W23" t="b">
        <v>0</v>
      </c>
      <c r="Y23" t="inlineStr">
        <is>
          <t>Default</t>
        </is>
      </c>
      <c r="Z23" t="inlineStr">
        <is>
          <t>Normal</t>
        </is>
      </c>
      <c r="AA23" t="n">
        <v>3</v>
      </c>
      <c r="AB23" t="n">
        <v>3</v>
      </c>
      <c r="AC23" t="n">
        <v>1</v>
      </c>
      <c r="AD23" t="n">
        <v>200</v>
      </c>
      <c r="AE23" t="n">
        <v>0</v>
      </c>
      <c r="AF23" t="n">
        <v>300</v>
      </c>
      <c r="AG23" t="inlineStr">
        <is>
          <t>None</t>
        </is>
      </c>
      <c r="AI23" t="n">
        <v>202601010</v>
      </c>
    </row>
    <row r="24">
      <c r="A24" t="inlineStr">
        <is>
          <t>3話</t>
        </is>
      </c>
      <c r="C24" t="inlineStr">
        <is>
          <t>event_jig1_charaget01_00003</t>
        </is>
      </c>
      <c r="E24" t="n">
        <v>3</v>
      </c>
      <c r="G24" t="inlineStr">
        <is>
          <t>InitialSummon</t>
        </is>
      </c>
      <c r="H24" t="n">
        <v>1</v>
      </c>
      <c r="I24" t="inlineStr">
        <is>
          <t>SummonEnemy</t>
        </is>
      </c>
      <c r="J24" t="inlineStr">
        <is>
          <t>e_jig_00402_jig1_charaget01_Normal_Colorless</t>
        </is>
      </c>
      <c r="L24" t="n">
        <v>1</v>
      </c>
      <c r="M24" t="n">
        <v>0</v>
      </c>
      <c r="N24" t="inlineStr">
        <is>
          <t>None</t>
        </is>
      </c>
      <c r="O24" t="n">
        <v>1.7</v>
      </c>
      <c r="P24" t="inlineStr">
        <is>
          <t>EnterTargetKoma</t>
        </is>
      </c>
      <c r="Q24" t="n">
        <v>1</v>
      </c>
      <c r="R24" t="inlineStr">
        <is>
          <t>None</t>
        </is>
      </c>
      <c r="T24" t="inlineStr">
        <is>
          <t>None</t>
        </is>
      </c>
      <c r="W24" t="b">
        <v>0</v>
      </c>
      <c r="Y24" t="inlineStr">
        <is>
          <t>Default</t>
        </is>
      </c>
      <c r="Z24" t="inlineStr">
        <is>
          <t>Normal</t>
        </is>
      </c>
      <c r="AA24" t="n">
        <v>20</v>
      </c>
      <c r="AB24" t="n">
        <v>0.8</v>
      </c>
      <c r="AC24" t="n">
        <v>1</v>
      </c>
      <c r="AD24" t="n">
        <v>50</v>
      </c>
      <c r="AE24" t="n">
        <v>0</v>
      </c>
      <c r="AG24" t="inlineStr">
        <is>
          <t>None</t>
        </is>
      </c>
      <c r="AI24" t="n">
        <v>202601010</v>
      </c>
    </row>
    <row r="25">
      <c r="A25" t="inlineStr">
        <is>
          <t>3話</t>
        </is>
      </c>
      <c r="C25" t="inlineStr">
        <is>
          <t>event_jig1_charaget01_00003</t>
        </is>
      </c>
      <c r="E25" t="n">
        <v>4</v>
      </c>
      <c r="G25" t="inlineStr">
        <is>
          <t>FriendUnitDead</t>
        </is>
      </c>
      <c r="H25" t="n">
        <v>3</v>
      </c>
      <c r="I25" t="inlineStr">
        <is>
          <t>SummonEnemy</t>
        </is>
      </c>
      <c r="J25" t="inlineStr">
        <is>
          <t>e_jig_00402_jig1_charaget01_Normal_Colorless</t>
        </is>
      </c>
      <c r="L25" t="n">
        <v>2</v>
      </c>
      <c r="M25" t="n">
        <v>50</v>
      </c>
      <c r="N25" t="inlineStr">
        <is>
          <t>None</t>
        </is>
      </c>
      <c r="P25" t="inlineStr">
        <is>
          <t>None</t>
        </is>
      </c>
      <c r="R25" t="inlineStr">
        <is>
          <t>None</t>
        </is>
      </c>
      <c r="T25" t="inlineStr">
        <is>
          <t>None</t>
        </is>
      </c>
      <c r="W25" t="b">
        <v>0</v>
      </c>
      <c r="Y25" t="inlineStr">
        <is>
          <t>Default</t>
        </is>
      </c>
      <c r="Z25" t="inlineStr">
        <is>
          <t>Normal</t>
        </is>
      </c>
      <c r="AA25" t="n">
        <v>20</v>
      </c>
      <c r="AB25" t="n">
        <v>0.8</v>
      </c>
      <c r="AC25" t="n">
        <v>1</v>
      </c>
      <c r="AD25" t="n">
        <v>50</v>
      </c>
      <c r="AE25" t="n">
        <v>0</v>
      </c>
      <c r="AG25" t="inlineStr">
        <is>
          <t>None</t>
        </is>
      </c>
      <c r="AI25" t="n">
        <v>202601010</v>
      </c>
    </row>
    <row r="26">
      <c r="A26" t="inlineStr">
        <is>
          <t>3話</t>
        </is>
      </c>
      <c r="C26" t="inlineStr">
        <is>
          <t>event_jig1_charaget01_00003</t>
        </is>
      </c>
      <c r="E26" t="n">
        <v>5</v>
      </c>
      <c r="G26" t="inlineStr">
        <is>
          <t>ElapsedTime</t>
        </is>
      </c>
      <c r="H26" t="n">
        <v>1500</v>
      </c>
      <c r="I26" t="inlineStr">
        <is>
          <t>SummonEnemy</t>
        </is>
      </c>
      <c r="J26" t="inlineStr">
        <is>
          <t>e_jig_00402_jig1_charaget01_Normal_Colorless</t>
        </is>
      </c>
      <c r="L26" t="n">
        <v>1</v>
      </c>
      <c r="M26" t="n">
        <v>0</v>
      </c>
      <c r="N26" t="inlineStr">
        <is>
          <t>None</t>
        </is>
      </c>
      <c r="P26" t="inlineStr">
        <is>
          <t>None</t>
        </is>
      </c>
      <c r="R26" t="inlineStr">
        <is>
          <t>None</t>
        </is>
      </c>
      <c r="T26" t="inlineStr">
        <is>
          <t>None</t>
        </is>
      </c>
      <c r="W26" t="b">
        <v>0</v>
      </c>
      <c r="Y26" t="inlineStr">
        <is>
          <t>Default</t>
        </is>
      </c>
      <c r="Z26" t="inlineStr">
        <is>
          <t>Normal</t>
        </is>
      </c>
      <c r="AA26" t="n">
        <v>20</v>
      </c>
      <c r="AB26" t="n">
        <v>0.8</v>
      </c>
      <c r="AC26" t="n">
        <v>1</v>
      </c>
      <c r="AD26" t="n">
        <v>50</v>
      </c>
      <c r="AE26" t="n">
        <v>0</v>
      </c>
      <c r="AG26" t="inlineStr">
        <is>
          <t>None</t>
        </is>
      </c>
      <c r="AI26" t="n">
        <v>202601010</v>
      </c>
    </row>
    <row r="27">
      <c r="A27" t="inlineStr">
        <is>
          <t>3話</t>
        </is>
      </c>
      <c r="C27" t="inlineStr">
        <is>
          <t>event_jig1_charaget01_00003</t>
        </is>
      </c>
      <c r="E27" t="n">
        <v>6</v>
      </c>
      <c r="G27" t="inlineStr">
        <is>
          <t>FriendUnitDead</t>
        </is>
      </c>
      <c r="H27" t="n">
        <v>2</v>
      </c>
      <c r="I27" t="inlineStr">
        <is>
          <t>SummonEnemy</t>
        </is>
      </c>
      <c r="J27" t="inlineStr">
        <is>
          <t>e_jig_00402_jig1_charaget01_Normal_Colorless</t>
        </is>
      </c>
      <c r="L27" t="n">
        <v>3</v>
      </c>
      <c r="M27" t="n">
        <v>1000</v>
      </c>
      <c r="N27" t="inlineStr">
        <is>
          <t>None</t>
        </is>
      </c>
      <c r="P27" t="inlineStr">
        <is>
          <t>None</t>
        </is>
      </c>
      <c r="R27" t="inlineStr">
        <is>
          <t>None</t>
        </is>
      </c>
      <c r="T27" t="inlineStr">
        <is>
          <t>None</t>
        </is>
      </c>
      <c r="W27" t="b">
        <v>0</v>
      </c>
      <c r="Y27" t="inlineStr">
        <is>
          <t>Default</t>
        </is>
      </c>
      <c r="Z27" t="inlineStr">
        <is>
          <t>Normal</t>
        </is>
      </c>
      <c r="AA27" t="n">
        <v>20</v>
      </c>
      <c r="AB27" t="n">
        <v>0.8</v>
      </c>
      <c r="AC27" t="n">
        <v>1</v>
      </c>
      <c r="AD27" t="n">
        <v>50</v>
      </c>
      <c r="AE27" t="n">
        <v>0</v>
      </c>
      <c r="AF27" t="n">
        <v>50</v>
      </c>
      <c r="AG27" t="inlineStr">
        <is>
          <t>None</t>
        </is>
      </c>
      <c r="AI27" t="n">
        <v>202601010</v>
      </c>
    </row>
    <row r="28">
      <c r="A28" t="inlineStr">
        <is>
          <t>2話</t>
        </is>
      </c>
      <c r="C28" t="inlineStr">
        <is>
          <t>event_jig1_charaget01_00002</t>
        </is>
      </c>
      <c r="E28" t="n">
        <v>1</v>
      </c>
      <c r="G28" t="inlineStr">
        <is>
          <t>FriendUnitDead</t>
        </is>
      </c>
      <c r="H28" t="n">
        <v>3</v>
      </c>
      <c r="I28" t="inlineStr">
        <is>
          <t>SummonEnemy</t>
        </is>
      </c>
      <c r="J28" t="inlineStr">
        <is>
          <t>c_jig_00101_jig1_charaget01_Boss_Yellow</t>
        </is>
      </c>
      <c r="L28" t="n">
        <v>1</v>
      </c>
      <c r="M28" t="n">
        <v>0</v>
      </c>
      <c r="N28" t="inlineStr">
        <is>
          <t>None</t>
        </is>
      </c>
      <c r="P28" t="inlineStr">
        <is>
          <t>None</t>
        </is>
      </c>
      <c r="R28" t="inlineStr">
        <is>
          <t>None</t>
        </is>
      </c>
      <c r="T28" t="inlineStr">
        <is>
          <t>None</t>
        </is>
      </c>
      <c r="W28" t="b">
        <v>0</v>
      </c>
      <c r="Y28" t="inlineStr">
        <is>
          <t>Default</t>
        </is>
      </c>
      <c r="Z28" t="inlineStr">
        <is>
          <t>Normal</t>
        </is>
      </c>
      <c r="AA28" t="n">
        <v>2.5</v>
      </c>
      <c r="AB28" t="n">
        <v>3</v>
      </c>
      <c r="AC28" t="n">
        <v>1</v>
      </c>
      <c r="AD28" t="n">
        <v>200</v>
      </c>
      <c r="AE28" t="n">
        <v>0</v>
      </c>
      <c r="AF28" t="n">
        <v>50</v>
      </c>
      <c r="AG28" t="inlineStr">
        <is>
          <t>None</t>
        </is>
      </c>
      <c r="AI28" t="n">
        <v>202601010</v>
      </c>
    </row>
    <row r="29">
      <c r="A29" t="inlineStr">
        <is>
          <t>2話</t>
        </is>
      </c>
      <c r="C29" t="inlineStr">
        <is>
          <t>event_jig1_charaget01_00002</t>
        </is>
      </c>
      <c r="E29" t="n">
        <v>2</v>
      </c>
      <c r="G29" t="inlineStr">
        <is>
          <t>InitialSummon</t>
        </is>
      </c>
      <c r="H29" t="n">
        <v>0</v>
      </c>
      <c r="I29" t="inlineStr">
        <is>
          <t>SummonEnemy</t>
        </is>
      </c>
      <c r="J29" t="inlineStr">
        <is>
          <t>e_jig_00501_jig1_charaget01_Boss_Colorless</t>
        </is>
      </c>
      <c r="L29" t="n">
        <v>1</v>
      </c>
      <c r="M29" t="n">
        <v>0</v>
      </c>
      <c r="N29" t="inlineStr">
        <is>
          <t>None</t>
        </is>
      </c>
      <c r="O29" t="n">
        <v>1.4</v>
      </c>
      <c r="P29" t="inlineStr">
        <is>
          <t>EnterTargetKoma</t>
        </is>
      </c>
      <c r="Q29" t="n">
        <v>1</v>
      </c>
      <c r="R29" t="inlineStr">
        <is>
          <t>None</t>
        </is>
      </c>
      <c r="T29" t="inlineStr">
        <is>
          <t>None</t>
        </is>
      </c>
      <c r="W29" t="b">
        <v>0</v>
      </c>
      <c r="Y29" t="inlineStr">
        <is>
          <t>Default</t>
        </is>
      </c>
      <c r="Z29" t="inlineStr">
        <is>
          <t>Normal</t>
        </is>
      </c>
      <c r="AA29" t="n">
        <v>9</v>
      </c>
      <c r="AB29" t="n">
        <v>0.8</v>
      </c>
      <c r="AC29" t="n">
        <v>1</v>
      </c>
      <c r="AD29" t="n">
        <v>200</v>
      </c>
      <c r="AE29" t="n">
        <v>0</v>
      </c>
      <c r="AG29" t="inlineStr">
        <is>
          <t>None</t>
        </is>
      </c>
      <c r="AI29" t="n">
        <v>202601010</v>
      </c>
    </row>
    <row r="30">
      <c r="A30" t="inlineStr">
        <is>
          <t>2話</t>
        </is>
      </c>
      <c r="C30" t="inlineStr">
        <is>
          <t>event_jig1_charaget01_00002</t>
        </is>
      </c>
      <c r="E30" t="n">
        <v>3</v>
      </c>
      <c r="G30" t="inlineStr">
        <is>
          <t>ElapsedTime</t>
        </is>
      </c>
      <c r="H30" t="n">
        <v>250</v>
      </c>
      <c r="I30" t="inlineStr">
        <is>
          <t>SummonEnemy</t>
        </is>
      </c>
      <c r="J30" t="inlineStr">
        <is>
          <t>e_jig_00401_jig1_charaget01_Normal_Green</t>
        </is>
      </c>
      <c r="L30" t="n">
        <v>2</v>
      </c>
      <c r="M30" t="n">
        <v>50</v>
      </c>
      <c r="N30" t="inlineStr">
        <is>
          <t>None</t>
        </is>
      </c>
      <c r="P30" t="inlineStr">
        <is>
          <t>None</t>
        </is>
      </c>
      <c r="R30" t="inlineStr">
        <is>
          <t>None</t>
        </is>
      </c>
      <c r="T30" t="inlineStr">
        <is>
          <t>None</t>
        </is>
      </c>
      <c r="W30" t="b">
        <v>0</v>
      </c>
      <c r="Y30" t="inlineStr">
        <is>
          <t>Default</t>
        </is>
      </c>
      <c r="Z30" t="inlineStr">
        <is>
          <t>Normal</t>
        </is>
      </c>
      <c r="AA30" t="n">
        <v>5</v>
      </c>
      <c r="AB30" t="n">
        <v>0.5</v>
      </c>
      <c r="AC30" t="n">
        <v>1</v>
      </c>
      <c r="AD30" t="n">
        <v>75</v>
      </c>
      <c r="AE30" t="n">
        <v>0</v>
      </c>
      <c r="AG30" t="inlineStr">
        <is>
          <t>None</t>
        </is>
      </c>
      <c r="AI30" t="n">
        <v>202601010</v>
      </c>
    </row>
    <row r="31">
      <c r="A31" t="inlineStr">
        <is>
          <t>2話</t>
        </is>
      </c>
      <c r="C31" t="inlineStr">
        <is>
          <t>event_jig1_charaget01_00002</t>
        </is>
      </c>
      <c r="E31" t="n">
        <v>4</v>
      </c>
      <c r="G31" t="inlineStr">
        <is>
          <t>ElapsedTime</t>
        </is>
      </c>
      <c r="H31" t="n">
        <v>1700</v>
      </c>
      <c r="I31" t="inlineStr">
        <is>
          <t>SummonEnemy</t>
        </is>
      </c>
      <c r="J31" t="inlineStr">
        <is>
          <t>e_jig_00401_jig1_charaget01_Normal_Green</t>
        </is>
      </c>
      <c r="L31" t="n">
        <v>2</v>
      </c>
      <c r="M31" t="n">
        <v>50</v>
      </c>
      <c r="N31" t="inlineStr">
        <is>
          <t>None</t>
        </is>
      </c>
      <c r="P31" t="inlineStr">
        <is>
          <t>None</t>
        </is>
      </c>
      <c r="R31" t="inlineStr">
        <is>
          <t>None</t>
        </is>
      </c>
      <c r="T31" t="inlineStr">
        <is>
          <t>None</t>
        </is>
      </c>
      <c r="W31" t="b">
        <v>0</v>
      </c>
      <c r="Y31" t="inlineStr">
        <is>
          <t>Default</t>
        </is>
      </c>
      <c r="Z31" t="inlineStr">
        <is>
          <t>Normal</t>
        </is>
      </c>
      <c r="AA31" t="n">
        <v>5</v>
      </c>
      <c r="AB31" t="n">
        <v>0.5</v>
      </c>
      <c r="AC31" t="n">
        <v>1</v>
      </c>
      <c r="AD31" t="n">
        <v>75</v>
      </c>
      <c r="AE31" t="n">
        <v>0</v>
      </c>
      <c r="AG31" t="inlineStr">
        <is>
          <t>None</t>
        </is>
      </c>
      <c r="AI31" t="n">
        <v>202601010</v>
      </c>
    </row>
    <row r="32">
      <c r="A32" t="inlineStr">
        <is>
          <t>2話</t>
        </is>
      </c>
      <c r="C32" t="inlineStr">
        <is>
          <t>event_jig1_charaget01_00002</t>
        </is>
      </c>
      <c r="E32" t="n">
        <v>5</v>
      </c>
      <c r="G32" t="inlineStr">
        <is>
          <t>ElapsedTime</t>
        </is>
      </c>
      <c r="H32" t="n">
        <v>2200</v>
      </c>
      <c r="I32" t="inlineStr">
        <is>
          <t>SummonEnemy</t>
        </is>
      </c>
      <c r="J32" t="inlineStr">
        <is>
          <t>e_jig_00301_jig1_charaget01_Normal_Green</t>
        </is>
      </c>
      <c r="L32" t="n">
        <v>1</v>
      </c>
      <c r="M32" t="n">
        <v>0</v>
      </c>
      <c r="N32" t="inlineStr">
        <is>
          <t>None</t>
        </is>
      </c>
      <c r="P32" t="inlineStr">
        <is>
          <t>None</t>
        </is>
      </c>
      <c r="R32" t="inlineStr">
        <is>
          <t>None</t>
        </is>
      </c>
      <c r="T32" t="inlineStr">
        <is>
          <t>None</t>
        </is>
      </c>
      <c r="W32" t="b">
        <v>0</v>
      </c>
      <c r="Y32" t="inlineStr">
        <is>
          <t>Default</t>
        </is>
      </c>
      <c r="Z32" t="inlineStr">
        <is>
          <t>Normal</t>
        </is>
      </c>
      <c r="AA32" t="n">
        <v>8</v>
      </c>
      <c r="AB32" t="n">
        <v>1</v>
      </c>
      <c r="AC32" t="n">
        <v>1</v>
      </c>
      <c r="AD32" t="n">
        <v>75</v>
      </c>
      <c r="AE32" t="n">
        <v>0</v>
      </c>
      <c r="AG32" t="inlineStr">
        <is>
          <t>None</t>
        </is>
      </c>
      <c r="AI32" t="n">
        <v>202601010</v>
      </c>
    </row>
    <row r="33">
      <c r="A33" t="inlineStr">
        <is>
          <t>1話</t>
        </is>
      </c>
      <c r="C33" t="inlineStr">
        <is>
          <t>event_jig1_charaget01_00001</t>
        </is>
      </c>
      <c r="E33" t="n">
        <v>1</v>
      </c>
      <c r="G33" t="inlineStr">
        <is>
          <t>ElapsedTime</t>
        </is>
      </c>
      <c r="H33" t="n">
        <v>300</v>
      </c>
      <c r="I33" t="inlineStr">
        <is>
          <t>SummonEnemy</t>
        </is>
      </c>
      <c r="J33" t="inlineStr">
        <is>
          <t>e_jig_00402_jig1_charaget01_Normal_Colorless</t>
        </is>
      </c>
      <c r="L33" t="n">
        <v>3</v>
      </c>
      <c r="M33" t="n">
        <v>200</v>
      </c>
      <c r="N33" t="inlineStr">
        <is>
          <t>None</t>
        </is>
      </c>
      <c r="P33" t="inlineStr">
        <is>
          <t>None</t>
        </is>
      </c>
      <c r="R33" t="inlineStr">
        <is>
          <t>None</t>
        </is>
      </c>
      <c r="T33" t="inlineStr">
        <is>
          <t>None</t>
        </is>
      </c>
      <c r="W33" t="b">
        <v>0</v>
      </c>
      <c r="Y33" t="inlineStr">
        <is>
          <t>Default</t>
        </is>
      </c>
      <c r="Z33" t="inlineStr">
        <is>
          <t>Normal</t>
        </is>
      </c>
      <c r="AA33" t="n">
        <v>1</v>
      </c>
      <c r="AB33" t="n">
        <v>0.5</v>
      </c>
      <c r="AC33" t="n">
        <v>1</v>
      </c>
      <c r="AD33" t="n">
        <v>75</v>
      </c>
      <c r="AE33" t="n">
        <v>0</v>
      </c>
      <c r="AG33" t="inlineStr">
        <is>
          <t>None</t>
        </is>
      </c>
      <c r="AI33" t="n">
        <v>202601010</v>
      </c>
    </row>
    <row r="34">
      <c r="A34" t="inlineStr">
        <is>
          <t>1話</t>
        </is>
      </c>
      <c r="C34" t="inlineStr">
        <is>
          <t>event_jig1_charaget01_00001</t>
        </is>
      </c>
      <c r="E34" t="n">
        <v>2</v>
      </c>
      <c r="G34" t="inlineStr">
        <is>
          <t>FriendUnitDead</t>
        </is>
      </c>
      <c r="H34" t="n">
        <v>1</v>
      </c>
      <c r="I34" t="inlineStr">
        <is>
          <t>SummonEnemy</t>
        </is>
      </c>
      <c r="J34" t="inlineStr">
        <is>
          <t>e_jig_00402_jig1_charaget01_Normal_Colorless</t>
        </is>
      </c>
      <c r="L34" t="n">
        <v>2</v>
      </c>
      <c r="M34" t="n">
        <v>50</v>
      </c>
      <c r="N34" t="inlineStr">
        <is>
          <t>None</t>
        </is>
      </c>
      <c r="P34" t="inlineStr">
        <is>
          <t>None</t>
        </is>
      </c>
      <c r="R34" t="inlineStr">
        <is>
          <t>None</t>
        </is>
      </c>
      <c r="T34" t="inlineStr">
        <is>
          <t>None</t>
        </is>
      </c>
      <c r="W34" t="b">
        <v>0</v>
      </c>
      <c r="Y34" t="inlineStr">
        <is>
          <t>Default</t>
        </is>
      </c>
      <c r="Z34" t="inlineStr">
        <is>
          <t>Normal</t>
        </is>
      </c>
      <c r="AA34" t="n">
        <v>1</v>
      </c>
      <c r="AB34" t="n">
        <v>0.5</v>
      </c>
      <c r="AC34" t="n">
        <v>1</v>
      </c>
      <c r="AD34" t="n">
        <v>75</v>
      </c>
      <c r="AE34" t="n">
        <v>0</v>
      </c>
      <c r="AF34" t="n">
        <v>250</v>
      </c>
      <c r="AG34" t="inlineStr">
        <is>
          <t>None</t>
        </is>
      </c>
      <c r="AI34" t="n">
        <v>202601010</v>
      </c>
    </row>
    <row r="35">
      <c r="A35" t="inlineStr">
        <is>
          <t>1話</t>
        </is>
      </c>
      <c r="C35" t="inlineStr">
        <is>
          <t>event_jig1_charaget01_00001</t>
        </is>
      </c>
      <c r="E35" t="n">
        <v>3</v>
      </c>
      <c r="G35" t="inlineStr">
        <is>
          <t>OutpostHpPercentage</t>
        </is>
      </c>
      <c r="H35" t="n">
        <v>99</v>
      </c>
      <c r="I35" t="inlineStr">
        <is>
          <t>SummonEnemy</t>
        </is>
      </c>
      <c r="J35" t="inlineStr">
        <is>
          <t>e_jig_00402_jig1_charaget01_Normal_Colorless</t>
        </is>
      </c>
      <c r="L35" t="n">
        <v>2</v>
      </c>
      <c r="M35" t="n">
        <v>50</v>
      </c>
      <c r="N35" t="inlineStr">
        <is>
          <t>None</t>
        </is>
      </c>
      <c r="P35" t="inlineStr">
        <is>
          <t>None</t>
        </is>
      </c>
      <c r="R35" t="inlineStr">
        <is>
          <t>None</t>
        </is>
      </c>
      <c r="T35" t="inlineStr">
        <is>
          <t>None</t>
        </is>
      </c>
      <c r="W35" t="b">
        <v>0</v>
      </c>
      <c r="Y35" t="inlineStr">
        <is>
          <t>Default</t>
        </is>
      </c>
      <c r="Z35" t="inlineStr">
        <is>
          <t>Normal</t>
        </is>
      </c>
      <c r="AA35" t="n">
        <v>1</v>
      </c>
      <c r="AB35" t="n">
        <v>0.5</v>
      </c>
      <c r="AC35" t="n">
        <v>1</v>
      </c>
      <c r="AD35" t="n">
        <v>75</v>
      </c>
      <c r="AE35" t="n">
        <v>0</v>
      </c>
      <c r="AG35" t="inlineStr">
        <is>
          <t>None</t>
        </is>
      </c>
      <c r="AI35" t="n">
        <v>202601010</v>
      </c>
    </row>
    <row r="36">
      <c r="A36" t="inlineStr">
        <is>
          <t>1話</t>
        </is>
      </c>
      <c r="C36" t="inlineStr">
        <is>
          <t>event_jig1_charaget01_00001</t>
        </is>
      </c>
      <c r="E36" t="n">
        <v>4</v>
      </c>
      <c r="G36" t="inlineStr">
        <is>
          <t>ElapsedTime</t>
        </is>
      </c>
      <c r="H36" t="n">
        <v>350</v>
      </c>
      <c r="I36" t="inlineStr">
        <is>
          <t>SummonEnemy</t>
        </is>
      </c>
      <c r="J36" t="inlineStr">
        <is>
          <t>e_jig_00401_jig1_charaget01_Normal_Green</t>
        </is>
      </c>
      <c r="L36" t="n">
        <v>2</v>
      </c>
      <c r="M36" t="n">
        <v>50</v>
      </c>
      <c r="N36" t="inlineStr">
        <is>
          <t>None</t>
        </is>
      </c>
      <c r="P36" t="inlineStr">
        <is>
          <t>None</t>
        </is>
      </c>
      <c r="R36" t="inlineStr">
        <is>
          <t>None</t>
        </is>
      </c>
      <c r="T36" t="inlineStr">
        <is>
          <t>None</t>
        </is>
      </c>
      <c r="W36" t="b">
        <v>0</v>
      </c>
      <c r="Y36" t="inlineStr">
        <is>
          <t>Default</t>
        </is>
      </c>
      <c r="Z36" t="inlineStr">
        <is>
          <t>Normal</t>
        </is>
      </c>
      <c r="AA36" t="n">
        <v>6</v>
      </c>
      <c r="AB36" t="n">
        <v>2</v>
      </c>
      <c r="AC36" t="n">
        <v>1</v>
      </c>
      <c r="AD36" t="n">
        <v>100</v>
      </c>
      <c r="AE36" t="n">
        <v>0</v>
      </c>
      <c r="AG36" t="inlineStr">
        <is>
          <t>None</t>
        </is>
      </c>
      <c r="AI36" t="n">
        <v>202601010</v>
      </c>
    </row>
    <row r="37">
      <c r="A37" t="inlineStr">
        <is>
          <t>1話</t>
        </is>
      </c>
      <c r="C37" t="inlineStr">
        <is>
          <t>event_jig1_charaget01_00001</t>
        </is>
      </c>
      <c r="E37" t="n">
        <v>5</v>
      </c>
      <c r="G37" t="inlineStr">
        <is>
          <t>ElapsedTime</t>
        </is>
      </c>
      <c r="H37" t="n">
        <v>99</v>
      </c>
      <c r="I37" t="inlineStr">
        <is>
          <t>SummonEnemy</t>
        </is>
      </c>
      <c r="J37" t="inlineStr">
        <is>
          <t>e_jig_00401_jig1_charaget01_Normal_Green</t>
        </is>
      </c>
      <c r="L37" t="n">
        <v>1</v>
      </c>
      <c r="M37" t="n">
        <v>50</v>
      </c>
      <c r="N37" t="inlineStr">
        <is>
          <t>None</t>
        </is>
      </c>
      <c r="P37" t="inlineStr">
        <is>
          <t>None</t>
        </is>
      </c>
      <c r="R37" t="inlineStr">
        <is>
          <t>None</t>
        </is>
      </c>
      <c r="T37" t="inlineStr">
        <is>
          <t>None</t>
        </is>
      </c>
      <c r="W37" t="b">
        <v>0</v>
      </c>
      <c r="Y37" t="inlineStr">
        <is>
          <t>Default</t>
        </is>
      </c>
      <c r="Z37" t="inlineStr">
        <is>
          <t>Normal</t>
        </is>
      </c>
      <c r="AA37" t="n">
        <v>6</v>
      </c>
      <c r="AB37" t="n">
        <v>2</v>
      </c>
      <c r="AC37" t="n">
        <v>1</v>
      </c>
      <c r="AD37" t="n">
        <v>100</v>
      </c>
      <c r="AE37" t="n">
        <v>0</v>
      </c>
      <c r="AG37" t="inlineStr">
        <is>
          <t>None</t>
        </is>
      </c>
      <c r="AI37" t="n">
        <v>202601010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master名</t>
        </is>
      </c>
      <c r="B1" t="inlineStr">
        <is>
          <t>startRow</t>
        </is>
      </c>
      <c r="C1" t="inlineStr">
        <is>
          <t>startCol</t>
        </is>
      </c>
    </row>
    <row r="2">
      <c r="A2" t="inlineStr">
        <is>
          <t>MstAutoPlayerSequence</t>
        </is>
      </c>
      <c r="B2" t="n">
        <v>3</v>
      </c>
      <c r="C2" t="n">
        <v>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35"/>
  <sheetViews>
    <sheetView workbookViewId="0">
      <selection activeCell="A1" sqref="A1"/>
    </sheetView>
  </sheetViews>
  <sheetFormatPr baseColWidth="8" defaultRowHeight="15"/>
  <sheetData>
    <row r="1">
      <c r="A1" t="inlineStr">
        <is>
          <t>項目名</t>
        </is>
      </c>
      <c r="B1" t="inlineStr">
        <is>
          <t>方向</t>
        </is>
      </c>
      <c r="C1" t="inlineStr">
        <is>
          <t>マスター名</t>
        </is>
      </c>
      <c r="D1" t="inlineStr">
        <is>
          <t>チェック無視</t>
        </is>
      </c>
      <c r="E1" t="inlineStr">
        <is>
          <t>マスター列名</t>
        </is>
      </c>
      <c r="F1" t="inlineStr">
        <is>
          <t>ユニークキー</t>
        </is>
      </c>
      <c r="G1" t="inlineStr">
        <is>
          <t>展開タイプ</t>
        </is>
      </c>
      <c r="H1" t="inlineStr">
        <is>
          <t>空白無視</t>
        </is>
      </c>
    </row>
    <row r="2">
      <c r="B2" t="inlineStr">
        <is>
          <t>▼</t>
        </is>
      </c>
      <c r="C2" t="inlineStr">
        <is>
          <t>MstAutoPlayerSequence</t>
        </is>
      </c>
      <c r="D2" t="b">
        <v>1</v>
      </c>
      <c r="E2" t="inlineStr">
        <is>
          <t>id</t>
        </is>
      </c>
      <c r="F2" t="b">
        <v>1</v>
      </c>
      <c r="G2" t="inlineStr">
        <is>
          <t>通常</t>
        </is>
      </c>
      <c r="H2" t="b">
        <v>1</v>
      </c>
    </row>
    <row r="3">
      <c r="A3" t="inlineStr">
        <is>
          <t>敵ゲートID</t>
        </is>
      </c>
      <c r="B3" t="inlineStr">
        <is>
          <t>▼</t>
        </is>
      </c>
      <c r="C3" t="inlineStr">
        <is>
          <t>MstAutoPlayerSequence</t>
        </is>
      </c>
      <c r="D3" t="b">
        <v>0</v>
      </c>
      <c r="E3" t="inlineStr">
        <is>
          <t>sequence_set_id</t>
        </is>
      </c>
      <c r="G3" t="inlineStr">
        <is>
          <t>下方継承</t>
        </is>
      </c>
      <c r="H3" t="b">
        <v>0</v>
      </c>
    </row>
    <row r="4">
      <c r="A4" t="inlineStr">
        <is>
          <t>sequence_group_id</t>
        </is>
      </c>
      <c r="B4" t="inlineStr">
        <is>
          <t>▼</t>
        </is>
      </c>
      <c r="C4" t="inlineStr">
        <is>
          <t>MstAutoPlayerSequence</t>
        </is>
      </c>
      <c r="D4" t="b">
        <v>0</v>
      </c>
      <c r="E4" t="inlineStr">
        <is>
          <t>sequence_group_id</t>
        </is>
      </c>
      <c r="G4" t="inlineStr">
        <is>
          <t>通常</t>
        </is>
      </c>
      <c r="H4" t="b">
        <v>0</v>
      </c>
    </row>
    <row r="5">
      <c r="A5" t="inlineStr">
        <is>
          <t>sequence_element_id</t>
        </is>
      </c>
      <c r="B5" t="inlineStr">
        <is>
          <t>▼</t>
        </is>
      </c>
      <c r="C5" t="inlineStr">
        <is>
          <t>MstAutoPlayerSequence</t>
        </is>
      </c>
      <c r="D5" t="b">
        <v>0</v>
      </c>
      <c r="E5" t="inlineStr">
        <is>
          <t>sequence_element_id</t>
        </is>
      </c>
      <c r="F5" t="b">
        <v>1</v>
      </c>
      <c r="G5" t="inlineStr">
        <is>
          <t>通常</t>
        </is>
      </c>
      <c r="H5" t="b">
        <v>1</v>
      </c>
    </row>
    <row r="6">
      <c r="A6" t="inlineStr">
        <is>
          <t>priority_sequence_element_id</t>
        </is>
      </c>
      <c r="B6" t="inlineStr">
        <is>
          <t>▼</t>
        </is>
      </c>
      <c r="C6" t="inlineStr">
        <is>
          <t>MstAutoPlayerSequence</t>
        </is>
      </c>
      <c r="D6" t="b">
        <v>0</v>
      </c>
      <c r="E6" t="inlineStr">
        <is>
          <t>priority_sequence_element_id</t>
        </is>
      </c>
      <c r="G6" t="inlineStr">
        <is>
          <t>通常</t>
        </is>
      </c>
      <c r="H6" t="b">
        <v>0</v>
      </c>
    </row>
    <row r="7">
      <c r="A7" t="inlineStr">
        <is>
          <t>condition_type</t>
        </is>
      </c>
      <c r="B7" t="inlineStr">
        <is>
          <t>▼</t>
        </is>
      </c>
      <c r="C7" t="inlineStr">
        <is>
          <t>MstAutoPlayerSequence</t>
        </is>
      </c>
      <c r="D7" t="b">
        <v>0</v>
      </c>
      <c r="E7" t="inlineStr">
        <is>
          <t>condition_type</t>
        </is>
      </c>
      <c r="G7" t="inlineStr">
        <is>
          <t>通常</t>
        </is>
      </c>
      <c r="H7" t="b">
        <v>0</v>
      </c>
    </row>
    <row r="8">
      <c r="A8" t="inlineStr">
        <is>
          <t>condition_value</t>
        </is>
      </c>
      <c r="B8" t="inlineStr">
        <is>
          <t>▼</t>
        </is>
      </c>
      <c r="C8" t="inlineStr">
        <is>
          <t>MstAutoPlayerSequence</t>
        </is>
      </c>
      <c r="D8" t="b">
        <v>0</v>
      </c>
      <c r="E8" t="inlineStr">
        <is>
          <t>condition_value</t>
        </is>
      </c>
      <c r="G8" t="inlineStr">
        <is>
          <t>通常</t>
        </is>
      </c>
      <c r="H8" t="b">
        <v>0</v>
      </c>
    </row>
    <row r="9">
      <c r="A9" t="inlineStr">
        <is>
          <t>action_type</t>
        </is>
      </c>
      <c r="B9" t="inlineStr">
        <is>
          <t>▼</t>
        </is>
      </c>
      <c r="C9" t="inlineStr">
        <is>
          <t>MstAutoPlayerSequence</t>
        </is>
      </c>
      <c r="D9" t="b">
        <v>0</v>
      </c>
      <c r="E9" t="inlineStr">
        <is>
          <t>action_type</t>
        </is>
      </c>
      <c r="G9" t="inlineStr">
        <is>
          <t>通常</t>
        </is>
      </c>
      <c r="H9" t="b">
        <v>0</v>
      </c>
    </row>
    <row r="10">
      <c r="A10" t="inlineStr">
        <is>
          <t>action_value</t>
        </is>
      </c>
      <c r="B10" t="inlineStr">
        <is>
          <t>▼</t>
        </is>
      </c>
      <c r="C10" t="inlineStr">
        <is>
          <t>MstAutoPlayerSequence</t>
        </is>
      </c>
      <c r="D10" t="b">
        <v>0</v>
      </c>
      <c r="E10" t="inlineStr">
        <is>
          <t>action_value</t>
        </is>
      </c>
      <c r="G10" t="inlineStr">
        <is>
          <t>通常</t>
        </is>
      </c>
      <c r="H10" t="b">
        <v>0</v>
      </c>
    </row>
    <row r="11">
      <c r="A11" t="inlineStr">
        <is>
          <t>action_value2</t>
        </is>
      </c>
      <c r="B11" t="inlineStr">
        <is>
          <t>▼</t>
        </is>
      </c>
      <c r="C11" t="inlineStr">
        <is>
          <t>MstAutoPlayerSequence</t>
        </is>
      </c>
      <c r="D11" t="b">
        <v>0</v>
      </c>
      <c r="E11" t="inlineStr">
        <is>
          <t>action_value2</t>
        </is>
      </c>
      <c r="G11" t="inlineStr">
        <is>
          <t>通常</t>
        </is>
      </c>
      <c r="H11" t="b">
        <v>0</v>
      </c>
    </row>
    <row r="12">
      <c r="A12" t="inlineStr">
        <is>
          <t>summon_count</t>
        </is>
      </c>
      <c r="B12" t="inlineStr">
        <is>
          <t>▼</t>
        </is>
      </c>
      <c r="C12" t="inlineStr">
        <is>
          <t>MstAutoPlayerSequence</t>
        </is>
      </c>
      <c r="D12" t="b">
        <v>0</v>
      </c>
      <c r="E12" t="inlineStr">
        <is>
          <t>summon_count</t>
        </is>
      </c>
      <c r="G12" t="inlineStr">
        <is>
          <t>通常</t>
        </is>
      </c>
      <c r="H12" t="b">
        <v>0</v>
      </c>
    </row>
    <row r="13">
      <c r="A13" t="inlineStr">
        <is>
          <t>summon_interval</t>
        </is>
      </c>
      <c r="B13" t="inlineStr">
        <is>
          <t>▼</t>
        </is>
      </c>
      <c r="C13" t="inlineStr">
        <is>
          <t>MstAutoPlayerSequence</t>
        </is>
      </c>
      <c r="D13" t="b">
        <v>0</v>
      </c>
      <c r="E13" t="inlineStr">
        <is>
          <t>summon_interval</t>
        </is>
      </c>
      <c r="G13" t="inlineStr">
        <is>
          <t>通常</t>
        </is>
      </c>
      <c r="H13" t="b">
        <v>0</v>
      </c>
    </row>
    <row r="14">
      <c r="A14" t="inlineStr">
        <is>
          <t>summon_animation_type</t>
        </is>
      </c>
      <c r="B14" t="inlineStr">
        <is>
          <t>▼</t>
        </is>
      </c>
      <c r="C14" t="inlineStr">
        <is>
          <t>MstAutoPlayerSequence</t>
        </is>
      </c>
      <c r="D14" t="b">
        <v>0</v>
      </c>
      <c r="E14" t="inlineStr">
        <is>
          <t>summon_animation_type</t>
        </is>
      </c>
      <c r="G14" t="inlineStr">
        <is>
          <t>通常</t>
        </is>
      </c>
      <c r="H14" t="b">
        <v>0</v>
      </c>
    </row>
    <row r="15">
      <c r="A15" t="inlineStr">
        <is>
          <t>summon_position</t>
        </is>
      </c>
      <c r="B15" t="inlineStr">
        <is>
          <t>▼</t>
        </is>
      </c>
      <c r="C15" t="inlineStr">
        <is>
          <t>MstAutoPlayerSequence</t>
        </is>
      </c>
      <c r="D15" t="b">
        <v>0</v>
      </c>
      <c r="E15" t="inlineStr">
        <is>
          <t>summon_position</t>
        </is>
      </c>
      <c r="G15" t="inlineStr">
        <is>
          <t>通常</t>
        </is>
      </c>
      <c r="H15" t="b">
        <v>0</v>
      </c>
    </row>
    <row r="16">
      <c r="A16" t="inlineStr">
        <is>
          <t>move_start_condition_type</t>
        </is>
      </c>
      <c r="B16" t="inlineStr">
        <is>
          <t>▼</t>
        </is>
      </c>
      <c r="C16" t="inlineStr">
        <is>
          <t>MstAutoPlayerSequence</t>
        </is>
      </c>
      <c r="D16" t="b">
        <v>0</v>
      </c>
      <c r="E16" t="inlineStr">
        <is>
          <t>move_start_condition_type</t>
        </is>
      </c>
      <c r="G16" t="inlineStr">
        <is>
          <t>通常</t>
        </is>
      </c>
      <c r="H16" t="b">
        <v>0</v>
      </c>
    </row>
    <row r="17">
      <c r="A17" t="inlineStr">
        <is>
          <t>move_start_condition_value</t>
        </is>
      </c>
      <c r="B17" t="inlineStr">
        <is>
          <t>▼</t>
        </is>
      </c>
      <c r="C17" t="inlineStr">
        <is>
          <t>MstAutoPlayerSequence</t>
        </is>
      </c>
      <c r="D17" t="b">
        <v>0</v>
      </c>
      <c r="E17" t="inlineStr">
        <is>
          <t>move_start_condition_value</t>
        </is>
      </c>
      <c r="G17" t="inlineStr">
        <is>
          <t>通常</t>
        </is>
      </c>
      <c r="H17" t="b">
        <v>0</v>
      </c>
    </row>
    <row r="18">
      <c r="A18" t="inlineStr">
        <is>
          <t>move_stop_condition_type</t>
        </is>
      </c>
      <c r="B18" t="inlineStr">
        <is>
          <t>▼</t>
        </is>
      </c>
      <c r="C18" t="inlineStr">
        <is>
          <t>MstAutoPlayerSequence</t>
        </is>
      </c>
      <c r="D18" t="b">
        <v>0</v>
      </c>
      <c r="E18" t="inlineStr">
        <is>
          <t>move_stop_condition_type</t>
        </is>
      </c>
      <c r="G18" t="inlineStr">
        <is>
          <t>通常</t>
        </is>
      </c>
      <c r="H18" t="b">
        <v>0</v>
      </c>
    </row>
    <row r="19">
      <c r="A19" t="inlineStr">
        <is>
          <t>move_stop_condition_value</t>
        </is>
      </c>
      <c r="B19" t="inlineStr">
        <is>
          <t>▼</t>
        </is>
      </c>
      <c r="C19" t="inlineStr">
        <is>
          <t>MstAutoPlayerSequence</t>
        </is>
      </c>
      <c r="D19" t="b">
        <v>0</v>
      </c>
      <c r="E19" t="inlineStr">
        <is>
          <t>move_stop_condition_value</t>
        </is>
      </c>
      <c r="G19" t="inlineStr">
        <is>
          <t>通常</t>
        </is>
      </c>
      <c r="H19" t="b">
        <v>0</v>
      </c>
    </row>
    <row r="20">
      <c r="A20" t="inlineStr">
        <is>
          <t>move_restart_condition_type</t>
        </is>
      </c>
      <c r="B20" t="inlineStr">
        <is>
          <t>▼</t>
        </is>
      </c>
      <c r="C20" t="inlineStr">
        <is>
          <t>MstAutoPlayerSequence</t>
        </is>
      </c>
      <c r="D20" t="b">
        <v>0</v>
      </c>
      <c r="E20" t="inlineStr">
        <is>
          <t>move_restart_condition_type</t>
        </is>
      </c>
      <c r="G20" t="inlineStr">
        <is>
          <t>通常</t>
        </is>
      </c>
      <c r="H20" t="b">
        <v>0</v>
      </c>
    </row>
    <row r="21">
      <c r="A21" t="inlineStr">
        <is>
          <t>move_restart_condition_value</t>
        </is>
      </c>
      <c r="B21" t="inlineStr">
        <is>
          <t>▼</t>
        </is>
      </c>
      <c r="C21" t="inlineStr">
        <is>
          <t>MstAutoPlayerSequence</t>
        </is>
      </c>
      <c r="D21" t="b">
        <v>0</v>
      </c>
      <c r="E21" t="inlineStr">
        <is>
          <t>move_restart_condition_value</t>
        </is>
      </c>
      <c r="G21" t="inlineStr">
        <is>
          <t>通常</t>
        </is>
      </c>
      <c r="H21" t="b">
        <v>0</v>
      </c>
    </row>
    <row r="22">
      <c r="A22" t="inlineStr">
        <is>
          <t>move_loop_count</t>
        </is>
      </c>
      <c r="B22" t="inlineStr">
        <is>
          <t>▼</t>
        </is>
      </c>
      <c r="C22" t="inlineStr">
        <is>
          <t>MstAutoPlayerSequence</t>
        </is>
      </c>
      <c r="D22" t="b">
        <v>0</v>
      </c>
      <c r="E22" t="inlineStr">
        <is>
          <t>move_loop_count</t>
        </is>
      </c>
      <c r="G22" t="inlineStr">
        <is>
          <t>通常</t>
        </is>
      </c>
      <c r="H22" t="b">
        <v>0</v>
      </c>
    </row>
    <row r="23">
      <c r="A23" t="inlineStr">
        <is>
          <t>is_summon_unit_outpost_damage_invalidation</t>
        </is>
      </c>
      <c r="B23" t="inlineStr">
        <is>
          <t>▼</t>
        </is>
      </c>
      <c r="C23" t="inlineStr">
        <is>
          <t>MstAutoPlayerSequence</t>
        </is>
      </c>
      <c r="D23" t="b">
        <v>0</v>
      </c>
      <c r="E23" t="inlineStr">
        <is>
          <t>is_summon_unit_outpost_damage_invalidation</t>
        </is>
      </c>
      <c r="G23" t="inlineStr">
        <is>
          <t>通常</t>
        </is>
      </c>
      <c r="H23" t="b">
        <v>0</v>
      </c>
    </row>
    <row r="24">
      <c r="A24" t="inlineStr">
        <is>
          <t>last_boss_trigger</t>
        </is>
      </c>
      <c r="B24" t="inlineStr">
        <is>
          <t>▼</t>
        </is>
      </c>
      <c r="C24" t="inlineStr">
        <is>
          <t>MstAutoPlayerSequence</t>
        </is>
      </c>
      <c r="D24" t="b">
        <v>1</v>
      </c>
      <c r="E24" t="inlineStr">
        <is>
          <t>last_boss_trigger</t>
        </is>
      </c>
      <c r="G24" t="inlineStr">
        <is>
          <t>通常</t>
        </is>
      </c>
      <c r="H24" t="b">
        <v>0</v>
      </c>
    </row>
    <row r="25">
      <c r="A25" t="inlineStr">
        <is>
          <t>aura_type</t>
        </is>
      </c>
      <c r="B25" t="inlineStr">
        <is>
          <t>▼</t>
        </is>
      </c>
      <c r="C25" t="inlineStr">
        <is>
          <t>MstAutoPlayerSequence</t>
        </is>
      </c>
      <c r="D25" t="b">
        <v>0</v>
      </c>
      <c r="E25" t="inlineStr">
        <is>
          <t>aura_type</t>
        </is>
      </c>
      <c r="G25" t="inlineStr">
        <is>
          <t>通常</t>
        </is>
      </c>
      <c r="H25" t="b">
        <v>0</v>
      </c>
    </row>
    <row r="26">
      <c r="A26" t="inlineStr">
        <is>
          <t>death_type</t>
        </is>
      </c>
      <c r="B26" t="inlineStr">
        <is>
          <t>▼</t>
        </is>
      </c>
      <c r="C26" t="inlineStr">
        <is>
          <t>MstAutoPlayerSequence</t>
        </is>
      </c>
      <c r="D26" t="b">
        <v>0</v>
      </c>
      <c r="E26" t="inlineStr">
        <is>
          <t>death_type</t>
        </is>
      </c>
      <c r="G26" t="inlineStr">
        <is>
          <t>通常</t>
        </is>
      </c>
      <c r="H26" t="b">
        <v>0</v>
      </c>
    </row>
    <row r="27">
      <c r="A27" t="inlineStr">
        <is>
          <t>enemy_hp_coef</t>
        </is>
      </c>
      <c r="B27" t="inlineStr">
        <is>
          <t>▼</t>
        </is>
      </c>
      <c r="C27" t="inlineStr">
        <is>
          <t>MstAutoPlayerSequence</t>
        </is>
      </c>
      <c r="D27" t="b">
        <v>0</v>
      </c>
      <c r="E27" t="inlineStr">
        <is>
          <t>enemy_hp_coef</t>
        </is>
      </c>
      <c r="G27" t="inlineStr">
        <is>
          <t>通常</t>
        </is>
      </c>
      <c r="H27" t="b">
        <v>0</v>
      </c>
    </row>
    <row r="28">
      <c r="A28" t="inlineStr">
        <is>
          <t>enemy_attack_coef</t>
        </is>
      </c>
      <c r="B28" t="inlineStr">
        <is>
          <t>▼</t>
        </is>
      </c>
      <c r="C28" t="inlineStr">
        <is>
          <t>MstAutoPlayerSequence</t>
        </is>
      </c>
      <c r="D28" t="b">
        <v>0</v>
      </c>
      <c r="E28" t="inlineStr">
        <is>
          <t>enemy_attack_coef</t>
        </is>
      </c>
      <c r="G28" t="inlineStr">
        <is>
          <t>通常</t>
        </is>
      </c>
      <c r="H28" t="b">
        <v>0</v>
      </c>
    </row>
    <row r="29">
      <c r="A29" t="inlineStr">
        <is>
          <t>enemy_speed_coef</t>
        </is>
      </c>
      <c r="B29" t="inlineStr">
        <is>
          <t>▼</t>
        </is>
      </c>
      <c r="C29" t="inlineStr">
        <is>
          <t>MstAutoPlayerSequence</t>
        </is>
      </c>
      <c r="D29" t="b">
        <v>0</v>
      </c>
      <c r="E29" t="inlineStr">
        <is>
          <t>enemy_speed_coef</t>
        </is>
      </c>
      <c r="G29" t="inlineStr">
        <is>
          <t>通常</t>
        </is>
      </c>
      <c r="H29" t="b">
        <v>0</v>
      </c>
    </row>
    <row r="30">
      <c r="A30" t="inlineStr">
        <is>
          <t>override_drop_battle_point</t>
        </is>
      </c>
      <c r="B30" t="inlineStr">
        <is>
          <t>▼</t>
        </is>
      </c>
      <c r="C30" t="inlineStr">
        <is>
          <t>MstAutoPlayerSequence</t>
        </is>
      </c>
      <c r="D30" t="b">
        <v>0</v>
      </c>
      <c r="E30" t="inlineStr">
        <is>
          <t>override_drop_battle_point</t>
        </is>
      </c>
      <c r="G30" t="inlineStr">
        <is>
          <t>通常</t>
        </is>
      </c>
      <c r="H30" t="b">
        <v>0</v>
      </c>
    </row>
    <row r="31">
      <c r="A31" t="inlineStr">
        <is>
          <t>defeated_score</t>
        </is>
      </c>
      <c r="B31" t="inlineStr">
        <is>
          <t>▼</t>
        </is>
      </c>
      <c r="C31" t="inlineStr">
        <is>
          <t>MstAutoPlayerSequence</t>
        </is>
      </c>
      <c r="D31" t="b">
        <v>0</v>
      </c>
      <c r="E31" t="inlineStr">
        <is>
          <t>defeated_score</t>
        </is>
      </c>
      <c r="G31" t="inlineStr">
        <is>
          <t>通常</t>
        </is>
      </c>
      <c r="H31" t="b">
        <v>0</v>
      </c>
    </row>
    <row r="32">
      <c r="A32" t="inlineStr">
        <is>
          <t>action_delay</t>
        </is>
      </c>
      <c r="B32" t="inlineStr">
        <is>
          <t>▼</t>
        </is>
      </c>
      <c r="C32" t="inlineStr">
        <is>
          <t>MstAutoPlayerSequence</t>
        </is>
      </c>
      <c r="D32" t="b">
        <v>0</v>
      </c>
      <c r="E32" t="inlineStr">
        <is>
          <t>action_delay</t>
        </is>
      </c>
      <c r="G32" t="inlineStr">
        <is>
          <t>通常</t>
        </is>
      </c>
      <c r="H32" t="b">
        <v>0</v>
      </c>
    </row>
    <row r="33">
      <c r="A33" t="inlineStr">
        <is>
          <t>deactivation_condition_type</t>
        </is>
      </c>
      <c r="B33" t="inlineStr">
        <is>
          <t>▼</t>
        </is>
      </c>
      <c r="C33" t="inlineStr">
        <is>
          <t>MstAutoPlayerSequence</t>
        </is>
      </c>
      <c r="D33" t="b">
        <v>0</v>
      </c>
      <c r="E33" t="inlineStr">
        <is>
          <t>deactivation_condition_type</t>
        </is>
      </c>
      <c r="G33" t="inlineStr">
        <is>
          <t>通常</t>
        </is>
      </c>
      <c r="H33" t="b">
        <v>0</v>
      </c>
    </row>
    <row r="34">
      <c r="A34" t="inlineStr">
        <is>
          <t>deactivation_condition_value</t>
        </is>
      </c>
      <c r="B34" t="inlineStr">
        <is>
          <t>▼</t>
        </is>
      </c>
      <c r="C34" t="inlineStr">
        <is>
          <t>MstAutoPlayerSequence</t>
        </is>
      </c>
      <c r="D34" t="b">
        <v>0</v>
      </c>
      <c r="E34" t="inlineStr">
        <is>
          <t>deactivation_condition_value</t>
        </is>
      </c>
      <c r="G34" t="inlineStr">
        <is>
          <t>通常</t>
        </is>
      </c>
      <c r="H34" t="b">
        <v>0</v>
      </c>
    </row>
    <row r="35">
      <c r="A35" t="inlineStr">
        <is>
          <t>リリースキー</t>
        </is>
      </c>
      <c r="B35" t="inlineStr">
        <is>
          <t>▼</t>
        </is>
      </c>
      <c r="C35" t="inlineStr">
        <is>
          <t>MstAutoPlayerSequence</t>
        </is>
      </c>
      <c r="D35" t="b">
        <v>0</v>
      </c>
      <c r="E35" t="inlineStr">
        <is>
          <t>release_key</t>
        </is>
      </c>
      <c r="G35" t="inlineStr">
        <is>
          <t>下方継承</t>
        </is>
      </c>
      <c r="H35" t="b">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2:AA19"/>
  <sheetViews>
    <sheetView workbookViewId="0">
      <selection activeCell="A1" sqref="A1"/>
    </sheetView>
  </sheetViews>
  <sheetFormatPr baseColWidth="8" defaultRowHeight="15"/>
  <sheetData>
    <row r="2">
      <c r="B2" t="inlineStr">
        <is>
          <t>作成開始日</t>
        </is>
      </c>
      <c r="E2" t="inlineStr">
        <is>
          <t>担当者</t>
        </is>
      </c>
      <c r="P2" t="inlineStr">
        <is>
          <t>クエストフレーバーテキスト（最大18文字×8行）</t>
        </is>
      </c>
      <c r="AA2" t="inlineStr">
        <is>
          <t>文字数</t>
        </is>
      </c>
    </row>
    <row r="3">
      <c r="B3" s="1" t="n">
        <v>46000</v>
      </c>
      <c r="E3" t="inlineStr">
        <is>
          <t>前田</t>
        </is>
      </c>
      <c r="AA3">
        <f>len(P3)</f>
        <v/>
      </c>
    </row>
    <row r="4">
      <c r="AA4">
        <f>len(P4)</f>
        <v/>
      </c>
    </row>
    <row r="5">
      <c r="AA5">
        <f>len(P5)</f>
        <v/>
      </c>
    </row>
    <row r="6">
      <c r="B6" t="inlineStr">
        <is>
          <t>クエスト名</t>
        </is>
      </c>
      <c r="E6">
        <f>iferror(VLOOKUP(E7,'クエストID_管理'!F:G,2,false),"クエストIDを入力してください,又はクエストID_管理シートの関数を有効化してください")</f>
        <v/>
      </c>
      <c r="AA6">
        <f>len(P6)</f>
        <v/>
      </c>
    </row>
    <row r="7">
      <c r="B7" t="inlineStr">
        <is>
          <t>クエストID</t>
        </is>
      </c>
      <c r="E7" t="inlineStr">
        <is>
          <t>quest_event_jig1_charaget01</t>
        </is>
      </c>
      <c r="AA7">
        <f>len(P7)</f>
        <v/>
      </c>
    </row>
    <row r="8">
      <c r="B8" t="inlineStr">
        <is>
          <t>クエスト種類</t>
        </is>
      </c>
      <c r="E8" t="inlineStr">
        <is>
          <t>イベントクエスト</t>
        </is>
      </c>
      <c r="AA8">
        <f>len(P8)</f>
        <v/>
      </c>
    </row>
    <row r="9">
      <c r="B9" t="inlineStr">
        <is>
          <t>リリースキー</t>
        </is>
      </c>
      <c r="E9" t="n">
        <v>202601010</v>
      </c>
      <c r="AA9">
        <f>len(P9)</f>
        <v/>
      </c>
    </row>
    <row r="10">
      <c r="AA10">
        <f>len(P10)</f>
        <v/>
      </c>
    </row>
    <row r="11">
      <c r="P11" t="inlineStr">
        <is>
          <t>※!（エクスクラメーションマーク）は半角で</t>
        </is>
      </c>
    </row>
    <row r="12">
      <c r="B12" t="inlineStr">
        <is>
          <t>開催期間</t>
        </is>
      </c>
    </row>
    <row r="13">
      <c r="B13" t="inlineStr">
        <is>
          <t>開始日時</t>
        </is>
      </c>
      <c r="D13" s="1" t="n">
        <v>46038</v>
      </c>
      <c r="G13" t="inlineStr">
        <is>
          <t>15:00:00</t>
        </is>
      </c>
      <c r="J13" t="inlineStr">
        <is>
          <t>から</t>
        </is>
      </c>
    </row>
    <row r="14">
      <c r="B14" t="inlineStr">
        <is>
          <t>終了日時</t>
        </is>
      </c>
      <c r="D14" s="1" t="n">
        <v>46069</v>
      </c>
      <c r="G14" t="inlineStr">
        <is>
          <t>10:59:59</t>
        </is>
      </c>
      <c r="J14" t="inlineStr">
        <is>
          <t>終了</t>
        </is>
      </c>
    </row>
    <row r="16">
      <c r="B16" t="inlineStr">
        <is>
          <t>クエストトップ表示キャラID</t>
        </is>
      </c>
      <c r="E16" t="inlineStr">
        <is>
          <t>キャラ名</t>
        </is>
      </c>
      <c r="H16" t="inlineStr">
        <is>
          <t>セリフ1</t>
        </is>
      </c>
      <c r="K16" t="inlineStr">
        <is>
          <t>セリフ2</t>
        </is>
      </c>
      <c r="N16" t="inlineStr">
        <is>
          <t>セリフ3</t>
        </is>
      </c>
    </row>
    <row r="17">
      <c r="B17" t="inlineStr">
        <is>
          <t>chara_jig_00701</t>
        </is>
      </c>
      <c r="E17" t="inlineStr">
        <is>
          <t>メイ</t>
        </is>
      </c>
      <c r="H17" t="inlineStr">
        <is>
          <t>モウ一度ダケ… 会イタイ</t>
        </is>
      </c>
      <c r="K17" t="inlineStr">
        <is>
          <t>手打ち</t>
        </is>
      </c>
      <c r="N17" t="inlineStr">
        <is>
          <t>手打ち</t>
        </is>
      </c>
    </row>
    <row r="18">
      <c r="E18" t="inlineStr">
        <is>
          <t>error</t>
        </is>
      </c>
      <c r="H18" t="inlineStr">
        <is>
          <t>手打ち</t>
        </is>
      </c>
      <c r="K18" t="inlineStr">
        <is>
          <t>手打ち</t>
        </is>
      </c>
      <c r="N18" t="inlineStr">
        <is>
          <t>手打ち</t>
        </is>
      </c>
    </row>
    <row r="19">
      <c r="E19" t="inlineStr">
        <is>
          <t>error</t>
        </is>
      </c>
      <c r="H19" t="inlineStr">
        <is>
          <t>手打ち</t>
        </is>
      </c>
      <c r="K19" t="inlineStr">
        <is>
          <t>手打ち</t>
        </is>
      </c>
      <c r="N19" t="inlineStr">
        <is>
          <t>手打ち</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Q51"/>
  <sheetViews>
    <sheetView workbookViewId="0">
      <selection activeCell="A1" sqref="A1"/>
    </sheetView>
  </sheetViews>
  <sheetFormatPr baseColWidth="8" defaultRowHeight="15"/>
  <sheetData>
    <row r="1">
      <c r="B1" t="inlineStr">
        <is>
          <t>元シート</t>
        </is>
      </c>
      <c r="C1" t="inlineStr">
        <is>
          <t>GLOW_クエストレギュレーション</t>
        </is>
      </c>
    </row>
    <row r="2">
      <c r="B2" t="inlineStr">
        <is>
          <t>推奨PTLv</t>
        </is>
      </c>
      <c r="C2" t="inlineStr">
        <is>
          <t>難易度</t>
        </is>
      </c>
      <c r="D2" t="inlineStr">
        <is>
          <t>雑魚HP RPG系</t>
        </is>
      </c>
      <c r="G2" t="inlineStr">
        <is>
          <t>雑魚ATK※バフ考慮外</t>
        </is>
      </c>
      <c r="J2" t="inlineStr">
        <is>
          <t>ボスHP</t>
        </is>
      </c>
      <c r="M2" t="inlineStr">
        <is>
          <t>ボスATK※バフ考慮外</t>
        </is>
      </c>
      <c r="P2" t="inlineStr">
        <is>
          <t>ゲートHP</t>
        </is>
      </c>
      <c r="Q2" t="inlineStr">
        <is>
          <t>備考</t>
        </is>
      </c>
    </row>
    <row r="3">
      <c r="D3" t="inlineStr">
        <is>
          <t>ディフェンス</t>
        </is>
      </c>
      <c r="E3" t="inlineStr">
        <is>
          <t>アタック / テクニカル</t>
        </is>
      </c>
      <c r="F3" t="inlineStr">
        <is>
          <t>サポート</t>
        </is>
      </c>
      <c r="G3" t="inlineStr">
        <is>
          <t>ディフェンス</t>
        </is>
      </c>
      <c r="H3" t="inlineStr">
        <is>
          <t>アタック / テクニカル</t>
        </is>
      </c>
      <c r="I3" t="inlineStr">
        <is>
          <t>サポート</t>
        </is>
      </c>
      <c r="J3" t="inlineStr">
        <is>
          <t>ディフェンス</t>
        </is>
      </c>
      <c r="K3" t="inlineStr">
        <is>
          <t>アタック / テクニカル</t>
        </is>
      </c>
      <c r="L3" t="inlineStr">
        <is>
          <t>サポート</t>
        </is>
      </c>
      <c r="M3" t="inlineStr">
        <is>
          <t>ディフェンス</t>
        </is>
      </c>
      <c r="N3" t="inlineStr">
        <is>
          <t>アタック / テクニカル</t>
        </is>
      </c>
      <c r="O3" t="inlineStr">
        <is>
          <t>サポート</t>
        </is>
      </c>
      <c r="P3" t="inlineStr">
        <is>
          <t>各ステージ毎に調整</t>
        </is>
      </c>
    </row>
    <row r="4">
      <c r="B4" t="inlineStr">
        <is>
          <t>Lv1~/星1</t>
        </is>
      </c>
      <c r="C4" t="inlineStr">
        <is>
          <t>Normal 1</t>
        </is>
      </c>
      <c r="D4" t="n">
        <v>5600</v>
      </c>
      <c r="E4" t="n">
        <v>1050</v>
      </c>
      <c r="F4" t="n">
        <v>2450</v>
      </c>
      <c r="G4" t="n">
        <v>21</v>
      </c>
      <c r="H4" t="n">
        <v>70</v>
      </c>
      <c r="I4" t="n">
        <v>35</v>
      </c>
      <c r="J4" t="n">
        <v>56000</v>
      </c>
      <c r="K4" t="n">
        <v>10500</v>
      </c>
      <c r="L4" t="n">
        <v>24500</v>
      </c>
      <c r="M4" t="n">
        <v>56</v>
      </c>
      <c r="N4" t="n">
        <v>140</v>
      </c>
      <c r="O4" t="n">
        <v>84</v>
      </c>
      <c r="P4" t="n">
        <v>5000</v>
      </c>
    </row>
    <row r="5">
      <c r="B5" t="inlineStr">
        <is>
          <t>Lv2~/星1</t>
        </is>
      </c>
      <c r="C5" t="inlineStr">
        <is>
          <t>Normal 2</t>
        </is>
      </c>
      <c r="D5" t="n">
        <v>6300</v>
      </c>
      <c r="E5" t="n">
        <v>1400</v>
      </c>
      <c r="F5" t="n">
        <v>2800</v>
      </c>
      <c r="G5" t="n">
        <v>28</v>
      </c>
      <c r="H5" t="n">
        <v>84</v>
      </c>
      <c r="I5" t="n">
        <v>49</v>
      </c>
      <c r="J5" t="n">
        <v>62999.99999999999</v>
      </c>
      <c r="K5" t="n">
        <v>14000</v>
      </c>
      <c r="L5" t="n">
        <v>28000</v>
      </c>
      <c r="M5" t="n">
        <v>56</v>
      </c>
      <c r="N5" t="n">
        <v>140</v>
      </c>
      <c r="O5" t="n">
        <v>84</v>
      </c>
      <c r="P5" t="n">
        <v>5000</v>
      </c>
    </row>
    <row r="6">
      <c r="B6" t="inlineStr">
        <is>
          <t>Lv3~/星1</t>
        </is>
      </c>
      <c r="C6" t="inlineStr">
        <is>
          <t>Normal 3</t>
        </is>
      </c>
      <c r="D6" t="n">
        <v>7000</v>
      </c>
      <c r="E6" t="n">
        <v>2450</v>
      </c>
      <c r="F6" t="n">
        <v>3150</v>
      </c>
      <c r="G6" t="n">
        <v>49</v>
      </c>
      <c r="H6" t="n">
        <v>119</v>
      </c>
      <c r="I6" t="n">
        <v>70</v>
      </c>
      <c r="J6" t="n">
        <v>70000</v>
      </c>
      <c r="K6" t="n">
        <v>24500</v>
      </c>
      <c r="L6" t="n">
        <v>31500</v>
      </c>
      <c r="M6" t="n">
        <v>84</v>
      </c>
      <c r="N6" t="n">
        <v>175</v>
      </c>
      <c r="O6" t="n">
        <v>105</v>
      </c>
      <c r="P6" t="n">
        <v>5000</v>
      </c>
    </row>
    <row r="7">
      <c r="B7" t="inlineStr">
        <is>
          <t>Lv5~/星1</t>
        </is>
      </c>
      <c r="C7" t="inlineStr">
        <is>
          <t>Normal 4</t>
        </is>
      </c>
      <c r="D7" t="n">
        <v>8400</v>
      </c>
      <c r="E7" t="n">
        <v>3150</v>
      </c>
      <c r="F7" t="n">
        <v>3500</v>
      </c>
      <c r="G7" t="n">
        <v>70</v>
      </c>
      <c r="H7" t="n">
        <v>140</v>
      </c>
      <c r="I7" t="n">
        <v>91</v>
      </c>
      <c r="J7" t="n">
        <v>84000</v>
      </c>
      <c r="K7" t="n">
        <v>31500</v>
      </c>
      <c r="L7" t="n">
        <v>35000</v>
      </c>
      <c r="M7" t="n">
        <v>84</v>
      </c>
      <c r="N7" t="n">
        <v>175</v>
      </c>
      <c r="O7" t="n">
        <v>105</v>
      </c>
      <c r="P7" t="n">
        <v>15000</v>
      </c>
    </row>
    <row r="8">
      <c r="B8" t="inlineStr">
        <is>
          <t>Lv7~/星1</t>
        </is>
      </c>
      <c r="C8" t="inlineStr">
        <is>
          <t>Normal 5</t>
        </is>
      </c>
      <c r="D8" t="n">
        <v>9800</v>
      </c>
      <c r="E8" t="n">
        <v>3850</v>
      </c>
      <c r="F8" t="n">
        <v>3850</v>
      </c>
      <c r="G8" t="n">
        <v>84</v>
      </c>
      <c r="H8" t="n">
        <v>175</v>
      </c>
      <c r="I8" t="n">
        <v>105</v>
      </c>
      <c r="J8" t="n">
        <v>98000</v>
      </c>
      <c r="K8" t="n">
        <v>38500</v>
      </c>
      <c r="L8" t="n">
        <v>38500</v>
      </c>
      <c r="M8" t="n">
        <v>98</v>
      </c>
      <c r="N8" t="n">
        <v>210</v>
      </c>
      <c r="O8" t="n">
        <v>126</v>
      </c>
      <c r="P8" t="n">
        <v>15000</v>
      </c>
    </row>
    <row r="9">
      <c r="B9" t="inlineStr">
        <is>
          <t>Lv10~/星1</t>
        </is>
      </c>
      <c r="C9" t="inlineStr">
        <is>
          <t>Normal 6</t>
        </is>
      </c>
      <c r="D9" t="n">
        <v>11900</v>
      </c>
      <c r="E9" t="n">
        <v>4900</v>
      </c>
      <c r="F9" t="n">
        <v>5600</v>
      </c>
      <c r="G9" t="n">
        <v>105</v>
      </c>
      <c r="H9" t="n">
        <v>210</v>
      </c>
      <c r="I9" t="n">
        <v>140</v>
      </c>
      <c r="J9" t="n">
        <v>119000</v>
      </c>
      <c r="K9" t="n">
        <v>49000</v>
      </c>
      <c r="L9" t="n">
        <v>56000</v>
      </c>
      <c r="M9" t="n">
        <v>119</v>
      </c>
      <c r="N9" t="n">
        <v>350</v>
      </c>
      <c r="O9" t="n">
        <v>210</v>
      </c>
      <c r="P9" t="n">
        <v>25000</v>
      </c>
    </row>
    <row r="10">
      <c r="B10" t="inlineStr">
        <is>
          <t>Lv15~/星1</t>
        </is>
      </c>
      <c r="C10" t="inlineStr">
        <is>
          <t>Normal 7</t>
        </is>
      </c>
      <c r="D10" t="n">
        <v>15400</v>
      </c>
      <c r="E10" t="n">
        <v>6650</v>
      </c>
      <c r="F10" t="n">
        <v>7000</v>
      </c>
      <c r="G10" t="n">
        <v>140</v>
      </c>
      <c r="H10" t="n">
        <v>280</v>
      </c>
      <c r="I10" t="n">
        <v>210</v>
      </c>
      <c r="J10" t="n">
        <v>154000</v>
      </c>
      <c r="K10" t="n">
        <v>66500</v>
      </c>
      <c r="L10" t="n">
        <v>70000</v>
      </c>
      <c r="M10" t="n">
        <v>140</v>
      </c>
      <c r="N10" t="n">
        <v>420</v>
      </c>
      <c r="O10" t="n">
        <v>280</v>
      </c>
      <c r="P10" t="n">
        <v>25000</v>
      </c>
    </row>
    <row r="11">
      <c r="B11" t="inlineStr">
        <is>
          <t>Lv20~/星1</t>
        </is>
      </c>
      <c r="C11" t="inlineStr">
        <is>
          <t>Normal 8</t>
        </is>
      </c>
      <c r="D11" t="n">
        <v>18900</v>
      </c>
      <c r="E11" t="n">
        <v>8400</v>
      </c>
      <c r="F11" t="n">
        <v>9100</v>
      </c>
      <c r="G11" t="n">
        <v>210</v>
      </c>
      <c r="H11" t="n">
        <v>350</v>
      </c>
      <c r="I11" t="n">
        <v>245</v>
      </c>
      <c r="J11" t="n">
        <v>189000</v>
      </c>
      <c r="K11" t="n">
        <v>84000</v>
      </c>
      <c r="L11" t="n">
        <v>91000</v>
      </c>
      <c r="M11" t="n">
        <v>210</v>
      </c>
      <c r="N11" t="n">
        <v>489.9999999999999</v>
      </c>
      <c r="O11" t="n">
        <v>350</v>
      </c>
      <c r="P11" t="n">
        <v>25000</v>
      </c>
    </row>
    <row r="12">
      <c r="B12" t="inlineStr">
        <is>
          <t>Lv25~/星1</t>
        </is>
      </c>
      <c r="C12" t="inlineStr">
        <is>
          <t>Normal 9</t>
        </is>
      </c>
      <c r="D12" t="n">
        <v>22400</v>
      </c>
      <c r="E12" t="n">
        <v>10150</v>
      </c>
      <c r="F12" t="n">
        <v>11900</v>
      </c>
      <c r="G12" t="n">
        <v>280</v>
      </c>
      <c r="H12" t="n">
        <v>420</v>
      </c>
      <c r="I12" t="n">
        <v>245</v>
      </c>
      <c r="J12" t="n">
        <v>224000</v>
      </c>
      <c r="K12" t="n">
        <v>101500</v>
      </c>
      <c r="L12" t="n">
        <v>119000</v>
      </c>
      <c r="M12" t="n">
        <v>280</v>
      </c>
      <c r="N12" t="n">
        <v>560</v>
      </c>
      <c r="O12" t="n">
        <v>420</v>
      </c>
      <c r="P12" t="n">
        <v>30000</v>
      </c>
    </row>
    <row r="13">
      <c r="B13" t="inlineStr">
        <is>
          <t>Lv30~/星1</t>
        </is>
      </c>
      <c r="C13" t="inlineStr">
        <is>
          <t>Normal 10</t>
        </is>
      </c>
      <c r="D13" t="n">
        <v>26600</v>
      </c>
      <c r="E13" t="n">
        <v>11900</v>
      </c>
      <c r="F13" t="n">
        <v>14700</v>
      </c>
      <c r="G13" t="n">
        <v>350</v>
      </c>
      <c r="H13" t="n">
        <v>560</v>
      </c>
      <c r="I13" t="n">
        <v>350</v>
      </c>
      <c r="J13" t="n">
        <v>266000</v>
      </c>
      <c r="K13" t="n">
        <v>119000</v>
      </c>
      <c r="L13" t="n">
        <v>147000</v>
      </c>
      <c r="M13" t="n">
        <v>350</v>
      </c>
      <c r="N13" t="n">
        <v>770</v>
      </c>
      <c r="O13" t="n">
        <v>489.9999999999999</v>
      </c>
      <c r="P13" t="n">
        <v>30000</v>
      </c>
    </row>
    <row r="14">
      <c r="B14" t="inlineStr">
        <is>
          <t>Lv35~/星1</t>
        </is>
      </c>
      <c r="C14" t="inlineStr">
        <is>
          <t>Normal 11</t>
        </is>
      </c>
      <c r="D14" t="n">
        <v>31500</v>
      </c>
      <c r="E14" t="n">
        <v>14000</v>
      </c>
      <c r="F14" t="n">
        <v>17500</v>
      </c>
      <c r="G14" t="n">
        <v>350</v>
      </c>
      <c r="H14" t="n">
        <v>700</v>
      </c>
      <c r="I14" t="n">
        <v>420</v>
      </c>
      <c r="J14" t="n">
        <v>315000</v>
      </c>
      <c r="K14" t="n">
        <v>140000</v>
      </c>
      <c r="L14" t="n">
        <v>175000</v>
      </c>
      <c r="M14" t="n">
        <v>420</v>
      </c>
      <c r="N14" t="n">
        <v>840</v>
      </c>
      <c r="O14" t="n">
        <v>560</v>
      </c>
      <c r="P14" t="n">
        <v>30000</v>
      </c>
    </row>
    <row r="15">
      <c r="B15" t="inlineStr">
        <is>
          <t>Lv40~/星1</t>
        </is>
      </c>
      <c r="C15" t="inlineStr">
        <is>
          <t>Normal 12,13
Hard ~3</t>
        </is>
      </c>
      <c r="D15" t="n">
        <v>38500</v>
      </c>
      <c r="E15" t="n">
        <v>16800</v>
      </c>
      <c r="F15" t="n">
        <v>20300</v>
      </c>
      <c r="G15" t="n">
        <v>420</v>
      </c>
      <c r="H15" t="n">
        <v>840</v>
      </c>
      <c r="I15" t="n">
        <v>489.9999999999999</v>
      </c>
      <c r="J15" t="n">
        <v>350000</v>
      </c>
      <c r="K15" t="n">
        <v>175000</v>
      </c>
      <c r="L15" t="n">
        <v>231000</v>
      </c>
      <c r="M15" t="n">
        <v>489.9999999999999</v>
      </c>
      <c r="N15" t="n">
        <v>979.9999999999999</v>
      </c>
      <c r="O15" t="n">
        <v>700</v>
      </c>
      <c r="P15" t="n">
        <v>50000</v>
      </c>
    </row>
    <row r="16">
      <c r="B16" t="inlineStr">
        <is>
          <t>Lv45~/星1</t>
        </is>
      </c>
      <c r="C16" t="inlineStr">
        <is>
          <t>Normal 14,15</t>
        </is>
      </c>
      <c r="D16" t="n">
        <v>42000</v>
      </c>
      <c r="E16" t="n">
        <v>18200</v>
      </c>
      <c r="F16" t="n">
        <v>23100</v>
      </c>
      <c r="G16" t="n">
        <v>420</v>
      </c>
      <c r="H16" t="n">
        <v>979.9999999999999</v>
      </c>
      <c r="I16" t="n">
        <v>560</v>
      </c>
      <c r="J16" t="n">
        <v>420000</v>
      </c>
      <c r="K16" t="n">
        <v>210000</v>
      </c>
      <c r="L16" t="n">
        <v>259000</v>
      </c>
      <c r="M16" t="n">
        <v>560</v>
      </c>
      <c r="N16" t="n">
        <v>1120</v>
      </c>
      <c r="O16" t="n">
        <v>770</v>
      </c>
      <c r="P16" t="n">
        <v>50000</v>
      </c>
    </row>
    <row r="17">
      <c r="B17" t="inlineStr">
        <is>
          <t>Lv50~/星1</t>
        </is>
      </c>
      <c r="C17" t="inlineStr">
        <is>
          <t>Normal 16
Hard ~6</t>
        </is>
      </c>
      <c r="D17" t="n">
        <v>49000</v>
      </c>
      <c r="E17" t="n">
        <v>21000</v>
      </c>
      <c r="F17" t="n">
        <v>26600</v>
      </c>
      <c r="G17" t="n">
        <v>489.9999999999999</v>
      </c>
      <c r="H17" t="n">
        <v>1120</v>
      </c>
      <c r="I17" t="n">
        <v>630</v>
      </c>
      <c r="J17" t="n">
        <v>489999.9999999999</v>
      </c>
      <c r="K17" t="n">
        <v>245000</v>
      </c>
      <c r="L17" t="n">
        <v>315000</v>
      </c>
      <c r="M17" t="n">
        <v>630</v>
      </c>
      <c r="N17" t="n">
        <v>1260</v>
      </c>
      <c r="O17" t="n">
        <v>909.9999999999999</v>
      </c>
      <c r="P17" t="n">
        <v>50000</v>
      </c>
    </row>
    <row r="18">
      <c r="B18" t="inlineStr">
        <is>
          <t>Lv55~/星1</t>
        </is>
      </c>
      <c r="D18" t="n">
        <v>56000</v>
      </c>
      <c r="E18" t="n">
        <v>24500</v>
      </c>
      <c r="F18" t="n">
        <v>30100</v>
      </c>
      <c r="G18" t="n">
        <v>489.9999999999999</v>
      </c>
      <c r="H18" t="n">
        <v>1260</v>
      </c>
      <c r="I18" t="n">
        <v>700</v>
      </c>
      <c r="J18" t="n">
        <v>560000</v>
      </c>
      <c r="K18" t="n">
        <v>280000</v>
      </c>
      <c r="L18" t="n">
        <v>350000</v>
      </c>
      <c r="M18" t="n">
        <v>700</v>
      </c>
      <c r="N18" t="n">
        <v>1400</v>
      </c>
      <c r="O18" t="n">
        <v>909.9999999999999</v>
      </c>
      <c r="P18" t="n">
        <v>50000</v>
      </c>
    </row>
    <row r="19">
      <c r="B19" t="inlineStr">
        <is>
          <t>Lv60~/星1</t>
        </is>
      </c>
      <c r="C19" t="inlineStr">
        <is>
          <t>Hard ~9</t>
        </is>
      </c>
      <c r="D19" t="n">
        <v>62999.99999999999</v>
      </c>
      <c r="E19" t="n">
        <v>28000</v>
      </c>
      <c r="F19" t="n">
        <v>33600</v>
      </c>
      <c r="G19" t="n">
        <v>560</v>
      </c>
      <c r="H19" t="n">
        <v>1400</v>
      </c>
      <c r="I19" t="n">
        <v>770</v>
      </c>
      <c r="J19" t="n">
        <v>630000</v>
      </c>
      <c r="K19" t="n">
        <v>350000</v>
      </c>
      <c r="L19" t="n">
        <v>420000</v>
      </c>
      <c r="M19" t="n">
        <v>770</v>
      </c>
      <c r="N19" t="n">
        <v>1540</v>
      </c>
      <c r="O19" t="n">
        <v>1050</v>
      </c>
      <c r="P19" t="n">
        <v>75000</v>
      </c>
    </row>
    <row r="20">
      <c r="B20" t="inlineStr">
        <is>
          <t>Lv65~/星1</t>
        </is>
      </c>
      <c r="D20" t="n">
        <v>70000</v>
      </c>
      <c r="E20" t="n">
        <v>31500</v>
      </c>
      <c r="F20" t="n">
        <v>37100</v>
      </c>
      <c r="G20" t="n">
        <v>560</v>
      </c>
      <c r="H20" t="n">
        <v>1540</v>
      </c>
      <c r="I20" t="n">
        <v>840</v>
      </c>
      <c r="J20" t="n">
        <v>770000</v>
      </c>
      <c r="K20" t="n">
        <v>420000</v>
      </c>
      <c r="L20" t="n">
        <v>560000</v>
      </c>
      <c r="M20" t="n">
        <v>840</v>
      </c>
      <c r="N20" t="n">
        <v>1750</v>
      </c>
      <c r="O20" t="n">
        <v>1120</v>
      </c>
      <c r="P20" t="n">
        <v>75000</v>
      </c>
    </row>
    <row r="21">
      <c r="B21" t="inlineStr">
        <is>
          <t>Lv70~/星1</t>
        </is>
      </c>
      <c r="C21" t="inlineStr">
        <is>
          <t>Hard ~13</t>
        </is>
      </c>
      <c r="D21" t="n">
        <v>77000</v>
      </c>
      <c r="E21" t="n">
        <v>35000</v>
      </c>
      <c r="F21" t="n">
        <v>43400</v>
      </c>
      <c r="G21" t="n">
        <v>630</v>
      </c>
      <c r="H21" t="n">
        <v>1680</v>
      </c>
      <c r="I21" t="n">
        <v>909.9999999999999</v>
      </c>
      <c r="J21" t="n">
        <v>979999.9999999999</v>
      </c>
      <c r="K21" t="n">
        <v>560000</v>
      </c>
      <c r="L21" t="n">
        <v>700000</v>
      </c>
      <c r="M21" t="n">
        <v>909.9999999999999</v>
      </c>
      <c r="N21" t="n">
        <v>1960</v>
      </c>
      <c r="O21" t="n">
        <v>1260</v>
      </c>
      <c r="P21" t="n">
        <v>75000</v>
      </c>
    </row>
    <row r="22">
      <c r="B22" t="inlineStr">
        <is>
          <t>Lv75~/星1</t>
        </is>
      </c>
      <c r="D22" t="n">
        <v>84000</v>
      </c>
      <c r="E22" t="n">
        <v>38500</v>
      </c>
      <c r="F22" t="n">
        <v>49700</v>
      </c>
      <c r="G22" t="n">
        <v>630</v>
      </c>
      <c r="H22" t="n">
        <v>1820</v>
      </c>
      <c r="I22" t="n">
        <v>979.9999999999999</v>
      </c>
      <c r="J22" t="n">
        <v>1190000</v>
      </c>
      <c r="K22" t="n">
        <v>700000</v>
      </c>
      <c r="L22" t="n">
        <v>910000</v>
      </c>
      <c r="M22" t="n">
        <v>979.9999999999999</v>
      </c>
      <c r="N22" t="n">
        <v>2170</v>
      </c>
      <c r="O22" t="n">
        <v>1260</v>
      </c>
      <c r="P22" t="n">
        <v>100000</v>
      </c>
    </row>
    <row r="23">
      <c r="B23" t="inlineStr">
        <is>
          <t>Lv80~/星1</t>
        </is>
      </c>
      <c r="C23" t="inlineStr">
        <is>
          <t>Hard ~16</t>
        </is>
      </c>
      <c r="D23" t="n">
        <v>91000</v>
      </c>
      <c r="E23" t="n">
        <v>42000</v>
      </c>
      <c r="F23" t="n">
        <v>56000</v>
      </c>
      <c r="G23" t="n">
        <v>700</v>
      </c>
      <c r="H23" t="n">
        <v>1960</v>
      </c>
      <c r="I23" t="n">
        <v>1050</v>
      </c>
      <c r="J23" t="n">
        <v>1400000</v>
      </c>
      <c r="K23" t="n">
        <v>840000</v>
      </c>
      <c r="L23" t="n">
        <v>1050000</v>
      </c>
      <c r="M23" t="n">
        <v>1120</v>
      </c>
      <c r="N23" t="n">
        <v>2380</v>
      </c>
      <c r="O23" t="n">
        <v>1400</v>
      </c>
      <c r="P23" t="n">
        <v>100000</v>
      </c>
    </row>
    <row r="24">
      <c r="B24" t="inlineStr">
        <is>
          <t>Lv60~/星3</t>
        </is>
      </c>
      <c r="C24" t="inlineStr">
        <is>
          <t>Ex main ~5</t>
        </is>
      </c>
      <c r="D24" t="n">
        <v>75600</v>
      </c>
      <c r="E24" t="n">
        <v>33600</v>
      </c>
      <c r="F24" t="n">
        <v>40320</v>
      </c>
      <c r="G24" t="n">
        <v>672</v>
      </c>
      <c r="H24" t="n">
        <v>1680</v>
      </c>
      <c r="I24" t="n">
        <v>923.9999999999999</v>
      </c>
      <c r="J24" t="n">
        <v>756000</v>
      </c>
      <c r="K24" t="n">
        <v>420000</v>
      </c>
      <c r="L24" t="n">
        <v>503999.9999999999</v>
      </c>
      <c r="M24" t="n">
        <v>923.9999999999999</v>
      </c>
      <c r="N24" t="n">
        <v>1848</v>
      </c>
      <c r="O24" t="n">
        <v>1260</v>
      </c>
      <c r="P24" t="n">
        <v>150000</v>
      </c>
    </row>
    <row r="25">
      <c r="B25" t="inlineStr">
        <is>
          <t>Lv60~/星5</t>
        </is>
      </c>
      <c r="C25" t="inlineStr">
        <is>
          <t>Ex</t>
        </is>
      </c>
      <c r="D25" t="n">
        <v>88199.99999999999</v>
      </c>
      <c r="E25" t="n">
        <v>39200</v>
      </c>
      <c r="F25" t="n">
        <v>47040</v>
      </c>
      <c r="G25" t="n">
        <v>784</v>
      </c>
      <c r="H25" t="n">
        <v>1960</v>
      </c>
      <c r="I25" t="n">
        <v>1078</v>
      </c>
      <c r="J25" t="n">
        <v>882000</v>
      </c>
      <c r="K25" t="n">
        <v>489999.9999999999</v>
      </c>
      <c r="L25" t="n">
        <v>588000</v>
      </c>
      <c r="M25" t="n">
        <v>1078</v>
      </c>
      <c r="N25" t="n">
        <v>2156</v>
      </c>
      <c r="O25" t="n">
        <v>1470</v>
      </c>
      <c r="P25" t="n">
        <v>150000</v>
      </c>
    </row>
    <row r="26">
      <c r="B26" t="inlineStr">
        <is>
          <t>Lv70~/星3</t>
        </is>
      </c>
      <c r="C26" t="inlineStr">
        <is>
          <t>Ex main ~10</t>
        </is>
      </c>
      <c r="D26" t="n">
        <v>100100</v>
      </c>
      <c r="E26" t="n">
        <v>45500</v>
      </c>
      <c r="F26" t="n">
        <v>56420</v>
      </c>
      <c r="G26" t="n">
        <v>819</v>
      </c>
      <c r="H26" t="n">
        <v>2184</v>
      </c>
      <c r="I26" t="n">
        <v>1183</v>
      </c>
      <c r="J26" t="n">
        <v>1274000</v>
      </c>
      <c r="K26" t="n">
        <v>728000</v>
      </c>
      <c r="L26" t="n">
        <v>910000</v>
      </c>
      <c r="M26" t="n">
        <v>1183</v>
      </c>
      <c r="N26" t="n">
        <v>2548</v>
      </c>
      <c r="O26" t="n">
        <v>1638</v>
      </c>
      <c r="P26" t="n">
        <v>150000</v>
      </c>
    </row>
    <row r="27">
      <c r="B27" t="inlineStr">
        <is>
          <t>Lv70~/星5</t>
        </is>
      </c>
      <c r="C27" t="inlineStr">
        <is>
          <t>Ex</t>
        </is>
      </c>
      <c r="D27" t="n">
        <v>115500</v>
      </c>
      <c r="E27" t="n">
        <v>52500</v>
      </c>
      <c r="F27" t="n">
        <v>65099.99999999999</v>
      </c>
      <c r="G27" t="n">
        <v>944.9999999999999</v>
      </c>
      <c r="H27" t="n">
        <v>2520</v>
      </c>
      <c r="I27" t="n">
        <v>1365</v>
      </c>
      <c r="J27" t="n">
        <v>1470000</v>
      </c>
      <c r="K27" t="n">
        <v>840000</v>
      </c>
      <c r="L27" t="n">
        <v>1050000</v>
      </c>
      <c r="M27" t="n">
        <v>1365</v>
      </c>
      <c r="N27" t="n">
        <v>2940</v>
      </c>
      <c r="O27" t="n">
        <v>1890</v>
      </c>
      <c r="P27" t="n">
        <v>200000</v>
      </c>
    </row>
    <row r="28">
      <c r="B28" t="inlineStr">
        <is>
          <t>Lv80~/星3</t>
        </is>
      </c>
      <c r="C28" t="inlineStr">
        <is>
          <t>Ex main ~16</t>
        </is>
      </c>
      <c r="D28" t="n">
        <v>118300</v>
      </c>
      <c r="E28" t="n">
        <v>54600</v>
      </c>
      <c r="F28" t="n">
        <v>72800</v>
      </c>
      <c r="G28" t="n">
        <v>909.9999999999999</v>
      </c>
      <c r="H28" t="n">
        <v>2548</v>
      </c>
      <c r="I28" t="n">
        <v>1365</v>
      </c>
      <c r="J28" t="n">
        <v>1820000</v>
      </c>
      <c r="K28" t="n">
        <v>1092000</v>
      </c>
      <c r="L28" t="n">
        <v>1365000</v>
      </c>
      <c r="M28" t="n">
        <v>1456</v>
      </c>
      <c r="N28" t="n">
        <v>3094</v>
      </c>
      <c r="O28" t="n">
        <v>1820</v>
      </c>
      <c r="P28" t="n">
        <v>200000</v>
      </c>
    </row>
    <row r="29">
      <c r="B29" t="inlineStr">
        <is>
          <t>Lv80~/星5</t>
        </is>
      </c>
      <c r="C29" t="inlineStr">
        <is>
          <t>Ex</t>
        </is>
      </c>
      <c r="D29" t="n">
        <v>136500</v>
      </c>
      <c r="E29" t="n">
        <v>62999.99999999999</v>
      </c>
      <c r="F29" t="n">
        <v>84000</v>
      </c>
      <c r="G29" t="n">
        <v>1050</v>
      </c>
      <c r="H29" t="n">
        <v>2940</v>
      </c>
      <c r="I29" t="n">
        <v>1575</v>
      </c>
      <c r="J29" t="n">
        <v>2100000</v>
      </c>
      <c r="K29" t="n">
        <v>1260000</v>
      </c>
      <c r="L29" t="n">
        <v>1575000</v>
      </c>
      <c r="M29" t="n">
        <v>1680</v>
      </c>
      <c r="N29" t="n">
        <v>3570</v>
      </c>
      <c r="O29" t="n">
        <v>2100</v>
      </c>
      <c r="P29" t="n">
        <v>300000</v>
      </c>
    </row>
    <row r="30">
      <c r="B30" t="inlineStr">
        <is>
          <t>any</t>
        </is>
      </c>
      <c r="C30" t="inlineStr">
        <is>
          <t>1日1回</t>
        </is>
      </c>
      <c r="J30" t="n">
        <v>210000</v>
      </c>
      <c r="M30" t="n">
        <v>21</v>
      </c>
      <c r="N30" t="n">
        <v>70</v>
      </c>
      <c r="O30" t="n">
        <v>35</v>
      </c>
      <c r="P30" t="n">
        <v>1000</v>
      </c>
    </row>
    <row r="31">
      <c r="B31" t="inlineStr">
        <is>
          <t>Lv1~/星1</t>
        </is>
      </c>
      <c r="C31" t="inlineStr">
        <is>
          <t>ストーリー1話</t>
        </is>
      </c>
      <c r="D31" t="n">
        <v>5600</v>
      </c>
      <c r="E31" t="n">
        <v>1050</v>
      </c>
      <c r="F31" t="n">
        <v>2450</v>
      </c>
      <c r="G31" t="n">
        <v>21</v>
      </c>
      <c r="H31" t="n">
        <v>70</v>
      </c>
      <c r="I31" t="n">
        <v>35</v>
      </c>
      <c r="J31" t="n">
        <v>56000</v>
      </c>
      <c r="K31" t="n">
        <v>10500</v>
      </c>
      <c r="L31" t="n">
        <v>24500</v>
      </c>
      <c r="M31" t="n">
        <v>56</v>
      </c>
      <c r="N31" t="n">
        <v>140</v>
      </c>
      <c r="O31" t="n">
        <v>84</v>
      </c>
      <c r="P31" t="n">
        <v>5000</v>
      </c>
    </row>
    <row r="32">
      <c r="B32" t="inlineStr">
        <is>
          <t>Lv3~/星1</t>
        </is>
      </c>
      <c r="C32" t="inlineStr">
        <is>
          <t>ストーリー2話</t>
        </is>
      </c>
      <c r="D32" t="n">
        <v>7000</v>
      </c>
      <c r="E32" t="n">
        <v>2450</v>
      </c>
      <c r="F32" t="n">
        <v>3150</v>
      </c>
      <c r="G32" t="n">
        <v>49</v>
      </c>
      <c r="H32" t="n">
        <v>119</v>
      </c>
      <c r="I32" t="n">
        <v>70</v>
      </c>
      <c r="J32" t="n">
        <v>70000</v>
      </c>
      <c r="K32" t="n">
        <v>24500</v>
      </c>
      <c r="L32" t="n">
        <v>31500</v>
      </c>
      <c r="M32" t="n">
        <v>84</v>
      </c>
      <c r="N32" t="n">
        <v>175</v>
      </c>
      <c r="O32" t="n">
        <v>105</v>
      </c>
      <c r="P32" t="n">
        <v>5000</v>
      </c>
    </row>
    <row r="33">
      <c r="B33" t="inlineStr">
        <is>
          <t>Lv5~/星1</t>
        </is>
      </c>
      <c r="C33" t="inlineStr">
        <is>
          <t>ストーリー3話,4話</t>
        </is>
      </c>
      <c r="D33" t="n">
        <v>8400</v>
      </c>
      <c r="E33" t="n">
        <v>3150</v>
      </c>
      <c r="F33" t="n">
        <v>3500</v>
      </c>
      <c r="G33" t="n">
        <v>70</v>
      </c>
      <c r="H33" t="n">
        <v>140</v>
      </c>
      <c r="I33" t="n">
        <v>91</v>
      </c>
      <c r="J33" t="n">
        <v>84000</v>
      </c>
      <c r="K33" t="n">
        <v>31500</v>
      </c>
      <c r="L33" t="n">
        <v>35000</v>
      </c>
      <c r="M33" t="n">
        <v>84</v>
      </c>
      <c r="N33" t="n">
        <v>175</v>
      </c>
      <c r="O33" t="n">
        <v>105</v>
      </c>
      <c r="P33" t="n">
        <v>15000</v>
      </c>
    </row>
    <row r="34">
      <c r="B34" t="inlineStr">
        <is>
          <t>Lv10~/星1</t>
        </is>
      </c>
      <c r="C34" t="inlineStr">
        <is>
          <t>ストーリー5話,6話</t>
        </is>
      </c>
      <c r="D34" t="n">
        <v>11900</v>
      </c>
      <c r="E34" t="n">
        <v>4900</v>
      </c>
      <c r="F34" t="n">
        <v>5600</v>
      </c>
      <c r="G34" t="n">
        <v>105</v>
      </c>
      <c r="H34" t="n">
        <v>210</v>
      </c>
      <c r="I34" t="n">
        <v>140</v>
      </c>
      <c r="J34" t="n">
        <v>119000</v>
      </c>
      <c r="K34" t="n">
        <v>49000</v>
      </c>
      <c r="L34" t="n">
        <v>56000</v>
      </c>
      <c r="M34" t="n">
        <v>119</v>
      </c>
      <c r="N34" t="n">
        <v>350</v>
      </c>
      <c r="O34" t="n">
        <v>210</v>
      </c>
      <c r="P34" t="n">
        <v>25000</v>
      </c>
    </row>
    <row r="35">
      <c r="B35" t="inlineStr">
        <is>
          <t>Lv15~/星1</t>
        </is>
      </c>
      <c r="C35" t="inlineStr">
        <is>
          <t>ストーリー7話</t>
        </is>
      </c>
      <c r="D35" t="n">
        <v>15400</v>
      </c>
      <c r="E35" t="n">
        <v>6650</v>
      </c>
      <c r="F35" t="n">
        <v>7000</v>
      </c>
      <c r="G35" t="n">
        <v>140</v>
      </c>
      <c r="H35" t="n">
        <v>280</v>
      </c>
      <c r="I35" t="n">
        <v>210</v>
      </c>
      <c r="J35" t="n">
        <v>154000</v>
      </c>
      <c r="K35" t="n">
        <v>6650</v>
      </c>
      <c r="L35" t="n">
        <v>70000</v>
      </c>
      <c r="M35" t="n">
        <v>140</v>
      </c>
      <c r="N35" t="n">
        <v>420</v>
      </c>
      <c r="O35" t="n">
        <v>280</v>
      </c>
      <c r="P35" t="n">
        <v>25000</v>
      </c>
    </row>
    <row r="36">
      <c r="B36" t="inlineStr">
        <is>
          <t>Lv20~/星1</t>
        </is>
      </c>
      <c r="C36" t="inlineStr">
        <is>
          <t>ストーリー8話</t>
        </is>
      </c>
      <c r="D36" t="n">
        <v>18900</v>
      </c>
      <c r="E36" t="n">
        <v>8400</v>
      </c>
      <c r="F36" t="n">
        <v>9100</v>
      </c>
      <c r="G36" t="n">
        <v>210</v>
      </c>
      <c r="H36" t="n">
        <v>350</v>
      </c>
      <c r="I36" t="n">
        <v>245</v>
      </c>
      <c r="J36" t="n">
        <v>189000</v>
      </c>
      <c r="K36" t="n">
        <v>84000</v>
      </c>
      <c r="L36" t="n">
        <v>91000</v>
      </c>
      <c r="M36" t="n">
        <v>210</v>
      </c>
      <c r="N36" t="n">
        <v>489.9999999999999</v>
      </c>
      <c r="O36" t="n">
        <v>350</v>
      </c>
      <c r="P36" t="n">
        <v>25000</v>
      </c>
    </row>
    <row r="37">
      <c r="B37" t="inlineStr">
        <is>
          <t>Lv30~/星1</t>
        </is>
      </c>
      <c r="C37" t="inlineStr">
        <is>
          <t>チャレンジ1話</t>
        </is>
      </c>
      <c r="D37" t="n">
        <v>26600</v>
      </c>
      <c r="E37" t="n">
        <v>11900</v>
      </c>
      <c r="F37" t="n">
        <v>14700</v>
      </c>
      <c r="G37" t="n">
        <v>350</v>
      </c>
      <c r="H37" t="n">
        <v>560</v>
      </c>
      <c r="I37" t="n">
        <v>350</v>
      </c>
      <c r="J37" t="n">
        <v>266000</v>
      </c>
      <c r="K37" t="n">
        <v>119000</v>
      </c>
      <c r="L37" t="n">
        <v>147000</v>
      </c>
      <c r="M37" t="n">
        <v>350</v>
      </c>
      <c r="N37" t="n">
        <v>770</v>
      </c>
      <c r="O37" t="n">
        <v>490</v>
      </c>
      <c r="P37" t="n">
        <v>30000</v>
      </c>
    </row>
    <row r="38">
      <c r="B38" t="inlineStr">
        <is>
          <t>Lv30~/星1</t>
        </is>
      </c>
      <c r="C38" t="inlineStr">
        <is>
          <t>チャレンジ2話</t>
        </is>
      </c>
      <c r="D38" t="n">
        <v>26600</v>
      </c>
      <c r="E38" t="n">
        <v>11900</v>
      </c>
      <c r="F38" t="n">
        <v>14700</v>
      </c>
      <c r="G38" t="n">
        <v>350</v>
      </c>
      <c r="H38" t="n">
        <v>560</v>
      </c>
      <c r="I38" t="n">
        <v>350</v>
      </c>
      <c r="J38" t="n">
        <v>266000</v>
      </c>
      <c r="K38" t="n">
        <v>119000</v>
      </c>
      <c r="L38" t="n">
        <v>147000</v>
      </c>
      <c r="M38" t="n">
        <v>350</v>
      </c>
      <c r="N38" t="n">
        <v>770</v>
      </c>
      <c r="O38" t="n">
        <v>490</v>
      </c>
      <c r="P38" t="n">
        <v>30000</v>
      </c>
    </row>
    <row r="39">
      <c r="B39" t="inlineStr">
        <is>
          <t>Lv40~/星1</t>
        </is>
      </c>
      <c r="C39" t="inlineStr">
        <is>
          <t>チャレンジ3話</t>
        </is>
      </c>
      <c r="D39" t="n">
        <v>38500</v>
      </c>
      <c r="E39" t="n">
        <v>16800</v>
      </c>
      <c r="F39" t="n">
        <v>20300</v>
      </c>
      <c r="G39" t="n">
        <v>420</v>
      </c>
      <c r="H39" t="n">
        <v>840</v>
      </c>
      <c r="I39" t="n">
        <v>490</v>
      </c>
      <c r="J39" t="n">
        <v>350000</v>
      </c>
      <c r="K39" t="n">
        <v>175000</v>
      </c>
      <c r="L39" t="n">
        <v>231000</v>
      </c>
      <c r="M39" t="n">
        <v>490</v>
      </c>
      <c r="N39" t="n">
        <v>980</v>
      </c>
      <c r="O39" t="n">
        <v>700</v>
      </c>
      <c r="P39" t="n">
        <v>50000</v>
      </c>
    </row>
    <row r="40">
      <c r="B40" t="inlineStr">
        <is>
          <t>Lv50~/星1</t>
        </is>
      </c>
      <c r="C40" t="inlineStr">
        <is>
          <t>チャレンジ4話</t>
        </is>
      </c>
      <c r="D40" t="n">
        <v>49000</v>
      </c>
      <c r="E40" t="n">
        <v>21000</v>
      </c>
      <c r="F40" t="n">
        <v>26600</v>
      </c>
      <c r="G40" t="n">
        <v>490</v>
      </c>
      <c r="H40" t="n">
        <v>1120</v>
      </c>
      <c r="I40" t="n">
        <v>630</v>
      </c>
      <c r="J40" t="n">
        <v>490000</v>
      </c>
      <c r="K40" t="n">
        <v>245000</v>
      </c>
      <c r="L40" t="n">
        <v>315000</v>
      </c>
      <c r="M40" t="n">
        <v>630</v>
      </c>
      <c r="N40" t="n">
        <v>1260</v>
      </c>
      <c r="O40" t="n">
        <v>910</v>
      </c>
      <c r="P40" t="n">
        <v>50000</v>
      </c>
    </row>
    <row r="41">
      <c r="B41" t="inlineStr">
        <is>
          <t>Lv70~/星1</t>
        </is>
      </c>
      <c r="C41" t="inlineStr">
        <is>
          <t>高難度ver1 1話</t>
        </is>
      </c>
      <c r="D41" t="n">
        <v>77000</v>
      </c>
      <c r="E41" t="n">
        <v>35000</v>
      </c>
      <c r="F41" t="n">
        <v>43400</v>
      </c>
      <c r="G41" t="n">
        <v>630</v>
      </c>
      <c r="H41" t="n">
        <v>1680</v>
      </c>
      <c r="I41" t="n">
        <v>910</v>
      </c>
      <c r="J41" t="n">
        <v>980000</v>
      </c>
      <c r="K41" t="n">
        <v>560000</v>
      </c>
      <c r="L41" t="n">
        <v>700000</v>
      </c>
      <c r="M41" t="n">
        <v>910</v>
      </c>
      <c r="N41" t="n">
        <v>1960</v>
      </c>
      <c r="O41" t="n">
        <v>1260</v>
      </c>
      <c r="P41" t="n">
        <v>150000</v>
      </c>
    </row>
    <row r="42">
      <c r="B42" t="inlineStr">
        <is>
          <t>Lv70~/星1</t>
        </is>
      </c>
      <c r="C42" t="inlineStr">
        <is>
          <t>高難度ver1 2話</t>
        </is>
      </c>
      <c r="D42" t="n">
        <v>88200</v>
      </c>
      <c r="E42" t="n">
        <v>39200</v>
      </c>
      <c r="F42" t="n">
        <v>47040</v>
      </c>
      <c r="G42" t="n">
        <v>784</v>
      </c>
      <c r="H42" t="n">
        <v>1960</v>
      </c>
      <c r="I42" t="n">
        <v>1078</v>
      </c>
      <c r="J42" t="n">
        <v>882000</v>
      </c>
      <c r="K42" t="n">
        <v>490000</v>
      </c>
      <c r="L42" t="n">
        <v>588000</v>
      </c>
      <c r="M42" t="n">
        <v>1078</v>
      </c>
      <c r="N42" t="n">
        <v>2156</v>
      </c>
      <c r="O42" t="n">
        <v>1470</v>
      </c>
      <c r="P42" t="n">
        <v>150000</v>
      </c>
    </row>
    <row r="43">
      <c r="B43" t="inlineStr">
        <is>
          <t>Lv80~/星3</t>
        </is>
      </c>
      <c r="C43" t="inlineStr">
        <is>
          <t>高難度ver1 3話</t>
        </is>
      </c>
      <c r="D43" t="n">
        <v>118300</v>
      </c>
      <c r="E43" t="n">
        <v>54600</v>
      </c>
      <c r="F43" t="n">
        <v>72800</v>
      </c>
      <c r="G43" t="n">
        <v>910</v>
      </c>
      <c r="H43" t="n">
        <v>2548</v>
      </c>
      <c r="I43" t="n">
        <v>1365</v>
      </c>
      <c r="J43" t="n">
        <v>1820000</v>
      </c>
      <c r="K43" t="n">
        <v>1092000</v>
      </c>
      <c r="L43" t="n">
        <v>1365000</v>
      </c>
      <c r="M43" t="n">
        <v>1456</v>
      </c>
      <c r="N43" t="n">
        <v>3094</v>
      </c>
      <c r="O43" t="n">
        <v>1820</v>
      </c>
      <c r="P43" t="n">
        <v>200000</v>
      </c>
    </row>
    <row r="44">
      <c r="B44" t="inlineStr">
        <is>
          <t>Lv5~/星1</t>
        </is>
      </c>
      <c r="C44" t="inlineStr">
        <is>
          <t>降臨バトルwave1</t>
        </is>
      </c>
      <c r="D44" t="n">
        <v>8400</v>
      </c>
      <c r="E44" t="n">
        <v>3150</v>
      </c>
      <c r="F44" t="n">
        <v>3500</v>
      </c>
      <c r="G44" t="n">
        <v>70</v>
      </c>
      <c r="H44" t="n">
        <v>140</v>
      </c>
      <c r="I44" t="n">
        <v>91</v>
      </c>
      <c r="J44" t="n">
        <v>84000</v>
      </c>
      <c r="K44" t="n">
        <v>31500</v>
      </c>
      <c r="L44" t="n">
        <v>35000</v>
      </c>
      <c r="M44" t="n">
        <v>84</v>
      </c>
      <c r="N44" t="n">
        <v>175</v>
      </c>
      <c r="O44" t="n">
        <v>105</v>
      </c>
    </row>
    <row r="45">
      <c r="B45" t="inlineStr">
        <is>
          <t>Lv10~/星1</t>
        </is>
      </c>
      <c r="C45" t="inlineStr">
        <is>
          <t>降臨バトルwave2</t>
        </is>
      </c>
      <c r="D45" t="n">
        <v>11900</v>
      </c>
      <c r="E45" t="n">
        <v>4900</v>
      </c>
      <c r="F45" t="n">
        <v>5600</v>
      </c>
      <c r="G45" t="n">
        <v>105</v>
      </c>
      <c r="H45" t="n">
        <v>210</v>
      </c>
      <c r="I45" t="n">
        <v>140</v>
      </c>
      <c r="J45" t="n">
        <v>119000</v>
      </c>
      <c r="K45" t="n">
        <v>49000</v>
      </c>
      <c r="L45" t="n">
        <v>56000</v>
      </c>
      <c r="M45" t="n">
        <v>119</v>
      </c>
      <c r="N45" t="n">
        <v>350</v>
      </c>
      <c r="O45" t="n">
        <v>210</v>
      </c>
    </row>
    <row r="46">
      <c r="B46" t="inlineStr">
        <is>
          <t>Lv20~/星1</t>
        </is>
      </c>
      <c r="C46" t="inlineStr">
        <is>
          <t>降臨バトルwave3</t>
        </is>
      </c>
      <c r="D46" t="n">
        <v>26600</v>
      </c>
      <c r="E46" t="n">
        <v>11900</v>
      </c>
      <c r="F46" t="n">
        <v>14700</v>
      </c>
      <c r="G46" t="n">
        <v>350</v>
      </c>
      <c r="H46" t="n">
        <v>560</v>
      </c>
      <c r="I46" t="n">
        <v>350</v>
      </c>
      <c r="J46" t="n">
        <v>266000</v>
      </c>
      <c r="K46" t="n">
        <v>119000</v>
      </c>
      <c r="L46" t="n">
        <v>147000</v>
      </c>
      <c r="M46" t="n">
        <v>350</v>
      </c>
      <c r="N46" t="n">
        <v>770</v>
      </c>
      <c r="O46" t="n">
        <v>489.9999999999999</v>
      </c>
    </row>
    <row r="47">
      <c r="B47" t="inlineStr">
        <is>
          <t>Lv30~/星1</t>
        </is>
      </c>
      <c r="C47" t="inlineStr">
        <is>
          <t>降臨バトルwave4</t>
        </is>
      </c>
      <c r="D47" t="n">
        <v>26600</v>
      </c>
      <c r="E47" t="n">
        <v>11900</v>
      </c>
      <c r="F47" t="n">
        <v>14700</v>
      </c>
      <c r="G47" t="n">
        <v>350</v>
      </c>
      <c r="H47" t="n">
        <v>560</v>
      </c>
      <c r="I47" t="n">
        <v>350</v>
      </c>
      <c r="J47" t="n">
        <v>266000</v>
      </c>
      <c r="K47" t="n">
        <v>119000</v>
      </c>
      <c r="L47" t="n">
        <v>147000</v>
      </c>
      <c r="M47" t="n">
        <v>350</v>
      </c>
      <c r="N47" t="n">
        <v>770</v>
      </c>
      <c r="O47" t="n">
        <v>489.9999999999999</v>
      </c>
    </row>
    <row r="48">
      <c r="B48" t="inlineStr">
        <is>
          <t>Lv40~/星1</t>
        </is>
      </c>
      <c r="C48" t="inlineStr">
        <is>
          <t>降臨バトルwave5</t>
        </is>
      </c>
      <c r="D48" t="n">
        <v>38500</v>
      </c>
      <c r="E48" t="n">
        <v>16800</v>
      </c>
      <c r="F48" t="n">
        <v>20300</v>
      </c>
      <c r="G48" t="n">
        <v>420</v>
      </c>
      <c r="H48" t="n">
        <v>840</v>
      </c>
      <c r="I48" t="n">
        <v>489.9999999999999</v>
      </c>
      <c r="J48" t="n">
        <v>350000</v>
      </c>
      <c r="K48" t="n">
        <v>175000</v>
      </c>
      <c r="L48" t="n">
        <v>231000</v>
      </c>
      <c r="M48" t="n">
        <v>489.9999999999999</v>
      </c>
      <c r="N48" t="n">
        <v>979.9999999999999</v>
      </c>
      <c r="O48" t="n">
        <v>700</v>
      </c>
    </row>
    <row r="49">
      <c r="B49" t="inlineStr">
        <is>
          <t>Lv50~/星1</t>
        </is>
      </c>
      <c r="C49" t="inlineStr">
        <is>
          <t>降臨バトルwave6</t>
        </is>
      </c>
      <c r="D49" t="n">
        <v>49000</v>
      </c>
      <c r="E49" t="n">
        <v>21000</v>
      </c>
      <c r="F49" t="n">
        <v>26600</v>
      </c>
      <c r="G49" t="n">
        <v>489.9999999999999</v>
      </c>
      <c r="H49" t="n">
        <v>1120</v>
      </c>
      <c r="I49" t="n">
        <v>630</v>
      </c>
      <c r="J49" t="n">
        <v>489999.9999999999</v>
      </c>
      <c r="K49" t="n">
        <v>245000</v>
      </c>
      <c r="L49" t="n">
        <v>315000</v>
      </c>
      <c r="M49" t="n">
        <v>630</v>
      </c>
      <c r="N49" t="n">
        <v>1260</v>
      </c>
      <c r="O49" t="n">
        <v>909.9999999999999</v>
      </c>
    </row>
    <row r="50">
      <c r="B50" t="inlineStr">
        <is>
          <t>Lv60~/星1</t>
        </is>
      </c>
      <c r="C50" t="inlineStr">
        <is>
          <t>降臨バトルwave7</t>
        </is>
      </c>
      <c r="D50" t="n">
        <v>62999.99999999999</v>
      </c>
      <c r="E50" t="n">
        <v>28000</v>
      </c>
      <c r="F50" t="n">
        <v>33600</v>
      </c>
      <c r="G50" t="n">
        <v>560</v>
      </c>
      <c r="H50" t="n">
        <v>1400</v>
      </c>
      <c r="I50" t="n">
        <v>770</v>
      </c>
      <c r="J50" t="n">
        <v>630000</v>
      </c>
      <c r="K50" t="n">
        <v>350000</v>
      </c>
      <c r="L50" t="n">
        <v>420000</v>
      </c>
      <c r="M50" t="n">
        <v>770</v>
      </c>
      <c r="N50" t="n">
        <v>1540</v>
      </c>
      <c r="O50" t="n">
        <v>1050</v>
      </c>
    </row>
    <row r="51">
      <c r="B51" t="inlineStr">
        <is>
          <t>Lv70~/星1</t>
        </is>
      </c>
      <c r="C51" t="inlineStr">
        <is>
          <t>降臨バトルwave8</t>
        </is>
      </c>
      <c r="D51" t="n">
        <v>77000</v>
      </c>
      <c r="E51" t="n">
        <v>35000</v>
      </c>
      <c r="F51" t="n">
        <v>43400</v>
      </c>
      <c r="G51" t="n">
        <v>630</v>
      </c>
      <c r="H51" t="n">
        <v>1680</v>
      </c>
      <c r="I51" t="n">
        <v>909.9999999999999</v>
      </c>
      <c r="J51" t="n">
        <v>979999.9999999999</v>
      </c>
      <c r="K51" t="n">
        <v>560000</v>
      </c>
      <c r="L51" t="n">
        <v>700000</v>
      </c>
      <c r="M51" t="n">
        <v>909.9999999999999</v>
      </c>
      <c r="N51" t="n">
        <v>1960</v>
      </c>
      <c r="O51" t="n">
        <v>1260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2:FE59"/>
  <sheetViews>
    <sheetView workbookViewId="0">
      <selection activeCell="A1" sqref="A1"/>
    </sheetView>
  </sheetViews>
  <sheetFormatPr baseColWidth="8" defaultRowHeight="15"/>
  <sheetData>
    <row r="2">
      <c r="B2" t="inlineStr">
        <is>
          <t>■基礎情報</t>
        </is>
      </c>
    </row>
    <row r="4">
      <c r="B4" t="inlineStr">
        <is>
          <t>ステージコンセプト</t>
        </is>
      </c>
      <c r="S4" t="inlineStr">
        <is>
          <t>ステージ情報詳細</t>
        </is>
      </c>
    </row>
    <row r="5">
      <c r="B5" t="inlineStr">
        <is>
          <t>強敵楪+極楽蝶のステージ</t>
        </is>
      </c>
      <c r="S5" t="inlineStr">
        <is>
          <t>【属性情報】
緑属性の敵が登場するので赤属性のキャラは有利に戦うこともできるぞ!
さらに、無属性の敵も登場するぞ!
【ギミック情報】
毒攻撃をしてくる敵が登場するぞ!
特性で毒ダメージ軽減を持っているキャラを編成しよう!
ファントムゲートにダメージを与えると出現する敵もいるぞ!</t>
        </is>
      </c>
    </row>
    <row r="9">
      <c r="B9" t="inlineStr">
        <is>
          <t>ステージ名（最大20文字）</t>
        </is>
      </c>
      <c r="G9" t="inlineStr">
        <is>
          <t>文字数</t>
        </is>
      </c>
      <c r="I9" t="inlineStr">
        <is>
          <t>スタミナ</t>
        </is>
      </c>
      <c r="K9" t="inlineStr">
        <is>
          <t>難易度</t>
        </is>
      </c>
      <c r="N9" t="inlineStr">
        <is>
          <t>推奨PTLv</t>
        </is>
      </c>
      <c r="Q9" t="inlineStr">
        <is>
          <t>通常BGM</t>
        </is>
      </c>
      <c r="V9" t="inlineStr">
        <is>
          <t>ボスBGM</t>
        </is>
      </c>
    </row>
    <row r="10">
      <c r="B10" t="inlineStr">
        <is>
          <t>1話</t>
        </is>
      </c>
      <c r="G10">
        <f>len(B10)</f>
        <v/>
      </c>
      <c r="I10" t="n">
        <v>5</v>
      </c>
      <c r="K10" t="inlineStr">
        <is>
          <t>イベント全般</t>
        </is>
      </c>
      <c r="N10" t="n">
        <v>10</v>
      </c>
      <c r="Q10" t="inlineStr">
        <is>
          <t>SSE_SBG_003_003</t>
        </is>
      </c>
      <c r="V10" t="inlineStr">
        <is>
          <t>SSE_SBG_003_004</t>
        </is>
      </c>
    </row>
    <row r="12">
      <c r="B12" t="inlineStr">
        <is>
          <t>味方ゲートID</t>
        </is>
      </c>
      <c r="E12" t="inlineStr">
        <is>
          <t>敵ゲートID</t>
        </is>
      </c>
      <c r="H12" t="inlineStr">
        <is>
          <t>敵ゲートasset</t>
        </is>
      </c>
      <c r="K12" t="inlineStr">
        <is>
          <t>敵ゲートHP</t>
        </is>
      </c>
      <c r="N12" t="inlineStr">
        <is>
          <t>リリースキー</t>
        </is>
      </c>
    </row>
    <row r="13">
      <c r="B13" t="inlineStr">
        <is>
          <t>default</t>
        </is>
      </c>
      <c r="E13" t="inlineStr">
        <is>
          <t>event_jig1_charaget01_00001</t>
        </is>
      </c>
      <c r="H13" t="inlineStr">
        <is>
          <t>event_jig_0001</t>
        </is>
      </c>
      <c r="K13" t="n">
        <v>30000</v>
      </c>
      <c r="N13" t="n">
        <v>202601010</v>
      </c>
    </row>
    <row r="15">
      <c r="B15" t="inlineStr">
        <is>
          <t>■報酬設計</t>
        </is>
      </c>
    </row>
    <row r="17">
      <c r="B17" t="inlineStr">
        <is>
          <t>クリアコイン</t>
        </is>
      </c>
      <c r="E17" t="inlineStr">
        <is>
          <t>リーダーEXP</t>
        </is>
      </c>
      <c r="H17" t="inlineStr">
        <is>
          <t>原画のかけら確率</t>
        </is>
      </c>
      <c r="K17" t="inlineStr">
        <is>
          <t>原画のかけら種</t>
        </is>
      </c>
    </row>
    <row r="18">
      <c r="B18" t="n">
        <v>100</v>
      </c>
      <c r="E18">
        <f>I10*10</f>
        <v/>
      </c>
      <c r="H18" t="n">
        <v>1</v>
      </c>
      <c r="K18" t="inlineStr">
        <is>
          <t>5,7</t>
        </is>
      </c>
    </row>
    <row r="20">
      <c r="B20" t="inlineStr">
        <is>
          <t>ドロップ区分</t>
        </is>
      </c>
      <c r="E20" t="inlineStr">
        <is>
          <t>リソースtype</t>
        </is>
      </c>
      <c r="G20" t="inlineStr">
        <is>
          <t>アイテムID</t>
        </is>
      </c>
      <c r="J20" t="inlineStr">
        <is>
          <t>アイテム名</t>
        </is>
      </c>
      <c r="R20" t="inlineStr">
        <is>
          <t>ドロップ数</t>
        </is>
      </c>
      <c r="T20" t="inlineStr">
        <is>
          <t>ドロップ率</t>
        </is>
      </c>
    </row>
    <row r="21">
      <c r="B21" t="inlineStr">
        <is>
          <t>FirstClear</t>
        </is>
      </c>
      <c r="E21" t="inlineStr">
        <is>
          <t>Unit</t>
        </is>
      </c>
      <c r="G21" t="inlineStr">
        <is>
          <t>chara_jig_00701</t>
        </is>
      </c>
      <c r="J21" t="inlineStr">
        <is>
          <t>メイ</t>
        </is>
      </c>
      <c r="R21" t="n">
        <v>1</v>
      </c>
      <c r="T21" t="n">
        <v>100</v>
      </c>
    </row>
    <row r="22">
      <c r="B22" t="inlineStr">
        <is>
          <t>FirstClear</t>
        </is>
      </c>
      <c r="E22">
        <f>if(J22="プリズム","FreeDiamond","Item")</f>
        <v/>
      </c>
      <c r="G22" t="inlineStr">
        <is>
          <t>prism_glo_00001</t>
        </is>
      </c>
      <c r="J22" t="inlineStr">
        <is>
          <t>プリズム</t>
        </is>
      </c>
      <c r="R22" t="n">
        <v>40</v>
      </c>
      <c r="T22" t="n">
        <v>100</v>
      </c>
    </row>
    <row r="23">
      <c r="B23" t="inlineStr">
        <is>
          <t>FirstClear</t>
        </is>
      </c>
      <c r="E23">
        <f>if(J23="プリズム","FreeDiamond","Item")</f>
        <v/>
      </c>
      <c r="G23" t="inlineStr">
        <is>
          <t>Coin</t>
        </is>
      </c>
      <c r="J23" t="inlineStr">
        <is>
          <t>コイン</t>
        </is>
      </c>
      <c r="R23" t="n">
        <v>500</v>
      </c>
      <c r="T23" t="n">
        <v>100</v>
      </c>
    </row>
    <row r="24">
      <c r="B24" t="inlineStr">
        <is>
          <t>Random</t>
        </is>
      </c>
      <c r="E24">
        <f>if(J24="プリズム","FreeDiamond","Item")</f>
        <v/>
      </c>
      <c r="G24" t="inlineStr">
        <is>
          <t>piece_jig_00701</t>
        </is>
      </c>
      <c r="J24" t="inlineStr">
        <is>
          <t>メイのかけら</t>
        </is>
      </c>
      <c r="R24" t="n">
        <v>1</v>
      </c>
      <c r="T24" t="n">
        <v>10</v>
      </c>
    </row>
    <row r="25">
      <c r="E25">
        <f>if(J25="プリズム","FreeDiamond","Item")</f>
        <v/>
      </c>
      <c r="G25" t="inlineStr">
        <is>
          <t>none</t>
        </is>
      </c>
    </row>
    <row r="26">
      <c r="E26">
        <f>if(J26="プリズム","FreeDiamond","Item")</f>
        <v/>
      </c>
      <c r="G26" t="inlineStr">
        <is>
          <t>none</t>
        </is>
      </c>
    </row>
    <row r="28">
      <c r="B28" t="inlineStr">
        <is>
          <t>■コマ設計</t>
        </is>
      </c>
    </row>
    <row r="30">
      <c r="B30" t="inlineStr">
        <is>
          <t>行数</t>
        </is>
      </c>
      <c r="D30" t="inlineStr">
        <is>
          <t>行パターンID</t>
        </is>
      </c>
      <c r="F30" t="inlineStr">
        <is>
          <t>コマ数</t>
        </is>
      </c>
      <c r="H30" t="inlineStr">
        <is>
          <t>コマ高さ</t>
        </is>
      </c>
      <c r="J30" t="inlineStr">
        <is>
          <t>コマ幅1</t>
        </is>
      </c>
      <c r="L30" t="inlineStr">
        <is>
          <t>コマ幅2</t>
        </is>
      </c>
      <c r="N30" t="inlineStr">
        <is>
          <t>コマ幅3</t>
        </is>
      </c>
      <c r="P30" t="inlineStr">
        <is>
          <t>コマ幅4</t>
        </is>
      </c>
      <c r="R30" t="inlineStr">
        <is>
          <t>コマ背景</t>
        </is>
      </c>
      <c r="U30" t="inlineStr">
        <is>
          <t>コマ効果1</t>
        </is>
      </c>
      <c r="Z30" t="inlineStr">
        <is>
          <t>効果時間</t>
        </is>
      </c>
      <c r="AB30" t="inlineStr">
        <is>
          <t>効果数値</t>
        </is>
      </c>
      <c r="AD30" t="inlineStr">
        <is>
          <t>コマ効果2</t>
        </is>
      </c>
      <c r="AI30" t="inlineStr">
        <is>
          <t>効果時間</t>
        </is>
      </c>
      <c r="AK30" t="inlineStr">
        <is>
          <t>効果数値</t>
        </is>
      </c>
      <c r="AM30" t="inlineStr">
        <is>
          <t>コマ効果3</t>
        </is>
      </c>
      <c r="AR30" t="inlineStr">
        <is>
          <t>効果時間</t>
        </is>
      </c>
      <c r="AT30" t="inlineStr">
        <is>
          <t>効果数値</t>
        </is>
      </c>
      <c r="AV30" t="inlineStr">
        <is>
          <t>コマ効果4</t>
        </is>
      </c>
      <c r="BA30" t="inlineStr">
        <is>
          <t>効果時間</t>
        </is>
      </c>
      <c r="BC30" t="inlineStr">
        <is>
          <t>効果数値</t>
        </is>
      </c>
    </row>
    <row r="31">
      <c r="B31" t="inlineStr">
        <is>
          <t>1行目</t>
        </is>
      </c>
      <c r="D31" t="n">
        <v>6</v>
      </c>
      <c r="F31">
        <f>iferror(vlookup(D31,'行パターン'!$A$2:$C61,2,false),"error")</f>
        <v/>
      </c>
      <c r="H31" t="n">
        <v>0.55</v>
      </c>
      <c r="J31" t="n">
        <v>0.5</v>
      </c>
      <c r="L31" t="n">
        <v>0.5</v>
      </c>
      <c r="N31" t="inlineStr">
        <is>
          <t>none</t>
        </is>
      </c>
      <c r="P31" t="inlineStr">
        <is>
          <t>none</t>
        </is>
      </c>
      <c r="R31" t="inlineStr">
        <is>
          <t>jig_00001</t>
        </is>
      </c>
    </row>
    <row r="32">
      <c r="B32" t="inlineStr">
        <is>
          <t>2行目</t>
        </is>
      </c>
      <c r="D32" t="n">
        <v>1</v>
      </c>
      <c r="F32">
        <f>iferror(vlookup(D32,'行パターン'!$A$2:$C61,2,false),"error")</f>
        <v/>
      </c>
      <c r="H32" t="n">
        <v>0.55</v>
      </c>
      <c r="J32" t="n">
        <v>1</v>
      </c>
      <c r="L32" t="inlineStr">
        <is>
          <t>none</t>
        </is>
      </c>
      <c r="N32" t="inlineStr">
        <is>
          <t>none</t>
        </is>
      </c>
      <c r="P32" t="inlineStr">
        <is>
          <t>none</t>
        </is>
      </c>
      <c r="R32" t="inlineStr">
        <is>
          <t>jig_00001</t>
        </is>
      </c>
    </row>
    <row r="33">
      <c r="B33" t="inlineStr">
        <is>
          <t>3行目</t>
        </is>
      </c>
      <c r="F33">
        <f>iferror(vlookup(D33,'行パターン'!$A$2:$C61,2,false)," ")</f>
        <v/>
      </c>
      <c r="J33" t="inlineStr">
        <is>
          <t> </t>
        </is>
      </c>
    </row>
    <row r="34">
      <c r="B34" t="inlineStr">
        <is>
          <t>4行目</t>
        </is>
      </c>
      <c r="F34">
        <f>iferror(vlookup(D34,'行パターン'!$A$2:$C61,2,false)," ")</f>
        <v/>
      </c>
      <c r="J34" t="inlineStr">
        <is>
          <t> </t>
        </is>
      </c>
    </row>
    <row r="35">
      <c r="B35" t="inlineStr">
        <is>
          <t>5行目</t>
        </is>
      </c>
      <c r="F35">
        <f>iferror(vlookup(D35,'行パターン'!$A$2:$C61,2,false)," ")</f>
        <v/>
      </c>
      <c r="J35" t="inlineStr">
        <is>
          <t> </t>
        </is>
      </c>
    </row>
    <row r="37">
      <c r="B37" t="inlineStr">
        <is>
          <t xml:space="preserve">■Enemyシーケンス </t>
        </is>
      </c>
      <c r="F37" t="inlineStr">
        <is>
          <t>※コピペして使用</t>
        </is>
      </c>
    </row>
    <row r="39">
      <c r="B39" t="inlineStr">
        <is>
          <t>sequence
_group_id</t>
        </is>
      </c>
      <c r="D39" t="inlineStr">
        <is>
          <t>sequence_
element_id</t>
        </is>
      </c>
      <c r="F39" t="inlineStr">
        <is>
          <t>priority_sequence_element_id</t>
        </is>
      </c>
      <c r="H39" t="inlineStr">
        <is>
          <t>Enemy_ID</t>
        </is>
      </c>
      <c r="L39" t="inlineStr">
        <is>
          <t>ファントム名</t>
        </is>
      </c>
      <c r="P39" t="inlineStr">
        <is>
          <t>unit_kind</t>
        </is>
      </c>
      <c r="R39" t="inlineStr">
        <is>
          <t>属性</t>
        </is>
      </c>
      <c r="T39" t="inlineStr">
        <is>
          <t>ロール</t>
        </is>
      </c>
      <c r="V39" t="inlineStr">
        <is>
          <t>オーラタイプ</t>
        </is>
      </c>
      <c r="X39" t="inlineStr">
        <is>
          <t>死亡タイプ</t>
        </is>
      </c>
      <c r="Z39" t="inlineStr">
        <is>
          <t>必殺ワザ有無</t>
        </is>
      </c>
      <c r="AB39" t="inlineStr">
        <is>
          <t>体力</t>
        </is>
      </c>
      <c r="AD39" t="inlineStr">
        <is>
          <t>体力係数</t>
        </is>
      </c>
      <c r="AF39" t="inlineStr">
        <is>
          <t>攻撃力</t>
        </is>
      </c>
      <c r="AH39" t="inlineStr">
        <is>
          <t>攻撃係数</t>
        </is>
      </c>
      <c r="AJ39" t="inlineStr">
        <is>
          <t>通常攻撃F</t>
        </is>
      </c>
      <c r="AL39" t="inlineStr">
        <is>
          <t>通常攻撃CDF</t>
        </is>
      </c>
      <c r="AN39" t="inlineStr">
        <is>
          <t>通常攻撃DPS</t>
        </is>
      </c>
      <c r="AP39" t="inlineStr">
        <is>
          <t>通常攻撃備考</t>
        </is>
      </c>
      <c r="AT39" t="inlineStr">
        <is>
          <t>必殺技内容</t>
        </is>
      </c>
      <c r="AY39" t="inlineStr">
        <is>
          <t>必殺発動回数</t>
        </is>
      </c>
      <c r="BA39" t="inlineStr">
        <is>
          <t>必殺技F(秒)</t>
        </is>
      </c>
      <c r="BC39" t="inlineStr">
        <is>
          <t>特性</t>
        </is>
      </c>
      <c r="BE39" t="inlineStr">
        <is>
          <t>移動速度</t>
        </is>
      </c>
      <c r="BG39" t="inlineStr">
        <is>
          <t>well_distance</t>
        </is>
      </c>
      <c r="BI39" t="inlineStr">
        <is>
          <t>start_range</t>
        </is>
      </c>
      <c r="BK39" t="inlineStr">
        <is>
          <t>end_range</t>
        </is>
      </c>
      <c r="BM39" t="inlineStr">
        <is>
          <t>攻撃範囲</t>
        </is>
      </c>
      <c r="BO39" t="inlineStr">
        <is>
          <t>KB回数</t>
        </is>
      </c>
      <c r="BQ39" t="inlineStr">
        <is>
          <t>撃破p</t>
        </is>
      </c>
      <c r="BS39" t="inlineStr">
        <is>
          <t>上書き撃破p</t>
        </is>
      </c>
      <c r="BU39" t="inlineStr">
        <is>
          <t>変身先ID</t>
        </is>
      </c>
      <c r="BW39" t="inlineStr">
        <is>
          <t>変身条件1</t>
        </is>
      </c>
      <c r="BY39" t="inlineStr">
        <is>
          <t>変身条件2</t>
        </is>
      </c>
      <c r="CA39" t="inlineStr">
        <is>
          <t>出撃条件
condition_type</t>
        </is>
      </c>
      <c r="CE39" t="inlineStr">
        <is>
          <t>出撃開始値
condition_value</t>
        </is>
      </c>
      <c r="CG39" t="inlineStr">
        <is>
          <t>出撃感覚値
summon_interval</t>
        </is>
      </c>
      <c r="CI39" t="inlineStr">
        <is>
          <t>召喚回数
summon_count</t>
        </is>
      </c>
      <c r="CK39" t="inlineStr">
        <is>
          <t>アクション遅延
action_delay</t>
        </is>
      </c>
      <c r="CM39" t="inlineStr">
        <is>
          <t>出撃
アニメーション</t>
        </is>
      </c>
      <c r="CO39" t="inlineStr">
        <is>
          <t>召喚pos
summon_position</t>
        </is>
      </c>
      <c r="CQ39" t="inlineStr">
        <is>
          <t>移動開始条件
move_start_condition_type</t>
        </is>
      </c>
      <c r="CU39" t="inlineStr">
        <is>
          <t>移動開始値
condition_value</t>
        </is>
      </c>
      <c r="CW39" t="inlineStr">
        <is>
          <t>移動停止条件
move_stop_condition_type</t>
        </is>
      </c>
      <c r="DA39" t="inlineStr">
        <is>
          <t>移動停止値</t>
        </is>
      </c>
      <c r="DC39" t="inlineStr">
        <is>
          <t>移動再スタート条件
move_restart_condition_type</t>
        </is>
      </c>
      <c r="DG39" t="inlineStr">
        <is>
          <t>移動再スタート値</t>
        </is>
      </c>
      <c r="DI39" t="inlineStr">
        <is>
          <t>再スタート回数
move_loop_count</t>
        </is>
      </c>
      <c r="DK39" t="inlineStr">
        <is>
          <t>ゲート無敵化</t>
        </is>
      </c>
      <c r="DM39" t="inlineStr">
        <is>
          <t>出現停止条件</t>
        </is>
      </c>
      <c r="DQ39" t="inlineStr">
        <is>
          <t>停止条件値</t>
        </is>
      </c>
      <c r="DS39" t="inlineStr">
        <is>
          <t>備考</t>
        </is>
      </c>
      <c r="EA39" t="inlineStr">
        <is>
          <t>sequence_group_id</t>
        </is>
      </c>
      <c r="EB39" t="inlineStr">
        <is>
          <t>sequence_element_id</t>
        </is>
      </c>
      <c r="EC39" t="inlineStr">
        <is>
          <t>priority_sequence_element_id</t>
        </is>
      </c>
      <c r="ED39" t="inlineStr">
        <is>
          <t>condition_type</t>
        </is>
      </c>
      <c r="EE39" t="inlineStr">
        <is>
          <t>condition_value</t>
        </is>
      </c>
      <c r="EF39" t="inlineStr">
        <is>
          <t>action_type</t>
        </is>
      </c>
      <c r="EG39" t="inlineStr">
        <is>
          <t>action_value</t>
        </is>
      </c>
      <c r="EH39" t="inlineStr">
        <is>
          <t>action_value2</t>
        </is>
      </c>
      <c r="EI39" t="inlineStr">
        <is>
          <t>summon_count</t>
        </is>
      </c>
      <c r="EJ39" t="inlineStr">
        <is>
          <t>summon_interval</t>
        </is>
      </c>
      <c r="EK39" t="inlineStr">
        <is>
          <t>summon_animation_type</t>
        </is>
      </c>
      <c r="EL39" t="inlineStr">
        <is>
          <t>summon_position</t>
        </is>
      </c>
      <c r="EM39" t="inlineStr">
        <is>
          <t>move_start_condition_type</t>
        </is>
      </c>
      <c r="EN39" t="inlineStr">
        <is>
          <t>move_start_condition_value</t>
        </is>
      </c>
      <c r="EO39" t="inlineStr">
        <is>
          <t>move_stop_condition_type</t>
        </is>
      </c>
      <c r="EP39" t="inlineStr">
        <is>
          <t>move_stop_condition_value</t>
        </is>
      </c>
      <c r="EQ39" t="inlineStr">
        <is>
          <t>move_restart_condition_type</t>
        </is>
      </c>
      <c r="ER39" t="inlineStr">
        <is>
          <t>move_restart_condition_value</t>
        </is>
      </c>
      <c r="ES39" t="inlineStr">
        <is>
          <t>move_loop_count</t>
        </is>
      </c>
      <c r="ET39" t="inlineStr">
        <is>
          <t>is_summon_unit_outpost_damage_invalidation</t>
        </is>
      </c>
      <c r="EV39" t="inlineStr">
        <is>
          <t>aura_type</t>
        </is>
      </c>
      <c r="EW39" t="inlineStr">
        <is>
          <t>death_type</t>
        </is>
      </c>
      <c r="EX39" t="inlineStr">
        <is>
          <t>enemy_hp_coef</t>
        </is>
      </c>
      <c r="EY39" t="inlineStr">
        <is>
          <t>enemy_attack_coef</t>
        </is>
      </c>
      <c r="EZ39" t="inlineStr">
        <is>
          <t>enemy_speed_coef</t>
        </is>
      </c>
      <c r="FA39" t="inlineStr">
        <is>
          <t>override_drop_battle_point</t>
        </is>
      </c>
      <c r="FB39" t="inlineStr">
        <is>
          <t>defeated_score</t>
        </is>
      </c>
      <c r="FC39" t="inlineStr">
        <is>
          <t>action_delay</t>
        </is>
      </c>
      <c r="FD39" t="inlineStr">
        <is>
          <t>deactivation_condition_type</t>
        </is>
      </c>
      <c r="FE39" t="inlineStr">
        <is>
          <t>deactivation_condition_value</t>
        </is>
      </c>
    </row>
    <row r="40">
      <c r="D40" t="n">
        <v>1</v>
      </c>
      <c r="H40" t="inlineStr">
        <is>
          <t>e_jig_00402_jig1_charaget01_Normal_Colorless</t>
        </is>
      </c>
      <c r="L40" t="inlineStr">
        <is>
          <t>極楽蝶</t>
        </is>
      </c>
      <c r="P40" t="inlineStr">
        <is>
          <t>Normal</t>
        </is>
      </c>
      <c r="R40" t="inlineStr">
        <is>
          <t>Colorless</t>
        </is>
      </c>
      <c r="T40" t="inlineStr">
        <is>
          <t>Defense</t>
        </is>
      </c>
      <c r="V40" t="inlineStr">
        <is>
          <t>Default</t>
        </is>
      </c>
      <c r="X40" t="inlineStr">
        <is>
          <t>Normal</t>
        </is>
      </c>
      <c r="AB40" t="n">
        <v>1000</v>
      </c>
      <c r="AD40" t="n">
        <v>1</v>
      </c>
      <c r="AF40" t="n">
        <v>50</v>
      </c>
      <c r="AH40" t="n">
        <v>0.5</v>
      </c>
      <c r="AJ40" t="n">
        <v>105</v>
      </c>
      <c r="AL40" t="n">
        <v>200</v>
      </c>
      <c r="AN40">
        <f>iferror(AF40*(50/(AJ40+AL40)),"攻撃力に数値を入力")</f>
        <v/>
      </c>
      <c r="AY40" t="inlineStr">
        <is>
          <t>-</t>
        </is>
      </c>
      <c r="BA40" t="inlineStr">
        <is>
          <t>none</t>
        </is>
      </c>
      <c r="BE40" t="n">
        <v>25</v>
      </c>
      <c r="BG40" t="n">
        <v>0.22</v>
      </c>
      <c r="BI40" t="n">
        <v>0</v>
      </c>
      <c r="BK40" t="n">
        <v>0.23</v>
      </c>
      <c r="BM40" t="n">
        <v>100</v>
      </c>
      <c r="BO40" t="n">
        <v>2</v>
      </c>
      <c r="BQ40" t="n">
        <v>50</v>
      </c>
      <c r="BS40" t="n">
        <v>75</v>
      </c>
      <c r="CA40" t="inlineStr">
        <is>
          <t>ElapsedTime</t>
        </is>
      </c>
      <c r="CE40" t="n">
        <v>300</v>
      </c>
      <c r="CG40" t="n">
        <v>200</v>
      </c>
      <c r="CI40" t="n">
        <v>3</v>
      </c>
      <c r="CM40" t="inlineStr">
        <is>
          <t>None</t>
        </is>
      </c>
      <c r="CQ40" t="inlineStr">
        <is>
          <t>None</t>
        </is>
      </c>
      <c r="CW40" t="inlineStr">
        <is>
          <t>None</t>
        </is>
      </c>
      <c r="DC40" t="inlineStr">
        <is>
          <t>None</t>
        </is>
      </c>
      <c r="DK40" t="b">
        <v>0</v>
      </c>
      <c r="DM40" t="inlineStr">
        <is>
          <t>None</t>
        </is>
      </c>
      <c r="EA40">
        <f>B40</f>
        <v/>
      </c>
      <c r="EB40">
        <f>D40</f>
        <v/>
      </c>
      <c r="EC40">
        <f>F40</f>
        <v/>
      </c>
      <c r="ED40">
        <f>CA40</f>
        <v/>
      </c>
      <c r="EE40">
        <f>CE40</f>
        <v/>
      </c>
      <c r="EF40">
        <f>"SummonEnemy"</f>
        <v/>
      </c>
      <c r="EG40">
        <f>H40</f>
        <v/>
      </c>
      <c r="EI40">
        <f>CI40</f>
        <v/>
      </c>
      <c r="EJ40">
        <f>CG40</f>
        <v/>
      </c>
      <c r="EK40">
        <f>CM40</f>
        <v/>
      </c>
      <c r="EL40">
        <f>CO40</f>
        <v/>
      </c>
      <c r="EM40">
        <f>CQ40</f>
        <v/>
      </c>
      <c r="EN40">
        <f>CU40</f>
        <v/>
      </c>
      <c r="EO40">
        <f>CW40</f>
        <v/>
      </c>
      <c r="EP40">
        <f>DA40</f>
        <v/>
      </c>
      <c r="EQ40">
        <f>DC40</f>
        <v/>
      </c>
      <c r="ER40">
        <f>DG40</f>
        <v/>
      </c>
      <c r="ES40">
        <f>DI40</f>
        <v/>
      </c>
      <c r="ET40">
        <f>DK40</f>
        <v/>
      </c>
      <c r="EV40">
        <f>V40</f>
        <v/>
      </c>
      <c r="EW40">
        <f>X40</f>
        <v/>
      </c>
      <c r="EX40">
        <f>AD40</f>
        <v/>
      </c>
      <c r="EY40">
        <f>AH40</f>
        <v/>
      </c>
      <c r="EZ40">
        <f>"1"</f>
        <v/>
      </c>
      <c r="FA40">
        <f>BS40</f>
        <v/>
      </c>
      <c r="FB40" t="n">
        <v>0</v>
      </c>
      <c r="FC40">
        <f>CK40</f>
        <v/>
      </c>
      <c r="FD40">
        <f>DM40</f>
        <v/>
      </c>
    </row>
    <row r="41">
      <c r="D41" t="n">
        <v>2</v>
      </c>
      <c r="H41" t="inlineStr">
        <is>
          <t>e_jig_00402_jig1_charaget01_Normal_Colorless</t>
        </is>
      </c>
      <c r="L41" t="inlineStr">
        <is>
          <t>極楽蝶</t>
        </is>
      </c>
      <c r="P41" t="inlineStr">
        <is>
          <t>Normal</t>
        </is>
      </c>
      <c r="R41" t="inlineStr">
        <is>
          <t>Colorless</t>
        </is>
      </c>
      <c r="T41" t="inlineStr">
        <is>
          <t>Defense</t>
        </is>
      </c>
      <c r="V41" t="inlineStr">
        <is>
          <t>Default</t>
        </is>
      </c>
      <c r="X41" t="inlineStr">
        <is>
          <t>Normal</t>
        </is>
      </c>
      <c r="AB41" t="n">
        <v>1000</v>
      </c>
      <c r="AD41" t="n">
        <v>1</v>
      </c>
      <c r="AF41" t="n">
        <v>50</v>
      </c>
      <c r="AH41" t="n">
        <v>0.5</v>
      </c>
      <c r="AJ41" t="n">
        <v>105</v>
      </c>
      <c r="AL41" t="n">
        <v>200</v>
      </c>
      <c r="AN41">
        <f>iferror(AF41*(50/(AJ41+AL41)),"攻撃力に数値を入力")</f>
        <v/>
      </c>
      <c r="AY41" t="inlineStr">
        <is>
          <t>-</t>
        </is>
      </c>
      <c r="BA41" t="inlineStr">
        <is>
          <t>none</t>
        </is>
      </c>
      <c r="BE41" t="n">
        <v>25</v>
      </c>
      <c r="BG41" t="n">
        <v>0.22</v>
      </c>
      <c r="BI41" t="n">
        <v>0</v>
      </c>
      <c r="BK41" t="n">
        <v>0.23</v>
      </c>
      <c r="BM41" t="n">
        <v>100</v>
      </c>
      <c r="BO41" t="n">
        <v>2</v>
      </c>
      <c r="BQ41" t="n">
        <v>50</v>
      </c>
      <c r="BS41" t="n">
        <v>75</v>
      </c>
      <c r="CA41" t="inlineStr">
        <is>
          <t>FriendUnitDead</t>
        </is>
      </c>
      <c r="CE41" t="n">
        <v>1</v>
      </c>
      <c r="CG41" t="n">
        <v>50</v>
      </c>
      <c r="CI41" t="n">
        <v>2</v>
      </c>
      <c r="CK41" t="n">
        <v>250</v>
      </c>
      <c r="CM41" t="inlineStr">
        <is>
          <t>None</t>
        </is>
      </c>
      <c r="CQ41" t="inlineStr">
        <is>
          <t>None</t>
        </is>
      </c>
      <c r="CW41" t="inlineStr">
        <is>
          <t>None</t>
        </is>
      </c>
      <c r="DC41" t="inlineStr">
        <is>
          <t>None</t>
        </is>
      </c>
      <c r="DK41" t="b">
        <v>0</v>
      </c>
      <c r="DM41" t="inlineStr">
        <is>
          <t>None</t>
        </is>
      </c>
      <c r="EA41">
        <f>B41</f>
        <v/>
      </c>
      <c r="EB41">
        <f>D41</f>
        <v/>
      </c>
      <c r="EC41">
        <f>F41</f>
        <v/>
      </c>
      <c r="ED41">
        <f>CA41</f>
        <v/>
      </c>
      <c r="EE41">
        <f>CE41</f>
        <v/>
      </c>
      <c r="EF41">
        <f>"SummonEnemy"</f>
        <v/>
      </c>
      <c r="EG41">
        <f>H41</f>
        <v/>
      </c>
      <c r="EI41">
        <f>CI41</f>
        <v/>
      </c>
      <c r="EJ41">
        <f>CG41</f>
        <v/>
      </c>
      <c r="EK41">
        <f>CM41</f>
        <v/>
      </c>
      <c r="EL41">
        <f>CO41</f>
        <v/>
      </c>
      <c r="EM41">
        <f>CQ41</f>
        <v/>
      </c>
      <c r="EN41">
        <f>CU41</f>
        <v/>
      </c>
      <c r="EO41">
        <f>CW41</f>
        <v/>
      </c>
      <c r="EP41">
        <f>DA41</f>
        <v/>
      </c>
      <c r="EQ41">
        <f>DC41</f>
        <v/>
      </c>
      <c r="ER41">
        <f>DG41</f>
        <v/>
      </c>
      <c r="ES41">
        <f>DI41</f>
        <v/>
      </c>
      <c r="ET41">
        <f>DK41</f>
        <v/>
      </c>
      <c r="EV41">
        <f>V41</f>
        <v/>
      </c>
      <c r="EW41">
        <f>X41</f>
        <v/>
      </c>
      <c r="EX41">
        <f>AD41</f>
        <v/>
      </c>
      <c r="EY41">
        <f>AH41</f>
        <v/>
      </c>
      <c r="EZ41">
        <f>"1"</f>
        <v/>
      </c>
      <c r="FA41">
        <f>BS41</f>
        <v/>
      </c>
      <c r="FB41" t="n">
        <v>0</v>
      </c>
      <c r="FC41">
        <f>CK41</f>
        <v/>
      </c>
      <c r="FD41">
        <f>DM41</f>
        <v/>
      </c>
    </row>
    <row r="42">
      <c r="D42" t="n">
        <v>3</v>
      </c>
      <c r="H42" t="inlineStr">
        <is>
          <t>e_jig_00402_jig1_charaget01_Normal_Colorless</t>
        </is>
      </c>
      <c r="L42" t="inlineStr">
        <is>
          <t>極楽蝶</t>
        </is>
      </c>
      <c r="P42" t="inlineStr">
        <is>
          <t>Normal</t>
        </is>
      </c>
      <c r="R42" t="inlineStr">
        <is>
          <t>Colorless</t>
        </is>
      </c>
      <c r="T42" t="inlineStr">
        <is>
          <t>Defense</t>
        </is>
      </c>
      <c r="V42" t="inlineStr">
        <is>
          <t>Default</t>
        </is>
      </c>
      <c r="X42" t="inlineStr">
        <is>
          <t>Normal</t>
        </is>
      </c>
      <c r="AB42" t="n">
        <v>1000</v>
      </c>
      <c r="AD42" t="n">
        <v>1</v>
      </c>
      <c r="AF42" t="n">
        <v>50</v>
      </c>
      <c r="AH42" t="n">
        <v>0.5</v>
      </c>
      <c r="AJ42" t="n">
        <v>105</v>
      </c>
      <c r="AL42" t="n">
        <v>200</v>
      </c>
      <c r="AN42">
        <f>iferror(AF42*(50/(AJ42+AL42)),"攻撃力に数値を入力")</f>
        <v/>
      </c>
      <c r="AY42" t="inlineStr">
        <is>
          <t>-</t>
        </is>
      </c>
      <c r="BA42" t="inlineStr">
        <is>
          <t>none</t>
        </is>
      </c>
      <c r="BE42" t="n">
        <v>25</v>
      </c>
      <c r="BG42" t="n">
        <v>0.22</v>
      </c>
      <c r="BI42" t="n">
        <v>0</v>
      </c>
      <c r="BK42" t="n">
        <v>0.23</v>
      </c>
      <c r="BM42" t="n">
        <v>100</v>
      </c>
      <c r="BO42" t="n">
        <v>2</v>
      </c>
      <c r="BQ42" t="n">
        <v>50</v>
      </c>
      <c r="BS42" t="n">
        <v>75</v>
      </c>
      <c r="CA42" t="inlineStr">
        <is>
          <t>OutpostHpPercentage</t>
        </is>
      </c>
      <c r="CE42" t="n">
        <v>99</v>
      </c>
      <c r="CG42" t="n">
        <v>50</v>
      </c>
      <c r="CI42" t="n">
        <v>2</v>
      </c>
      <c r="CM42" t="inlineStr">
        <is>
          <t>None</t>
        </is>
      </c>
      <c r="CQ42" t="inlineStr">
        <is>
          <t>None</t>
        </is>
      </c>
      <c r="CW42" t="inlineStr">
        <is>
          <t>None</t>
        </is>
      </c>
      <c r="DC42" t="inlineStr">
        <is>
          <t>None</t>
        </is>
      </c>
      <c r="DK42" t="b">
        <v>0</v>
      </c>
      <c r="DM42" t="inlineStr">
        <is>
          <t>None</t>
        </is>
      </c>
      <c r="EA42">
        <f>B42</f>
        <v/>
      </c>
      <c r="EB42">
        <f>D42</f>
        <v/>
      </c>
      <c r="EC42">
        <f>F42</f>
        <v/>
      </c>
      <c r="ED42">
        <f>CA42</f>
        <v/>
      </c>
      <c r="EE42">
        <f>CE42</f>
        <v/>
      </c>
      <c r="EF42">
        <f>"SummonEnemy"</f>
        <v/>
      </c>
      <c r="EG42">
        <f>H42</f>
        <v/>
      </c>
      <c r="EI42">
        <f>CI42</f>
        <v/>
      </c>
      <c r="EJ42">
        <f>CG42</f>
        <v/>
      </c>
      <c r="EK42">
        <f>CM42</f>
        <v/>
      </c>
      <c r="EL42">
        <f>CO42</f>
        <v/>
      </c>
      <c r="EM42">
        <f>CQ42</f>
        <v/>
      </c>
      <c r="EN42">
        <f>CU42</f>
        <v/>
      </c>
      <c r="EO42">
        <f>CW42</f>
        <v/>
      </c>
      <c r="EP42">
        <f>DA42</f>
        <v/>
      </c>
      <c r="EQ42">
        <f>DC42</f>
        <v/>
      </c>
      <c r="ER42">
        <f>DG42</f>
        <v/>
      </c>
      <c r="ES42">
        <f>DI42</f>
        <v/>
      </c>
      <c r="ET42">
        <f>DK42</f>
        <v/>
      </c>
      <c r="EV42">
        <f>V42</f>
        <v/>
      </c>
      <c r="EW42">
        <f>X42</f>
        <v/>
      </c>
      <c r="EX42">
        <f>AD42</f>
        <v/>
      </c>
      <c r="EY42">
        <f>AH42</f>
        <v/>
      </c>
      <c r="EZ42">
        <f>"1"</f>
        <v/>
      </c>
      <c r="FA42">
        <f>BS42</f>
        <v/>
      </c>
      <c r="FB42" t="n">
        <v>0</v>
      </c>
      <c r="FC42">
        <f>CK42</f>
        <v/>
      </c>
      <c r="FD42">
        <f>DM42</f>
        <v/>
      </c>
    </row>
    <row r="43">
      <c r="D43" t="n">
        <v>4</v>
      </c>
      <c r="H43" t="inlineStr">
        <is>
          <t>e_jig_00401_jig1_charaget01_Normal_Green</t>
        </is>
      </c>
      <c r="L43" t="inlineStr">
        <is>
          <t>極楽蝶</t>
        </is>
      </c>
      <c r="P43" t="inlineStr">
        <is>
          <t>Normal</t>
        </is>
      </c>
      <c r="R43" t="inlineStr">
        <is>
          <t>Green</t>
        </is>
      </c>
      <c r="T43" t="inlineStr">
        <is>
          <t>Technical</t>
        </is>
      </c>
      <c r="V43" t="inlineStr">
        <is>
          <t>Default</t>
        </is>
      </c>
      <c r="X43" t="inlineStr">
        <is>
          <t>Normal</t>
        </is>
      </c>
      <c r="AB43" t="n">
        <v>6000</v>
      </c>
      <c r="AD43" t="n">
        <v>6</v>
      </c>
      <c r="AF43" t="n">
        <v>200</v>
      </c>
      <c r="AH43" t="n">
        <v>2</v>
      </c>
      <c r="AJ43" t="n">
        <v>65</v>
      </c>
      <c r="AL43" t="n">
        <v>125</v>
      </c>
      <c r="AN43">
        <f>iferror(AF43*(50/(AJ43+AL43)),"攻撃力に数値を入力")</f>
        <v/>
      </c>
      <c r="AP43" t="inlineStr">
        <is>
          <t>100%の確率で6秒間1%の毒にする</t>
        </is>
      </c>
      <c r="AY43" t="inlineStr">
        <is>
          <t>-</t>
        </is>
      </c>
      <c r="BA43" t="inlineStr">
        <is>
          <t>none</t>
        </is>
      </c>
      <c r="BE43" t="n">
        <v>33</v>
      </c>
      <c r="BG43" t="n">
        <v>0.24</v>
      </c>
      <c r="BI43" t="n">
        <v>0</v>
      </c>
      <c r="BK43" t="n">
        <v>0.25</v>
      </c>
      <c r="BM43" t="n">
        <v>1</v>
      </c>
      <c r="BO43" t="n">
        <v>2</v>
      </c>
      <c r="BQ43" t="n">
        <v>50</v>
      </c>
      <c r="BS43" t="n">
        <v>100</v>
      </c>
      <c r="CA43" t="inlineStr">
        <is>
          <t>ElapsedTime</t>
        </is>
      </c>
      <c r="CE43" t="n">
        <v>350</v>
      </c>
      <c r="CG43" t="n">
        <v>50</v>
      </c>
      <c r="CI43" t="n">
        <v>2</v>
      </c>
      <c r="CM43" t="inlineStr">
        <is>
          <t>None</t>
        </is>
      </c>
      <c r="CQ43" t="inlineStr">
        <is>
          <t>None</t>
        </is>
      </c>
      <c r="CW43" t="inlineStr">
        <is>
          <t>None</t>
        </is>
      </c>
      <c r="DC43" t="inlineStr">
        <is>
          <t>None</t>
        </is>
      </c>
      <c r="DK43" t="b">
        <v>0</v>
      </c>
      <c r="DM43" t="inlineStr">
        <is>
          <t>None</t>
        </is>
      </c>
      <c r="EA43">
        <f>B43</f>
        <v/>
      </c>
      <c r="EB43">
        <f>D43</f>
        <v/>
      </c>
      <c r="EC43">
        <f>F43</f>
        <v/>
      </c>
      <c r="ED43">
        <f>CA43</f>
        <v/>
      </c>
      <c r="EE43">
        <f>CE43</f>
        <v/>
      </c>
      <c r="EF43">
        <f>"SummonEnemy"</f>
        <v/>
      </c>
      <c r="EG43">
        <f>H43</f>
        <v/>
      </c>
      <c r="EI43">
        <f>CI43</f>
        <v/>
      </c>
      <c r="EJ43">
        <f>CG43</f>
        <v/>
      </c>
      <c r="EK43">
        <f>CM43</f>
        <v/>
      </c>
      <c r="EL43">
        <f>CO43</f>
        <v/>
      </c>
      <c r="EM43">
        <f>CQ43</f>
        <v/>
      </c>
      <c r="EN43">
        <f>CU43</f>
        <v/>
      </c>
      <c r="EO43">
        <f>CW43</f>
        <v/>
      </c>
      <c r="EP43">
        <f>DA43</f>
        <v/>
      </c>
      <c r="EQ43">
        <f>DC43</f>
        <v/>
      </c>
      <c r="ER43">
        <f>DG43</f>
        <v/>
      </c>
      <c r="ES43">
        <f>DI43</f>
        <v/>
      </c>
      <c r="ET43">
        <f>DK43</f>
        <v/>
      </c>
      <c r="EV43">
        <f>V43</f>
        <v/>
      </c>
      <c r="EW43">
        <f>X43</f>
        <v/>
      </c>
      <c r="EX43">
        <f>AD43</f>
        <v/>
      </c>
      <c r="EY43">
        <f>AH43</f>
        <v/>
      </c>
      <c r="EZ43">
        <f>"1"</f>
        <v/>
      </c>
      <c r="FA43">
        <f>BS43</f>
        <v/>
      </c>
      <c r="FB43" t="n">
        <v>0</v>
      </c>
      <c r="FC43">
        <f>CK43</f>
        <v/>
      </c>
      <c r="FD43">
        <f>DM43</f>
        <v/>
      </c>
    </row>
    <row r="44">
      <c r="D44" t="n">
        <v>5</v>
      </c>
      <c r="H44" t="inlineStr">
        <is>
          <t>e_jig_00401_jig1_charaget01_Normal_Green</t>
        </is>
      </c>
      <c r="L44" t="inlineStr">
        <is>
          <t>極楽蝶</t>
        </is>
      </c>
      <c r="P44" t="inlineStr">
        <is>
          <t>Normal</t>
        </is>
      </c>
      <c r="R44" t="inlineStr">
        <is>
          <t>Green</t>
        </is>
      </c>
      <c r="T44" t="inlineStr">
        <is>
          <t>Technical</t>
        </is>
      </c>
      <c r="V44" t="inlineStr">
        <is>
          <t>Default</t>
        </is>
      </c>
      <c r="X44" t="inlineStr">
        <is>
          <t>Normal</t>
        </is>
      </c>
      <c r="AB44" t="n">
        <v>6000</v>
      </c>
      <c r="AD44" t="n">
        <v>6</v>
      </c>
      <c r="AF44" t="n">
        <v>200</v>
      </c>
      <c r="AH44" t="n">
        <v>2</v>
      </c>
      <c r="AJ44" t="n">
        <v>65</v>
      </c>
      <c r="AL44" t="n">
        <v>125</v>
      </c>
      <c r="AN44">
        <f>iferror(AF44*(50/(AJ44+AL44)),"攻撃力に数値を入力")</f>
        <v/>
      </c>
      <c r="AP44" t="inlineStr">
        <is>
          <t>100%の確率で6秒間1%の毒にする</t>
        </is>
      </c>
      <c r="AY44" t="inlineStr">
        <is>
          <t>-</t>
        </is>
      </c>
      <c r="BA44" t="inlineStr">
        <is>
          <t>none</t>
        </is>
      </c>
      <c r="BE44" t="n">
        <v>33</v>
      </c>
      <c r="BG44" t="n">
        <v>0.24</v>
      </c>
      <c r="BI44" t="n">
        <v>0</v>
      </c>
      <c r="BK44" t="n">
        <v>0.25</v>
      </c>
      <c r="BM44" t="n">
        <v>1</v>
      </c>
      <c r="BO44" t="n">
        <v>2</v>
      </c>
      <c r="BQ44" t="n">
        <v>50</v>
      </c>
      <c r="BS44" t="n">
        <v>100</v>
      </c>
      <c r="CA44" t="inlineStr">
        <is>
          <t>ElapsedTime</t>
        </is>
      </c>
      <c r="CE44" t="n">
        <v>99</v>
      </c>
      <c r="CG44" t="n">
        <v>50</v>
      </c>
      <c r="CI44" t="n">
        <v>1</v>
      </c>
      <c r="CM44" t="inlineStr">
        <is>
          <t>None</t>
        </is>
      </c>
      <c r="CQ44" t="inlineStr">
        <is>
          <t>None</t>
        </is>
      </c>
      <c r="CW44" t="inlineStr">
        <is>
          <t>None</t>
        </is>
      </c>
      <c r="DC44" t="inlineStr">
        <is>
          <t>None</t>
        </is>
      </c>
      <c r="DK44" t="b">
        <v>0</v>
      </c>
      <c r="DM44" t="inlineStr">
        <is>
          <t>None</t>
        </is>
      </c>
      <c r="EA44">
        <f>B44</f>
        <v/>
      </c>
      <c r="EB44">
        <f>D44</f>
        <v/>
      </c>
      <c r="EC44">
        <f>F44</f>
        <v/>
      </c>
      <c r="ED44">
        <f>CA44</f>
        <v/>
      </c>
      <c r="EE44">
        <f>CE44</f>
        <v/>
      </c>
      <c r="EF44">
        <f>"SummonEnemy"</f>
        <v/>
      </c>
      <c r="EG44">
        <f>H44</f>
        <v/>
      </c>
      <c r="EI44">
        <f>CI44</f>
        <v/>
      </c>
      <c r="EJ44">
        <f>CG44</f>
        <v/>
      </c>
      <c r="EK44">
        <f>CM44</f>
        <v/>
      </c>
      <c r="EL44">
        <f>CO44</f>
        <v/>
      </c>
      <c r="EM44">
        <f>CQ44</f>
        <v/>
      </c>
      <c r="EN44">
        <f>CU44</f>
        <v/>
      </c>
      <c r="EO44">
        <f>CW44</f>
        <v/>
      </c>
      <c r="EP44">
        <f>DA44</f>
        <v/>
      </c>
      <c r="EQ44">
        <f>DC44</f>
        <v/>
      </c>
      <c r="ER44">
        <f>DG44</f>
        <v/>
      </c>
      <c r="ES44">
        <f>DI44</f>
        <v/>
      </c>
      <c r="ET44">
        <f>DK44</f>
        <v/>
      </c>
      <c r="EV44">
        <f>V44</f>
        <v/>
      </c>
      <c r="EW44">
        <f>X44</f>
        <v/>
      </c>
      <c r="EX44">
        <f>AD44</f>
        <v/>
      </c>
      <c r="EY44">
        <f>AH44</f>
        <v/>
      </c>
      <c r="EZ44">
        <f>"1"</f>
        <v/>
      </c>
      <c r="FA44">
        <f>BS44</f>
        <v/>
      </c>
      <c r="FB44" t="n">
        <v>0</v>
      </c>
      <c r="FC44">
        <f>CK44</f>
        <v/>
      </c>
      <c r="FD44">
        <f>DM44</f>
        <v/>
      </c>
    </row>
    <row r="45">
      <c r="L45" t="inlineStr">
        <is>
          <t>none</t>
        </is>
      </c>
      <c r="P45" t="inlineStr">
        <is>
          <t>none</t>
        </is>
      </c>
      <c r="R45" t="inlineStr">
        <is>
          <t>none</t>
        </is>
      </c>
      <c r="T45" t="inlineStr">
        <is>
          <t>none</t>
        </is>
      </c>
      <c r="V45" t="inlineStr">
        <is>
          <t>Default</t>
        </is>
      </c>
      <c r="X45" t="inlineStr">
        <is>
          <t>Normal</t>
        </is>
      </c>
      <c r="AB45" t="inlineStr">
        <is>
          <t>none</t>
        </is>
      </c>
      <c r="AD45" t="n">
        <v>1</v>
      </c>
      <c r="AF45" t="inlineStr">
        <is>
          <t>none</t>
        </is>
      </c>
      <c r="AH45" t="n">
        <v>1</v>
      </c>
      <c r="AJ45" t="inlineStr">
        <is>
          <t>none</t>
        </is>
      </c>
      <c r="AL45" t="inlineStr">
        <is>
          <t>none</t>
        </is>
      </c>
      <c r="AN45">
        <f>iferror(AF45*(50/(AJ45+AL45)),"攻撃力に数値を入力")</f>
        <v/>
      </c>
      <c r="AP45" t="inlineStr">
        <is>
          <t>none</t>
        </is>
      </c>
      <c r="AT45" t="inlineStr">
        <is>
          <t>none</t>
        </is>
      </c>
      <c r="AY45" t="inlineStr">
        <is>
          <t>none</t>
        </is>
      </c>
      <c r="BA45" t="inlineStr">
        <is>
          <t>none</t>
        </is>
      </c>
      <c r="BC45" t="inlineStr">
        <is>
          <t>none</t>
        </is>
      </c>
      <c r="BE45" t="inlineStr">
        <is>
          <t>none</t>
        </is>
      </c>
      <c r="BG45" t="inlineStr">
        <is>
          <t>none</t>
        </is>
      </c>
      <c r="BI45" t="inlineStr">
        <is>
          <t>none</t>
        </is>
      </c>
      <c r="BK45" t="inlineStr">
        <is>
          <t>none</t>
        </is>
      </c>
      <c r="BM45" t="inlineStr">
        <is>
          <t>none</t>
        </is>
      </c>
      <c r="BO45" t="inlineStr">
        <is>
          <t>none</t>
        </is>
      </c>
      <c r="BQ45" t="inlineStr">
        <is>
          <t>none</t>
        </is>
      </c>
      <c r="CA45" t="inlineStr">
        <is>
          <t>未入力</t>
        </is>
      </c>
      <c r="CM45" t="inlineStr">
        <is>
          <t>None</t>
        </is>
      </c>
      <c r="CQ45" t="inlineStr">
        <is>
          <t>None</t>
        </is>
      </c>
      <c r="CW45" t="inlineStr">
        <is>
          <t>None</t>
        </is>
      </c>
      <c r="DC45" t="inlineStr">
        <is>
          <t>None</t>
        </is>
      </c>
      <c r="DK45" t="b">
        <v>0</v>
      </c>
      <c r="DM45" t="inlineStr">
        <is>
          <t>None</t>
        </is>
      </c>
      <c r="EA45">
        <f>B45</f>
        <v/>
      </c>
      <c r="EB45">
        <f>D45</f>
        <v/>
      </c>
      <c r="EC45">
        <f>F45</f>
        <v/>
      </c>
      <c r="ED45">
        <f>CA45</f>
        <v/>
      </c>
      <c r="EE45">
        <f>CE45</f>
        <v/>
      </c>
      <c r="EF45">
        <f>"SummonEnemy"</f>
        <v/>
      </c>
      <c r="EG45">
        <f>H45</f>
        <v/>
      </c>
      <c r="EI45">
        <f>CI45</f>
        <v/>
      </c>
      <c r="EJ45">
        <f>CG45</f>
        <v/>
      </c>
      <c r="EK45">
        <f>CM45</f>
        <v/>
      </c>
      <c r="EL45">
        <f>CO45</f>
        <v/>
      </c>
      <c r="EM45">
        <f>CQ45</f>
        <v/>
      </c>
      <c r="EN45">
        <f>CU45</f>
        <v/>
      </c>
      <c r="EO45">
        <f>CW45</f>
        <v/>
      </c>
      <c r="EP45">
        <f>DA45</f>
        <v/>
      </c>
      <c r="EQ45">
        <f>DC45</f>
        <v/>
      </c>
      <c r="ER45">
        <f>DG45</f>
        <v/>
      </c>
      <c r="ES45">
        <f>DI45</f>
        <v/>
      </c>
      <c r="ET45">
        <f>DK45</f>
        <v/>
      </c>
      <c r="EV45">
        <f>V45</f>
        <v/>
      </c>
      <c r="EW45">
        <f>X45</f>
        <v/>
      </c>
      <c r="EX45">
        <f>AD45</f>
        <v/>
      </c>
      <c r="EY45">
        <f>AH45</f>
        <v/>
      </c>
      <c r="EZ45">
        <f>"1"</f>
        <v/>
      </c>
      <c r="FA45">
        <f>BS45</f>
        <v/>
      </c>
      <c r="FB45" t="n">
        <v>0</v>
      </c>
      <c r="FC45">
        <f>CK45</f>
        <v/>
      </c>
      <c r="FD45">
        <f>DM45</f>
        <v/>
      </c>
    </row>
    <row r="46">
      <c r="L46" t="inlineStr">
        <is>
          <t>none</t>
        </is>
      </c>
      <c r="P46" t="inlineStr">
        <is>
          <t>none</t>
        </is>
      </c>
      <c r="R46" t="inlineStr">
        <is>
          <t>none</t>
        </is>
      </c>
      <c r="T46" t="inlineStr">
        <is>
          <t>none</t>
        </is>
      </c>
      <c r="V46" t="inlineStr">
        <is>
          <t>Default</t>
        </is>
      </c>
      <c r="X46" t="inlineStr">
        <is>
          <t>Normal</t>
        </is>
      </c>
      <c r="AB46" t="inlineStr">
        <is>
          <t>none</t>
        </is>
      </c>
      <c r="AD46" t="n">
        <v>1</v>
      </c>
      <c r="AF46" t="inlineStr">
        <is>
          <t>none</t>
        </is>
      </c>
      <c r="AH46" t="n">
        <v>1</v>
      </c>
      <c r="AJ46" t="inlineStr">
        <is>
          <t>none</t>
        </is>
      </c>
      <c r="AL46" t="inlineStr">
        <is>
          <t>none</t>
        </is>
      </c>
      <c r="AN46">
        <f>iferror(AF46*(50/(AJ46+AL46)),"攻撃力に数値を入力")</f>
        <v/>
      </c>
      <c r="AP46" t="inlineStr">
        <is>
          <t>none</t>
        </is>
      </c>
      <c r="AT46" t="inlineStr">
        <is>
          <t>none</t>
        </is>
      </c>
      <c r="AY46" t="inlineStr">
        <is>
          <t>none</t>
        </is>
      </c>
      <c r="BA46" t="inlineStr">
        <is>
          <t>none</t>
        </is>
      </c>
      <c r="BC46" t="inlineStr">
        <is>
          <t>none</t>
        </is>
      </c>
      <c r="BE46" t="inlineStr">
        <is>
          <t>none</t>
        </is>
      </c>
      <c r="BG46" t="inlineStr">
        <is>
          <t>none</t>
        </is>
      </c>
      <c r="BI46" t="inlineStr">
        <is>
          <t>none</t>
        </is>
      </c>
      <c r="BK46" t="inlineStr">
        <is>
          <t>none</t>
        </is>
      </c>
      <c r="BM46" t="inlineStr">
        <is>
          <t>none</t>
        </is>
      </c>
      <c r="BO46" t="inlineStr">
        <is>
          <t>none</t>
        </is>
      </c>
      <c r="BQ46" t="inlineStr">
        <is>
          <t>none</t>
        </is>
      </c>
      <c r="CA46" t="inlineStr">
        <is>
          <t>未入力</t>
        </is>
      </c>
      <c r="CM46" t="inlineStr">
        <is>
          <t>None</t>
        </is>
      </c>
      <c r="CQ46" t="inlineStr">
        <is>
          <t>None</t>
        </is>
      </c>
      <c r="CW46" t="inlineStr">
        <is>
          <t>None</t>
        </is>
      </c>
      <c r="DC46" t="inlineStr">
        <is>
          <t>None</t>
        </is>
      </c>
      <c r="DK46" t="b">
        <v>0</v>
      </c>
      <c r="DM46" t="inlineStr">
        <is>
          <t>None</t>
        </is>
      </c>
      <c r="EA46">
        <f>B46</f>
        <v/>
      </c>
      <c r="EB46">
        <f>D46</f>
        <v/>
      </c>
      <c r="EC46">
        <f>F46</f>
        <v/>
      </c>
      <c r="ED46">
        <f>CA46</f>
        <v/>
      </c>
      <c r="EE46">
        <f>CE46</f>
        <v/>
      </c>
      <c r="EF46">
        <f>"SummonEnemy"</f>
        <v/>
      </c>
      <c r="EG46">
        <f>H46</f>
        <v/>
      </c>
      <c r="EI46">
        <f>CI46</f>
        <v/>
      </c>
      <c r="EJ46">
        <f>CG46</f>
        <v/>
      </c>
      <c r="EK46">
        <f>CM46</f>
        <v/>
      </c>
      <c r="EL46">
        <f>CO46</f>
        <v/>
      </c>
      <c r="EM46">
        <f>CQ46</f>
        <v/>
      </c>
      <c r="EN46">
        <f>CU46</f>
        <v/>
      </c>
      <c r="EO46">
        <f>CW46</f>
        <v/>
      </c>
      <c r="EP46">
        <f>DA46</f>
        <v/>
      </c>
      <c r="EQ46">
        <f>DC46</f>
        <v/>
      </c>
      <c r="ER46">
        <f>DG46</f>
        <v/>
      </c>
      <c r="ES46">
        <f>DI46</f>
        <v/>
      </c>
      <c r="ET46">
        <f>DK46</f>
        <v/>
      </c>
      <c r="EV46">
        <f>V46</f>
        <v/>
      </c>
      <c r="EW46">
        <f>X46</f>
        <v/>
      </c>
      <c r="EX46">
        <f>AD46</f>
        <v/>
      </c>
      <c r="EY46">
        <f>AH46</f>
        <v/>
      </c>
      <c r="EZ46">
        <f>"1"</f>
        <v/>
      </c>
      <c r="FA46">
        <f>BS46</f>
        <v/>
      </c>
      <c r="FB46" t="n">
        <v>0</v>
      </c>
      <c r="FC46">
        <f>CK46</f>
        <v/>
      </c>
      <c r="FD46">
        <f>DM46</f>
        <v/>
      </c>
    </row>
    <row r="47">
      <c r="L47" t="inlineStr">
        <is>
          <t>none</t>
        </is>
      </c>
      <c r="P47" t="inlineStr">
        <is>
          <t>none</t>
        </is>
      </c>
      <c r="R47" t="inlineStr">
        <is>
          <t>none</t>
        </is>
      </c>
      <c r="T47" t="inlineStr">
        <is>
          <t>none</t>
        </is>
      </c>
      <c r="V47" t="inlineStr">
        <is>
          <t>Default</t>
        </is>
      </c>
      <c r="X47" t="inlineStr">
        <is>
          <t>Normal</t>
        </is>
      </c>
      <c r="AB47" t="inlineStr">
        <is>
          <t>none</t>
        </is>
      </c>
      <c r="AD47" t="n">
        <v>1</v>
      </c>
      <c r="AF47" t="inlineStr">
        <is>
          <t>none</t>
        </is>
      </c>
      <c r="AH47" t="n">
        <v>1</v>
      </c>
      <c r="AJ47" t="inlineStr">
        <is>
          <t>none</t>
        </is>
      </c>
      <c r="AL47" t="inlineStr">
        <is>
          <t>none</t>
        </is>
      </c>
      <c r="AN47">
        <f>iferror(AF47*(50/(AJ47+AL47)),"攻撃力に数値を入力")</f>
        <v/>
      </c>
      <c r="AP47" t="inlineStr">
        <is>
          <t>none</t>
        </is>
      </c>
      <c r="AT47" t="inlineStr">
        <is>
          <t>none</t>
        </is>
      </c>
      <c r="AY47" t="inlineStr">
        <is>
          <t>none</t>
        </is>
      </c>
      <c r="BA47" t="inlineStr">
        <is>
          <t>none</t>
        </is>
      </c>
      <c r="BC47" t="inlineStr">
        <is>
          <t>none</t>
        </is>
      </c>
      <c r="BE47" t="inlineStr">
        <is>
          <t>none</t>
        </is>
      </c>
      <c r="BG47" t="inlineStr">
        <is>
          <t>none</t>
        </is>
      </c>
      <c r="BI47" t="inlineStr">
        <is>
          <t>none</t>
        </is>
      </c>
      <c r="BK47" t="inlineStr">
        <is>
          <t>none</t>
        </is>
      </c>
      <c r="BM47" t="inlineStr">
        <is>
          <t>none</t>
        </is>
      </c>
      <c r="BO47" t="inlineStr">
        <is>
          <t>none</t>
        </is>
      </c>
      <c r="BQ47" t="inlineStr">
        <is>
          <t>none</t>
        </is>
      </c>
      <c r="CA47" t="inlineStr">
        <is>
          <t>未入力</t>
        </is>
      </c>
      <c r="CM47" t="inlineStr">
        <is>
          <t>None</t>
        </is>
      </c>
      <c r="CQ47" t="inlineStr">
        <is>
          <t>None</t>
        </is>
      </c>
      <c r="CW47" t="inlineStr">
        <is>
          <t>None</t>
        </is>
      </c>
      <c r="DC47" t="inlineStr">
        <is>
          <t>None</t>
        </is>
      </c>
      <c r="DK47" t="b">
        <v>0</v>
      </c>
      <c r="DM47" t="inlineStr">
        <is>
          <t>None</t>
        </is>
      </c>
      <c r="EA47">
        <f>B47</f>
        <v/>
      </c>
      <c r="EB47">
        <f>D47</f>
        <v/>
      </c>
      <c r="EC47">
        <f>F47</f>
        <v/>
      </c>
      <c r="ED47">
        <f>CA47</f>
        <v/>
      </c>
      <c r="EE47">
        <f>CE47</f>
        <v/>
      </c>
      <c r="EF47">
        <f>"SummonEnemy"</f>
        <v/>
      </c>
      <c r="EG47">
        <f>H47</f>
        <v/>
      </c>
      <c r="EI47">
        <f>CI47</f>
        <v/>
      </c>
      <c r="EJ47">
        <f>CG47</f>
        <v/>
      </c>
      <c r="EK47">
        <f>CM47</f>
        <v/>
      </c>
      <c r="EL47">
        <f>CO47</f>
        <v/>
      </c>
      <c r="EM47">
        <f>CQ47</f>
        <v/>
      </c>
      <c r="EN47">
        <f>CU47</f>
        <v/>
      </c>
      <c r="EO47">
        <f>CW47</f>
        <v/>
      </c>
      <c r="EP47">
        <f>DA47</f>
        <v/>
      </c>
      <c r="EQ47">
        <f>DC47</f>
        <v/>
      </c>
      <c r="ER47">
        <f>DG47</f>
        <v/>
      </c>
      <c r="ES47">
        <f>DI47</f>
        <v/>
      </c>
      <c r="ET47">
        <f>DK47</f>
        <v/>
      </c>
      <c r="EV47">
        <f>V47</f>
        <v/>
      </c>
      <c r="EW47">
        <f>X47</f>
        <v/>
      </c>
      <c r="EX47">
        <f>AD47</f>
        <v/>
      </c>
      <c r="EY47">
        <f>AH47</f>
        <v/>
      </c>
      <c r="EZ47">
        <f>"1"</f>
        <v/>
      </c>
      <c r="FA47">
        <f>BS47</f>
        <v/>
      </c>
      <c r="FB47" t="n">
        <v>0</v>
      </c>
      <c r="FC47">
        <f>CK47</f>
        <v/>
      </c>
      <c r="FD47">
        <f>DM47</f>
        <v/>
      </c>
    </row>
    <row r="48">
      <c r="L48" t="inlineStr">
        <is>
          <t>none</t>
        </is>
      </c>
      <c r="P48" t="inlineStr">
        <is>
          <t>none</t>
        </is>
      </c>
      <c r="R48" t="inlineStr">
        <is>
          <t>none</t>
        </is>
      </c>
      <c r="T48" t="inlineStr">
        <is>
          <t>none</t>
        </is>
      </c>
      <c r="V48" t="inlineStr">
        <is>
          <t>Default</t>
        </is>
      </c>
      <c r="X48" t="inlineStr">
        <is>
          <t>Normal</t>
        </is>
      </c>
      <c r="AB48" t="inlineStr">
        <is>
          <t>none</t>
        </is>
      </c>
      <c r="AD48" t="n">
        <v>1</v>
      </c>
      <c r="AF48" t="inlineStr">
        <is>
          <t>none</t>
        </is>
      </c>
      <c r="AH48" t="n">
        <v>1</v>
      </c>
      <c r="AJ48" t="inlineStr">
        <is>
          <t>none</t>
        </is>
      </c>
      <c r="AL48" t="inlineStr">
        <is>
          <t>none</t>
        </is>
      </c>
      <c r="AN48">
        <f>iferror(AF48*(50/(AJ48+AL48)),"攻撃力に数値を入力")</f>
        <v/>
      </c>
      <c r="AP48" t="inlineStr">
        <is>
          <t>none</t>
        </is>
      </c>
      <c r="AT48" t="inlineStr">
        <is>
          <t>none</t>
        </is>
      </c>
      <c r="AY48" t="inlineStr">
        <is>
          <t>none</t>
        </is>
      </c>
      <c r="BA48" t="inlineStr">
        <is>
          <t>none</t>
        </is>
      </c>
      <c r="BC48" t="inlineStr">
        <is>
          <t>none</t>
        </is>
      </c>
      <c r="BE48" t="inlineStr">
        <is>
          <t>none</t>
        </is>
      </c>
      <c r="BG48" t="inlineStr">
        <is>
          <t>none</t>
        </is>
      </c>
      <c r="BI48" t="inlineStr">
        <is>
          <t>none</t>
        </is>
      </c>
      <c r="BK48" t="inlineStr">
        <is>
          <t>none</t>
        </is>
      </c>
      <c r="BM48" t="inlineStr">
        <is>
          <t>none</t>
        </is>
      </c>
      <c r="BO48" t="inlineStr">
        <is>
          <t>none</t>
        </is>
      </c>
      <c r="BQ48" t="inlineStr">
        <is>
          <t>none</t>
        </is>
      </c>
      <c r="CA48" t="inlineStr">
        <is>
          <t>未入力</t>
        </is>
      </c>
      <c r="CM48" t="inlineStr">
        <is>
          <t>None</t>
        </is>
      </c>
      <c r="CQ48" t="inlineStr">
        <is>
          <t>None</t>
        </is>
      </c>
      <c r="CW48" t="inlineStr">
        <is>
          <t>None</t>
        </is>
      </c>
      <c r="DC48" t="inlineStr">
        <is>
          <t>None</t>
        </is>
      </c>
      <c r="DK48" t="b">
        <v>0</v>
      </c>
      <c r="DM48" t="inlineStr">
        <is>
          <t>None</t>
        </is>
      </c>
      <c r="EA48">
        <f>B48</f>
        <v/>
      </c>
      <c r="EB48">
        <f>D48</f>
        <v/>
      </c>
      <c r="EC48">
        <f>F48</f>
        <v/>
      </c>
      <c r="ED48">
        <f>CA48</f>
        <v/>
      </c>
      <c r="EE48">
        <f>CE48</f>
        <v/>
      </c>
      <c r="EF48">
        <f>"SummonEnemy"</f>
        <v/>
      </c>
      <c r="EG48">
        <f>H48</f>
        <v/>
      </c>
      <c r="EI48">
        <f>CI48</f>
        <v/>
      </c>
      <c r="EJ48">
        <f>CG48</f>
        <v/>
      </c>
      <c r="EK48">
        <f>CM48</f>
        <v/>
      </c>
      <c r="EL48">
        <f>CO48</f>
        <v/>
      </c>
      <c r="EM48">
        <f>CQ48</f>
        <v/>
      </c>
      <c r="EN48">
        <f>CU48</f>
        <v/>
      </c>
      <c r="EO48">
        <f>CW48</f>
        <v/>
      </c>
      <c r="EP48">
        <f>DA48</f>
        <v/>
      </c>
      <c r="EQ48">
        <f>DC48</f>
        <v/>
      </c>
      <c r="ER48">
        <f>DG48</f>
        <v/>
      </c>
      <c r="ES48">
        <f>DI48</f>
        <v/>
      </c>
      <c r="ET48">
        <f>DK48</f>
        <v/>
      </c>
      <c r="EV48">
        <f>V48</f>
        <v/>
      </c>
      <c r="EW48">
        <f>X48</f>
        <v/>
      </c>
      <c r="EX48">
        <f>AD48</f>
        <v/>
      </c>
      <c r="EY48">
        <f>AH48</f>
        <v/>
      </c>
      <c r="EZ48">
        <f>"1"</f>
        <v/>
      </c>
      <c r="FA48">
        <f>BS48</f>
        <v/>
      </c>
      <c r="FB48" t="n">
        <v>0</v>
      </c>
      <c r="FC48">
        <f>CK48</f>
        <v/>
      </c>
      <c r="FD48">
        <f>DM48</f>
        <v/>
      </c>
    </row>
    <row r="49">
      <c r="L49" t="inlineStr">
        <is>
          <t>none</t>
        </is>
      </c>
      <c r="P49" t="inlineStr">
        <is>
          <t>none</t>
        </is>
      </c>
      <c r="R49" t="inlineStr">
        <is>
          <t>none</t>
        </is>
      </c>
      <c r="T49" t="inlineStr">
        <is>
          <t>none</t>
        </is>
      </c>
      <c r="V49" t="inlineStr">
        <is>
          <t>Default</t>
        </is>
      </c>
      <c r="X49" t="inlineStr">
        <is>
          <t>Normal</t>
        </is>
      </c>
      <c r="AB49" t="inlineStr">
        <is>
          <t>none</t>
        </is>
      </c>
      <c r="AD49" t="n">
        <v>1</v>
      </c>
      <c r="AF49" t="inlineStr">
        <is>
          <t>none</t>
        </is>
      </c>
      <c r="AH49" t="n">
        <v>1</v>
      </c>
      <c r="AJ49" t="inlineStr">
        <is>
          <t>none</t>
        </is>
      </c>
      <c r="AL49" t="inlineStr">
        <is>
          <t>none</t>
        </is>
      </c>
      <c r="AN49">
        <f>iferror(AF49*(50/(AJ49+AL49)),"攻撃力に数値を入力")</f>
        <v/>
      </c>
      <c r="AP49" t="inlineStr">
        <is>
          <t>none</t>
        </is>
      </c>
      <c r="AT49" t="inlineStr">
        <is>
          <t>none</t>
        </is>
      </c>
      <c r="AY49" t="inlineStr">
        <is>
          <t>none</t>
        </is>
      </c>
      <c r="BA49" t="inlineStr">
        <is>
          <t>none</t>
        </is>
      </c>
      <c r="BC49" t="inlineStr">
        <is>
          <t>none</t>
        </is>
      </c>
      <c r="BE49" t="inlineStr">
        <is>
          <t>none</t>
        </is>
      </c>
      <c r="BG49" t="inlineStr">
        <is>
          <t>none</t>
        </is>
      </c>
      <c r="BI49" t="inlineStr">
        <is>
          <t>none</t>
        </is>
      </c>
      <c r="BK49" t="inlineStr">
        <is>
          <t>none</t>
        </is>
      </c>
      <c r="BM49" t="inlineStr">
        <is>
          <t>none</t>
        </is>
      </c>
      <c r="BO49" t="inlineStr">
        <is>
          <t>none</t>
        </is>
      </c>
      <c r="BQ49" t="inlineStr">
        <is>
          <t>none</t>
        </is>
      </c>
      <c r="CA49" t="inlineStr">
        <is>
          <t>未入力</t>
        </is>
      </c>
      <c r="CM49" t="inlineStr">
        <is>
          <t>None</t>
        </is>
      </c>
      <c r="CQ49" t="inlineStr">
        <is>
          <t>None</t>
        </is>
      </c>
      <c r="CW49" t="inlineStr">
        <is>
          <t>None</t>
        </is>
      </c>
      <c r="DC49" t="inlineStr">
        <is>
          <t>None</t>
        </is>
      </c>
      <c r="DK49" t="b">
        <v>0</v>
      </c>
      <c r="DM49" t="inlineStr">
        <is>
          <t>None</t>
        </is>
      </c>
      <c r="EA49">
        <f>B49</f>
        <v/>
      </c>
      <c r="EB49">
        <f>D49</f>
        <v/>
      </c>
      <c r="EC49">
        <f>F49</f>
        <v/>
      </c>
      <c r="ED49">
        <f>CA49</f>
        <v/>
      </c>
      <c r="EE49">
        <f>CE49</f>
        <v/>
      </c>
      <c r="EF49">
        <f>"SummonEnemy"</f>
        <v/>
      </c>
      <c r="EG49">
        <f>H49</f>
        <v/>
      </c>
      <c r="EI49">
        <f>CI49</f>
        <v/>
      </c>
      <c r="EJ49">
        <f>CG49</f>
        <v/>
      </c>
      <c r="EK49">
        <f>CM49</f>
        <v/>
      </c>
      <c r="EL49">
        <f>CO49</f>
        <v/>
      </c>
      <c r="EM49">
        <f>CQ49</f>
        <v/>
      </c>
      <c r="EN49">
        <f>CU49</f>
        <v/>
      </c>
      <c r="EO49">
        <f>CW49</f>
        <v/>
      </c>
      <c r="EP49">
        <f>DA49</f>
        <v/>
      </c>
      <c r="EQ49">
        <f>DC49</f>
        <v/>
      </c>
      <c r="ER49">
        <f>DG49</f>
        <v/>
      </c>
      <c r="ES49">
        <f>DI49</f>
        <v/>
      </c>
      <c r="ET49">
        <f>DK49</f>
        <v/>
      </c>
      <c r="EV49">
        <f>V49</f>
        <v/>
      </c>
      <c r="EW49">
        <f>X49</f>
        <v/>
      </c>
      <c r="EX49">
        <f>AD49</f>
        <v/>
      </c>
      <c r="EY49">
        <f>AH49</f>
        <v/>
      </c>
      <c r="EZ49">
        <f>"1"</f>
        <v/>
      </c>
      <c r="FA49">
        <f>BS49</f>
        <v/>
      </c>
      <c r="FB49" t="n">
        <v>0</v>
      </c>
      <c r="FC49">
        <f>CK49</f>
        <v/>
      </c>
      <c r="FD49">
        <f>DM49</f>
        <v/>
      </c>
    </row>
    <row r="50">
      <c r="L50" t="inlineStr">
        <is>
          <t>none</t>
        </is>
      </c>
      <c r="P50" t="inlineStr">
        <is>
          <t>none</t>
        </is>
      </c>
      <c r="R50" t="inlineStr">
        <is>
          <t>none</t>
        </is>
      </c>
      <c r="T50" t="inlineStr">
        <is>
          <t>none</t>
        </is>
      </c>
      <c r="V50" t="inlineStr">
        <is>
          <t>Default</t>
        </is>
      </c>
      <c r="X50" t="inlineStr">
        <is>
          <t>Normal</t>
        </is>
      </c>
      <c r="AB50" t="inlineStr">
        <is>
          <t>none</t>
        </is>
      </c>
      <c r="AD50" t="n">
        <v>1</v>
      </c>
      <c r="AF50" t="inlineStr">
        <is>
          <t>none</t>
        </is>
      </c>
      <c r="AH50" t="n">
        <v>1</v>
      </c>
      <c r="AJ50" t="inlineStr">
        <is>
          <t>none</t>
        </is>
      </c>
      <c r="AL50" t="inlineStr">
        <is>
          <t>none</t>
        </is>
      </c>
      <c r="AN50">
        <f>iferror(AF50*(50/(AJ50+AL50)),"攻撃力に数値を入力")</f>
        <v/>
      </c>
      <c r="AP50" t="inlineStr">
        <is>
          <t>none</t>
        </is>
      </c>
      <c r="AT50" t="inlineStr">
        <is>
          <t>none</t>
        </is>
      </c>
      <c r="AY50" t="inlineStr">
        <is>
          <t>none</t>
        </is>
      </c>
      <c r="BA50" t="inlineStr">
        <is>
          <t>none</t>
        </is>
      </c>
      <c r="BC50" t="inlineStr">
        <is>
          <t>none</t>
        </is>
      </c>
      <c r="BE50" t="inlineStr">
        <is>
          <t>none</t>
        </is>
      </c>
      <c r="BG50" t="inlineStr">
        <is>
          <t>none</t>
        </is>
      </c>
      <c r="BI50" t="inlineStr">
        <is>
          <t>none</t>
        </is>
      </c>
      <c r="BK50" t="inlineStr">
        <is>
          <t>none</t>
        </is>
      </c>
      <c r="BM50" t="inlineStr">
        <is>
          <t>none</t>
        </is>
      </c>
      <c r="BO50" t="inlineStr">
        <is>
          <t>none</t>
        </is>
      </c>
      <c r="BQ50" t="inlineStr">
        <is>
          <t>none</t>
        </is>
      </c>
      <c r="CA50" t="inlineStr">
        <is>
          <t>未入力</t>
        </is>
      </c>
      <c r="CM50" t="inlineStr">
        <is>
          <t>None</t>
        </is>
      </c>
      <c r="CQ50" t="inlineStr">
        <is>
          <t>None</t>
        </is>
      </c>
      <c r="CW50" t="inlineStr">
        <is>
          <t>None</t>
        </is>
      </c>
      <c r="DC50" t="inlineStr">
        <is>
          <t>None</t>
        </is>
      </c>
      <c r="DK50" t="b">
        <v>0</v>
      </c>
      <c r="DM50" t="inlineStr">
        <is>
          <t>None</t>
        </is>
      </c>
      <c r="EA50">
        <f>B50</f>
        <v/>
      </c>
      <c r="EB50">
        <f>D50</f>
        <v/>
      </c>
      <c r="EC50">
        <f>F50</f>
        <v/>
      </c>
      <c r="ED50">
        <f>CA50</f>
        <v/>
      </c>
      <c r="EE50">
        <f>CE50</f>
        <v/>
      </c>
      <c r="EF50">
        <f>"SummonEnemy"</f>
        <v/>
      </c>
      <c r="EG50">
        <f>H50</f>
        <v/>
      </c>
      <c r="EI50">
        <f>CI50</f>
        <v/>
      </c>
      <c r="EJ50">
        <f>CG50</f>
        <v/>
      </c>
      <c r="EK50">
        <f>CM50</f>
        <v/>
      </c>
      <c r="EL50">
        <f>CO50</f>
        <v/>
      </c>
      <c r="EM50">
        <f>CQ50</f>
        <v/>
      </c>
      <c r="EN50">
        <f>CU50</f>
        <v/>
      </c>
      <c r="EO50">
        <f>CW50</f>
        <v/>
      </c>
      <c r="EP50">
        <f>DA50</f>
        <v/>
      </c>
      <c r="EQ50">
        <f>DC50</f>
        <v/>
      </c>
      <c r="ER50">
        <f>DG50</f>
        <v/>
      </c>
      <c r="ES50">
        <f>DI50</f>
        <v/>
      </c>
      <c r="ET50">
        <f>DK50</f>
        <v/>
      </c>
      <c r="EV50">
        <f>V50</f>
        <v/>
      </c>
      <c r="EW50">
        <f>X50</f>
        <v/>
      </c>
      <c r="EX50">
        <f>AD50</f>
        <v/>
      </c>
      <c r="EY50">
        <f>AH50</f>
        <v/>
      </c>
      <c r="EZ50">
        <f>"1"</f>
        <v/>
      </c>
      <c r="FA50">
        <f>BS50</f>
        <v/>
      </c>
      <c r="FB50" t="n">
        <v>0</v>
      </c>
      <c r="FC50">
        <f>CK50</f>
        <v/>
      </c>
      <c r="FD50">
        <f>DM50</f>
        <v/>
      </c>
    </row>
    <row r="51">
      <c r="L51" t="inlineStr">
        <is>
          <t>none</t>
        </is>
      </c>
      <c r="P51" t="inlineStr">
        <is>
          <t>none</t>
        </is>
      </c>
      <c r="R51" t="inlineStr">
        <is>
          <t>none</t>
        </is>
      </c>
      <c r="T51" t="inlineStr">
        <is>
          <t>none</t>
        </is>
      </c>
      <c r="V51" t="inlineStr">
        <is>
          <t>Default</t>
        </is>
      </c>
      <c r="X51" t="inlineStr">
        <is>
          <t>Normal</t>
        </is>
      </c>
      <c r="AB51" t="inlineStr">
        <is>
          <t>none</t>
        </is>
      </c>
      <c r="AD51" t="n">
        <v>1</v>
      </c>
      <c r="AF51" t="inlineStr">
        <is>
          <t>none</t>
        </is>
      </c>
      <c r="AH51" t="n">
        <v>1</v>
      </c>
      <c r="AJ51" t="inlineStr">
        <is>
          <t>none</t>
        </is>
      </c>
      <c r="AL51" t="inlineStr">
        <is>
          <t>none</t>
        </is>
      </c>
      <c r="AN51">
        <f>iferror(AF51*(50/(AJ51+AL51)),"攻撃力に数値を入力")</f>
        <v/>
      </c>
      <c r="AP51" t="inlineStr">
        <is>
          <t>none</t>
        </is>
      </c>
      <c r="AT51" t="inlineStr">
        <is>
          <t>none</t>
        </is>
      </c>
      <c r="AY51" t="inlineStr">
        <is>
          <t>none</t>
        </is>
      </c>
      <c r="BA51" t="inlineStr">
        <is>
          <t>none</t>
        </is>
      </c>
      <c r="BC51" t="inlineStr">
        <is>
          <t>none</t>
        </is>
      </c>
      <c r="BE51" t="inlineStr">
        <is>
          <t>none</t>
        </is>
      </c>
      <c r="BG51" t="inlineStr">
        <is>
          <t>none</t>
        </is>
      </c>
      <c r="BI51" t="inlineStr">
        <is>
          <t>none</t>
        </is>
      </c>
      <c r="BK51" t="inlineStr">
        <is>
          <t>none</t>
        </is>
      </c>
      <c r="BM51" t="inlineStr">
        <is>
          <t>none</t>
        </is>
      </c>
      <c r="BO51" t="inlineStr">
        <is>
          <t>none</t>
        </is>
      </c>
      <c r="BQ51" t="inlineStr">
        <is>
          <t>none</t>
        </is>
      </c>
      <c r="CA51" t="inlineStr">
        <is>
          <t>未入力</t>
        </is>
      </c>
      <c r="CM51" t="inlineStr">
        <is>
          <t>None</t>
        </is>
      </c>
      <c r="CQ51" t="inlineStr">
        <is>
          <t>None</t>
        </is>
      </c>
      <c r="CW51" t="inlineStr">
        <is>
          <t>None</t>
        </is>
      </c>
      <c r="DC51" t="inlineStr">
        <is>
          <t>None</t>
        </is>
      </c>
      <c r="DK51" t="b">
        <v>0</v>
      </c>
      <c r="DM51" t="inlineStr">
        <is>
          <t>None</t>
        </is>
      </c>
      <c r="EA51">
        <f>B51</f>
        <v/>
      </c>
      <c r="EB51">
        <f>D51</f>
        <v/>
      </c>
      <c r="EC51">
        <f>F51</f>
        <v/>
      </c>
      <c r="ED51">
        <f>CA51</f>
        <v/>
      </c>
      <c r="EE51">
        <f>CE51</f>
        <v/>
      </c>
      <c r="EF51">
        <f>"SummonEnemy"</f>
        <v/>
      </c>
      <c r="EG51">
        <f>H51</f>
        <v/>
      </c>
      <c r="EI51">
        <f>CI51</f>
        <v/>
      </c>
      <c r="EJ51">
        <f>CG51</f>
        <v/>
      </c>
      <c r="EK51">
        <f>CM51</f>
        <v/>
      </c>
      <c r="EL51">
        <f>CO51</f>
        <v/>
      </c>
      <c r="EM51">
        <f>CQ51</f>
        <v/>
      </c>
      <c r="EN51">
        <f>CU51</f>
        <v/>
      </c>
      <c r="EO51">
        <f>CW51</f>
        <v/>
      </c>
      <c r="EP51">
        <f>DA51</f>
        <v/>
      </c>
      <c r="EQ51">
        <f>DC51</f>
        <v/>
      </c>
      <c r="ER51">
        <f>DG51</f>
        <v/>
      </c>
      <c r="ES51">
        <f>DI51</f>
        <v/>
      </c>
      <c r="ET51">
        <f>DK51</f>
        <v/>
      </c>
      <c r="EV51">
        <f>V51</f>
        <v/>
      </c>
      <c r="EW51">
        <f>X51</f>
        <v/>
      </c>
      <c r="EX51">
        <f>AD51</f>
        <v/>
      </c>
      <c r="EY51">
        <f>AH51</f>
        <v/>
      </c>
      <c r="EZ51">
        <f>"1"</f>
        <v/>
      </c>
      <c r="FA51">
        <f>BS51</f>
        <v/>
      </c>
      <c r="FB51" t="n">
        <v>0</v>
      </c>
      <c r="FC51">
        <f>CK51</f>
        <v/>
      </c>
      <c r="FD51">
        <f>DM51</f>
        <v/>
      </c>
    </row>
    <row r="52">
      <c r="L52" t="inlineStr">
        <is>
          <t>none</t>
        </is>
      </c>
      <c r="P52" t="inlineStr">
        <is>
          <t>none</t>
        </is>
      </c>
      <c r="R52" t="inlineStr">
        <is>
          <t>none</t>
        </is>
      </c>
      <c r="T52" t="inlineStr">
        <is>
          <t>none</t>
        </is>
      </c>
      <c r="V52" t="inlineStr">
        <is>
          <t>Default</t>
        </is>
      </c>
      <c r="X52" t="inlineStr">
        <is>
          <t>Normal</t>
        </is>
      </c>
      <c r="AB52" t="inlineStr">
        <is>
          <t>none</t>
        </is>
      </c>
      <c r="AD52" t="n">
        <v>1</v>
      </c>
      <c r="AF52" t="inlineStr">
        <is>
          <t>none</t>
        </is>
      </c>
      <c r="AH52" t="n">
        <v>1</v>
      </c>
      <c r="AJ52" t="inlineStr">
        <is>
          <t>none</t>
        </is>
      </c>
      <c r="AL52" t="inlineStr">
        <is>
          <t>none</t>
        </is>
      </c>
      <c r="AN52">
        <f>iferror(AF52*(50/(AJ52+AL52)),"攻撃力に数値を入力")</f>
        <v/>
      </c>
      <c r="AP52" t="inlineStr">
        <is>
          <t>none</t>
        </is>
      </c>
      <c r="AT52" t="inlineStr">
        <is>
          <t>none</t>
        </is>
      </c>
      <c r="AY52" t="inlineStr">
        <is>
          <t>none</t>
        </is>
      </c>
      <c r="BA52" t="inlineStr">
        <is>
          <t>none</t>
        </is>
      </c>
      <c r="BC52" t="inlineStr">
        <is>
          <t>none</t>
        </is>
      </c>
      <c r="BE52" t="inlineStr">
        <is>
          <t>none</t>
        </is>
      </c>
      <c r="BG52" t="inlineStr">
        <is>
          <t>none</t>
        </is>
      </c>
      <c r="BI52" t="inlineStr">
        <is>
          <t>none</t>
        </is>
      </c>
      <c r="BK52" t="inlineStr">
        <is>
          <t>none</t>
        </is>
      </c>
      <c r="BM52" t="inlineStr">
        <is>
          <t>none</t>
        </is>
      </c>
      <c r="BO52" t="inlineStr">
        <is>
          <t>none</t>
        </is>
      </c>
      <c r="BQ52" t="inlineStr">
        <is>
          <t>none</t>
        </is>
      </c>
      <c r="CA52" t="inlineStr">
        <is>
          <t>未入力</t>
        </is>
      </c>
      <c r="CM52" t="inlineStr">
        <is>
          <t>None</t>
        </is>
      </c>
      <c r="CQ52" t="inlineStr">
        <is>
          <t>None</t>
        </is>
      </c>
      <c r="CW52" t="inlineStr">
        <is>
          <t>None</t>
        </is>
      </c>
      <c r="DC52" t="inlineStr">
        <is>
          <t>None</t>
        </is>
      </c>
      <c r="DK52" t="b">
        <v>0</v>
      </c>
      <c r="DM52" t="inlineStr">
        <is>
          <t>None</t>
        </is>
      </c>
      <c r="EA52">
        <f>B52</f>
        <v/>
      </c>
      <c r="EB52">
        <f>D52</f>
        <v/>
      </c>
      <c r="EC52">
        <f>F52</f>
        <v/>
      </c>
      <c r="ED52">
        <f>CA52</f>
        <v/>
      </c>
      <c r="EE52">
        <f>CE52</f>
        <v/>
      </c>
      <c r="EF52">
        <f>"SummonEnemy"</f>
        <v/>
      </c>
      <c r="EG52">
        <f>H52</f>
        <v/>
      </c>
      <c r="EI52">
        <f>CI52</f>
        <v/>
      </c>
      <c r="EJ52">
        <f>CG52</f>
        <v/>
      </c>
      <c r="EK52">
        <f>CM52</f>
        <v/>
      </c>
      <c r="EL52">
        <f>CO52</f>
        <v/>
      </c>
      <c r="EM52">
        <f>CQ52</f>
        <v/>
      </c>
      <c r="EN52">
        <f>CU52</f>
        <v/>
      </c>
      <c r="EO52">
        <f>CW52</f>
        <v/>
      </c>
      <c r="EP52">
        <f>DA52</f>
        <v/>
      </c>
      <c r="EQ52">
        <f>DC52</f>
        <v/>
      </c>
      <c r="ER52">
        <f>DG52</f>
        <v/>
      </c>
      <c r="ES52">
        <f>DI52</f>
        <v/>
      </c>
      <c r="ET52">
        <f>DK52</f>
        <v/>
      </c>
      <c r="EV52">
        <f>V52</f>
        <v/>
      </c>
      <c r="EW52">
        <f>X52</f>
        <v/>
      </c>
      <c r="EX52">
        <f>AD52</f>
        <v/>
      </c>
      <c r="EY52">
        <f>AH52</f>
        <v/>
      </c>
      <c r="EZ52">
        <f>"1"</f>
        <v/>
      </c>
      <c r="FA52">
        <f>BS52</f>
        <v/>
      </c>
      <c r="FB52" t="n">
        <v>0</v>
      </c>
      <c r="FC52">
        <f>CK52</f>
        <v/>
      </c>
      <c r="FD52">
        <f>DM52</f>
        <v/>
      </c>
    </row>
    <row r="53">
      <c r="L53" t="inlineStr">
        <is>
          <t>none</t>
        </is>
      </c>
      <c r="P53" t="inlineStr">
        <is>
          <t>none</t>
        </is>
      </c>
      <c r="R53" t="inlineStr">
        <is>
          <t>none</t>
        </is>
      </c>
      <c r="T53" t="inlineStr">
        <is>
          <t>none</t>
        </is>
      </c>
      <c r="V53" t="inlineStr">
        <is>
          <t>Default</t>
        </is>
      </c>
      <c r="X53" t="inlineStr">
        <is>
          <t>Normal</t>
        </is>
      </c>
      <c r="AB53" t="inlineStr">
        <is>
          <t>none</t>
        </is>
      </c>
      <c r="AD53" t="n">
        <v>1</v>
      </c>
      <c r="AF53" t="inlineStr">
        <is>
          <t>none</t>
        </is>
      </c>
      <c r="AH53" t="n">
        <v>1</v>
      </c>
      <c r="AJ53" t="inlineStr">
        <is>
          <t>none</t>
        </is>
      </c>
      <c r="AL53" t="inlineStr">
        <is>
          <t>none</t>
        </is>
      </c>
      <c r="AN53">
        <f>iferror(AF53*(50/(AJ53+AL53)),"攻撃力に数値を入力")</f>
        <v/>
      </c>
      <c r="AP53" t="inlineStr">
        <is>
          <t>none</t>
        </is>
      </c>
      <c r="AT53" t="inlineStr">
        <is>
          <t>none</t>
        </is>
      </c>
      <c r="AY53" t="inlineStr">
        <is>
          <t>none</t>
        </is>
      </c>
      <c r="BA53" t="inlineStr">
        <is>
          <t>none</t>
        </is>
      </c>
      <c r="BC53" t="inlineStr">
        <is>
          <t>none</t>
        </is>
      </c>
      <c r="BE53" t="inlineStr">
        <is>
          <t>none</t>
        </is>
      </c>
      <c r="BG53" t="inlineStr">
        <is>
          <t>none</t>
        </is>
      </c>
      <c r="BI53" t="inlineStr">
        <is>
          <t>none</t>
        </is>
      </c>
      <c r="BK53" t="inlineStr">
        <is>
          <t>none</t>
        </is>
      </c>
      <c r="BM53" t="inlineStr">
        <is>
          <t>none</t>
        </is>
      </c>
      <c r="BO53" t="inlineStr">
        <is>
          <t>none</t>
        </is>
      </c>
      <c r="BQ53" t="inlineStr">
        <is>
          <t>none</t>
        </is>
      </c>
      <c r="CA53" t="inlineStr">
        <is>
          <t>未入力</t>
        </is>
      </c>
      <c r="CM53" t="inlineStr">
        <is>
          <t>None</t>
        </is>
      </c>
      <c r="CQ53" t="inlineStr">
        <is>
          <t>None</t>
        </is>
      </c>
      <c r="CW53" t="inlineStr">
        <is>
          <t>None</t>
        </is>
      </c>
      <c r="DC53" t="inlineStr">
        <is>
          <t>None</t>
        </is>
      </c>
      <c r="DK53" t="b">
        <v>0</v>
      </c>
      <c r="DM53" t="inlineStr">
        <is>
          <t>None</t>
        </is>
      </c>
      <c r="EA53">
        <f>B53</f>
        <v/>
      </c>
      <c r="EB53">
        <f>D53</f>
        <v/>
      </c>
      <c r="EC53">
        <f>F53</f>
        <v/>
      </c>
      <c r="ED53">
        <f>CA53</f>
        <v/>
      </c>
      <c r="EE53">
        <f>CE53</f>
        <v/>
      </c>
      <c r="EF53">
        <f>"SummonEnemy"</f>
        <v/>
      </c>
      <c r="EG53">
        <f>H53</f>
        <v/>
      </c>
      <c r="EI53">
        <f>CI53</f>
        <v/>
      </c>
      <c r="EJ53">
        <f>CG53</f>
        <v/>
      </c>
      <c r="EK53">
        <f>CM53</f>
        <v/>
      </c>
      <c r="EL53">
        <f>CO53</f>
        <v/>
      </c>
      <c r="EM53">
        <f>CQ53</f>
        <v/>
      </c>
      <c r="EN53">
        <f>CU53</f>
        <v/>
      </c>
      <c r="EO53">
        <f>CW53</f>
        <v/>
      </c>
      <c r="EP53">
        <f>DA53</f>
        <v/>
      </c>
      <c r="EQ53">
        <f>DC53</f>
        <v/>
      </c>
      <c r="ER53">
        <f>DG53</f>
        <v/>
      </c>
      <c r="ES53">
        <f>DI53</f>
        <v/>
      </c>
      <c r="ET53">
        <f>DK53</f>
        <v/>
      </c>
      <c r="EV53">
        <f>V53</f>
        <v/>
      </c>
      <c r="EW53">
        <f>X53</f>
        <v/>
      </c>
      <c r="EX53">
        <f>AD53</f>
        <v/>
      </c>
      <c r="EY53">
        <f>AH53</f>
        <v/>
      </c>
      <c r="EZ53">
        <f>"1"</f>
        <v/>
      </c>
      <c r="FA53">
        <f>BS53</f>
        <v/>
      </c>
      <c r="FB53" t="n">
        <v>0</v>
      </c>
      <c r="FC53">
        <f>CK53</f>
        <v/>
      </c>
      <c r="FD53">
        <f>DM53</f>
        <v/>
      </c>
    </row>
    <row r="54">
      <c r="L54" t="inlineStr">
        <is>
          <t>none</t>
        </is>
      </c>
      <c r="P54" t="inlineStr">
        <is>
          <t>none</t>
        </is>
      </c>
      <c r="R54" t="inlineStr">
        <is>
          <t>none</t>
        </is>
      </c>
      <c r="T54" t="inlineStr">
        <is>
          <t>none</t>
        </is>
      </c>
      <c r="V54" t="inlineStr">
        <is>
          <t>Default</t>
        </is>
      </c>
      <c r="X54" t="inlineStr">
        <is>
          <t>Normal</t>
        </is>
      </c>
      <c r="AB54" t="inlineStr">
        <is>
          <t>none</t>
        </is>
      </c>
      <c r="AD54" t="n">
        <v>1</v>
      </c>
      <c r="AF54" t="inlineStr">
        <is>
          <t>none</t>
        </is>
      </c>
      <c r="AH54" t="n">
        <v>1</v>
      </c>
      <c r="AJ54" t="inlineStr">
        <is>
          <t>none</t>
        </is>
      </c>
      <c r="AL54" t="inlineStr">
        <is>
          <t>none</t>
        </is>
      </c>
      <c r="AN54">
        <f>iferror(AF54*(50/(AJ54+AL54)),"攻撃力に数値を入力")</f>
        <v/>
      </c>
      <c r="AP54" t="inlineStr">
        <is>
          <t>none</t>
        </is>
      </c>
      <c r="AT54" t="inlineStr">
        <is>
          <t>none</t>
        </is>
      </c>
      <c r="AY54" t="inlineStr">
        <is>
          <t>none</t>
        </is>
      </c>
      <c r="BA54" t="inlineStr">
        <is>
          <t>none</t>
        </is>
      </c>
      <c r="BC54" t="inlineStr">
        <is>
          <t>none</t>
        </is>
      </c>
      <c r="BE54" t="inlineStr">
        <is>
          <t>none</t>
        </is>
      </c>
      <c r="BG54" t="inlineStr">
        <is>
          <t>none</t>
        </is>
      </c>
      <c r="BI54" t="inlineStr">
        <is>
          <t>none</t>
        </is>
      </c>
      <c r="BK54" t="inlineStr">
        <is>
          <t>none</t>
        </is>
      </c>
      <c r="BM54" t="inlineStr">
        <is>
          <t>none</t>
        </is>
      </c>
      <c r="BO54" t="inlineStr">
        <is>
          <t>none</t>
        </is>
      </c>
      <c r="BQ54" t="inlineStr">
        <is>
          <t>none</t>
        </is>
      </c>
      <c r="CA54" t="inlineStr">
        <is>
          <t>未入力</t>
        </is>
      </c>
      <c r="CM54" t="inlineStr">
        <is>
          <t>None</t>
        </is>
      </c>
      <c r="CQ54" t="inlineStr">
        <is>
          <t>None</t>
        </is>
      </c>
      <c r="CW54" t="inlineStr">
        <is>
          <t>None</t>
        </is>
      </c>
      <c r="DC54" t="inlineStr">
        <is>
          <t>None</t>
        </is>
      </c>
      <c r="DK54" t="b">
        <v>0</v>
      </c>
      <c r="DM54" t="inlineStr">
        <is>
          <t>None</t>
        </is>
      </c>
      <c r="EA54">
        <f>B54</f>
        <v/>
      </c>
      <c r="EB54">
        <f>D54</f>
        <v/>
      </c>
      <c r="EC54">
        <f>F54</f>
        <v/>
      </c>
      <c r="ED54">
        <f>CA54</f>
        <v/>
      </c>
      <c r="EE54">
        <f>CE54</f>
        <v/>
      </c>
      <c r="EF54">
        <f>"SummonEnemy"</f>
        <v/>
      </c>
      <c r="EG54">
        <f>H54</f>
        <v/>
      </c>
      <c r="EI54">
        <f>CI54</f>
        <v/>
      </c>
      <c r="EJ54">
        <f>CG54</f>
        <v/>
      </c>
      <c r="EK54">
        <f>CM54</f>
        <v/>
      </c>
      <c r="EL54">
        <f>CO54</f>
        <v/>
      </c>
      <c r="EM54">
        <f>CQ54</f>
        <v/>
      </c>
      <c r="EN54">
        <f>CU54</f>
        <v/>
      </c>
      <c r="EO54">
        <f>CW54</f>
        <v/>
      </c>
      <c r="EP54">
        <f>DA54</f>
        <v/>
      </c>
      <c r="EQ54">
        <f>DC54</f>
        <v/>
      </c>
      <c r="ER54">
        <f>DG54</f>
        <v/>
      </c>
      <c r="ES54">
        <f>DI54</f>
        <v/>
      </c>
      <c r="ET54">
        <f>DK54</f>
        <v/>
      </c>
      <c r="EV54">
        <f>V54</f>
        <v/>
      </c>
      <c r="EW54">
        <f>X54</f>
        <v/>
      </c>
      <c r="EX54">
        <f>AD54</f>
        <v/>
      </c>
      <c r="EY54">
        <f>AH54</f>
        <v/>
      </c>
      <c r="EZ54">
        <f>"1"</f>
        <v/>
      </c>
      <c r="FA54">
        <f>BS54</f>
        <v/>
      </c>
      <c r="FB54" t="n">
        <v>0</v>
      </c>
      <c r="FC54">
        <f>CK54</f>
        <v/>
      </c>
      <c r="FD54">
        <f>DM54</f>
        <v/>
      </c>
    </row>
    <row r="55">
      <c r="L55" t="inlineStr">
        <is>
          <t>none</t>
        </is>
      </c>
      <c r="P55" t="inlineStr">
        <is>
          <t>none</t>
        </is>
      </c>
      <c r="R55" t="inlineStr">
        <is>
          <t>none</t>
        </is>
      </c>
      <c r="T55" t="inlineStr">
        <is>
          <t>none</t>
        </is>
      </c>
      <c r="V55" t="inlineStr">
        <is>
          <t>Default</t>
        </is>
      </c>
      <c r="X55" t="inlineStr">
        <is>
          <t>Normal</t>
        </is>
      </c>
      <c r="AB55" t="inlineStr">
        <is>
          <t>none</t>
        </is>
      </c>
      <c r="AD55" t="n">
        <v>1</v>
      </c>
      <c r="AF55" t="inlineStr">
        <is>
          <t>none</t>
        </is>
      </c>
      <c r="AH55" t="n">
        <v>1</v>
      </c>
      <c r="AJ55" t="inlineStr">
        <is>
          <t>none</t>
        </is>
      </c>
      <c r="AL55" t="inlineStr">
        <is>
          <t>none</t>
        </is>
      </c>
      <c r="AN55">
        <f>iferror(AF55*(50/(AJ55+AL55)),"攻撃力に数値を入力")</f>
        <v/>
      </c>
      <c r="AP55" t="inlineStr">
        <is>
          <t>none</t>
        </is>
      </c>
      <c r="AT55" t="inlineStr">
        <is>
          <t>none</t>
        </is>
      </c>
      <c r="AY55" t="inlineStr">
        <is>
          <t>none</t>
        </is>
      </c>
      <c r="BA55" t="inlineStr">
        <is>
          <t>none</t>
        </is>
      </c>
      <c r="BC55" t="inlineStr">
        <is>
          <t>none</t>
        </is>
      </c>
      <c r="BE55" t="inlineStr">
        <is>
          <t>none</t>
        </is>
      </c>
      <c r="BG55" t="inlineStr">
        <is>
          <t>none</t>
        </is>
      </c>
      <c r="BI55" t="inlineStr">
        <is>
          <t>none</t>
        </is>
      </c>
      <c r="BK55" t="inlineStr">
        <is>
          <t>none</t>
        </is>
      </c>
      <c r="BM55" t="inlineStr">
        <is>
          <t>none</t>
        </is>
      </c>
      <c r="BO55" t="inlineStr">
        <is>
          <t>none</t>
        </is>
      </c>
      <c r="BQ55" t="inlineStr">
        <is>
          <t>none</t>
        </is>
      </c>
      <c r="CA55" t="inlineStr">
        <is>
          <t>未入力</t>
        </is>
      </c>
      <c r="CM55" t="inlineStr">
        <is>
          <t>None</t>
        </is>
      </c>
      <c r="CQ55" t="inlineStr">
        <is>
          <t>None</t>
        </is>
      </c>
      <c r="CW55" t="inlineStr">
        <is>
          <t>None</t>
        </is>
      </c>
      <c r="DC55" t="inlineStr">
        <is>
          <t>None</t>
        </is>
      </c>
      <c r="DK55" t="b">
        <v>0</v>
      </c>
      <c r="DM55" t="inlineStr">
        <is>
          <t>None</t>
        </is>
      </c>
      <c r="EA55">
        <f>B55</f>
        <v/>
      </c>
      <c r="EB55">
        <f>D55</f>
        <v/>
      </c>
      <c r="EC55">
        <f>F55</f>
        <v/>
      </c>
      <c r="ED55">
        <f>CA55</f>
        <v/>
      </c>
      <c r="EE55">
        <f>CE55</f>
        <v/>
      </c>
      <c r="EF55">
        <f>"SummonEnemy"</f>
        <v/>
      </c>
      <c r="EG55">
        <f>H55</f>
        <v/>
      </c>
      <c r="EI55">
        <f>CI55</f>
        <v/>
      </c>
      <c r="EJ55">
        <f>CG55</f>
        <v/>
      </c>
      <c r="EK55">
        <f>CM55</f>
        <v/>
      </c>
      <c r="EL55">
        <f>CO55</f>
        <v/>
      </c>
      <c r="EM55">
        <f>CQ55</f>
        <v/>
      </c>
      <c r="EN55">
        <f>CU55</f>
        <v/>
      </c>
      <c r="EO55">
        <f>CW55</f>
        <v/>
      </c>
      <c r="EP55">
        <f>DA55</f>
        <v/>
      </c>
      <c r="EQ55">
        <f>DC55</f>
        <v/>
      </c>
      <c r="ER55">
        <f>DG55</f>
        <v/>
      </c>
      <c r="ES55">
        <f>DI55</f>
        <v/>
      </c>
      <c r="ET55">
        <f>DK55</f>
        <v/>
      </c>
      <c r="EV55">
        <f>V55</f>
        <v/>
      </c>
      <c r="EW55">
        <f>X55</f>
        <v/>
      </c>
      <c r="EX55">
        <f>AD55</f>
        <v/>
      </c>
      <c r="EY55">
        <f>AH55</f>
        <v/>
      </c>
      <c r="EZ55">
        <f>"1"</f>
        <v/>
      </c>
      <c r="FA55">
        <f>BS55</f>
        <v/>
      </c>
      <c r="FB55" t="n">
        <v>0</v>
      </c>
      <c r="FC55">
        <f>CK55</f>
        <v/>
      </c>
      <c r="FD55">
        <f>DM55</f>
        <v/>
      </c>
    </row>
    <row r="56">
      <c r="L56" t="inlineStr">
        <is>
          <t>none</t>
        </is>
      </c>
      <c r="P56" t="inlineStr">
        <is>
          <t>none</t>
        </is>
      </c>
      <c r="R56" t="inlineStr">
        <is>
          <t>none</t>
        </is>
      </c>
      <c r="T56" t="inlineStr">
        <is>
          <t>none</t>
        </is>
      </c>
      <c r="V56" t="inlineStr">
        <is>
          <t>Default</t>
        </is>
      </c>
      <c r="X56" t="inlineStr">
        <is>
          <t>Normal</t>
        </is>
      </c>
      <c r="AB56" t="inlineStr">
        <is>
          <t>none</t>
        </is>
      </c>
      <c r="AD56" t="n">
        <v>1</v>
      </c>
      <c r="AF56" t="inlineStr">
        <is>
          <t>none</t>
        </is>
      </c>
      <c r="AH56" t="n">
        <v>1</v>
      </c>
      <c r="AJ56" t="inlineStr">
        <is>
          <t>none</t>
        </is>
      </c>
      <c r="AL56" t="inlineStr">
        <is>
          <t>none</t>
        </is>
      </c>
      <c r="AN56">
        <f>iferror(AF56*(50/(AJ56+AL56)),"攻撃力に数値を入力")</f>
        <v/>
      </c>
      <c r="AP56" t="inlineStr">
        <is>
          <t>none</t>
        </is>
      </c>
      <c r="AT56" t="inlineStr">
        <is>
          <t>none</t>
        </is>
      </c>
      <c r="AY56" t="inlineStr">
        <is>
          <t>none</t>
        </is>
      </c>
      <c r="BA56" t="inlineStr">
        <is>
          <t>none</t>
        </is>
      </c>
      <c r="BC56" t="inlineStr">
        <is>
          <t>none</t>
        </is>
      </c>
      <c r="BE56" t="inlineStr">
        <is>
          <t>none</t>
        </is>
      </c>
      <c r="BG56" t="inlineStr">
        <is>
          <t>none</t>
        </is>
      </c>
      <c r="BI56" t="inlineStr">
        <is>
          <t>none</t>
        </is>
      </c>
      <c r="BK56" t="inlineStr">
        <is>
          <t>none</t>
        </is>
      </c>
      <c r="BM56" t="inlineStr">
        <is>
          <t>none</t>
        </is>
      </c>
      <c r="BO56" t="inlineStr">
        <is>
          <t>none</t>
        </is>
      </c>
      <c r="BQ56" t="inlineStr">
        <is>
          <t>none</t>
        </is>
      </c>
      <c r="CA56" t="inlineStr">
        <is>
          <t>未入力</t>
        </is>
      </c>
      <c r="CM56" t="inlineStr">
        <is>
          <t>None</t>
        </is>
      </c>
      <c r="CQ56" t="inlineStr">
        <is>
          <t>None</t>
        </is>
      </c>
      <c r="CW56" t="inlineStr">
        <is>
          <t>None</t>
        </is>
      </c>
      <c r="DC56" t="inlineStr">
        <is>
          <t>None</t>
        </is>
      </c>
      <c r="DK56" t="b">
        <v>0</v>
      </c>
      <c r="DM56" t="inlineStr">
        <is>
          <t>None</t>
        </is>
      </c>
      <c r="EA56">
        <f>B56</f>
        <v/>
      </c>
      <c r="EB56">
        <f>D56</f>
        <v/>
      </c>
      <c r="EC56">
        <f>F56</f>
        <v/>
      </c>
      <c r="ED56">
        <f>CA56</f>
        <v/>
      </c>
      <c r="EE56">
        <f>CE56</f>
        <v/>
      </c>
      <c r="EF56">
        <f>"SummonEnemy"</f>
        <v/>
      </c>
      <c r="EG56">
        <f>H56</f>
        <v/>
      </c>
      <c r="EI56">
        <f>CI56</f>
        <v/>
      </c>
      <c r="EJ56">
        <f>CG56</f>
        <v/>
      </c>
      <c r="EK56">
        <f>CM56</f>
        <v/>
      </c>
      <c r="EL56">
        <f>CO56</f>
        <v/>
      </c>
      <c r="EM56">
        <f>CQ56</f>
        <v/>
      </c>
      <c r="EN56">
        <f>CU56</f>
        <v/>
      </c>
      <c r="EO56">
        <f>CW56</f>
        <v/>
      </c>
      <c r="EP56">
        <f>DA56</f>
        <v/>
      </c>
      <c r="EQ56">
        <f>DC56</f>
        <v/>
      </c>
      <c r="ER56">
        <f>DG56</f>
        <v/>
      </c>
      <c r="ES56">
        <f>DI56</f>
        <v/>
      </c>
      <c r="ET56">
        <f>DK56</f>
        <v/>
      </c>
      <c r="EV56">
        <f>V56</f>
        <v/>
      </c>
      <c r="EW56">
        <f>X56</f>
        <v/>
      </c>
      <c r="EX56">
        <f>AD56</f>
        <v/>
      </c>
      <c r="EY56">
        <f>AH56</f>
        <v/>
      </c>
      <c r="EZ56">
        <f>"1"</f>
        <v/>
      </c>
      <c r="FA56">
        <f>BS56</f>
        <v/>
      </c>
      <c r="FB56" t="n">
        <v>0</v>
      </c>
      <c r="FC56">
        <f>CK56</f>
        <v/>
      </c>
      <c r="FD56">
        <f>DM56</f>
        <v/>
      </c>
    </row>
    <row r="57">
      <c r="L57" t="inlineStr">
        <is>
          <t>none</t>
        </is>
      </c>
      <c r="P57" t="inlineStr">
        <is>
          <t>none</t>
        </is>
      </c>
      <c r="R57" t="inlineStr">
        <is>
          <t>none</t>
        </is>
      </c>
      <c r="T57" t="inlineStr">
        <is>
          <t>none</t>
        </is>
      </c>
      <c r="V57" t="inlineStr">
        <is>
          <t>Default</t>
        </is>
      </c>
      <c r="X57" t="inlineStr">
        <is>
          <t>Normal</t>
        </is>
      </c>
      <c r="AB57" t="inlineStr">
        <is>
          <t>none</t>
        </is>
      </c>
      <c r="AD57" t="n">
        <v>1</v>
      </c>
      <c r="AF57" t="inlineStr">
        <is>
          <t>none</t>
        </is>
      </c>
      <c r="AH57" t="n">
        <v>1</v>
      </c>
      <c r="AJ57" t="inlineStr">
        <is>
          <t>none</t>
        </is>
      </c>
      <c r="AL57" t="inlineStr">
        <is>
          <t>none</t>
        </is>
      </c>
      <c r="AN57">
        <f>iferror(AF57*(50/(AJ57+AL57)),"攻撃力に数値を入力")</f>
        <v/>
      </c>
      <c r="AP57" t="inlineStr">
        <is>
          <t>none</t>
        </is>
      </c>
      <c r="AT57" t="inlineStr">
        <is>
          <t>none</t>
        </is>
      </c>
      <c r="AY57" t="inlineStr">
        <is>
          <t>none</t>
        </is>
      </c>
      <c r="BA57" t="inlineStr">
        <is>
          <t>none</t>
        </is>
      </c>
      <c r="BC57" t="inlineStr">
        <is>
          <t>none</t>
        </is>
      </c>
      <c r="BE57" t="inlineStr">
        <is>
          <t>none</t>
        </is>
      </c>
      <c r="BG57" t="inlineStr">
        <is>
          <t>none</t>
        </is>
      </c>
      <c r="BI57" t="inlineStr">
        <is>
          <t>none</t>
        </is>
      </c>
      <c r="BK57" t="inlineStr">
        <is>
          <t>none</t>
        </is>
      </c>
      <c r="BM57" t="inlineStr">
        <is>
          <t>none</t>
        </is>
      </c>
      <c r="BO57" t="inlineStr">
        <is>
          <t>none</t>
        </is>
      </c>
      <c r="BQ57" t="inlineStr">
        <is>
          <t>none</t>
        </is>
      </c>
      <c r="CA57" t="inlineStr">
        <is>
          <t>未入力</t>
        </is>
      </c>
      <c r="CM57" t="inlineStr">
        <is>
          <t>None</t>
        </is>
      </c>
      <c r="CQ57" t="inlineStr">
        <is>
          <t>None</t>
        </is>
      </c>
      <c r="CW57" t="inlineStr">
        <is>
          <t>None</t>
        </is>
      </c>
      <c r="DC57" t="inlineStr">
        <is>
          <t>None</t>
        </is>
      </c>
      <c r="DK57" t="b">
        <v>0</v>
      </c>
      <c r="DM57" t="inlineStr">
        <is>
          <t>None</t>
        </is>
      </c>
      <c r="EA57">
        <f>B57</f>
        <v/>
      </c>
      <c r="EB57">
        <f>D57</f>
        <v/>
      </c>
      <c r="EC57">
        <f>F57</f>
        <v/>
      </c>
      <c r="ED57">
        <f>CA57</f>
        <v/>
      </c>
      <c r="EE57">
        <f>CE57</f>
        <v/>
      </c>
      <c r="EF57">
        <f>"SummonEnemy"</f>
        <v/>
      </c>
      <c r="EG57">
        <f>H57</f>
        <v/>
      </c>
      <c r="EI57">
        <f>CI57</f>
        <v/>
      </c>
      <c r="EJ57">
        <f>CG57</f>
        <v/>
      </c>
      <c r="EK57">
        <f>CM57</f>
        <v/>
      </c>
      <c r="EL57">
        <f>CO57</f>
        <v/>
      </c>
      <c r="EM57">
        <f>CQ57</f>
        <v/>
      </c>
      <c r="EN57">
        <f>CU57</f>
        <v/>
      </c>
      <c r="EO57">
        <f>CW57</f>
        <v/>
      </c>
      <c r="EP57">
        <f>DA57</f>
        <v/>
      </c>
      <c r="EQ57">
        <f>DC57</f>
        <v/>
      </c>
      <c r="ER57">
        <f>DG57</f>
        <v/>
      </c>
      <c r="ES57">
        <f>DI57</f>
        <v/>
      </c>
      <c r="ET57">
        <f>DK57</f>
        <v/>
      </c>
      <c r="EV57">
        <f>V57</f>
        <v/>
      </c>
      <c r="EW57">
        <f>X57</f>
        <v/>
      </c>
      <c r="EX57">
        <f>AD57</f>
        <v/>
      </c>
      <c r="EY57">
        <f>AH57</f>
        <v/>
      </c>
      <c r="EZ57">
        <f>"1"</f>
        <v/>
      </c>
      <c r="FA57">
        <f>BS57</f>
        <v/>
      </c>
      <c r="FB57" t="n">
        <v>0</v>
      </c>
      <c r="FC57">
        <f>CK57</f>
        <v/>
      </c>
      <c r="FD57">
        <f>DM57</f>
        <v/>
      </c>
    </row>
    <row r="58">
      <c r="L58" t="inlineStr">
        <is>
          <t>none</t>
        </is>
      </c>
      <c r="P58" t="inlineStr">
        <is>
          <t>none</t>
        </is>
      </c>
      <c r="R58" t="inlineStr">
        <is>
          <t>none</t>
        </is>
      </c>
      <c r="T58" t="inlineStr">
        <is>
          <t>none</t>
        </is>
      </c>
      <c r="V58" t="inlineStr">
        <is>
          <t>Default</t>
        </is>
      </c>
      <c r="X58" t="inlineStr">
        <is>
          <t>Normal</t>
        </is>
      </c>
      <c r="AB58" t="inlineStr">
        <is>
          <t>none</t>
        </is>
      </c>
      <c r="AD58" t="n">
        <v>1</v>
      </c>
      <c r="AF58" t="inlineStr">
        <is>
          <t>none</t>
        </is>
      </c>
      <c r="AH58" t="n">
        <v>1</v>
      </c>
      <c r="AJ58" t="inlineStr">
        <is>
          <t>none</t>
        </is>
      </c>
      <c r="AL58" t="inlineStr">
        <is>
          <t>none</t>
        </is>
      </c>
      <c r="AN58">
        <f>iferror(AF58*(50/(AJ58+AL58)),"攻撃力に数値を入力")</f>
        <v/>
      </c>
      <c r="AP58" t="inlineStr">
        <is>
          <t>none</t>
        </is>
      </c>
      <c r="AT58" t="inlineStr">
        <is>
          <t>none</t>
        </is>
      </c>
      <c r="AY58" t="inlineStr">
        <is>
          <t>none</t>
        </is>
      </c>
      <c r="BA58" t="inlineStr">
        <is>
          <t>none</t>
        </is>
      </c>
      <c r="BC58" t="inlineStr">
        <is>
          <t>none</t>
        </is>
      </c>
      <c r="BE58" t="inlineStr">
        <is>
          <t>none</t>
        </is>
      </c>
      <c r="BG58" t="inlineStr">
        <is>
          <t>none</t>
        </is>
      </c>
      <c r="BI58" t="inlineStr">
        <is>
          <t>none</t>
        </is>
      </c>
      <c r="BK58" t="inlineStr">
        <is>
          <t>none</t>
        </is>
      </c>
      <c r="BM58" t="inlineStr">
        <is>
          <t>none</t>
        </is>
      </c>
      <c r="BO58" t="inlineStr">
        <is>
          <t>none</t>
        </is>
      </c>
      <c r="BQ58" t="inlineStr">
        <is>
          <t>none</t>
        </is>
      </c>
      <c r="CA58" t="inlineStr">
        <is>
          <t>未入力</t>
        </is>
      </c>
      <c r="CM58" t="inlineStr">
        <is>
          <t>None</t>
        </is>
      </c>
      <c r="CQ58" t="inlineStr">
        <is>
          <t>None</t>
        </is>
      </c>
      <c r="CW58" t="inlineStr">
        <is>
          <t>None</t>
        </is>
      </c>
      <c r="DC58" t="inlineStr">
        <is>
          <t>None</t>
        </is>
      </c>
      <c r="DK58" t="b">
        <v>0</v>
      </c>
      <c r="DM58" t="inlineStr">
        <is>
          <t>None</t>
        </is>
      </c>
      <c r="EA58">
        <f>B58</f>
        <v/>
      </c>
      <c r="EB58">
        <f>D58</f>
        <v/>
      </c>
      <c r="EC58">
        <f>F58</f>
        <v/>
      </c>
      <c r="ED58">
        <f>CA58</f>
        <v/>
      </c>
      <c r="EE58">
        <f>CE58</f>
        <v/>
      </c>
      <c r="EF58">
        <f>"SummonEnemy"</f>
        <v/>
      </c>
      <c r="EG58">
        <f>H58</f>
        <v/>
      </c>
      <c r="EI58">
        <f>CI58</f>
        <v/>
      </c>
      <c r="EJ58">
        <f>CG58</f>
        <v/>
      </c>
      <c r="EK58">
        <f>CM58</f>
        <v/>
      </c>
      <c r="EL58">
        <f>CO58</f>
        <v/>
      </c>
      <c r="EM58">
        <f>CQ58</f>
        <v/>
      </c>
      <c r="EN58">
        <f>CU58</f>
        <v/>
      </c>
      <c r="EO58">
        <f>CW58</f>
        <v/>
      </c>
      <c r="EP58">
        <f>DA58</f>
        <v/>
      </c>
      <c r="EQ58">
        <f>DC58</f>
        <v/>
      </c>
      <c r="ER58">
        <f>DG58</f>
        <v/>
      </c>
      <c r="ES58">
        <f>DI58</f>
        <v/>
      </c>
      <c r="ET58">
        <f>DK58</f>
        <v/>
      </c>
      <c r="EV58">
        <f>V58</f>
        <v/>
      </c>
      <c r="EW58">
        <f>X58</f>
        <v/>
      </c>
      <c r="EX58">
        <f>AD58</f>
        <v/>
      </c>
      <c r="EY58">
        <f>AH58</f>
        <v/>
      </c>
      <c r="EZ58">
        <f>"1"</f>
        <v/>
      </c>
      <c r="FA58">
        <f>BS58</f>
        <v/>
      </c>
      <c r="FB58" t="n">
        <v>0</v>
      </c>
      <c r="FC58">
        <f>CK58</f>
        <v/>
      </c>
      <c r="FD58">
        <f>DM58</f>
        <v/>
      </c>
    </row>
    <row r="59">
      <c r="L59" t="inlineStr">
        <is>
          <t>none</t>
        </is>
      </c>
      <c r="P59" t="inlineStr">
        <is>
          <t>none</t>
        </is>
      </c>
      <c r="R59" t="inlineStr">
        <is>
          <t>none</t>
        </is>
      </c>
      <c r="T59" t="inlineStr">
        <is>
          <t>none</t>
        </is>
      </c>
      <c r="V59" t="inlineStr">
        <is>
          <t>Default</t>
        </is>
      </c>
      <c r="X59" t="inlineStr">
        <is>
          <t>Normal</t>
        </is>
      </c>
      <c r="AB59" t="inlineStr">
        <is>
          <t>none</t>
        </is>
      </c>
      <c r="AD59" t="n">
        <v>1</v>
      </c>
      <c r="AF59" t="inlineStr">
        <is>
          <t>none</t>
        </is>
      </c>
      <c r="AH59" t="n">
        <v>1</v>
      </c>
      <c r="AJ59" t="inlineStr">
        <is>
          <t>none</t>
        </is>
      </c>
      <c r="AL59" t="inlineStr">
        <is>
          <t>none</t>
        </is>
      </c>
      <c r="AN59">
        <f>iferror(AF59*(50/(AJ59+AL59)),"攻撃力に数値を入力")</f>
        <v/>
      </c>
      <c r="AP59" t="inlineStr">
        <is>
          <t>none</t>
        </is>
      </c>
      <c r="AT59" t="inlineStr">
        <is>
          <t>none</t>
        </is>
      </c>
      <c r="AY59" t="inlineStr">
        <is>
          <t>none</t>
        </is>
      </c>
      <c r="BA59" t="inlineStr">
        <is>
          <t>none</t>
        </is>
      </c>
      <c r="BC59" t="inlineStr">
        <is>
          <t>none</t>
        </is>
      </c>
      <c r="BE59" t="inlineStr">
        <is>
          <t>none</t>
        </is>
      </c>
      <c r="BG59" t="inlineStr">
        <is>
          <t>none</t>
        </is>
      </c>
      <c r="BI59" t="inlineStr">
        <is>
          <t>none</t>
        </is>
      </c>
      <c r="BK59" t="inlineStr">
        <is>
          <t>none</t>
        </is>
      </c>
      <c r="BM59" t="inlineStr">
        <is>
          <t>none</t>
        </is>
      </c>
      <c r="BO59" t="inlineStr">
        <is>
          <t>none</t>
        </is>
      </c>
      <c r="BQ59" t="inlineStr">
        <is>
          <t>none</t>
        </is>
      </c>
      <c r="CA59" t="inlineStr">
        <is>
          <t>未入力</t>
        </is>
      </c>
      <c r="CM59" t="inlineStr">
        <is>
          <t>None</t>
        </is>
      </c>
      <c r="CQ59" t="inlineStr">
        <is>
          <t>None</t>
        </is>
      </c>
      <c r="CW59" t="inlineStr">
        <is>
          <t>None</t>
        </is>
      </c>
      <c r="DC59" t="inlineStr">
        <is>
          <t>None</t>
        </is>
      </c>
      <c r="DK59" t="b">
        <v>0</v>
      </c>
      <c r="DM59" t="inlineStr">
        <is>
          <t>None</t>
        </is>
      </c>
      <c r="EA59">
        <f>B59</f>
        <v/>
      </c>
      <c r="EB59">
        <f>D59</f>
        <v/>
      </c>
      <c r="EC59">
        <f>F59</f>
        <v/>
      </c>
      <c r="ED59">
        <f>CA59</f>
        <v/>
      </c>
      <c r="EE59">
        <f>CE59</f>
        <v/>
      </c>
      <c r="EF59">
        <f>"SummonEnemy"</f>
        <v/>
      </c>
      <c r="EG59">
        <f>H59</f>
        <v/>
      </c>
      <c r="EI59">
        <f>CI59</f>
        <v/>
      </c>
      <c r="EJ59">
        <f>CG59</f>
        <v/>
      </c>
      <c r="EK59">
        <f>CM59</f>
        <v/>
      </c>
      <c r="EL59">
        <f>CO59</f>
        <v/>
      </c>
      <c r="EM59">
        <f>CQ59</f>
        <v/>
      </c>
      <c r="EN59">
        <f>CU59</f>
        <v/>
      </c>
      <c r="EO59">
        <f>CW59</f>
        <v/>
      </c>
      <c r="EP59">
        <f>DA59</f>
        <v/>
      </c>
      <c r="EQ59">
        <f>DC59</f>
        <v/>
      </c>
      <c r="ER59">
        <f>DG59</f>
        <v/>
      </c>
      <c r="ES59">
        <f>DI59</f>
        <v/>
      </c>
      <c r="ET59">
        <f>DK59</f>
        <v/>
      </c>
      <c r="EV59">
        <f>V59</f>
        <v/>
      </c>
      <c r="EW59">
        <f>X59</f>
        <v/>
      </c>
      <c r="EX59">
        <f>AD59</f>
        <v/>
      </c>
      <c r="EY59">
        <f>AH59</f>
        <v/>
      </c>
      <c r="EZ59">
        <f>"1"</f>
        <v/>
      </c>
      <c r="FA59">
        <f>BS59</f>
        <v/>
      </c>
      <c r="FB59" t="n">
        <v>0</v>
      </c>
      <c r="FC59">
        <f>CK59</f>
        <v/>
      </c>
      <c r="FD59">
        <f>DM59</f>
        <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2:FE59"/>
  <sheetViews>
    <sheetView workbookViewId="0">
      <selection activeCell="A1" sqref="A1"/>
    </sheetView>
  </sheetViews>
  <sheetFormatPr baseColWidth="8" defaultRowHeight="15"/>
  <sheetData>
    <row r="2">
      <c r="B2" t="inlineStr">
        <is>
          <t>■基礎情報</t>
        </is>
      </c>
    </row>
    <row r="4">
      <c r="B4" t="inlineStr">
        <is>
          <t>ステージコンセプト</t>
        </is>
      </c>
      <c r="S4" t="inlineStr">
        <is>
          <t>ステージ情報詳細</t>
        </is>
      </c>
    </row>
    <row r="5">
      <c r="B5" t="inlineStr">
        <is>
          <t>強敵
山田浅ェ門 佐切
山田浅ェ門 源嗣
雑魚
そう神がDPS出してくる極楽蝶</t>
        </is>
      </c>
      <c r="S5" t="inlineStr">
        <is>
          <t>【属性情報】
黄属性の敵が登場するので緑属性のキャラは有利に戦うこともできるぞ!
緑属性の敵が登場するので赤属性のキャラは有利に戦うこともできるぞ!
さらに、無属性の敵も登場するぞ!
【コマ効果情報】
突風コマが登場するぞ!
特性で突風コマ無効化を持っているキャラを編成しよう!
【ギミック情報】
毒攻撃をしてくる敵が登場するぞ!
特性で毒ダメージ軽減を持っているキャラを編成しよう!</t>
        </is>
      </c>
    </row>
    <row r="9">
      <c r="B9" t="inlineStr">
        <is>
          <t>ステージ名（最大20文字）</t>
        </is>
      </c>
      <c r="G9" t="inlineStr">
        <is>
          <t>文字数</t>
        </is>
      </c>
      <c r="I9" t="inlineStr">
        <is>
          <t>スタミナ</t>
        </is>
      </c>
      <c r="K9" t="inlineStr">
        <is>
          <t>難易度</t>
        </is>
      </c>
      <c r="N9" t="inlineStr">
        <is>
          <t>推奨PTLv</t>
        </is>
      </c>
      <c r="Q9" t="inlineStr">
        <is>
          <t>通常BGM</t>
        </is>
      </c>
      <c r="V9" t="inlineStr">
        <is>
          <t>ボスBGM</t>
        </is>
      </c>
    </row>
    <row r="10">
      <c r="B10" t="inlineStr">
        <is>
          <t>2話</t>
        </is>
      </c>
      <c r="G10">
        <f>len(B10)</f>
        <v/>
      </c>
      <c r="I10" t="n">
        <v>5</v>
      </c>
      <c r="K10" t="inlineStr">
        <is>
          <t>イベント全般</t>
        </is>
      </c>
      <c r="N10" t="n">
        <v>15</v>
      </c>
      <c r="Q10" t="inlineStr">
        <is>
          <t>SSE_SBG_003_003</t>
        </is>
      </c>
      <c r="V10" t="inlineStr">
        <is>
          <t>SSE_SBG_003_004</t>
        </is>
      </c>
    </row>
    <row r="12">
      <c r="B12" t="inlineStr">
        <is>
          <t>味方ゲートID</t>
        </is>
      </c>
      <c r="E12" t="inlineStr">
        <is>
          <t>敵ゲートID</t>
        </is>
      </c>
      <c r="H12" t="inlineStr">
        <is>
          <t>敵ゲートasset</t>
        </is>
      </c>
      <c r="K12" t="inlineStr">
        <is>
          <t>敵ゲートHP</t>
        </is>
      </c>
      <c r="N12" t="inlineStr">
        <is>
          <t>リリースキー</t>
        </is>
      </c>
    </row>
    <row r="13">
      <c r="B13" t="inlineStr">
        <is>
          <t>default</t>
        </is>
      </c>
      <c r="E13" t="inlineStr">
        <is>
          <t>event_jig1_charaget01_00002</t>
        </is>
      </c>
      <c r="H13" t="inlineStr">
        <is>
          <t>event_jig_0001</t>
        </is>
      </c>
      <c r="K13" t="n">
        <v>35000</v>
      </c>
      <c r="N13" t="n">
        <v>202601010</v>
      </c>
    </row>
    <row r="15">
      <c r="B15" t="inlineStr">
        <is>
          <t>■報酬設計</t>
        </is>
      </c>
    </row>
    <row r="17">
      <c r="B17" t="inlineStr">
        <is>
          <t>クリアコイン</t>
        </is>
      </c>
      <c r="E17" t="inlineStr">
        <is>
          <t>リーダーEXP</t>
        </is>
      </c>
      <c r="H17" t="inlineStr">
        <is>
          <t>原画のかけら確率</t>
        </is>
      </c>
      <c r="K17" t="inlineStr">
        <is>
          <t>原画のかけら種</t>
        </is>
      </c>
    </row>
    <row r="18">
      <c r="B18" t="n">
        <v>100</v>
      </c>
      <c r="E18">
        <f>I10*10</f>
        <v/>
      </c>
      <c r="H18" t="n">
        <v>1</v>
      </c>
      <c r="K18" t="inlineStr">
        <is>
          <t>11,16</t>
        </is>
      </c>
    </row>
    <row r="20">
      <c r="B20" t="inlineStr">
        <is>
          <t>ドロップ区分</t>
        </is>
      </c>
      <c r="E20" t="inlineStr">
        <is>
          <t>リソースtype</t>
        </is>
      </c>
      <c r="G20" t="inlineStr">
        <is>
          <t>アイテムID</t>
        </is>
      </c>
      <c r="J20" t="inlineStr">
        <is>
          <t>アイテム名</t>
        </is>
      </c>
      <c r="R20" t="inlineStr">
        <is>
          <t>ドロップ数</t>
        </is>
      </c>
      <c r="T20" t="inlineStr">
        <is>
          <t>ドロップ率</t>
        </is>
      </c>
    </row>
    <row r="21">
      <c r="B21" t="inlineStr">
        <is>
          <t>FirstClear</t>
        </is>
      </c>
      <c r="E21">
        <f>if(J21="プリズム","FreeDiamond","item")</f>
        <v/>
      </c>
      <c r="G21" t="inlineStr">
        <is>
          <t>prism_glo_00001</t>
        </is>
      </c>
      <c r="J21" t="inlineStr">
        <is>
          <t>プリズム</t>
        </is>
      </c>
      <c r="R21" t="n">
        <v>40</v>
      </c>
      <c r="T21" t="n">
        <v>100</v>
      </c>
    </row>
    <row r="22">
      <c r="B22" t="inlineStr">
        <is>
          <t>FirstClear</t>
        </is>
      </c>
      <c r="E22">
        <f>if(J22="プリズム","FreeDiamond","Item")</f>
        <v/>
      </c>
      <c r="G22" t="inlineStr">
        <is>
          <t>Coin</t>
        </is>
      </c>
      <c r="J22" t="inlineStr">
        <is>
          <t>コイン</t>
        </is>
      </c>
      <c r="R22" t="n">
        <v>500</v>
      </c>
      <c r="T22" t="n">
        <v>100</v>
      </c>
    </row>
    <row r="23">
      <c r="B23" t="inlineStr">
        <is>
          <t>FirstClear</t>
        </is>
      </c>
      <c r="E23">
        <f>if(J23="プリズム","FreeDiamond","Item")</f>
        <v/>
      </c>
      <c r="G23" t="inlineStr">
        <is>
          <t>memory_chara_jig_00701</t>
        </is>
      </c>
      <c r="J23" t="inlineStr">
        <is>
          <t>メイのメモリー</t>
        </is>
      </c>
      <c r="R23" t="n">
        <v>200</v>
      </c>
      <c r="T23" t="n">
        <v>100</v>
      </c>
    </row>
    <row r="24">
      <c r="B24" t="inlineStr">
        <is>
          <t>Random</t>
        </is>
      </c>
      <c r="E24">
        <f>if(J24="プリズム","FreeDiamond","Item")</f>
        <v/>
      </c>
      <c r="G24" t="inlineStr">
        <is>
          <t>piece_jig_00701</t>
        </is>
      </c>
      <c r="J24" t="inlineStr">
        <is>
          <t>メイのかけら</t>
        </is>
      </c>
      <c r="R24" t="n">
        <v>1</v>
      </c>
      <c r="T24" t="n">
        <v>20</v>
      </c>
    </row>
    <row r="25">
      <c r="E25">
        <f>if(J25="プリズム","FreeDiamond","Item")</f>
        <v/>
      </c>
      <c r="G25" t="inlineStr">
        <is>
          <t>none</t>
        </is>
      </c>
    </row>
    <row r="26">
      <c r="E26">
        <f>if(J26="プリズム","FreeDiamond","Item")</f>
        <v/>
      </c>
      <c r="G26" t="inlineStr">
        <is>
          <t>none</t>
        </is>
      </c>
    </row>
    <row r="28">
      <c r="B28" t="inlineStr">
        <is>
          <t>■コマ設計</t>
        </is>
      </c>
    </row>
    <row r="30">
      <c r="B30" t="inlineStr">
        <is>
          <t>行数</t>
        </is>
      </c>
      <c r="D30" t="inlineStr">
        <is>
          <t>行パターンID</t>
        </is>
      </c>
      <c r="F30" t="inlineStr">
        <is>
          <t>コマ数</t>
        </is>
      </c>
      <c r="H30" t="inlineStr">
        <is>
          <t>コマ高さ</t>
        </is>
      </c>
      <c r="J30" t="inlineStr">
        <is>
          <t>コマ幅1</t>
        </is>
      </c>
      <c r="L30" t="inlineStr">
        <is>
          <t>コマ幅2</t>
        </is>
      </c>
      <c r="N30" t="inlineStr">
        <is>
          <t>コマ幅3</t>
        </is>
      </c>
      <c r="P30" t="inlineStr">
        <is>
          <t>コマ幅4</t>
        </is>
      </c>
      <c r="R30" t="inlineStr">
        <is>
          <t>コマ背景</t>
        </is>
      </c>
      <c r="U30" t="inlineStr">
        <is>
          <t>コマ効果1</t>
        </is>
      </c>
      <c r="Z30" t="inlineStr">
        <is>
          <t>効果時間</t>
        </is>
      </c>
      <c r="AB30" t="inlineStr">
        <is>
          <t>効果数値</t>
        </is>
      </c>
      <c r="AD30" t="inlineStr">
        <is>
          <t>コマ効果2</t>
        </is>
      </c>
      <c r="AI30" t="inlineStr">
        <is>
          <t>効果時間</t>
        </is>
      </c>
      <c r="AK30" t="inlineStr">
        <is>
          <t>効果数値</t>
        </is>
      </c>
      <c r="AM30" t="inlineStr">
        <is>
          <t>コマ効果3</t>
        </is>
      </c>
      <c r="AR30" t="inlineStr">
        <is>
          <t>効果時間</t>
        </is>
      </c>
      <c r="AT30" t="inlineStr">
        <is>
          <t>効果数値</t>
        </is>
      </c>
      <c r="AV30" t="inlineStr">
        <is>
          <t>コマ効果4</t>
        </is>
      </c>
      <c r="BA30" t="inlineStr">
        <is>
          <t>効果時間</t>
        </is>
      </c>
      <c r="BC30" t="inlineStr">
        <is>
          <t>効果数値</t>
        </is>
      </c>
    </row>
    <row r="31">
      <c r="B31" t="inlineStr">
        <is>
          <t>1行目</t>
        </is>
      </c>
      <c r="D31" t="n">
        <v>5</v>
      </c>
      <c r="F31">
        <f>iferror(vlookup(D31,'行パターン'!$A$2:$C61,2,false),"error")</f>
        <v/>
      </c>
      <c r="H31" t="n">
        <v>0.55</v>
      </c>
      <c r="J31" t="n">
        <v>0.25</v>
      </c>
      <c r="L31" t="n">
        <v>0.75</v>
      </c>
      <c r="N31" t="inlineStr">
        <is>
          <t>none</t>
        </is>
      </c>
      <c r="P31" t="inlineStr">
        <is>
          <t>none</t>
        </is>
      </c>
      <c r="R31" t="inlineStr">
        <is>
          <t>jig_00002</t>
        </is>
      </c>
    </row>
    <row r="32">
      <c r="B32" t="inlineStr">
        <is>
          <t>2行目</t>
        </is>
      </c>
      <c r="D32" t="n">
        <v>4</v>
      </c>
      <c r="F32">
        <f>iferror(vlookup(D32,'行パターン'!$A$2:$C61,2,false),"error")</f>
        <v/>
      </c>
      <c r="H32" t="n">
        <v>0.55</v>
      </c>
      <c r="J32" t="n">
        <v>0.75</v>
      </c>
      <c r="L32" t="n">
        <v>0.25</v>
      </c>
      <c r="N32" t="inlineStr">
        <is>
          <t>none</t>
        </is>
      </c>
      <c r="P32" t="inlineStr">
        <is>
          <t>none</t>
        </is>
      </c>
      <c r="R32" t="inlineStr">
        <is>
          <t>jig_00002</t>
        </is>
      </c>
      <c r="U32" t="inlineStr">
        <is>
          <t>Gust</t>
        </is>
      </c>
      <c r="Z32" t="n">
        <v>1500</v>
      </c>
      <c r="AB32" t="n">
        <v>0.5</v>
      </c>
    </row>
    <row r="33">
      <c r="B33" t="inlineStr">
        <is>
          <t>3行目</t>
        </is>
      </c>
      <c r="F33">
        <f>iferror(vlookup(D33,'行パターン'!$A$2:$C61,2,false)," ")</f>
        <v/>
      </c>
      <c r="J33" t="inlineStr">
        <is>
          <t> </t>
        </is>
      </c>
    </row>
    <row r="34">
      <c r="B34" t="inlineStr">
        <is>
          <t>4行目</t>
        </is>
      </c>
      <c r="F34">
        <f>iferror(vlookup(D34,'行パターン'!$A$2:$C61,2,false)," ")</f>
        <v/>
      </c>
      <c r="J34" t="inlineStr">
        <is>
          <t> </t>
        </is>
      </c>
    </row>
    <row r="35">
      <c r="B35" t="inlineStr">
        <is>
          <t>5行目</t>
        </is>
      </c>
      <c r="F35">
        <f>iferror(vlookup(D35,'行パターン'!$A$2:$C61,2,false)," ")</f>
        <v/>
      </c>
      <c r="J35" t="inlineStr">
        <is>
          <t> </t>
        </is>
      </c>
    </row>
    <row r="37">
      <c r="B37" t="inlineStr">
        <is>
          <t xml:space="preserve">■Enemyシーケンス </t>
        </is>
      </c>
      <c r="F37" t="inlineStr">
        <is>
          <t>※コピペして使用</t>
        </is>
      </c>
    </row>
    <row r="39">
      <c r="B39" t="inlineStr">
        <is>
          <t>sequence
_group_id</t>
        </is>
      </c>
      <c r="D39" t="inlineStr">
        <is>
          <t>sequence_
element_id</t>
        </is>
      </c>
      <c r="F39" t="inlineStr">
        <is>
          <t>priority_sequence_element_id</t>
        </is>
      </c>
      <c r="H39" t="inlineStr">
        <is>
          <t>Enemy_ID</t>
        </is>
      </c>
      <c r="L39" t="inlineStr">
        <is>
          <t>ファントム名</t>
        </is>
      </c>
      <c r="P39" t="inlineStr">
        <is>
          <t>unit_kind</t>
        </is>
      </c>
      <c r="R39" t="inlineStr">
        <is>
          <t>属性</t>
        </is>
      </c>
      <c r="T39" t="inlineStr">
        <is>
          <t>ロール</t>
        </is>
      </c>
      <c r="V39" t="inlineStr">
        <is>
          <t>オーラタイプ</t>
        </is>
      </c>
      <c r="X39" t="inlineStr">
        <is>
          <t>死亡タイプ</t>
        </is>
      </c>
      <c r="Z39" t="inlineStr">
        <is>
          <t>必殺ワザ有無</t>
        </is>
      </c>
      <c r="AB39" t="inlineStr">
        <is>
          <t>体力</t>
        </is>
      </c>
      <c r="AD39" t="inlineStr">
        <is>
          <t>体力係数</t>
        </is>
      </c>
      <c r="AF39" t="inlineStr">
        <is>
          <t>攻撃力</t>
        </is>
      </c>
      <c r="AH39" t="inlineStr">
        <is>
          <t>攻撃係数</t>
        </is>
      </c>
      <c r="AJ39" t="inlineStr">
        <is>
          <t>通常攻撃F</t>
        </is>
      </c>
      <c r="AL39" t="inlineStr">
        <is>
          <t>通常攻撃CDF</t>
        </is>
      </c>
      <c r="AN39" t="inlineStr">
        <is>
          <t>通常攻撃DPS</t>
        </is>
      </c>
      <c r="AP39" t="inlineStr">
        <is>
          <t>通常攻撃備考</t>
        </is>
      </c>
      <c r="AT39" t="inlineStr">
        <is>
          <t>必殺技内容</t>
        </is>
      </c>
      <c r="AY39" t="inlineStr">
        <is>
          <t>必殺発動回数</t>
        </is>
      </c>
      <c r="BA39" t="inlineStr">
        <is>
          <t>必殺技F(秒)</t>
        </is>
      </c>
      <c r="BC39" t="inlineStr">
        <is>
          <t>特性</t>
        </is>
      </c>
      <c r="BE39" t="inlineStr">
        <is>
          <t>移動速度</t>
        </is>
      </c>
      <c r="BG39" t="inlineStr">
        <is>
          <t>well_distance</t>
        </is>
      </c>
      <c r="BI39" t="inlineStr">
        <is>
          <t>start_range</t>
        </is>
      </c>
      <c r="BK39" t="inlineStr">
        <is>
          <t>end_range</t>
        </is>
      </c>
      <c r="BM39" t="inlineStr">
        <is>
          <t>攻撃範囲</t>
        </is>
      </c>
      <c r="BO39" t="inlineStr">
        <is>
          <t>KB回数</t>
        </is>
      </c>
      <c r="BQ39" t="inlineStr">
        <is>
          <t>撃破p</t>
        </is>
      </c>
      <c r="BS39" t="inlineStr">
        <is>
          <t>上書き撃破p</t>
        </is>
      </c>
      <c r="BU39" t="inlineStr">
        <is>
          <t>変身先ID</t>
        </is>
      </c>
      <c r="BW39" t="inlineStr">
        <is>
          <t>変身条件1</t>
        </is>
      </c>
      <c r="BY39" t="inlineStr">
        <is>
          <t>変身条件2</t>
        </is>
      </c>
      <c r="CA39" t="inlineStr">
        <is>
          <t>出撃条件
condition_type</t>
        </is>
      </c>
      <c r="CE39" t="inlineStr">
        <is>
          <t>出撃開始値
condition_value</t>
        </is>
      </c>
      <c r="CG39" t="inlineStr">
        <is>
          <t>出撃感覚値
summon_interval</t>
        </is>
      </c>
      <c r="CI39" t="inlineStr">
        <is>
          <t>召喚回数
summon_count</t>
        </is>
      </c>
      <c r="CK39" t="inlineStr">
        <is>
          <t>アクション遅延
action_delay</t>
        </is>
      </c>
      <c r="CM39" t="inlineStr">
        <is>
          <t>出撃
アニメーション</t>
        </is>
      </c>
      <c r="CO39" t="inlineStr">
        <is>
          <t>召喚pos
summon_position</t>
        </is>
      </c>
      <c r="CQ39" t="inlineStr">
        <is>
          <t>移動開始条件
move_start_condition_type</t>
        </is>
      </c>
      <c r="CU39" t="inlineStr">
        <is>
          <t>移動開始値
condition_value</t>
        </is>
      </c>
      <c r="CW39" t="inlineStr">
        <is>
          <t>移動停止条件
move_stop_condition_type</t>
        </is>
      </c>
      <c r="DA39" t="inlineStr">
        <is>
          <t>移動停止値</t>
        </is>
      </c>
      <c r="DC39" t="inlineStr">
        <is>
          <t>移動再スタート条件
move_restart_condition_type</t>
        </is>
      </c>
      <c r="DG39" t="inlineStr">
        <is>
          <t>移動再スタート値</t>
        </is>
      </c>
      <c r="DI39" t="inlineStr">
        <is>
          <t>再スタート回数
move_loop_count</t>
        </is>
      </c>
      <c r="DK39" t="inlineStr">
        <is>
          <t>ゲート無敵化</t>
        </is>
      </c>
      <c r="DM39" t="inlineStr">
        <is>
          <t>出現停止条件</t>
        </is>
      </c>
      <c r="DQ39" t="inlineStr">
        <is>
          <t>停止条件値</t>
        </is>
      </c>
      <c r="DS39" t="inlineStr">
        <is>
          <t>備考</t>
        </is>
      </c>
      <c r="EA39" t="inlineStr">
        <is>
          <t>sequence_group_id</t>
        </is>
      </c>
      <c r="EB39" t="inlineStr">
        <is>
          <t>sequence_element_id</t>
        </is>
      </c>
      <c r="EC39" t="inlineStr">
        <is>
          <t>priority_sequence_element_id</t>
        </is>
      </c>
      <c r="ED39" t="inlineStr">
        <is>
          <t>condition_type</t>
        </is>
      </c>
      <c r="EE39" t="inlineStr">
        <is>
          <t>condition_value</t>
        </is>
      </c>
      <c r="EF39" t="inlineStr">
        <is>
          <t>action_type</t>
        </is>
      </c>
      <c r="EG39" t="inlineStr">
        <is>
          <t>action_value</t>
        </is>
      </c>
      <c r="EH39" t="inlineStr">
        <is>
          <t>action_value2</t>
        </is>
      </c>
      <c r="EI39" t="inlineStr">
        <is>
          <t>summon_count</t>
        </is>
      </c>
      <c r="EJ39" t="inlineStr">
        <is>
          <t>summon_interval</t>
        </is>
      </c>
      <c r="EK39" t="inlineStr">
        <is>
          <t>summon_animation_type</t>
        </is>
      </c>
      <c r="EL39" t="inlineStr">
        <is>
          <t>summon_position</t>
        </is>
      </c>
      <c r="EM39" t="inlineStr">
        <is>
          <t>move_start_condition_type</t>
        </is>
      </c>
      <c r="EN39" t="inlineStr">
        <is>
          <t>move_start_condition_value</t>
        </is>
      </c>
      <c r="EO39" t="inlineStr">
        <is>
          <t>move_stop_condition_type</t>
        </is>
      </c>
      <c r="EP39" t="inlineStr">
        <is>
          <t>move_stop_condition_value</t>
        </is>
      </c>
      <c r="EQ39" t="inlineStr">
        <is>
          <t>move_restart_condition_type</t>
        </is>
      </c>
      <c r="ER39" t="inlineStr">
        <is>
          <t>move_restart_condition_value</t>
        </is>
      </c>
      <c r="ES39" t="inlineStr">
        <is>
          <t>move_loop_count</t>
        </is>
      </c>
      <c r="ET39" t="inlineStr">
        <is>
          <t>is_summon_unit_outpost_damage_invalidation</t>
        </is>
      </c>
      <c r="EV39" t="inlineStr">
        <is>
          <t>aura_type</t>
        </is>
      </c>
      <c r="EW39" t="inlineStr">
        <is>
          <t>death_type</t>
        </is>
      </c>
      <c r="EX39" t="inlineStr">
        <is>
          <t>enemy_hp_coef</t>
        </is>
      </c>
      <c r="EY39" t="inlineStr">
        <is>
          <t>enemy_attack_coef</t>
        </is>
      </c>
      <c r="EZ39" t="inlineStr">
        <is>
          <t>enemy_speed_coef</t>
        </is>
      </c>
      <c r="FA39" t="inlineStr">
        <is>
          <t>override_drop_battle_point</t>
        </is>
      </c>
      <c r="FB39" t="inlineStr">
        <is>
          <t>defeated_score</t>
        </is>
      </c>
      <c r="FC39" t="inlineStr">
        <is>
          <t>action_delay</t>
        </is>
      </c>
      <c r="FD39" t="inlineStr">
        <is>
          <t>deactivation_condition_type</t>
        </is>
      </c>
      <c r="FE39" t="inlineStr">
        <is>
          <t>deactivation_condition_value</t>
        </is>
      </c>
    </row>
    <row r="40">
      <c r="D40" t="n">
        <v>1</v>
      </c>
      <c r="H40" t="inlineStr">
        <is>
          <t>c_jig_00101_jig1_charaget01_Boss_Yellow</t>
        </is>
      </c>
      <c r="L40" t="inlineStr">
        <is>
          <t>山田浅ェ門 佐切</t>
        </is>
      </c>
      <c r="P40" t="inlineStr">
        <is>
          <t>Boss</t>
        </is>
      </c>
      <c r="R40" t="inlineStr">
        <is>
          <t>Yellow</t>
        </is>
      </c>
      <c r="T40" t="inlineStr">
        <is>
          <t>Attack</t>
        </is>
      </c>
      <c r="V40" t="inlineStr">
        <is>
          <t>Default</t>
        </is>
      </c>
      <c r="X40" t="inlineStr">
        <is>
          <t>Normal</t>
        </is>
      </c>
      <c r="AB40" t="n">
        <v>25000</v>
      </c>
      <c r="AD40" t="n">
        <v>2.5</v>
      </c>
      <c r="AF40" t="n">
        <v>300</v>
      </c>
      <c r="AH40" t="n">
        <v>3</v>
      </c>
      <c r="AJ40" t="n">
        <v>75</v>
      </c>
      <c r="AL40" t="n">
        <v>75</v>
      </c>
      <c r="AN40">
        <f>iferror(AF40*(50/(AJ40+AL40)),"攻撃力に数値を入力")</f>
        <v/>
      </c>
      <c r="AT40" t="inlineStr">
        <is>
          <t>中範囲攻撃</t>
        </is>
      </c>
      <c r="AY40" t="n">
        <v>6</v>
      </c>
      <c r="BA40" t="n">
        <v>125</v>
      </c>
      <c r="BE40" t="n">
        <v>34</v>
      </c>
      <c r="BG40" t="n">
        <v>0.22</v>
      </c>
      <c r="BI40" t="n">
        <v>0</v>
      </c>
      <c r="BK40" t="n">
        <v>0.23</v>
      </c>
      <c r="BM40" t="n">
        <v>1</v>
      </c>
      <c r="BO40" t="n">
        <v>2</v>
      </c>
      <c r="BQ40" t="n">
        <v>100</v>
      </c>
      <c r="BS40" t="n">
        <v>200</v>
      </c>
      <c r="CA40" t="inlineStr">
        <is>
          <t>FriendUnitDead</t>
        </is>
      </c>
      <c r="CE40" t="n">
        <v>3</v>
      </c>
      <c r="CG40" t="n">
        <v>0</v>
      </c>
      <c r="CI40" t="n">
        <v>1</v>
      </c>
      <c r="CK40" t="n">
        <v>50</v>
      </c>
      <c r="CM40" t="inlineStr">
        <is>
          <t>None</t>
        </is>
      </c>
      <c r="CQ40" t="inlineStr">
        <is>
          <t>None</t>
        </is>
      </c>
      <c r="CW40" t="inlineStr">
        <is>
          <t>None</t>
        </is>
      </c>
      <c r="DC40" t="inlineStr">
        <is>
          <t>None</t>
        </is>
      </c>
      <c r="DK40" t="b">
        <v>0</v>
      </c>
      <c r="DM40" t="inlineStr">
        <is>
          <t>None</t>
        </is>
      </c>
      <c r="EA40">
        <f>B40</f>
        <v/>
      </c>
      <c r="EB40">
        <f>D40</f>
        <v/>
      </c>
      <c r="EC40">
        <f>F40</f>
        <v/>
      </c>
      <c r="ED40">
        <f>CA40</f>
        <v/>
      </c>
      <c r="EE40">
        <f>CE40</f>
        <v/>
      </c>
      <c r="EF40">
        <f>"SummonEnemy"</f>
        <v/>
      </c>
      <c r="EG40">
        <f>H40</f>
        <v/>
      </c>
      <c r="EI40">
        <f>CI40</f>
        <v/>
      </c>
      <c r="EJ40">
        <f>CG40</f>
        <v/>
      </c>
      <c r="EK40">
        <f>CM40</f>
        <v/>
      </c>
      <c r="EL40">
        <f>CO40</f>
        <v/>
      </c>
      <c r="EM40">
        <f>CQ40</f>
        <v/>
      </c>
      <c r="EN40">
        <f>CU40</f>
        <v/>
      </c>
      <c r="EO40">
        <f>CW40</f>
        <v/>
      </c>
      <c r="EP40">
        <f>DA40</f>
        <v/>
      </c>
      <c r="EQ40">
        <f>DC40</f>
        <v/>
      </c>
      <c r="ER40">
        <f>DG40</f>
        <v/>
      </c>
      <c r="ES40">
        <f>DI40</f>
        <v/>
      </c>
      <c r="ET40">
        <f>DK40</f>
        <v/>
      </c>
      <c r="EV40">
        <f>V40</f>
        <v/>
      </c>
      <c r="EW40">
        <f>X40</f>
        <v/>
      </c>
      <c r="EX40">
        <f>AD40</f>
        <v/>
      </c>
      <c r="EY40">
        <f>AH40</f>
        <v/>
      </c>
      <c r="EZ40">
        <f>"1"</f>
        <v/>
      </c>
      <c r="FA40">
        <f>BS40</f>
        <v/>
      </c>
      <c r="FB40" t="n">
        <v>0</v>
      </c>
      <c r="FC40">
        <f>CK40</f>
        <v/>
      </c>
      <c r="FD40">
        <f>DM40</f>
        <v/>
      </c>
    </row>
    <row r="41">
      <c r="D41" t="n">
        <v>2</v>
      </c>
      <c r="H41" t="inlineStr">
        <is>
          <t>e_jig_00501_jig1_charaget01_Boss_Colorless</t>
        </is>
      </c>
      <c r="L41" t="inlineStr">
        <is>
          <t>山田浅ェ門 源嗣</t>
        </is>
      </c>
      <c r="P41" t="inlineStr">
        <is>
          <t>Boss</t>
        </is>
      </c>
      <c r="R41" t="inlineStr">
        <is>
          <t>Colorless</t>
        </is>
      </c>
      <c r="T41" t="inlineStr">
        <is>
          <t>Defense</t>
        </is>
      </c>
      <c r="V41" t="inlineStr">
        <is>
          <t>Default</t>
        </is>
      </c>
      <c r="X41" t="inlineStr">
        <is>
          <t>Normal</t>
        </is>
      </c>
      <c r="AB41" t="n">
        <v>90000</v>
      </c>
      <c r="AD41" t="n">
        <v>9</v>
      </c>
      <c r="AF41" t="n">
        <v>80</v>
      </c>
      <c r="AH41" t="n">
        <v>0.8</v>
      </c>
      <c r="AJ41" t="n">
        <v>71.5</v>
      </c>
      <c r="AN41">
        <f>iferror(AF41*(50/(AJ41+AL41)),"攻撃力に数値を入力")</f>
        <v/>
      </c>
      <c r="AY41" t="inlineStr">
        <is>
          <t>-</t>
        </is>
      </c>
      <c r="BA41" t="inlineStr">
        <is>
          <t>none</t>
        </is>
      </c>
      <c r="BE41" t="n">
        <v>34</v>
      </c>
      <c r="BO41" t="n">
        <v>1</v>
      </c>
      <c r="BQ41" t="n">
        <v>100</v>
      </c>
      <c r="BS41" t="n">
        <v>200</v>
      </c>
      <c r="CA41" t="inlineStr">
        <is>
          <t>InitialSummon</t>
        </is>
      </c>
      <c r="CE41" t="n">
        <v>0</v>
      </c>
      <c r="CG41" t="n">
        <v>0</v>
      </c>
      <c r="CI41" t="n">
        <v>1</v>
      </c>
      <c r="CM41" t="inlineStr">
        <is>
          <t>None</t>
        </is>
      </c>
      <c r="CO41" t="n">
        <v>1.4</v>
      </c>
      <c r="CQ41" t="inlineStr">
        <is>
          <t>EnterTargetKoma</t>
        </is>
      </c>
      <c r="CU41" t="n">
        <v>1</v>
      </c>
      <c r="CW41" t="inlineStr">
        <is>
          <t>None</t>
        </is>
      </c>
      <c r="DC41" t="inlineStr">
        <is>
          <t>None</t>
        </is>
      </c>
      <c r="DK41" t="b">
        <v>0</v>
      </c>
      <c r="DM41" t="inlineStr">
        <is>
          <t>None</t>
        </is>
      </c>
      <c r="EA41">
        <f>B41</f>
        <v/>
      </c>
      <c r="EB41">
        <f>D41</f>
        <v/>
      </c>
      <c r="EC41">
        <f>F41</f>
        <v/>
      </c>
      <c r="ED41">
        <f>CA41</f>
        <v/>
      </c>
      <c r="EE41">
        <f>CE41</f>
        <v/>
      </c>
      <c r="EF41">
        <f>"SummonEnemy"</f>
        <v/>
      </c>
      <c r="EG41">
        <f>H41</f>
        <v/>
      </c>
      <c r="EI41">
        <f>CI41</f>
        <v/>
      </c>
      <c r="EJ41">
        <f>CG41</f>
        <v/>
      </c>
      <c r="EK41">
        <f>CM41</f>
        <v/>
      </c>
      <c r="EL41">
        <f>CO41</f>
        <v/>
      </c>
      <c r="EM41">
        <f>CQ41</f>
        <v/>
      </c>
      <c r="EN41">
        <f>CU41</f>
        <v/>
      </c>
      <c r="EO41">
        <f>CW41</f>
        <v/>
      </c>
      <c r="EP41">
        <f>DA41</f>
        <v/>
      </c>
      <c r="EQ41">
        <f>DC41</f>
        <v/>
      </c>
      <c r="ER41">
        <f>DG41</f>
        <v/>
      </c>
      <c r="ES41">
        <f>DI41</f>
        <v/>
      </c>
      <c r="ET41">
        <f>DK41</f>
        <v/>
      </c>
      <c r="EV41">
        <f>V41</f>
        <v/>
      </c>
      <c r="EW41">
        <f>X41</f>
        <v/>
      </c>
      <c r="EX41">
        <f>AD41</f>
        <v/>
      </c>
      <c r="EY41">
        <f>AH41</f>
        <v/>
      </c>
      <c r="EZ41">
        <f>"1"</f>
        <v/>
      </c>
      <c r="FA41">
        <f>BS41</f>
        <v/>
      </c>
      <c r="FB41" t="n">
        <v>0</v>
      </c>
      <c r="FC41">
        <f>CK41</f>
        <v/>
      </c>
      <c r="FD41">
        <f>DM41</f>
        <v/>
      </c>
    </row>
    <row r="42">
      <c r="D42" t="n">
        <v>3</v>
      </c>
      <c r="H42" t="inlineStr">
        <is>
          <t>e_jig_00401_jig1_charaget01_Normal_Green</t>
        </is>
      </c>
      <c r="L42" t="inlineStr">
        <is>
          <t>極楽蝶</t>
        </is>
      </c>
      <c r="P42" t="inlineStr">
        <is>
          <t>Normal</t>
        </is>
      </c>
      <c r="R42" t="inlineStr">
        <is>
          <t>Green</t>
        </is>
      </c>
      <c r="T42" t="inlineStr">
        <is>
          <t>Technical</t>
        </is>
      </c>
      <c r="V42" t="inlineStr">
        <is>
          <t>Default</t>
        </is>
      </c>
      <c r="X42" t="inlineStr">
        <is>
          <t>Normal</t>
        </is>
      </c>
      <c r="AB42" t="n">
        <v>5000</v>
      </c>
      <c r="AD42" t="n">
        <v>5</v>
      </c>
      <c r="AF42" t="n">
        <v>50</v>
      </c>
      <c r="AH42" t="n">
        <v>0.5</v>
      </c>
      <c r="AJ42" t="n">
        <v>65</v>
      </c>
      <c r="AL42" t="n">
        <v>125</v>
      </c>
      <c r="AN42">
        <f>iferror(AF42*(50/(AJ42+AL42)),"攻撃力に数値を入力")</f>
        <v/>
      </c>
      <c r="AP42" t="inlineStr">
        <is>
          <t>100%の確率で6秒間1%の毒にする</t>
        </is>
      </c>
      <c r="AY42" t="inlineStr">
        <is>
          <t>-</t>
        </is>
      </c>
      <c r="BA42" t="inlineStr">
        <is>
          <t>none</t>
        </is>
      </c>
      <c r="BE42" t="n">
        <v>33</v>
      </c>
      <c r="BG42" t="n">
        <v>0.24</v>
      </c>
      <c r="BI42" t="n">
        <v>0</v>
      </c>
      <c r="BK42" t="n">
        <v>0.25</v>
      </c>
      <c r="BM42" t="n">
        <v>1</v>
      </c>
      <c r="BO42" t="n">
        <v>2</v>
      </c>
      <c r="BQ42" t="n">
        <v>50</v>
      </c>
      <c r="BS42" t="n">
        <v>75</v>
      </c>
      <c r="CA42" t="inlineStr">
        <is>
          <t>ElapsedTime</t>
        </is>
      </c>
      <c r="CE42" t="n">
        <v>250</v>
      </c>
      <c r="CG42" t="n">
        <v>50</v>
      </c>
      <c r="CI42" t="n">
        <v>2</v>
      </c>
      <c r="CM42" t="inlineStr">
        <is>
          <t>None</t>
        </is>
      </c>
      <c r="CQ42" t="inlineStr">
        <is>
          <t>None</t>
        </is>
      </c>
      <c r="CW42" t="inlineStr">
        <is>
          <t>None</t>
        </is>
      </c>
      <c r="DC42" t="inlineStr">
        <is>
          <t>None</t>
        </is>
      </c>
      <c r="DK42" t="b">
        <v>0</v>
      </c>
      <c r="DM42" t="inlineStr">
        <is>
          <t>None</t>
        </is>
      </c>
      <c r="EA42">
        <f>B42</f>
        <v/>
      </c>
      <c r="EB42">
        <f>D42</f>
        <v/>
      </c>
      <c r="EC42">
        <f>F42</f>
        <v/>
      </c>
      <c r="ED42">
        <f>CA42</f>
        <v/>
      </c>
      <c r="EE42">
        <f>CE42</f>
        <v/>
      </c>
      <c r="EF42">
        <f>"SummonEnemy"</f>
        <v/>
      </c>
      <c r="EG42">
        <f>H42</f>
        <v/>
      </c>
      <c r="EI42">
        <f>CI42</f>
        <v/>
      </c>
      <c r="EJ42">
        <f>CG42</f>
        <v/>
      </c>
      <c r="EK42">
        <f>CM42</f>
        <v/>
      </c>
      <c r="EL42">
        <f>CO42</f>
        <v/>
      </c>
      <c r="EM42">
        <f>CQ42</f>
        <v/>
      </c>
      <c r="EN42">
        <f>CU42</f>
        <v/>
      </c>
      <c r="EO42">
        <f>CW42</f>
        <v/>
      </c>
      <c r="EP42">
        <f>DA42</f>
        <v/>
      </c>
      <c r="EQ42">
        <f>DC42</f>
        <v/>
      </c>
      <c r="ER42">
        <f>DG42</f>
        <v/>
      </c>
      <c r="ES42">
        <f>DI42</f>
        <v/>
      </c>
      <c r="ET42">
        <f>DK42</f>
        <v/>
      </c>
      <c r="EV42">
        <f>V42</f>
        <v/>
      </c>
      <c r="EW42">
        <f>X42</f>
        <v/>
      </c>
      <c r="EX42">
        <f>AD42</f>
        <v/>
      </c>
      <c r="EY42">
        <f>AH42</f>
        <v/>
      </c>
      <c r="EZ42">
        <f>"1"</f>
        <v/>
      </c>
      <c r="FA42">
        <f>BS42</f>
        <v/>
      </c>
      <c r="FB42" t="n">
        <v>0</v>
      </c>
      <c r="FC42">
        <f>CK42</f>
        <v/>
      </c>
      <c r="FD42">
        <f>DM42</f>
        <v/>
      </c>
    </row>
    <row r="43">
      <c r="D43" t="n">
        <v>4</v>
      </c>
      <c r="H43" t="inlineStr">
        <is>
          <t>e_jig_00401_jig1_charaget01_Normal_Green</t>
        </is>
      </c>
      <c r="L43" t="inlineStr">
        <is>
          <t>極楽蝶</t>
        </is>
      </c>
      <c r="P43" t="inlineStr">
        <is>
          <t>Normal</t>
        </is>
      </c>
      <c r="R43" t="inlineStr">
        <is>
          <t>Green</t>
        </is>
      </c>
      <c r="T43" t="inlineStr">
        <is>
          <t>Technical</t>
        </is>
      </c>
      <c r="V43" t="inlineStr">
        <is>
          <t>Default</t>
        </is>
      </c>
      <c r="X43" t="inlineStr">
        <is>
          <t>Normal</t>
        </is>
      </c>
      <c r="AB43" t="n">
        <v>5000</v>
      </c>
      <c r="AD43" t="n">
        <v>5</v>
      </c>
      <c r="AF43" t="n">
        <v>50</v>
      </c>
      <c r="AH43" t="n">
        <v>0.5</v>
      </c>
      <c r="AJ43" t="n">
        <v>65</v>
      </c>
      <c r="AL43" t="n">
        <v>125</v>
      </c>
      <c r="AN43">
        <f>iferror(AF43*(50/(AJ43+AL43)),"攻撃力に数値を入力")</f>
        <v/>
      </c>
      <c r="AP43" t="inlineStr">
        <is>
          <t>100%の確率で6秒間1%の毒にする</t>
        </is>
      </c>
      <c r="AY43" t="inlineStr">
        <is>
          <t>-</t>
        </is>
      </c>
      <c r="BA43" t="inlineStr">
        <is>
          <t>none</t>
        </is>
      </c>
      <c r="BE43" t="n">
        <v>33</v>
      </c>
      <c r="BG43" t="n">
        <v>0.24</v>
      </c>
      <c r="BI43" t="n">
        <v>0</v>
      </c>
      <c r="BK43" t="n">
        <v>0.25</v>
      </c>
      <c r="BM43" t="n">
        <v>1</v>
      </c>
      <c r="BO43" t="n">
        <v>2</v>
      </c>
      <c r="BQ43" t="n">
        <v>50</v>
      </c>
      <c r="BS43" t="n">
        <v>75</v>
      </c>
      <c r="CA43" t="inlineStr">
        <is>
          <t>ElapsedTime</t>
        </is>
      </c>
      <c r="CE43" t="n">
        <v>1700</v>
      </c>
      <c r="CG43" t="n">
        <v>50</v>
      </c>
      <c r="CI43" t="n">
        <v>2</v>
      </c>
      <c r="CM43" t="inlineStr">
        <is>
          <t>None</t>
        </is>
      </c>
      <c r="CQ43" t="inlineStr">
        <is>
          <t>None</t>
        </is>
      </c>
      <c r="CW43" t="inlineStr">
        <is>
          <t>None</t>
        </is>
      </c>
      <c r="DC43" t="inlineStr">
        <is>
          <t>None</t>
        </is>
      </c>
      <c r="DK43" t="b">
        <v>0</v>
      </c>
      <c r="DM43" t="inlineStr">
        <is>
          <t>None</t>
        </is>
      </c>
      <c r="EA43">
        <f>B43</f>
        <v/>
      </c>
      <c r="EB43">
        <f>D43</f>
        <v/>
      </c>
      <c r="EC43">
        <f>F43</f>
        <v/>
      </c>
      <c r="ED43">
        <f>CA43</f>
        <v/>
      </c>
      <c r="EE43">
        <f>CE43</f>
        <v/>
      </c>
      <c r="EF43">
        <f>"SummonEnemy"</f>
        <v/>
      </c>
      <c r="EG43">
        <f>H43</f>
        <v/>
      </c>
      <c r="EI43">
        <f>CI43</f>
        <v/>
      </c>
      <c r="EJ43">
        <f>CG43</f>
        <v/>
      </c>
      <c r="EK43">
        <f>CM43</f>
        <v/>
      </c>
      <c r="EL43">
        <f>CO43</f>
        <v/>
      </c>
      <c r="EM43">
        <f>CQ43</f>
        <v/>
      </c>
      <c r="EN43">
        <f>CU43</f>
        <v/>
      </c>
      <c r="EO43">
        <f>CW43</f>
        <v/>
      </c>
      <c r="EP43">
        <f>DA43</f>
        <v/>
      </c>
      <c r="EQ43">
        <f>DC43</f>
        <v/>
      </c>
      <c r="ER43">
        <f>DG43</f>
        <v/>
      </c>
      <c r="ES43">
        <f>DI43</f>
        <v/>
      </c>
      <c r="ET43">
        <f>DK43</f>
        <v/>
      </c>
      <c r="EV43">
        <f>V43</f>
        <v/>
      </c>
      <c r="EW43">
        <f>X43</f>
        <v/>
      </c>
      <c r="EX43">
        <f>AD43</f>
        <v/>
      </c>
      <c r="EY43">
        <f>AH43</f>
        <v/>
      </c>
      <c r="EZ43">
        <f>"1"</f>
        <v/>
      </c>
      <c r="FA43">
        <f>BS43</f>
        <v/>
      </c>
      <c r="FB43" t="n">
        <v>0</v>
      </c>
      <c r="FC43">
        <f>CK43</f>
        <v/>
      </c>
      <c r="FD43">
        <f>DM43</f>
        <v/>
      </c>
    </row>
    <row r="44">
      <c r="D44" t="n">
        <v>5</v>
      </c>
      <c r="H44" t="inlineStr">
        <is>
          <t>e_jig_00301_jig1_charaget01_Normal_Green</t>
        </is>
      </c>
      <c r="L44" t="inlineStr">
        <is>
          <t>竈神 魚</t>
        </is>
      </c>
      <c r="P44" t="inlineStr">
        <is>
          <t>Normal</t>
        </is>
      </c>
      <c r="R44" t="inlineStr">
        <is>
          <t>Green</t>
        </is>
      </c>
      <c r="T44" t="inlineStr">
        <is>
          <t>Attack</t>
        </is>
      </c>
      <c r="V44" t="inlineStr">
        <is>
          <t>Default</t>
        </is>
      </c>
      <c r="X44" t="inlineStr">
        <is>
          <t>Normal</t>
        </is>
      </c>
      <c r="AB44" t="n">
        <v>8000</v>
      </c>
      <c r="AD44" t="n">
        <v>8</v>
      </c>
      <c r="AF44" t="n">
        <v>100</v>
      </c>
      <c r="AH44" t="n">
        <v>1</v>
      </c>
      <c r="AJ44" t="n">
        <v>75</v>
      </c>
      <c r="AL44" t="n">
        <v>10</v>
      </c>
      <c r="AN44">
        <f>iferror(AF44*(50/(AJ44+AL44)),"攻撃力に数値を入力")</f>
        <v/>
      </c>
      <c r="AY44" t="inlineStr">
        <is>
          <t>-</t>
        </is>
      </c>
      <c r="BA44" t="inlineStr">
        <is>
          <t>none</t>
        </is>
      </c>
      <c r="BE44" t="n">
        <v>37</v>
      </c>
      <c r="BG44" t="n">
        <v>0.22</v>
      </c>
      <c r="BI44" t="n">
        <v>0</v>
      </c>
      <c r="BK44" t="n">
        <v>0.23</v>
      </c>
      <c r="BM44" t="n">
        <v>1</v>
      </c>
      <c r="BO44" t="n">
        <v>4</v>
      </c>
      <c r="BQ44" t="n">
        <v>50</v>
      </c>
      <c r="BS44" t="n">
        <v>75</v>
      </c>
      <c r="CA44" t="inlineStr">
        <is>
          <t>ElapsedTime</t>
        </is>
      </c>
      <c r="CE44" t="n">
        <v>2200</v>
      </c>
      <c r="CG44" t="n">
        <v>0</v>
      </c>
      <c r="CI44" t="n">
        <v>1</v>
      </c>
      <c r="CM44" t="inlineStr">
        <is>
          <t>None</t>
        </is>
      </c>
      <c r="CQ44" t="inlineStr">
        <is>
          <t>None</t>
        </is>
      </c>
      <c r="CW44" t="inlineStr">
        <is>
          <t>None</t>
        </is>
      </c>
      <c r="DC44" t="inlineStr">
        <is>
          <t>None</t>
        </is>
      </c>
      <c r="DK44" t="b">
        <v>0</v>
      </c>
      <c r="DM44" t="inlineStr">
        <is>
          <t>None</t>
        </is>
      </c>
      <c r="EA44">
        <f>B44</f>
        <v/>
      </c>
      <c r="EB44">
        <f>D44</f>
        <v/>
      </c>
      <c r="EC44">
        <f>F44</f>
        <v/>
      </c>
      <c r="ED44">
        <f>CA44</f>
        <v/>
      </c>
      <c r="EE44">
        <f>CE44</f>
        <v/>
      </c>
      <c r="EF44">
        <f>"SummonEnemy"</f>
        <v/>
      </c>
      <c r="EG44">
        <f>H44</f>
        <v/>
      </c>
      <c r="EI44">
        <f>CI44</f>
        <v/>
      </c>
      <c r="EJ44">
        <f>CG44</f>
        <v/>
      </c>
      <c r="EK44">
        <f>CM44</f>
        <v/>
      </c>
      <c r="EL44">
        <f>CO44</f>
        <v/>
      </c>
      <c r="EM44">
        <f>CQ44</f>
        <v/>
      </c>
      <c r="EN44">
        <f>CU44</f>
        <v/>
      </c>
      <c r="EO44">
        <f>CW44</f>
        <v/>
      </c>
      <c r="EP44">
        <f>DA44</f>
        <v/>
      </c>
      <c r="EQ44">
        <f>DC44</f>
        <v/>
      </c>
      <c r="ER44">
        <f>DG44</f>
        <v/>
      </c>
      <c r="ES44">
        <f>DI44</f>
        <v/>
      </c>
      <c r="ET44">
        <f>DK44</f>
        <v/>
      </c>
      <c r="EV44">
        <f>V44</f>
        <v/>
      </c>
      <c r="EW44">
        <f>X44</f>
        <v/>
      </c>
      <c r="EX44">
        <f>AD44</f>
        <v/>
      </c>
      <c r="EY44">
        <f>AH44</f>
        <v/>
      </c>
      <c r="EZ44">
        <f>"1"</f>
        <v/>
      </c>
      <c r="FA44">
        <f>BS44</f>
        <v/>
      </c>
      <c r="FB44" t="n">
        <v>0</v>
      </c>
      <c r="FC44">
        <f>CK44</f>
        <v/>
      </c>
      <c r="FD44">
        <f>DM44</f>
        <v/>
      </c>
    </row>
    <row r="45">
      <c r="L45" t="inlineStr">
        <is>
          <t>none</t>
        </is>
      </c>
      <c r="P45" t="inlineStr">
        <is>
          <t>none</t>
        </is>
      </c>
      <c r="R45" t="inlineStr">
        <is>
          <t>none</t>
        </is>
      </c>
      <c r="T45" t="inlineStr">
        <is>
          <t>none</t>
        </is>
      </c>
      <c r="V45" t="inlineStr">
        <is>
          <t>Default</t>
        </is>
      </c>
      <c r="X45" t="inlineStr">
        <is>
          <t>Normal</t>
        </is>
      </c>
      <c r="AB45" t="inlineStr">
        <is>
          <t>none</t>
        </is>
      </c>
      <c r="AD45" t="n">
        <v>1</v>
      </c>
      <c r="AF45" t="inlineStr">
        <is>
          <t>none</t>
        </is>
      </c>
      <c r="AH45" t="n">
        <v>1</v>
      </c>
      <c r="AJ45" t="inlineStr">
        <is>
          <t>none</t>
        </is>
      </c>
      <c r="AL45" t="inlineStr">
        <is>
          <t>none</t>
        </is>
      </c>
      <c r="AN45">
        <f>iferror(AF45*(50/(AJ45+AL45)),"攻撃力に数値を入力")</f>
        <v/>
      </c>
      <c r="AP45" t="inlineStr">
        <is>
          <t>none</t>
        </is>
      </c>
      <c r="AT45" t="inlineStr">
        <is>
          <t>none</t>
        </is>
      </c>
      <c r="AY45" t="inlineStr">
        <is>
          <t>none</t>
        </is>
      </c>
      <c r="BA45" t="inlineStr">
        <is>
          <t>none</t>
        </is>
      </c>
      <c r="BC45" t="inlineStr">
        <is>
          <t>none</t>
        </is>
      </c>
      <c r="BE45" t="inlineStr">
        <is>
          <t>none</t>
        </is>
      </c>
      <c r="BG45" t="inlineStr">
        <is>
          <t>none</t>
        </is>
      </c>
      <c r="BI45" t="inlineStr">
        <is>
          <t>none</t>
        </is>
      </c>
      <c r="BK45" t="inlineStr">
        <is>
          <t>none</t>
        </is>
      </c>
      <c r="BM45" t="inlineStr">
        <is>
          <t>none</t>
        </is>
      </c>
      <c r="BO45" t="inlineStr">
        <is>
          <t>none</t>
        </is>
      </c>
      <c r="BQ45" t="inlineStr">
        <is>
          <t>none</t>
        </is>
      </c>
      <c r="CA45" t="inlineStr">
        <is>
          <t>未入力</t>
        </is>
      </c>
      <c r="CM45" t="inlineStr">
        <is>
          <t>None</t>
        </is>
      </c>
      <c r="CQ45" t="inlineStr">
        <is>
          <t>None</t>
        </is>
      </c>
      <c r="CW45" t="inlineStr">
        <is>
          <t>None</t>
        </is>
      </c>
      <c r="DC45" t="inlineStr">
        <is>
          <t>None</t>
        </is>
      </c>
      <c r="DK45" t="b">
        <v>0</v>
      </c>
      <c r="DM45" t="inlineStr">
        <is>
          <t>None</t>
        </is>
      </c>
      <c r="EA45">
        <f>B45</f>
        <v/>
      </c>
      <c r="EB45">
        <f>D45</f>
        <v/>
      </c>
      <c r="EC45">
        <f>F45</f>
        <v/>
      </c>
      <c r="ED45">
        <f>CA45</f>
        <v/>
      </c>
      <c r="EE45">
        <f>CE45</f>
        <v/>
      </c>
      <c r="EF45">
        <f>"SummonEnemy"</f>
        <v/>
      </c>
      <c r="EG45">
        <f>H45</f>
        <v/>
      </c>
      <c r="EI45">
        <f>CI45</f>
        <v/>
      </c>
      <c r="EJ45">
        <f>CG45</f>
        <v/>
      </c>
      <c r="EK45">
        <f>CM45</f>
        <v/>
      </c>
      <c r="EL45">
        <f>CO45</f>
        <v/>
      </c>
      <c r="EM45">
        <f>CQ45</f>
        <v/>
      </c>
      <c r="EN45">
        <f>CU45</f>
        <v/>
      </c>
      <c r="EO45">
        <f>CW45</f>
        <v/>
      </c>
      <c r="EP45">
        <f>DA45</f>
        <v/>
      </c>
      <c r="EQ45">
        <f>DC45</f>
        <v/>
      </c>
      <c r="ER45">
        <f>DG45</f>
        <v/>
      </c>
      <c r="ES45">
        <f>DI45</f>
        <v/>
      </c>
      <c r="ET45">
        <f>DK45</f>
        <v/>
      </c>
      <c r="EV45">
        <f>V45</f>
        <v/>
      </c>
      <c r="EW45">
        <f>X45</f>
        <v/>
      </c>
      <c r="EX45">
        <f>AD45</f>
        <v/>
      </c>
      <c r="EY45">
        <f>AH45</f>
        <v/>
      </c>
      <c r="EZ45">
        <f>"1"</f>
        <v/>
      </c>
      <c r="FA45">
        <f>BS45</f>
        <v/>
      </c>
      <c r="FB45" t="n">
        <v>0</v>
      </c>
      <c r="FC45">
        <f>CK45</f>
        <v/>
      </c>
      <c r="FD45">
        <f>DM45</f>
        <v/>
      </c>
    </row>
    <row r="46">
      <c r="L46" t="inlineStr">
        <is>
          <t>none</t>
        </is>
      </c>
      <c r="P46" t="inlineStr">
        <is>
          <t>none</t>
        </is>
      </c>
      <c r="R46" t="inlineStr">
        <is>
          <t>none</t>
        </is>
      </c>
      <c r="T46" t="inlineStr">
        <is>
          <t>none</t>
        </is>
      </c>
      <c r="V46" t="inlineStr">
        <is>
          <t>Default</t>
        </is>
      </c>
      <c r="X46" t="inlineStr">
        <is>
          <t>Normal</t>
        </is>
      </c>
      <c r="AB46" t="inlineStr">
        <is>
          <t>none</t>
        </is>
      </c>
      <c r="AD46" t="n">
        <v>1</v>
      </c>
      <c r="AF46" t="inlineStr">
        <is>
          <t>none</t>
        </is>
      </c>
      <c r="AH46" t="n">
        <v>1</v>
      </c>
      <c r="AJ46" t="inlineStr">
        <is>
          <t>none</t>
        </is>
      </c>
      <c r="AL46" t="inlineStr">
        <is>
          <t>none</t>
        </is>
      </c>
      <c r="AN46">
        <f>iferror(AF46*(50/(AJ46+AL46)),"攻撃力に数値を入力")</f>
        <v/>
      </c>
      <c r="AP46" t="inlineStr">
        <is>
          <t>none</t>
        </is>
      </c>
      <c r="AT46" t="inlineStr">
        <is>
          <t>none</t>
        </is>
      </c>
      <c r="AY46" t="inlineStr">
        <is>
          <t>none</t>
        </is>
      </c>
      <c r="BA46" t="inlineStr">
        <is>
          <t>none</t>
        </is>
      </c>
      <c r="BC46" t="inlineStr">
        <is>
          <t>none</t>
        </is>
      </c>
      <c r="BE46" t="inlineStr">
        <is>
          <t>none</t>
        </is>
      </c>
      <c r="BG46" t="inlineStr">
        <is>
          <t>none</t>
        </is>
      </c>
      <c r="BI46" t="inlineStr">
        <is>
          <t>none</t>
        </is>
      </c>
      <c r="BK46" t="inlineStr">
        <is>
          <t>none</t>
        </is>
      </c>
      <c r="BM46" t="inlineStr">
        <is>
          <t>none</t>
        </is>
      </c>
      <c r="BO46" t="inlineStr">
        <is>
          <t>none</t>
        </is>
      </c>
      <c r="BQ46" t="inlineStr">
        <is>
          <t>none</t>
        </is>
      </c>
      <c r="CA46" t="inlineStr">
        <is>
          <t>未入力</t>
        </is>
      </c>
      <c r="CM46" t="inlineStr">
        <is>
          <t>None</t>
        </is>
      </c>
      <c r="CQ46" t="inlineStr">
        <is>
          <t>None</t>
        </is>
      </c>
      <c r="CW46" t="inlineStr">
        <is>
          <t>None</t>
        </is>
      </c>
      <c r="DC46" t="inlineStr">
        <is>
          <t>None</t>
        </is>
      </c>
      <c r="DK46" t="b">
        <v>0</v>
      </c>
      <c r="DM46" t="inlineStr">
        <is>
          <t>None</t>
        </is>
      </c>
      <c r="EA46">
        <f>B46</f>
        <v/>
      </c>
      <c r="EB46">
        <f>D46</f>
        <v/>
      </c>
      <c r="EC46">
        <f>F46</f>
        <v/>
      </c>
      <c r="ED46">
        <f>CA46</f>
        <v/>
      </c>
      <c r="EE46">
        <f>CE46</f>
        <v/>
      </c>
      <c r="EF46">
        <f>"SummonEnemy"</f>
        <v/>
      </c>
      <c r="EG46">
        <f>H46</f>
        <v/>
      </c>
      <c r="EI46">
        <f>CI46</f>
        <v/>
      </c>
      <c r="EJ46">
        <f>CG46</f>
        <v/>
      </c>
      <c r="EK46">
        <f>CM46</f>
        <v/>
      </c>
      <c r="EL46">
        <f>CO46</f>
        <v/>
      </c>
      <c r="EM46">
        <f>CQ46</f>
        <v/>
      </c>
      <c r="EN46">
        <f>CU46</f>
        <v/>
      </c>
      <c r="EO46">
        <f>CW46</f>
        <v/>
      </c>
      <c r="EP46">
        <f>DA46</f>
        <v/>
      </c>
      <c r="EQ46">
        <f>DC46</f>
        <v/>
      </c>
      <c r="ER46">
        <f>DG46</f>
        <v/>
      </c>
      <c r="ES46">
        <f>DI46</f>
        <v/>
      </c>
      <c r="ET46">
        <f>DK46</f>
        <v/>
      </c>
      <c r="EV46">
        <f>V46</f>
        <v/>
      </c>
      <c r="EW46">
        <f>X46</f>
        <v/>
      </c>
      <c r="EX46">
        <f>AD46</f>
        <v/>
      </c>
      <c r="EY46">
        <f>AH46</f>
        <v/>
      </c>
      <c r="EZ46">
        <f>"1"</f>
        <v/>
      </c>
      <c r="FA46">
        <f>BS46</f>
        <v/>
      </c>
      <c r="FB46" t="n">
        <v>0</v>
      </c>
      <c r="FC46">
        <f>CK46</f>
        <v/>
      </c>
      <c r="FD46">
        <f>DM46</f>
        <v/>
      </c>
    </row>
    <row r="47">
      <c r="L47" t="inlineStr">
        <is>
          <t>none</t>
        </is>
      </c>
      <c r="P47" t="inlineStr">
        <is>
          <t>none</t>
        </is>
      </c>
      <c r="R47" t="inlineStr">
        <is>
          <t>none</t>
        </is>
      </c>
      <c r="T47" t="inlineStr">
        <is>
          <t>none</t>
        </is>
      </c>
      <c r="V47" t="inlineStr">
        <is>
          <t>Default</t>
        </is>
      </c>
      <c r="X47" t="inlineStr">
        <is>
          <t>Normal</t>
        </is>
      </c>
      <c r="AB47" t="inlineStr">
        <is>
          <t>none</t>
        </is>
      </c>
      <c r="AD47" t="n">
        <v>1</v>
      </c>
      <c r="AF47" t="inlineStr">
        <is>
          <t>none</t>
        </is>
      </c>
      <c r="AH47" t="n">
        <v>1</v>
      </c>
      <c r="AJ47" t="inlineStr">
        <is>
          <t>none</t>
        </is>
      </c>
      <c r="AL47" t="inlineStr">
        <is>
          <t>none</t>
        </is>
      </c>
      <c r="AN47">
        <f>iferror(AF47*(50/(AJ47+AL47)),"攻撃力に数値を入力")</f>
        <v/>
      </c>
      <c r="AP47" t="inlineStr">
        <is>
          <t>none</t>
        </is>
      </c>
      <c r="AT47" t="inlineStr">
        <is>
          <t>none</t>
        </is>
      </c>
      <c r="AY47" t="inlineStr">
        <is>
          <t>none</t>
        </is>
      </c>
      <c r="BA47" t="inlineStr">
        <is>
          <t>none</t>
        </is>
      </c>
      <c r="BC47" t="inlineStr">
        <is>
          <t>none</t>
        </is>
      </c>
      <c r="BE47" t="inlineStr">
        <is>
          <t>none</t>
        </is>
      </c>
      <c r="BG47" t="inlineStr">
        <is>
          <t>none</t>
        </is>
      </c>
      <c r="BI47" t="inlineStr">
        <is>
          <t>none</t>
        </is>
      </c>
      <c r="BK47" t="inlineStr">
        <is>
          <t>none</t>
        </is>
      </c>
      <c r="BM47" t="inlineStr">
        <is>
          <t>none</t>
        </is>
      </c>
      <c r="BO47" t="inlineStr">
        <is>
          <t>none</t>
        </is>
      </c>
      <c r="BQ47" t="inlineStr">
        <is>
          <t>none</t>
        </is>
      </c>
      <c r="CA47" t="inlineStr">
        <is>
          <t>未入力</t>
        </is>
      </c>
      <c r="CM47" t="inlineStr">
        <is>
          <t>None</t>
        </is>
      </c>
      <c r="CQ47" t="inlineStr">
        <is>
          <t>None</t>
        </is>
      </c>
      <c r="CW47" t="inlineStr">
        <is>
          <t>None</t>
        </is>
      </c>
      <c r="DC47" t="inlineStr">
        <is>
          <t>None</t>
        </is>
      </c>
      <c r="DK47" t="b">
        <v>0</v>
      </c>
      <c r="DM47" t="inlineStr">
        <is>
          <t>None</t>
        </is>
      </c>
      <c r="EA47">
        <f>B47</f>
        <v/>
      </c>
      <c r="EB47">
        <f>D47</f>
        <v/>
      </c>
      <c r="EC47">
        <f>F47</f>
        <v/>
      </c>
      <c r="ED47">
        <f>CA47</f>
        <v/>
      </c>
      <c r="EE47">
        <f>CE47</f>
        <v/>
      </c>
      <c r="EF47">
        <f>"SummonEnemy"</f>
        <v/>
      </c>
      <c r="EG47">
        <f>H47</f>
        <v/>
      </c>
      <c r="EI47">
        <f>CI47</f>
        <v/>
      </c>
      <c r="EJ47">
        <f>CG47</f>
        <v/>
      </c>
      <c r="EK47">
        <f>CM47</f>
        <v/>
      </c>
      <c r="EL47">
        <f>CO47</f>
        <v/>
      </c>
      <c r="EM47">
        <f>CQ47</f>
        <v/>
      </c>
      <c r="EN47">
        <f>CU47</f>
        <v/>
      </c>
      <c r="EO47">
        <f>CW47</f>
        <v/>
      </c>
      <c r="EP47">
        <f>DA47</f>
        <v/>
      </c>
      <c r="EQ47">
        <f>DC47</f>
        <v/>
      </c>
      <c r="ER47">
        <f>DG47</f>
        <v/>
      </c>
      <c r="ES47">
        <f>DI47</f>
        <v/>
      </c>
      <c r="ET47">
        <f>DK47</f>
        <v/>
      </c>
      <c r="EV47">
        <f>V47</f>
        <v/>
      </c>
      <c r="EW47">
        <f>X47</f>
        <v/>
      </c>
      <c r="EX47">
        <f>AD47</f>
        <v/>
      </c>
      <c r="EY47">
        <f>AH47</f>
        <v/>
      </c>
      <c r="EZ47">
        <f>"1"</f>
        <v/>
      </c>
      <c r="FA47">
        <f>BS47</f>
        <v/>
      </c>
      <c r="FB47" t="n">
        <v>0</v>
      </c>
      <c r="FC47">
        <f>CK47</f>
        <v/>
      </c>
      <c r="FD47">
        <f>DM47</f>
        <v/>
      </c>
    </row>
    <row r="48">
      <c r="L48" t="inlineStr">
        <is>
          <t>none</t>
        </is>
      </c>
      <c r="P48" t="inlineStr">
        <is>
          <t>none</t>
        </is>
      </c>
      <c r="R48" t="inlineStr">
        <is>
          <t>none</t>
        </is>
      </c>
      <c r="T48" t="inlineStr">
        <is>
          <t>none</t>
        </is>
      </c>
      <c r="V48" t="inlineStr">
        <is>
          <t>Default</t>
        </is>
      </c>
      <c r="X48" t="inlineStr">
        <is>
          <t>Normal</t>
        </is>
      </c>
      <c r="AB48" t="inlineStr">
        <is>
          <t>none</t>
        </is>
      </c>
      <c r="AD48" t="n">
        <v>1</v>
      </c>
      <c r="AF48" t="inlineStr">
        <is>
          <t>none</t>
        </is>
      </c>
      <c r="AH48" t="n">
        <v>1</v>
      </c>
      <c r="AJ48" t="inlineStr">
        <is>
          <t>none</t>
        </is>
      </c>
      <c r="AL48" t="inlineStr">
        <is>
          <t>none</t>
        </is>
      </c>
      <c r="AN48">
        <f>iferror(AF48*(50/(AJ48+AL48)),"攻撃力に数値を入力")</f>
        <v/>
      </c>
      <c r="AP48" t="inlineStr">
        <is>
          <t>none</t>
        </is>
      </c>
      <c r="AT48" t="inlineStr">
        <is>
          <t>none</t>
        </is>
      </c>
      <c r="AY48" t="inlineStr">
        <is>
          <t>none</t>
        </is>
      </c>
      <c r="BA48" t="inlineStr">
        <is>
          <t>none</t>
        </is>
      </c>
      <c r="BC48" t="inlineStr">
        <is>
          <t>none</t>
        </is>
      </c>
      <c r="BE48" t="inlineStr">
        <is>
          <t>none</t>
        </is>
      </c>
      <c r="BG48" t="inlineStr">
        <is>
          <t>none</t>
        </is>
      </c>
      <c r="BI48" t="inlineStr">
        <is>
          <t>none</t>
        </is>
      </c>
      <c r="BK48" t="inlineStr">
        <is>
          <t>none</t>
        </is>
      </c>
      <c r="BM48" t="inlineStr">
        <is>
          <t>none</t>
        </is>
      </c>
      <c r="BO48" t="inlineStr">
        <is>
          <t>none</t>
        </is>
      </c>
      <c r="BQ48" t="inlineStr">
        <is>
          <t>none</t>
        </is>
      </c>
      <c r="CA48" t="inlineStr">
        <is>
          <t>未入力</t>
        </is>
      </c>
      <c r="CM48" t="inlineStr">
        <is>
          <t>None</t>
        </is>
      </c>
      <c r="CQ48" t="inlineStr">
        <is>
          <t>None</t>
        </is>
      </c>
      <c r="CW48" t="inlineStr">
        <is>
          <t>None</t>
        </is>
      </c>
      <c r="DC48" t="inlineStr">
        <is>
          <t>None</t>
        </is>
      </c>
      <c r="DK48" t="b">
        <v>0</v>
      </c>
      <c r="DM48" t="inlineStr">
        <is>
          <t>None</t>
        </is>
      </c>
      <c r="EA48">
        <f>B48</f>
        <v/>
      </c>
      <c r="EB48">
        <f>D48</f>
        <v/>
      </c>
      <c r="EC48">
        <f>F48</f>
        <v/>
      </c>
      <c r="ED48">
        <f>CA48</f>
        <v/>
      </c>
      <c r="EE48">
        <f>CE48</f>
        <v/>
      </c>
      <c r="EF48">
        <f>"SummonEnemy"</f>
        <v/>
      </c>
      <c r="EG48">
        <f>H48</f>
        <v/>
      </c>
      <c r="EI48">
        <f>CI48</f>
        <v/>
      </c>
      <c r="EJ48">
        <f>CG48</f>
        <v/>
      </c>
      <c r="EK48">
        <f>CM48</f>
        <v/>
      </c>
      <c r="EL48">
        <f>CO48</f>
        <v/>
      </c>
      <c r="EM48">
        <f>CQ48</f>
        <v/>
      </c>
      <c r="EN48">
        <f>CU48</f>
        <v/>
      </c>
      <c r="EO48">
        <f>CW48</f>
        <v/>
      </c>
      <c r="EP48">
        <f>DA48</f>
        <v/>
      </c>
      <c r="EQ48">
        <f>DC48</f>
        <v/>
      </c>
      <c r="ER48">
        <f>DG48</f>
        <v/>
      </c>
      <c r="ES48">
        <f>DI48</f>
        <v/>
      </c>
      <c r="ET48">
        <f>DK48</f>
        <v/>
      </c>
      <c r="EV48">
        <f>V48</f>
        <v/>
      </c>
      <c r="EW48">
        <f>X48</f>
        <v/>
      </c>
      <c r="EX48">
        <f>AD48</f>
        <v/>
      </c>
      <c r="EY48">
        <f>AH48</f>
        <v/>
      </c>
      <c r="EZ48">
        <f>"1"</f>
        <v/>
      </c>
      <c r="FA48">
        <f>BS48</f>
        <v/>
      </c>
      <c r="FB48" t="n">
        <v>0</v>
      </c>
      <c r="FC48">
        <f>CK48</f>
        <v/>
      </c>
      <c r="FD48">
        <f>DM48</f>
        <v/>
      </c>
    </row>
    <row r="49">
      <c r="L49" t="inlineStr">
        <is>
          <t>none</t>
        </is>
      </c>
      <c r="P49" t="inlineStr">
        <is>
          <t>none</t>
        </is>
      </c>
      <c r="R49" t="inlineStr">
        <is>
          <t>none</t>
        </is>
      </c>
      <c r="T49" t="inlineStr">
        <is>
          <t>none</t>
        </is>
      </c>
      <c r="V49" t="inlineStr">
        <is>
          <t>Default</t>
        </is>
      </c>
      <c r="X49" t="inlineStr">
        <is>
          <t>Normal</t>
        </is>
      </c>
      <c r="AB49" t="inlineStr">
        <is>
          <t>none</t>
        </is>
      </c>
      <c r="AD49" t="n">
        <v>1</v>
      </c>
      <c r="AF49" t="inlineStr">
        <is>
          <t>none</t>
        </is>
      </c>
      <c r="AH49" t="n">
        <v>1</v>
      </c>
      <c r="AJ49" t="inlineStr">
        <is>
          <t>none</t>
        </is>
      </c>
      <c r="AL49" t="inlineStr">
        <is>
          <t>none</t>
        </is>
      </c>
      <c r="AN49">
        <f>iferror(AF49*(50/(AJ49+AL49)),"攻撃力に数値を入力")</f>
        <v/>
      </c>
      <c r="AP49" t="inlineStr">
        <is>
          <t>none</t>
        </is>
      </c>
      <c r="AT49" t="inlineStr">
        <is>
          <t>none</t>
        </is>
      </c>
      <c r="AY49" t="inlineStr">
        <is>
          <t>none</t>
        </is>
      </c>
      <c r="BA49" t="inlineStr">
        <is>
          <t>none</t>
        </is>
      </c>
      <c r="BC49" t="inlineStr">
        <is>
          <t>none</t>
        </is>
      </c>
      <c r="BE49" t="inlineStr">
        <is>
          <t>none</t>
        </is>
      </c>
      <c r="BG49" t="inlineStr">
        <is>
          <t>none</t>
        </is>
      </c>
      <c r="BI49" t="inlineStr">
        <is>
          <t>none</t>
        </is>
      </c>
      <c r="BK49" t="inlineStr">
        <is>
          <t>none</t>
        </is>
      </c>
      <c r="BM49" t="inlineStr">
        <is>
          <t>none</t>
        </is>
      </c>
      <c r="BO49" t="inlineStr">
        <is>
          <t>none</t>
        </is>
      </c>
      <c r="BQ49" t="inlineStr">
        <is>
          <t>none</t>
        </is>
      </c>
      <c r="CA49" t="inlineStr">
        <is>
          <t>未入力</t>
        </is>
      </c>
      <c r="CM49" t="inlineStr">
        <is>
          <t>None</t>
        </is>
      </c>
      <c r="CQ49" t="inlineStr">
        <is>
          <t>None</t>
        </is>
      </c>
      <c r="CW49" t="inlineStr">
        <is>
          <t>None</t>
        </is>
      </c>
      <c r="DC49" t="inlineStr">
        <is>
          <t>None</t>
        </is>
      </c>
      <c r="DK49" t="b">
        <v>0</v>
      </c>
      <c r="DM49" t="inlineStr">
        <is>
          <t>None</t>
        </is>
      </c>
      <c r="EA49">
        <f>B49</f>
        <v/>
      </c>
      <c r="EB49">
        <f>D49</f>
        <v/>
      </c>
      <c r="EC49">
        <f>F49</f>
        <v/>
      </c>
      <c r="ED49">
        <f>CA49</f>
        <v/>
      </c>
      <c r="EE49">
        <f>CE49</f>
        <v/>
      </c>
      <c r="EF49">
        <f>"SummonEnemy"</f>
        <v/>
      </c>
      <c r="EG49">
        <f>H49</f>
        <v/>
      </c>
      <c r="EI49">
        <f>CI49</f>
        <v/>
      </c>
      <c r="EJ49">
        <f>CG49</f>
        <v/>
      </c>
      <c r="EK49">
        <f>CM49</f>
        <v/>
      </c>
      <c r="EL49">
        <f>CO49</f>
        <v/>
      </c>
      <c r="EM49">
        <f>CQ49</f>
        <v/>
      </c>
      <c r="EN49">
        <f>CU49</f>
        <v/>
      </c>
      <c r="EO49">
        <f>CW49</f>
        <v/>
      </c>
      <c r="EP49">
        <f>DA49</f>
        <v/>
      </c>
      <c r="EQ49">
        <f>DC49</f>
        <v/>
      </c>
      <c r="ER49">
        <f>DG49</f>
        <v/>
      </c>
      <c r="ES49">
        <f>DI49</f>
        <v/>
      </c>
      <c r="ET49">
        <f>DK49</f>
        <v/>
      </c>
      <c r="EV49">
        <f>V49</f>
        <v/>
      </c>
      <c r="EW49">
        <f>X49</f>
        <v/>
      </c>
      <c r="EX49">
        <f>AD49</f>
        <v/>
      </c>
      <c r="EY49">
        <f>AH49</f>
        <v/>
      </c>
      <c r="EZ49">
        <f>"1"</f>
        <v/>
      </c>
      <c r="FA49">
        <f>BS49</f>
        <v/>
      </c>
      <c r="FB49" t="n">
        <v>0</v>
      </c>
      <c r="FC49">
        <f>CK49</f>
        <v/>
      </c>
      <c r="FD49">
        <f>DM49</f>
        <v/>
      </c>
    </row>
    <row r="50">
      <c r="L50" t="inlineStr">
        <is>
          <t>none</t>
        </is>
      </c>
      <c r="P50" t="inlineStr">
        <is>
          <t>none</t>
        </is>
      </c>
      <c r="R50" t="inlineStr">
        <is>
          <t>none</t>
        </is>
      </c>
      <c r="T50" t="inlineStr">
        <is>
          <t>none</t>
        </is>
      </c>
      <c r="V50" t="inlineStr">
        <is>
          <t>Default</t>
        </is>
      </c>
      <c r="X50" t="inlineStr">
        <is>
          <t>Normal</t>
        </is>
      </c>
      <c r="AB50" t="inlineStr">
        <is>
          <t>none</t>
        </is>
      </c>
      <c r="AD50" t="n">
        <v>1</v>
      </c>
      <c r="AF50" t="inlineStr">
        <is>
          <t>none</t>
        </is>
      </c>
      <c r="AH50" t="n">
        <v>1</v>
      </c>
      <c r="AJ50" t="inlineStr">
        <is>
          <t>none</t>
        </is>
      </c>
      <c r="AL50" t="inlineStr">
        <is>
          <t>none</t>
        </is>
      </c>
      <c r="AN50">
        <f>iferror(AF50*(50/(AJ50+AL50)),"攻撃力に数値を入力")</f>
        <v/>
      </c>
      <c r="AP50" t="inlineStr">
        <is>
          <t>none</t>
        </is>
      </c>
      <c r="AT50" t="inlineStr">
        <is>
          <t>none</t>
        </is>
      </c>
      <c r="AY50" t="inlineStr">
        <is>
          <t>none</t>
        </is>
      </c>
      <c r="BA50" t="inlineStr">
        <is>
          <t>none</t>
        </is>
      </c>
      <c r="BC50" t="inlineStr">
        <is>
          <t>none</t>
        </is>
      </c>
      <c r="BE50" t="inlineStr">
        <is>
          <t>none</t>
        </is>
      </c>
      <c r="BG50" t="inlineStr">
        <is>
          <t>none</t>
        </is>
      </c>
      <c r="BI50" t="inlineStr">
        <is>
          <t>none</t>
        </is>
      </c>
      <c r="BK50" t="inlineStr">
        <is>
          <t>none</t>
        </is>
      </c>
      <c r="BM50" t="inlineStr">
        <is>
          <t>none</t>
        </is>
      </c>
      <c r="BO50" t="inlineStr">
        <is>
          <t>none</t>
        </is>
      </c>
      <c r="BQ50" t="inlineStr">
        <is>
          <t>none</t>
        </is>
      </c>
      <c r="CA50" t="inlineStr">
        <is>
          <t>未入力</t>
        </is>
      </c>
      <c r="CM50" t="inlineStr">
        <is>
          <t>None</t>
        </is>
      </c>
      <c r="CQ50" t="inlineStr">
        <is>
          <t>None</t>
        </is>
      </c>
      <c r="CW50" t="inlineStr">
        <is>
          <t>None</t>
        </is>
      </c>
      <c r="DC50" t="inlineStr">
        <is>
          <t>None</t>
        </is>
      </c>
      <c r="DK50" t="b">
        <v>0</v>
      </c>
      <c r="DM50" t="inlineStr">
        <is>
          <t>None</t>
        </is>
      </c>
      <c r="EA50">
        <f>B50</f>
        <v/>
      </c>
      <c r="EB50">
        <f>D50</f>
        <v/>
      </c>
      <c r="EC50">
        <f>F50</f>
        <v/>
      </c>
      <c r="ED50">
        <f>CA50</f>
        <v/>
      </c>
      <c r="EE50">
        <f>CE50</f>
        <v/>
      </c>
      <c r="EF50">
        <f>"SummonEnemy"</f>
        <v/>
      </c>
      <c r="EG50">
        <f>H50</f>
        <v/>
      </c>
      <c r="EI50">
        <f>CI50</f>
        <v/>
      </c>
      <c r="EJ50">
        <f>CG50</f>
        <v/>
      </c>
      <c r="EK50">
        <f>CM50</f>
        <v/>
      </c>
      <c r="EL50">
        <f>CO50</f>
        <v/>
      </c>
      <c r="EM50">
        <f>CQ50</f>
        <v/>
      </c>
      <c r="EN50">
        <f>CU50</f>
        <v/>
      </c>
      <c r="EO50">
        <f>CW50</f>
        <v/>
      </c>
      <c r="EP50">
        <f>DA50</f>
        <v/>
      </c>
      <c r="EQ50">
        <f>DC50</f>
        <v/>
      </c>
      <c r="ER50">
        <f>DG50</f>
        <v/>
      </c>
      <c r="ES50">
        <f>DI50</f>
        <v/>
      </c>
      <c r="ET50">
        <f>DK50</f>
        <v/>
      </c>
      <c r="EV50">
        <f>V50</f>
        <v/>
      </c>
      <c r="EW50">
        <f>X50</f>
        <v/>
      </c>
      <c r="EX50">
        <f>AD50</f>
        <v/>
      </c>
      <c r="EY50">
        <f>AH50</f>
        <v/>
      </c>
      <c r="EZ50">
        <f>"1"</f>
        <v/>
      </c>
      <c r="FA50">
        <f>BS50</f>
        <v/>
      </c>
      <c r="FB50" t="n">
        <v>0</v>
      </c>
      <c r="FC50">
        <f>CK50</f>
        <v/>
      </c>
      <c r="FD50">
        <f>DM50</f>
        <v/>
      </c>
    </row>
    <row r="51">
      <c r="L51" t="inlineStr">
        <is>
          <t>none</t>
        </is>
      </c>
      <c r="P51" t="inlineStr">
        <is>
          <t>none</t>
        </is>
      </c>
      <c r="R51" t="inlineStr">
        <is>
          <t>none</t>
        </is>
      </c>
      <c r="T51" t="inlineStr">
        <is>
          <t>none</t>
        </is>
      </c>
      <c r="V51" t="inlineStr">
        <is>
          <t>Default</t>
        </is>
      </c>
      <c r="X51" t="inlineStr">
        <is>
          <t>Normal</t>
        </is>
      </c>
      <c r="AB51" t="inlineStr">
        <is>
          <t>none</t>
        </is>
      </c>
      <c r="AD51" t="n">
        <v>1</v>
      </c>
      <c r="AF51" t="inlineStr">
        <is>
          <t>none</t>
        </is>
      </c>
      <c r="AH51" t="n">
        <v>1</v>
      </c>
      <c r="AJ51" t="inlineStr">
        <is>
          <t>none</t>
        </is>
      </c>
      <c r="AL51" t="inlineStr">
        <is>
          <t>none</t>
        </is>
      </c>
      <c r="AN51">
        <f>iferror(AF51*(50/(AJ51+AL51)),"攻撃力に数値を入力")</f>
        <v/>
      </c>
      <c r="AP51" t="inlineStr">
        <is>
          <t>none</t>
        </is>
      </c>
      <c r="AT51" t="inlineStr">
        <is>
          <t>none</t>
        </is>
      </c>
      <c r="AY51" t="inlineStr">
        <is>
          <t>none</t>
        </is>
      </c>
      <c r="BA51" t="inlineStr">
        <is>
          <t>none</t>
        </is>
      </c>
      <c r="BC51" t="inlineStr">
        <is>
          <t>none</t>
        </is>
      </c>
      <c r="BE51" t="inlineStr">
        <is>
          <t>none</t>
        </is>
      </c>
      <c r="BG51" t="inlineStr">
        <is>
          <t>none</t>
        </is>
      </c>
      <c r="BI51" t="inlineStr">
        <is>
          <t>none</t>
        </is>
      </c>
      <c r="BK51" t="inlineStr">
        <is>
          <t>none</t>
        </is>
      </c>
      <c r="BM51" t="inlineStr">
        <is>
          <t>none</t>
        </is>
      </c>
      <c r="BO51" t="inlineStr">
        <is>
          <t>none</t>
        </is>
      </c>
      <c r="BQ51" t="inlineStr">
        <is>
          <t>none</t>
        </is>
      </c>
      <c r="CA51" t="inlineStr">
        <is>
          <t>未入力</t>
        </is>
      </c>
      <c r="CM51" t="inlineStr">
        <is>
          <t>None</t>
        </is>
      </c>
      <c r="CQ51" t="inlineStr">
        <is>
          <t>None</t>
        </is>
      </c>
      <c r="CW51" t="inlineStr">
        <is>
          <t>None</t>
        </is>
      </c>
      <c r="DC51" t="inlineStr">
        <is>
          <t>None</t>
        </is>
      </c>
      <c r="DK51" t="b">
        <v>0</v>
      </c>
      <c r="DM51" t="inlineStr">
        <is>
          <t>None</t>
        </is>
      </c>
      <c r="EA51">
        <f>B51</f>
        <v/>
      </c>
      <c r="EB51">
        <f>D51</f>
        <v/>
      </c>
      <c r="EC51">
        <f>F51</f>
        <v/>
      </c>
      <c r="ED51">
        <f>CA51</f>
        <v/>
      </c>
      <c r="EE51">
        <f>CE51</f>
        <v/>
      </c>
      <c r="EF51">
        <f>"SummonEnemy"</f>
        <v/>
      </c>
      <c r="EG51">
        <f>H51</f>
        <v/>
      </c>
      <c r="EI51">
        <f>CI51</f>
        <v/>
      </c>
      <c r="EJ51">
        <f>CG51</f>
        <v/>
      </c>
      <c r="EK51">
        <f>CM51</f>
        <v/>
      </c>
      <c r="EL51">
        <f>CO51</f>
        <v/>
      </c>
      <c r="EM51">
        <f>CQ51</f>
        <v/>
      </c>
      <c r="EN51">
        <f>CU51</f>
        <v/>
      </c>
      <c r="EO51">
        <f>CW51</f>
        <v/>
      </c>
      <c r="EP51">
        <f>DA51</f>
        <v/>
      </c>
      <c r="EQ51">
        <f>DC51</f>
        <v/>
      </c>
      <c r="ER51">
        <f>DG51</f>
        <v/>
      </c>
      <c r="ES51">
        <f>DI51</f>
        <v/>
      </c>
      <c r="ET51">
        <f>DK51</f>
        <v/>
      </c>
      <c r="EV51">
        <f>V51</f>
        <v/>
      </c>
      <c r="EW51">
        <f>X51</f>
        <v/>
      </c>
      <c r="EX51">
        <f>AD51</f>
        <v/>
      </c>
      <c r="EY51">
        <f>AH51</f>
        <v/>
      </c>
      <c r="EZ51">
        <f>"1"</f>
        <v/>
      </c>
      <c r="FA51">
        <f>BS51</f>
        <v/>
      </c>
      <c r="FB51" t="n">
        <v>0</v>
      </c>
      <c r="FC51">
        <f>CK51</f>
        <v/>
      </c>
      <c r="FD51">
        <f>DM51</f>
        <v/>
      </c>
    </row>
    <row r="52">
      <c r="L52" t="inlineStr">
        <is>
          <t>none</t>
        </is>
      </c>
      <c r="P52" t="inlineStr">
        <is>
          <t>none</t>
        </is>
      </c>
      <c r="R52" t="inlineStr">
        <is>
          <t>none</t>
        </is>
      </c>
      <c r="T52" t="inlineStr">
        <is>
          <t>none</t>
        </is>
      </c>
      <c r="V52" t="inlineStr">
        <is>
          <t>Default</t>
        </is>
      </c>
      <c r="X52" t="inlineStr">
        <is>
          <t>Normal</t>
        </is>
      </c>
      <c r="AB52" t="inlineStr">
        <is>
          <t>none</t>
        </is>
      </c>
      <c r="AD52" t="n">
        <v>1</v>
      </c>
      <c r="AF52" t="inlineStr">
        <is>
          <t>none</t>
        </is>
      </c>
      <c r="AH52" t="n">
        <v>1</v>
      </c>
      <c r="AJ52" t="inlineStr">
        <is>
          <t>none</t>
        </is>
      </c>
      <c r="AL52" t="inlineStr">
        <is>
          <t>none</t>
        </is>
      </c>
      <c r="AN52">
        <f>iferror(AF52*(50/(AJ52+AL52)),"攻撃力に数値を入力")</f>
        <v/>
      </c>
      <c r="AP52" t="inlineStr">
        <is>
          <t>none</t>
        </is>
      </c>
      <c r="AT52" t="inlineStr">
        <is>
          <t>none</t>
        </is>
      </c>
      <c r="AY52" t="inlineStr">
        <is>
          <t>none</t>
        </is>
      </c>
      <c r="BA52" t="inlineStr">
        <is>
          <t>none</t>
        </is>
      </c>
      <c r="BC52" t="inlineStr">
        <is>
          <t>none</t>
        </is>
      </c>
      <c r="BE52" t="inlineStr">
        <is>
          <t>none</t>
        </is>
      </c>
      <c r="BG52" t="inlineStr">
        <is>
          <t>none</t>
        </is>
      </c>
      <c r="BI52" t="inlineStr">
        <is>
          <t>none</t>
        </is>
      </c>
      <c r="BK52" t="inlineStr">
        <is>
          <t>none</t>
        </is>
      </c>
      <c r="BM52" t="inlineStr">
        <is>
          <t>none</t>
        </is>
      </c>
      <c r="BO52" t="inlineStr">
        <is>
          <t>none</t>
        </is>
      </c>
      <c r="BQ52" t="inlineStr">
        <is>
          <t>none</t>
        </is>
      </c>
      <c r="CA52" t="inlineStr">
        <is>
          <t>未入力</t>
        </is>
      </c>
      <c r="CM52" t="inlineStr">
        <is>
          <t>None</t>
        </is>
      </c>
      <c r="CQ52" t="inlineStr">
        <is>
          <t>None</t>
        </is>
      </c>
      <c r="CW52" t="inlineStr">
        <is>
          <t>None</t>
        </is>
      </c>
      <c r="DC52" t="inlineStr">
        <is>
          <t>None</t>
        </is>
      </c>
      <c r="DK52" t="b">
        <v>0</v>
      </c>
      <c r="DM52" t="inlineStr">
        <is>
          <t>None</t>
        </is>
      </c>
      <c r="EA52">
        <f>B52</f>
        <v/>
      </c>
      <c r="EB52">
        <f>D52</f>
        <v/>
      </c>
      <c r="EC52">
        <f>F52</f>
        <v/>
      </c>
      <c r="ED52">
        <f>CA52</f>
        <v/>
      </c>
      <c r="EE52">
        <f>CE52</f>
        <v/>
      </c>
      <c r="EF52">
        <f>"SummonEnemy"</f>
        <v/>
      </c>
      <c r="EG52">
        <f>H52</f>
        <v/>
      </c>
      <c r="EI52">
        <f>CI52</f>
        <v/>
      </c>
      <c r="EJ52">
        <f>CG52</f>
        <v/>
      </c>
      <c r="EK52">
        <f>CM52</f>
        <v/>
      </c>
      <c r="EL52">
        <f>CO52</f>
        <v/>
      </c>
      <c r="EM52">
        <f>CQ52</f>
        <v/>
      </c>
      <c r="EN52">
        <f>CU52</f>
        <v/>
      </c>
      <c r="EO52">
        <f>CW52</f>
        <v/>
      </c>
      <c r="EP52">
        <f>DA52</f>
        <v/>
      </c>
      <c r="EQ52">
        <f>DC52</f>
        <v/>
      </c>
      <c r="ER52">
        <f>DG52</f>
        <v/>
      </c>
      <c r="ES52">
        <f>DI52</f>
        <v/>
      </c>
      <c r="ET52">
        <f>DK52</f>
        <v/>
      </c>
      <c r="EV52">
        <f>V52</f>
        <v/>
      </c>
      <c r="EW52">
        <f>X52</f>
        <v/>
      </c>
      <c r="EX52">
        <f>AD52</f>
        <v/>
      </c>
      <c r="EY52">
        <f>AH52</f>
        <v/>
      </c>
      <c r="EZ52">
        <f>"1"</f>
        <v/>
      </c>
      <c r="FA52">
        <f>BS52</f>
        <v/>
      </c>
      <c r="FB52" t="n">
        <v>0</v>
      </c>
      <c r="FC52">
        <f>CK52</f>
        <v/>
      </c>
      <c r="FD52">
        <f>DM52</f>
        <v/>
      </c>
    </row>
    <row r="53">
      <c r="L53" t="inlineStr">
        <is>
          <t>none</t>
        </is>
      </c>
      <c r="P53" t="inlineStr">
        <is>
          <t>none</t>
        </is>
      </c>
      <c r="R53" t="inlineStr">
        <is>
          <t>none</t>
        </is>
      </c>
      <c r="T53" t="inlineStr">
        <is>
          <t>none</t>
        </is>
      </c>
      <c r="V53" t="inlineStr">
        <is>
          <t>Default</t>
        </is>
      </c>
      <c r="X53" t="inlineStr">
        <is>
          <t>Normal</t>
        </is>
      </c>
      <c r="AB53" t="inlineStr">
        <is>
          <t>none</t>
        </is>
      </c>
      <c r="AD53" t="n">
        <v>1</v>
      </c>
      <c r="AF53" t="inlineStr">
        <is>
          <t>none</t>
        </is>
      </c>
      <c r="AH53" t="n">
        <v>1</v>
      </c>
      <c r="AJ53" t="inlineStr">
        <is>
          <t>none</t>
        </is>
      </c>
      <c r="AL53" t="inlineStr">
        <is>
          <t>none</t>
        </is>
      </c>
      <c r="AN53">
        <f>iferror(AF53*(50/(AJ53+AL53)),"攻撃力に数値を入力")</f>
        <v/>
      </c>
      <c r="AP53" t="inlineStr">
        <is>
          <t>none</t>
        </is>
      </c>
      <c r="AT53" t="inlineStr">
        <is>
          <t>none</t>
        </is>
      </c>
      <c r="AY53" t="inlineStr">
        <is>
          <t>none</t>
        </is>
      </c>
      <c r="BA53" t="inlineStr">
        <is>
          <t>none</t>
        </is>
      </c>
      <c r="BC53" t="inlineStr">
        <is>
          <t>none</t>
        </is>
      </c>
      <c r="BE53" t="inlineStr">
        <is>
          <t>none</t>
        </is>
      </c>
      <c r="BG53" t="inlineStr">
        <is>
          <t>none</t>
        </is>
      </c>
      <c r="BI53" t="inlineStr">
        <is>
          <t>none</t>
        </is>
      </c>
      <c r="BK53" t="inlineStr">
        <is>
          <t>none</t>
        </is>
      </c>
      <c r="BM53" t="inlineStr">
        <is>
          <t>none</t>
        </is>
      </c>
      <c r="BO53" t="inlineStr">
        <is>
          <t>none</t>
        </is>
      </c>
      <c r="BQ53" t="inlineStr">
        <is>
          <t>none</t>
        </is>
      </c>
      <c r="CA53" t="inlineStr">
        <is>
          <t>未入力</t>
        </is>
      </c>
      <c r="CM53" t="inlineStr">
        <is>
          <t>None</t>
        </is>
      </c>
      <c r="CQ53" t="inlineStr">
        <is>
          <t>None</t>
        </is>
      </c>
      <c r="CW53" t="inlineStr">
        <is>
          <t>None</t>
        </is>
      </c>
      <c r="DC53" t="inlineStr">
        <is>
          <t>None</t>
        </is>
      </c>
      <c r="DK53" t="b">
        <v>0</v>
      </c>
      <c r="DM53" t="inlineStr">
        <is>
          <t>None</t>
        </is>
      </c>
      <c r="EA53">
        <f>B53</f>
        <v/>
      </c>
      <c r="EB53">
        <f>D53</f>
        <v/>
      </c>
      <c r="EC53">
        <f>F53</f>
        <v/>
      </c>
      <c r="ED53">
        <f>CA53</f>
        <v/>
      </c>
      <c r="EE53">
        <f>CE53</f>
        <v/>
      </c>
      <c r="EF53">
        <f>"SummonEnemy"</f>
        <v/>
      </c>
      <c r="EG53">
        <f>H53</f>
        <v/>
      </c>
      <c r="EI53">
        <f>CI53</f>
        <v/>
      </c>
      <c r="EJ53">
        <f>CG53</f>
        <v/>
      </c>
      <c r="EK53">
        <f>CM53</f>
        <v/>
      </c>
      <c r="EL53">
        <f>CO53</f>
        <v/>
      </c>
      <c r="EM53">
        <f>CQ53</f>
        <v/>
      </c>
      <c r="EN53">
        <f>CU53</f>
        <v/>
      </c>
      <c r="EO53">
        <f>CW53</f>
        <v/>
      </c>
      <c r="EP53">
        <f>DA53</f>
        <v/>
      </c>
      <c r="EQ53">
        <f>DC53</f>
        <v/>
      </c>
      <c r="ER53">
        <f>DG53</f>
        <v/>
      </c>
      <c r="ES53">
        <f>DI53</f>
        <v/>
      </c>
      <c r="ET53">
        <f>DK53</f>
        <v/>
      </c>
      <c r="EV53">
        <f>V53</f>
        <v/>
      </c>
      <c r="EW53">
        <f>X53</f>
        <v/>
      </c>
      <c r="EX53">
        <f>AD53</f>
        <v/>
      </c>
      <c r="EY53">
        <f>AH53</f>
        <v/>
      </c>
      <c r="EZ53">
        <f>"1"</f>
        <v/>
      </c>
      <c r="FA53">
        <f>BS53</f>
        <v/>
      </c>
      <c r="FB53" t="n">
        <v>0</v>
      </c>
      <c r="FC53">
        <f>CK53</f>
        <v/>
      </c>
      <c r="FD53">
        <f>DM53</f>
        <v/>
      </c>
    </row>
    <row r="54">
      <c r="L54" t="inlineStr">
        <is>
          <t>none</t>
        </is>
      </c>
      <c r="P54" t="inlineStr">
        <is>
          <t>none</t>
        </is>
      </c>
      <c r="R54" t="inlineStr">
        <is>
          <t>none</t>
        </is>
      </c>
      <c r="T54" t="inlineStr">
        <is>
          <t>none</t>
        </is>
      </c>
      <c r="V54" t="inlineStr">
        <is>
          <t>Default</t>
        </is>
      </c>
      <c r="X54" t="inlineStr">
        <is>
          <t>Normal</t>
        </is>
      </c>
      <c r="AB54" t="inlineStr">
        <is>
          <t>none</t>
        </is>
      </c>
      <c r="AD54" t="n">
        <v>1</v>
      </c>
      <c r="AF54" t="inlineStr">
        <is>
          <t>none</t>
        </is>
      </c>
      <c r="AH54" t="n">
        <v>1</v>
      </c>
      <c r="AJ54" t="inlineStr">
        <is>
          <t>none</t>
        </is>
      </c>
      <c r="AL54" t="inlineStr">
        <is>
          <t>none</t>
        </is>
      </c>
      <c r="AN54">
        <f>iferror(AF54*(50/(AJ54+AL54)),"攻撃力に数値を入力")</f>
        <v/>
      </c>
      <c r="AP54" t="inlineStr">
        <is>
          <t>none</t>
        </is>
      </c>
      <c r="AT54" t="inlineStr">
        <is>
          <t>none</t>
        </is>
      </c>
      <c r="AY54" t="inlineStr">
        <is>
          <t>none</t>
        </is>
      </c>
      <c r="BA54" t="inlineStr">
        <is>
          <t>none</t>
        </is>
      </c>
      <c r="BC54" t="inlineStr">
        <is>
          <t>none</t>
        </is>
      </c>
      <c r="BE54" t="inlineStr">
        <is>
          <t>none</t>
        </is>
      </c>
      <c r="BG54" t="inlineStr">
        <is>
          <t>none</t>
        </is>
      </c>
      <c r="BI54" t="inlineStr">
        <is>
          <t>none</t>
        </is>
      </c>
      <c r="BK54" t="inlineStr">
        <is>
          <t>none</t>
        </is>
      </c>
      <c r="BM54" t="inlineStr">
        <is>
          <t>none</t>
        </is>
      </c>
      <c r="BO54" t="inlineStr">
        <is>
          <t>none</t>
        </is>
      </c>
      <c r="BQ54" t="inlineStr">
        <is>
          <t>none</t>
        </is>
      </c>
      <c r="CA54" t="inlineStr">
        <is>
          <t>未入力</t>
        </is>
      </c>
      <c r="CM54" t="inlineStr">
        <is>
          <t>None</t>
        </is>
      </c>
      <c r="CQ54" t="inlineStr">
        <is>
          <t>None</t>
        </is>
      </c>
      <c r="CW54" t="inlineStr">
        <is>
          <t>None</t>
        </is>
      </c>
      <c r="DC54" t="inlineStr">
        <is>
          <t>None</t>
        </is>
      </c>
      <c r="DK54" t="b">
        <v>0</v>
      </c>
      <c r="DM54" t="inlineStr">
        <is>
          <t>None</t>
        </is>
      </c>
      <c r="EA54">
        <f>B54</f>
        <v/>
      </c>
      <c r="EB54">
        <f>D54</f>
        <v/>
      </c>
      <c r="EC54">
        <f>F54</f>
        <v/>
      </c>
      <c r="ED54">
        <f>CA54</f>
        <v/>
      </c>
      <c r="EE54">
        <f>CE54</f>
        <v/>
      </c>
      <c r="EF54">
        <f>"SummonEnemy"</f>
        <v/>
      </c>
      <c r="EG54">
        <f>H54</f>
        <v/>
      </c>
      <c r="EI54">
        <f>CI54</f>
        <v/>
      </c>
      <c r="EJ54">
        <f>CG54</f>
        <v/>
      </c>
      <c r="EK54">
        <f>CM54</f>
        <v/>
      </c>
      <c r="EL54">
        <f>CO54</f>
        <v/>
      </c>
      <c r="EM54">
        <f>CQ54</f>
        <v/>
      </c>
      <c r="EN54">
        <f>CU54</f>
        <v/>
      </c>
      <c r="EO54">
        <f>CW54</f>
        <v/>
      </c>
      <c r="EP54">
        <f>DA54</f>
        <v/>
      </c>
      <c r="EQ54">
        <f>DC54</f>
        <v/>
      </c>
      <c r="ER54">
        <f>DG54</f>
        <v/>
      </c>
      <c r="ES54">
        <f>DI54</f>
        <v/>
      </c>
      <c r="ET54">
        <f>DK54</f>
        <v/>
      </c>
      <c r="EV54">
        <f>V54</f>
        <v/>
      </c>
      <c r="EW54">
        <f>X54</f>
        <v/>
      </c>
      <c r="EX54">
        <f>AD54</f>
        <v/>
      </c>
      <c r="EY54">
        <f>AH54</f>
        <v/>
      </c>
      <c r="EZ54">
        <f>"1"</f>
        <v/>
      </c>
      <c r="FA54">
        <f>BS54</f>
        <v/>
      </c>
      <c r="FB54" t="n">
        <v>0</v>
      </c>
      <c r="FC54">
        <f>CK54</f>
        <v/>
      </c>
      <c r="FD54">
        <f>DM54</f>
        <v/>
      </c>
    </row>
    <row r="55">
      <c r="L55" t="inlineStr">
        <is>
          <t>none</t>
        </is>
      </c>
      <c r="P55" t="inlineStr">
        <is>
          <t>none</t>
        </is>
      </c>
      <c r="R55" t="inlineStr">
        <is>
          <t>none</t>
        </is>
      </c>
      <c r="T55" t="inlineStr">
        <is>
          <t>none</t>
        </is>
      </c>
      <c r="V55" t="inlineStr">
        <is>
          <t>Default</t>
        </is>
      </c>
      <c r="X55" t="inlineStr">
        <is>
          <t>Normal</t>
        </is>
      </c>
      <c r="AB55" t="inlineStr">
        <is>
          <t>none</t>
        </is>
      </c>
      <c r="AD55" t="n">
        <v>1</v>
      </c>
      <c r="AF55" t="inlineStr">
        <is>
          <t>none</t>
        </is>
      </c>
      <c r="AH55" t="n">
        <v>1</v>
      </c>
      <c r="AJ55" t="inlineStr">
        <is>
          <t>none</t>
        </is>
      </c>
      <c r="AL55" t="inlineStr">
        <is>
          <t>none</t>
        </is>
      </c>
      <c r="AN55">
        <f>iferror(AF55*(50/(AJ55+AL55)),"攻撃力に数値を入力")</f>
        <v/>
      </c>
      <c r="AP55" t="inlineStr">
        <is>
          <t>none</t>
        </is>
      </c>
      <c r="AT55" t="inlineStr">
        <is>
          <t>none</t>
        </is>
      </c>
      <c r="AY55" t="inlineStr">
        <is>
          <t>none</t>
        </is>
      </c>
      <c r="BA55" t="inlineStr">
        <is>
          <t>none</t>
        </is>
      </c>
      <c r="BC55" t="inlineStr">
        <is>
          <t>none</t>
        </is>
      </c>
      <c r="BE55" t="inlineStr">
        <is>
          <t>none</t>
        </is>
      </c>
      <c r="BG55" t="inlineStr">
        <is>
          <t>none</t>
        </is>
      </c>
      <c r="BI55" t="inlineStr">
        <is>
          <t>none</t>
        </is>
      </c>
      <c r="BK55" t="inlineStr">
        <is>
          <t>none</t>
        </is>
      </c>
      <c r="BM55" t="inlineStr">
        <is>
          <t>none</t>
        </is>
      </c>
      <c r="BO55" t="inlineStr">
        <is>
          <t>none</t>
        </is>
      </c>
      <c r="BQ55" t="inlineStr">
        <is>
          <t>none</t>
        </is>
      </c>
      <c r="CA55" t="inlineStr">
        <is>
          <t>未入力</t>
        </is>
      </c>
      <c r="CM55" t="inlineStr">
        <is>
          <t>None</t>
        </is>
      </c>
      <c r="CQ55" t="inlineStr">
        <is>
          <t>None</t>
        </is>
      </c>
      <c r="CW55" t="inlineStr">
        <is>
          <t>None</t>
        </is>
      </c>
      <c r="DC55" t="inlineStr">
        <is>
          <t>None</t>
        </is>
      </c>
      <c r="DK55" t="b">
        <v>0</v>
      </c>
      <c r="DM55" t="inlineStr">
        <is>
          <t>None</t>
        </is>
      </c>
      <c r="EA55">
        <f>B55</f>
        <v/>
      </c>
      <c r="EB55">
        <f>D55</f>
        <v/>
      </c>
      <c r="EC55">
        <f>F55</f>
        <v/>
      </c>
      <c r="ED55">
        <f>CA55</f>
        <v/>
      </c>
      <c r="EE55">
        <f>CE55</f>
        <v/>
      </c>
      <c r="EF55">
        <f>"SummonEnemy"</f>
        <v/>
      </c>
      <c r="EG55">
        <f>H55</f>
        <v/>
      </c>
      <c r="EI55">
        <f>CI55</f>
        <v/>
      </c>
      <c r="EJ55">
        <f>CG55</f>
        <v/>
      </c>
      <c r="EK55">
        <f>CM55</f>
        <v/>
      </c>
      <c r="EL55">
        <f>CO55</f>
        <v/>
      </c>
      <c r="EM55">
        <f>CQ55</f>
        <v/>
      </c>
      <c r="EN55">
        <f>CU55</f>
        <v/>
      </c>
      <c r="EO55">
        <f>CW55</f>
        <v/>
      </c>
      <c r="EP55">
        <f>DA55</f>
        <v/>
      </c>
      <c r="EQ55">
        <f>DC55</f>
        <v/>
      </c>
      <c r="ER55">
        <f>DG55</f>
        <v/>
      </c>
      <c r="ES55">
        <f>DI55</f>
        <v/>
      </c>
      <c r="ET55">
        <f>DK55</f>
        <v/>
      </c>
      <c r="EV55">
        <f>V55</f>
        <v/>
      </c>
      <c r="EW55">
        <f>X55</f>
        <v/>
      </c>
      <c r="EX55">
        <f>AD55</f>
        <v/>
      </c>
      <c r="EY55">
        <f>AH55</f>
        <v/>
      </c>
      <c r="EZ55">
        <f>"1"</f>
        <v/>
      </c>
      <c r="FA55">
        <f>BS55</f>
        <v/>
      </c>
      <c r="FB55" t="n">
        <v>0</v>
      </c>
      <c r="FC55">
        <f>CK55</f>
        <v/>
      </c>
      <c r="FD55">
        <f>DM55</f>
        <v/>
      </c>
    </row>
    <row r="56">
      <c r="L56" t="inlineStr">
        <is>
          <t>none</t>
        </is>
      </c>
      <c r="P56" t="inlineStr">
        <is>
          <t>none</t>
        </is>
      </c>
      <c r="R56" t="inlineStr">
        <is>
          <t>none</t>
        </is>
      </c>
      <c r="T56" t="inlineStr">
        <is>
          <t>none</t>
        </is>
      </c>
      <c r="V56" t="inlineStr">
        <is>
          <t>Default</t>
        </is>
      </c>
      <c r="X56" t="inlineStr">
        <is>
          <t>Normal</t>
        </is>
      </c>
      <c r="AB56" t="inlineStr">
        <is>
          <t>none</t>
        </is>
      </c>
      <c r="AD56" t="n">
        <v>1</v>
      </c>
      <c r="AF56" t="inlineStr">
        <is>
          <t>none</t>
        </is>
      </c>
      <c r="AH56" t="n">
        <v>1</v>
      </c>
      <c r="AJ56" t="inlineStr">
        <is>
          <t>none</t>
        </is>
      </c>
      <c r="AL56" t="inlineStr">
        <is>
          <t>none</t>
        </is>
      </c>
      <c r="AN56">
        <f>iferror(AF56*(50/(AJ56+AL56)),"攻撃力に数値を入力")</f>
        <v/>
      </c>
      <c r="AP56" t="inlineStr">
        <is>
          <t>none</t>
        </is>
      </c>
      <c r="AT56" t="inlineStr">
        <is>
          <t>none</t>
        </is>
      </c>
      <c r="AY56" t="inlineStr">
        <is>
          <t>none</t>
        </is>
      </c>
      <c r="BA56" t="inlineStr">
        <is>
          <t>none</t>
        </is>
      </c>
      <c r="BC56" t="inlineStr">
        <is>
          <t>none</t>
        </is>
      </c>
      <c r="BE56" t="inlineStr">
        <is>
          <t>none</t>
        </is>
      </c>
      <c r="BG56" t="inlineStr">
        <is>
          <t>none</t>
        </is>
      </c>
      <c r="BI56" t="inlineStr">
        <is>
          <t>none</t>
        </is>
      </c>
      <c r="BK56" t="inlineStr">
        <is>
          <t>none</t>
        </is>
      </c>
      <c r="BM56" t="inlineStr">
        <is>
          <t>none</t>
        </is>
      </c>
      <c r="BO56" t="inlineStr">
        <is>
          <t>none</t>
        </is>
      </c>
      <c r="BQ56" t="inlineStr">
        <is>
          <t>none</t>
        </is>
      </c>
      <c r="CA56" t="inlineStr">
        <is>
          <t>未入力</t>
        </is>
      </c>
      <c r="CM56" t="inlineStr">
        <is>
          <t>None</t>
        </is>
      </c>
      <c r="CQ56" t="inlineStr">
        <is>
          <t>None</t>
        </is>
      </c>
      <c r="CW56" t="inlineStr">
        <is>
          <t>None</t>
        </is>
      </c>
      <c r="DC56" t="inlineStr">
        <is>
          <t>None</t>
        </is>
      </c>
      <c r="DK56" t="b">
        <v>0</v>
      </c>
      <c r="DM56" t="inlineStr">
        <is>
          <t>None</t>
        </is>
      </c>
      <c r="EA56">
        <f>B56</f>
        <v/>
      </c>
      <c r="EB56">
        <f>D56</f>
        <v/>
      </c>
      <c r="EC56">
        <f>F56</f>
        <v/>
      </c>
      <c r="ED56">
        <f>CA56</f>
        <v/>
      </c>
      <c r="EE56">
        <f>CE56</f>
        <v/>
      </c>
      <c r="EF56">
        <f>"SummonEnemy"</f>
        <v/>
      </c>
      <c r="EG56">
        <f>H56</f>
        <v/>
      </c>
      <c r="EI56">
        <f>CI56</f>
        <v/>
      </c>
      <c r="EJ56">
        <f>CG56</f>
        <v/>
      </c>
      <c r="EK56">
        <f>CM56</f>
        <v/>
      </c>
      <c r="EL56">
        <f>CO56</f>
        <v/>
      </c>
      <c r="EM56">
        <f>CQ56</f>
        <v/>
      </c>
      <c r="EN56">
        <f>CU56</f>
        <v/>
      </c>
      <c r="EO56">
        <f>CW56</f>
        <v/>
      </c>
      <c r="EP56">
        <f>DA56</f>
        <v/>
      </c>
      <c r="EQ56">
        <f>DC56</f>
        <v/>
      </c>
      <c r="ER56">
        <f>DG56</f>
        <v/>
      </c>
      <c r="ES56">
        <f>DI56</f>
        <v/>
      </c>
      <c r="ET56">
        <f>DK56</f>
        <v/>
      </c>
      <c r="EV56">
        <f>V56</f>
        <v/>
      </c>
      <c r="EW56">
        <f>X56</f>
        <v/>
      </c>
      <c r="EX56">
        <f>AD56</f>
        <v/>
      </c>
      <c r="EY56">
        <f>AH56</f>
        <v/>
      </c>
      <c r="EZ56">
        <f>"1"</f>
        <v/>
      </c>
      <c r="FA56">
        <f>BS56</f>
        <v/>
      </c>
      <c r="FB56" t="n">
        <v>0</v>
      </c>
      <c r="FC56">
        <f>CK56</f>
        <v/>
      </c>
      <c r="FD56">
        <f>DM56</f>
        <v/>
      </c>
    </row>
    <row r="57">
      <c r="L57" t="inlineStr">
        <is>
          <t>none</t>
        </is>
      </c>
      <c r="P57" t="inlineStr">
        <is>
          <t>none</t>
        </is>
      </c>
      <c r="R57" t="inlineStr">
        <is>
          <t>none</t>
        </is>
      </c>
      <c r="T57" t="inlineStr">
        <is>
          <t>none</t>
        </is>
      </c>
      <c r="V57" t="inlineStr">
        <is>
          <t>Default</t>
        </is>
      </c>
      <c r="X57" t="inlineStr">
        <is>
          <t>Normal</t>
        </is>
      </c>
      <c r="AB57" t="inlineStr">
        <is>
          <t>none</t>
        </is>
      </c>
      <c r="AD57" t="n">
        <v>1</v>
      </c>
      <c r="AF57" t="inlineStr">
        <is>
          <t>none</t>
        </is>
      </c>
      <c r="AH57" t="n">
        <v>1</v>
      </c>
      <c r="AJ57" t="inlineStr">
        <is>
          <t>none</t>
        </is>
      </c>
      <c r="AL57" t="inlineStr">
        <is>
          <t>none</t>
        </is>
      </c>
      <c r="AN57">
        <f>iferror(AF57*(50/(AJ57+AL57)),"攻撃力に数値を入力")</f>
        <v/>
      </c>
      <c r="AP57" t="inlineStr">
        <is>
          <t>none</t>
        </is>
      </c>
      <c r="AT57" t="inlineStr">
        <is>
          <t>none</t>
        </is>
      </c>
      <c r="AY57" t="inlineStr">
        <is>
          <t>none</t>
        </is>
      </c>
      <c r="BA57" t="inlineStr">
        <is>
          <t>none</t>
        </is>
      </c>
      <c r="BC57" t="inlineStr">
        <is>
          <t>none</t>
        </is>
      </c>
      <c r="BE57" t="inlineStr">
        <is>
          <t>none</t>
        </is>
      </c>
      <c r="BG57" t="inlineStr">
        <is>
          <t>none</t>
        </is>
      </c>
      <c r="BI57" t="inlineStr">
        <is>
          <t>none</t>
        </is>
      </c>
      <c r="BK57" t="inlineStr">
        <is>
          <t>none</t>
        </is>
      </c>
      <c r="BM57" t="inlineStr">
        <is>
          <t>none</t>
        </is>
      </c>
      <c r="BO57" t="inlineStr">
        <is>
          <t>none</t>
        </is>
      </c>
      <c r="BQ57" t="inlineStr">
        <is>
          <t>none</t>
        </is>
      </c>
      <c r="CA57" t="inlineStr">
        <is>
          <t>未入力</t>
        </is>
      </c>
      <c r="CM57" t="inlineStr">
        <is>
          <t>None</t>
        </is>
      </c>
      <c r="CQ57" t="inlineStr">
        <is>
          <t>None</t>
        </is>
      </c>
      <c r="CW57" t="inlineStr">
        <is>
          <t>None</t>
        </is>
      </c>
      <c r="DC57" t="inlineStr">
        <is>
          <t>None</t>
        </is>
      </c>
      <c r="DK57" t="b">
        <v>0</v>
      </c>
      <c r="DM57" t="inlineStr">
        <is>
          <t>None</t>
        </is>
      </c>
      <c r="EA57">
        <f>B57</f>
        <v/>
      </c>
      <c r="EB57">
        <f>D57</f>
        <v/>
      </c>
      <c r="EC57">
        <f>F57</f>
        <v/>
      </c>
      <c r="ED57">
        <f>CA57</f>
        <v/>
      </c>
      <c r="EE57">
        <f>CE57</f>
        <v/>
      </c>
      <c r="EF57">
        <f>"SummonEnemy"</f>
        <v/>
      </c>
      <c r="EG57">
        <f>H57</f>
        <v/>
      </c>
      <c r="EI57">
        <f>CI57</f>
        <v/>
      </c>
      <c r="EJ57">
        <f>CG57</f>
        <v/>
      </c>
      <c r="EK57">
        <f>CM57</f>
        <v/>
      </c>
      <c r="EL57">
        <f>CO57</f>
        <v/>
      </c>
      <c r="EM57">
        <f>CQ57</f>
        <v/>
      </c>
      <c r="EN57">
        <f>CU57</f>
        <v/>
      </c>
      <c r="EO57">
        <f>CW57</f>
        <v/>
      </c>
      <c r="EP57">
        <f>DA57</f>
        <v/>
      </c>
      <c r="EQ57">
        <f>DC57</f>
        <v/>
      </c>
      <c r="ER57">
        <f>DG57</f>
        <v/>
      </c>
      <c r="ES57">
        <f>DI57</f>
        <v/>
      </c>
      <c r="ET57">
        <f>DK57</f>
        <v/>
      </c>
      <c r="EV57">
        <f>V57</f>
        <v/>
      </c>
      <c r="EW57">
        <f>X57</f>
        <v/>
      </c>
      <c r="EX57">
        <f>AD57</f>
        <v/>
      </c>
      <c r="EY57">
        <f>AH57</f>
        <v/>
      </c>
      <c r="EZ57">
        <f>"1"</f>
        <v/>
      </c>
      <c r="FA57">
        <f>BS57</f>
        <v/>
      </c>
      <c r="FB57" t="n">
        <v>0</v>
      </c>
      <c r="FC57">
        <f>CK57</f>
        <v/>
      </c>
      <c r="FD57">
        <f>DM57</f>
        <v/>
      </c>
    </row>
    <row r="58">
      <c r="L58" t="inlineStr">
        <is>
          <t>none</t>
        </is>
      </c>
      <c r="P58" t="inlineStr">
        <is>
          <t>none</t>
        </is>
      </c>
      <c r="R58" t="inlineStr">
        <is>
          <t>none</t>
        </is>
      </c>
      <c r="T58" t="inlineStr">
        <is>
          <t>none</t>
        </is>
      </c>
      <c r="V58" t="inlineStr">
        <is>
          <t>Default</t>
        </is>
      </c>
      <c r="X58" t="inlineStr">
        <is>
          <t>Normal</t>
        </is>
      </c>
      <c r="AB58" t="inlineStr">
        <is>
          <t>none</t>
        </is>
      </c>
      <c r="AD58" t="n">
        <v>1</v>
      </c>
      <c r="AF58" t="inlineStr">
        <is>
          <t>none</t>
        </is>
      </c>
      <c r="AH58" t="n">
        <v>1</v>
      </c>
      <c r="AJ58" t="inlineStr">
        <is>
          <t>none</t>
        </is>
      </c>
      <c r="AL58" t="inlineStr">
        <is>
          <t>none</t>
        </is>
      </c>
      <c r="AN58">
        <f>iferror(AF58*(50/(AJ58+AL58)),"攻撃力に数値を入力")</f>
        <v/>
      </c>
      <c r="AP58" t="inlineStr">
        <is>
          <t>none</t>
        </is>
      </c>
      <c r="AT58" t="inlineStr">
        <is>
          <t>none</t>
        </is>
      </c>
      <c r="AY58" t="inlineStr">
        <is>
          <t>none</t>
        </is>
      </c>
      <c r="BA58" t="inlineStr">
        <is>
          <t>none</t>
        </is>
      </c>
      <c r="BC58" t="inlineStr">
        <is>
          <t>none</t>
        </is>
      </c>
      <c r="BE58" t="inlineStr">
        <is>
          <t>none</t>
        </is>
      </c>
      <c r="BG58" t="inlineStr">
        <is>
          <t>none</t>
        </is>
      </c>
      <c r="BI58" t="inlineStr">
        <is>
          <t>none</t>
        </is>
      </c>
      <c r="BK58" t="inlineStr">
        <is>
          <t>none</t>
        </is>
      </c>
      <c r="BM58" t="inlineStr">
        <is>
          <t>none</t>
        </is>
      </c>
      <c r="BO58" t="inlineStr">
        <is>
          <t>none</t>
        </is>
      </c>
      <c r="BQ58" t="inlineStr">
        <is>
          <t>none</t>
        </is>
      </c>
      <c r="CA58" t="inlineStr">
        <is>
          <t>未入力</t>
        </is>
      </c>
      <c r="CM58" t="inlineStr">
        <is>
          <t>None</t>
        </is>
      </c>
      <c r="CQ58" t="inlineStr">
        <is>
          <t>None</t>
        </is>
      </c>
      <c r="CW58" t="inlineStr">
        <is>
          <t>None</t>
        </is>
      </c>
      <c r="DC58" t="inlineStr">
        <is>
          <t>None</t>
        </is>
      </c>
      <c r="DK58" t="b">
        <v>0</v>
      </c>
      <c r="DM58" t="inlineStr">
        <is>
          <t>None</t>
        </is>
      </c>
      <c r="EA58">
        <f>B58</f>
        <v/>
      </c>
      <c r="EB58">
        <f>D58</f>
        <v/>
      </c>
      <c r="EC58">
        <f>F58</f>
        <v/>
      </c>
      <c r="ED58">
        <f>CA58</f>
        <v/>
      </c>
      <c r="EE58">
        <f>CE58</f>
        <v/>
      </c>
      <c r="EF58">
        <f>"SummonEnemy"</f>
        <v/>
      </c>
      <c r="EG58">
        <f>H58</f>
        <v/>
      </c>
      <c r="EI58">
        <f>CI58</f>
        <v/>
      </c>
      <c r="EJ58">
        <f>CG58</f>
        <v/>
      </c>
      <c r="EK58">
        <f>CM58</f>
        <v/>
      </c>
      <c r="EL58">
        <f>CO58</f>
        <v/>
      </c>
      <c r="EM58">
        <f>CQ58</f>
        <v/>
      </c>
      <c r="EN58">
        <f>CU58</f>
        <v/>
      </c>
      <c r="EO58">
        <f>CW58</f>
        <v/>
      </c>
      <c r="EP58">
        <f>DA58</f>
        <v/>
      </c>
      <c r="EQ58">
        <f>DC58</f>
        <v/>
      </c>
      <c r="ER58">
        <f>DG58</f>
        <v/>
      </c>
      <c r="ES58">
        <f>DI58</f>
        <v/>
      </c>
      <c r="ET58">
        <f>DK58</f>
        <v/>
      </c>
      <c r="EV58">
        <f>V58</f>
        <v/>
      </c>
      <c r="EW58">
        <f>X58</f>
        <v/>
      </c>
      <c r="EX58">
        <f>AD58</f>
        <v/>
      </c>
      <c r="EY58">
        <f>AH58</f>
        <v/>
      </c>
      <c r="EZ58">
        <f>"1"</f>
        <v/>
      </c>
      <c r="FA58">
        <f>BS58</f>
        <v/>
      </c>
      <c r="FB58" t="n">
        <v>0</v>
      </c>
      <c r="FC58">
        <f>CK58</f>
        <v/>
      </c>
      <c r="FD58">
        <f>DM58</f>
        <v/>
      </c>
    </row>
    <row r="59">
      <c r="L59" t="inlineStr">
        <is>
          <t>none</t>
        </is>
      </c>
      <c r="P59" t="inlineStr">
        <is>
          <t>none</t>
        </is>
      </c>
      <c r="R59" t="inlineStr">
        <is>
          <t>none</t>
        </is>
      </c>
      <c r="T59" t="inlineStr">
        <is>
          <t>none</t>
        </is>
      </c>
      <c r="V59" t="inlineStr">
        <is>
          <t>Default</t>
        </is>
      </c>
      <c r="X59" t="inlineStr">
        <is>
          <t>Normal</t>
        </is>
      </c>
      <c r="AB59" t="inlineStr">
        <is>
          <t>none</t>
        </is>
      </c>
      <c r="AD59" t="n">
        <v>1</v>
      </c>
      <c r="AF59" t="inlineStr">
        <is>
          <t>none</t>
        </is>
      </c>
      <c r="AH59" t="n">
        <v>1</v>
      </c>
      <c r="AJ59" t="inlineStr">
        <is>
          <t>none</t>
        </is>
      </c>
      <c r="AL59" t="inlineStr">
        <is>
          <t>none</t>
        </is>
      </c>
      <c r="AN59">
        <f>iferror(AF59*(50/(AJ59+AL59)),"攻撃力に数値を入力")</f>
        <v/>
      </c>
      <c r="AP59" t="inlineStr">
        <is>
          <t>none</t>
        </is>
      </c>
      <c r="AT59" t="inlineStr">
        <is>
          <t>none</t>
        </is>
      </c>
      <c r="AY59" t="inlineStr">
        <is>
          <t>none</t>
        </is>
      </c>
      <c r="BA59" t="inlineStr">
        <is>
          <t>none</t>
        </is>
      </c>
      <c r="BC59" t="inlineStr">
        <is>
          <t>none</t>
        </is>
      </c>
      <c r="BE59" t="inlineStr">
        <is>
          <t>none</t>
        </is>
      </c>
      <c r="BG59" t="inlineStr">
        <is>
          <t>none</t>
        </is>
      </c>
      <c r="BI59" t="inlineStr">
        <is>
          <t>none</t>
        </is>
      </c>
      <c r="BK59" t="inlineStr">
        <is>
          <t>none</t>
        </is>
      </c>
      <c r="BM59" t="inlineStr">
        <is>
          <t>none</t>
        </is>
      </c>
      <c r="BO59" t="inlineStr">
        <is>
          <t>none</t>
        </is>
      </c>
      <c r="BQ59" t="inlineStr">
        <is>
          <t>none</t>
        </is>
      </c>
      <c r="CA59" t="inlineStr">
        <is>
          <t>未入力</t>
        </is>
      </c>
      <c r="CM59" t="inlineStr">
        <is>
          <t>None</t>
        </is>
      </c>
      <c r="CQ59" t="inlineStr">
        <is>
          <t>None</t>
        </is>
      </c>
      <c r="CW59" t="inlineStr">
        <is>
          <t>None</t>
        </is>
      </c>
      <c r="DC59" t="inlineStr">
        <is>
          <t>None</t>
        </is>
      </c>
      <c r="DK59" t="b">
        <v>0</v>
      </c>
      <c r="DM59" t="inlineStr">
        <is>
          <t>None</t>
        </is>
      </c>
      <c r="EA59">
        <f>B59</f>
        <v/>
      </c>
      <c r="EB59">
        <f>D59</f>
        <v/>
      </c>
      <c r="EC59">
        <f>F59</f>
        <v/>
      </c>
      <c r="ED59">
        <f>CA59</f>
        <v/>
      </c>
      <c r="EE59">
        <f>CE59</f>
        <v/>
      </c>
      <c r="EF59">
        <f>"SummonEnemy"</f>
        <v/>
      </c>
      <c r="EG59">
        <f>H59</f>
        <v/>
      </c>
      <c r="EI59">
        <f>CI59</f>
        <v/>
      </c>
      <c r="EJ59">
        <f>CG59</f>
        <v/>
      </c>
      <c r="EK59">
        <f>CM59</f>
        <v/>
      </c>
      <c r="EL59">
        <f>CO59</f>
        <v/>
      </c>
      <c r="EM59">
        <f>CQ59</f>
        <v/>
      </c>
      <c r="EN59">
        <f>CU59</f>
        <v/>
      </c>
      <c r="EO59">
        <f>CW59</f>
        <v/>
      </c>
      <c r="EP59">
        <f>DA59</f>
        <v/>
      </c>
      <c r="EQ59">
        <f>DC59</f>
        <v/>
      </c>
      <c r="ER59">
        <f>DG59</f>
        <v/>
      </c>
      <c r="ES59">
        <f>DI59</f>
        <v/>
      </c>
      <c r="ET59">
        <f>DK59</f>
        <v/>
      </c>
      <c r="EV59">
        <f>V59</f>
        <v/>
      </c>
      <c r="EW59">
        <f>X59</f>
        <v/>
      </c>
      <c r="EX59">
        <f>AD59</f>
        <v/>
      </c>
      <c r="EY59">
        <f>AH59</f>
        <v/>
      </c>
      <c r="EZ59">
        <f>"1"</f>
        <v/>
      </c>
      <c r="FA59">
        <f>BS59</f>
        <v/>
      </c>
      <c r="FB59" t="n">
        <v>0</v>
      </c>
      <c r="FC59">
        <f>CK59</f>
        <v/>
      </c>
      <c r="FD59">
        <f>DM59</f>
        <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2:FE59"/>
  <sheetViews>
    <sheetView workbookViewId="0">
      <selection activeCell="A1" sqref="A1"/>
    </sheetView>
  </sheetViews>
  <sheetFormatPr baseColWidth="8" defaultRowHeight="15"/>
  <sheetData>
    <row r="2">
      <c r="B2" t="inlineStr">
        <is>
          <t>■基礎情報</t>
        </is>
      </c>
    </row>
    <row r="4">
      <c r="B4" t="inlineStr">
        <is>
          <t>ステージコンセプト</t>
        </is>
      </c>
      <c r="S4" t="inlineStr">
        <is>
          <t>ステージ情報詳細</t>
        </is>
      </c>
    </row>
    <row r="5">
      <c r="B5" t="inlineStr">
        <is>
          <t>強敵
がらんの画眉丸
山田浅ェ門 佐切
雑魚
蝶</t>
        </is>
      </c>
      <c r="S5" t="inlineStr">
        <is>
          <t>【属性情報】
黄属性の敵が登場するので緑属性のキャラは有利に戦うこともできるぞ!
さらに、無属性の敵も登場するぞ!
【ギミック情報】
火傷攻撃をしてくる敵が登場するぞ!
特性で火傷ダメージ軽減を持っているキャラを編成しよう!
味方がコマに侵入すると、出現する敵もいるぞ!</t>
        </is>
      </c>
    </row>
    <row r="9">
      <c r="B9" t="inlineStr">
        <is>
          <t>ステージ名（最大20文字）</t>
        </is>
      </c>
      <c r="G9" t="inlineStr">
        <is>
          <t>文字数</t>
        </is>
      </c>
      <c r="I9" t="inlineStr">
        <is>
          <t>スタミナ</t>
        </is>
      </c>
      <c r="K9" t="inlineStr">
        <is>
          <t>難易度</t>
        </is>
      </c>
      <c r="N9" t="inlineStr">
        <is>
          <t>推奨PTLv</t>
        </is>
      </c>
      <c r="Q9" t="inlineStr">
        <is>
          <t>通常BGM</t>
        </is>
      </c>
      <c r="V9" t="inlineStr">
        <is>
          <t>ボスBGM</t>
        </is>
      </c>
    </row>
    <row r="10">
      <c r="B10" t="inlineStr">
        <is>
          <t>3話</t>
        </is>
      </c>
      <c r="G10">
        <f>len(B10)</f>
        <v/>
      </c>
      <c r="I10" t="n">
        <v>7</v>
      </c>
      <c r="K10" t="inlineStr">
        <is>
          <t>イベント全般</t>
        </is>
      </c>
      <c r="N10" t="n">
        <v>20</v>
      </c>
      <c r="Q10" t="inlineStr">
        <is>
          <t>SSE_SBG_003_003</t>
        </is>
      </c>
      <c r="V10" t="inlineStr">
        <is>
          <t>SSE_SBG_003_004</t>
        </is>
      </c>
    </row>
    <row r="12">
      <c r="B12" t="inlineStr">
        <is>
          <t>味方ゲートID</t>
        </is>
      </c>
      <c r="E12" t="inlineStr">
        <is>
          <t>敵ゲートID</t>
        </is>
      </c>
      <c r="H12" t="inlineStr">
        <is>
          <t>敵ゲートasset</t>
        </is>
      </c>
      <c r="K12" t="inlineStr">
        <is>
          <t>敵ゲートHP</t>
        </is>
      </c>
      <c r="N12" t="inlineStr">
        <is>
          <t>リリースキー</t>
        </is>
      </c>
    </row>
    <row r="13">
      <c r="B13" t="inlineStr">
        <is>
          <t>default</t>
        </is>
      </c>
      <c r="E13" t="inlineStr">
        <is>
          <t>event_jig1_charaget01_00003</t>
        </is>
      </c>
      <c r="H13" t="inlineStr">
        <is>
          <t>event_jig_0001</t>
        </is>
      </c>
      <c r="K13" t="n">
        <v>40000</v>
      </c>
      <c r="N13" t="n">
        <v>202601010</v>
      </c>
    </row>
    <row r="15">
      <c r="B15" t="inlineStr">
        <is>
          <t>■報酬設計</t>
        </is>
      </c>
    </row>
    <row r="17">
      <c r="B17" t="inlineStr">
        <is>
          <t>クリアコイン</t>
        </is>
      </c>
      <c r="E17" t="inlineStr">
        <is>
          <t>リーダーEXP</t>
        </is>
      </c>
      <c r="H17" t="inlineStr">
        <is>
          <t>原画のかけら確率</t>
        </is>
      </c>
      <c r="K17" t="inlineStr">
        <is>
          <t>原画のかけら種</t>
        </is>
      </c>
    </row>
    <row r="18">
      <c r="B18" t="n">
        <v>150</v>
      </c>
      <c r="E18">
        <f>I10*10</f>
        <v/>
      </c>
      <c r="H18" t="n">
        <v>1</v>
      </c>
      <c r="K18" t="inlineStr">
        <is>
          <t>2,9,13</t>
        </is>
      </c>
    </row>
    <row r="20">
      <c r="B20" t="inlineStr">
        <is>
          <t>ドロップ区分</t>
        </is>
      </c>
      <c r="E20" t="inlineStr">
        <is>
          <t>リソースtype</t>
        </is>
      </c>
      <c r="G20" t="inlineStr">
        <is>
          <t>アイテムID</t>
        </is>
      </c>
      <c r="J20" t="inlineStr">
        <is>
          <t>アイテム名</t>
        </is>
      </c>
      <c r="R20" t="inlineStr">
        <is>
          <t>ドロップ数</t>
        </is>
      </c>
      <c r="T20" t="inlineStr">
        <is>
          <t>ドロップ率</t>
        </is>
      </c>
    </row>
    <row r="21">
      <c r="B21" t="inlineStr">
        <is>
          <t>FirstClear</t>
        </is>
      </c>
      <c r="E21">
        <f>if(J21="プリズム","FreeDiamond","item")</f>
        <v/>
      </c>
      <c r="G21" t="inlineStr">
        <is>
          <t>prism_glo_00001</t>
        </is>
      </c>
      <c r="J21" t="inlineStr">
        <is>
          <t>プリズム</t>
        </is>
      </c>
      <c r="R21" t="n">
        <v>40</v>
      </c>
      <c r="T21" t="n">
        <v>100</v>
      </c>
    </row>
    <row r="22">
      <c r="B22" t="inlineStr">
        <is>
          <t>FirstClear</t>
        </is>
      </c>
      <c r="E22">
        <f>if(J22="プリズム","FreeDiamond","Item")</f>
        <v/>
      </c>
      <c r="G22" t="inlineStr">
        <is>
          <t>Coin</t>
        </is>
      </c>
      <c r="J22" t="inlineStr">
        <is>
          <t>コイン</t>
        </is>
      </c>
      <c r="R22" t="n">
        <v>500</v>
      </c>
      <c r="T22" t="n">
        <v>100</v>
      </c>
    </row>
    <row r="23">
      <c r="B23" t="inlineStr">
        <is>
          <t>FirstClear</t>
        </is>
      </c>
      <c r="E23">
        <f>if(J23="プリズム","FreeDiamond","Item")</f>
        <v/>
      </c>
      <c r="G23" t="inlineStr">
        <is>
          <t>memory_chara_jig_00701</t>
        </is>
      </c>
      <c r="J23" t="inlineStr">
        <is>
          <t>メイのメモリー</t>
        </is>
      </c>
      <c r="R23" t="n">
        <v>300</v>
      </c>
      <c r="T23" t="n">
        <v>100</v>
      </c>
    </row>
    <row r="24">
      <c r="B24" t="inlineStr">
        <is>
          <t>Random</t>
        </is>
      </c>
      <c r="E24">
        <f>if(J24="プリズム","FreeDiamond","Item")</f>
        <v/>
      </c>
      <c r="G24" t="inlineStr">
        <is>
          <t>piece_jig_00701</t>
        </is>
      </c>
      <c r="J24" t="inlineStr">
        <is>
          <t>メイのかけら</t>
        </is>
      </c>
      <c r="R24" t="n">
        <v>2</v>
      </c>
      <c r="T24" t="n">
        <v>30</v>
      </c>
    </row>
    <row r="25">
      <c r="E25">
        <f>if(J25="プリズム","FreeDiamond","Item")</f>
        <v/>
      </c>
      <c r="G25" t="inlineStr">
        <is>
          <t>none</t>
        </is>
      </c>
    </row>
    <row r="26">
      <c r="E26">
        <f>if(J26="プリズム","FreeDiamond","Item")</f>
        <v/>
      </c>
      <c r="G26" t="inlineStr">
        <is>
          <t>none</t>
        </is>
      </c>
    </row>
    <row r="28">
      <c r="B28" t="inlineStr">
        <is>
          <t>■コマ設計</t>
        </is>
      </c>
    </row>
    <row r="30">
      <c r="B30" t="inlineStr">
        <is>
          <t>行数</t>
        </is>
      </c>
      <c r="D30" t="inlineStr">
        <is>
          <t>行パターンID</t>
        </is>
      </c>
      <c r="F30" t="inlineStr">
        <is>
          <t>コマ数</t>
        </is>
      </c>
      <c r="H30" t="inlineStr">
        <is>
          <t>コマ高さ</t>
        </is>
      </c>
      <c r="J30" t="inlineStr">
        <is>
          <t>コマ幅1</t>
        </is>
      </c>
      <c r="L30" t="inlineStr">
        <is>
          <t>コマ幅2</t>
        </is>
      </c>
      <c r="N30" t="inlineStr">
        <is>
          <t>コマ幅3</t>
        </is>
      </c>
      <c r="P30" t="inlineStr">
        <is>
          <t>コマ幅4</t>
        </is>
      </c>
      <c r="R30" t="inlineStr">
        <is>
          <t>コマ背景</t>
        </is>
      </c>
      <c r="U30" t="inlineStr">
        <is>
          <t>コマ効果1</t>
        </is>
      </c>
      <c r="Z30" t="inlineStr">
        <is>
          <t>効果時間</t>
        </is>
      </c>
      <c r="AB30" t="inlineStr">
        <is>
          <t>効果数値</t>
        </is>
      </c>
      <c r="AD30" t="inlineStr">
        <is>
          <t>コマ効果2</t>
        </is>
      </c>
      <c r="AI30" t="inlineStr">
        <is>
          <t>効果時間</t>
        </is>
      </c>
      <c r="AK30" t="inlineStr">
        <is>
          <t>効果数値</t>
        </is>
      </c>
      <c r="AM30" t="inlineStr">
        <is>
          <t>コマ効果3</t>
        </is>
      </c>
      <c r="AR30" t="inlineStr">
        <is>
          <t>効果時間</t>
        </is>
      </c>
      <c r="AT30" t="inlineStr">
        <is>
          <t>効果数値</t>
        </is>
      </c>
      <c r="AV30" t="inlineStr">
        <is>
          <t>コマ効果4</t>
        </is>
      </c>
      <c r="BA30" t="inlineStr">
        <is>
          <t>効果時間</t>
        </is>
      </c>
      <c r="BC30" t="inlineStr">
        <is>
          <t>効果数値</t>
        </is>
      </c>
    </row>
    <row r="31">
      <c r="B31" t="inlineStr">
        <is>
          <t>1行目</t>
        </is>
      </c>
      <c r="D31" t="n">
        <v>1</v>
      </c>
      <c r="F31">
        <f>iferror(vlookup(D31,'行パターン'!$A$2:$C61,2,false),"error")</f>
        <v/>
      </c>
      <c r="H31" t="n">
        <v>0.55</v>
      </c>
      <c r="J31" t="n">
        <v>1</v>
      </c>
      <c r="L31" t="inlineStr">
        <is>
          <t>none</t>
        </is>
      </c>
      <c r="N31" t="inlineStr">
        <is>
          <t>none</t>
        </is>
      </c>
      <c r="P31" t="inlineStr">
        <is>
          <t>none</t>
        </is>
      </c>
      <c r="R31" t="inlineStr">
        <is>
          <t>jig_00002</t>
        </is>
      </c>
    </row>
    <row r="32">
      <c r="B32" t="inlineStr">
        <is>
          <t>2行目</t>
        </is>
      </c>
      <c r="D32" t="n">
        <v>6</v>
      </c>
      <c r="F32">
        <f>iferror(vlookup(D32,'行パターン'!$A$2:$C61,2,false),"error")</f>
        <v/>
      </c>
      <c r="H32" t="n">
        <v>0.55</v>
      </c>
      <c r="J32" t="n">
        <v>0.5</v>
      </c>
      <c r="L32" t="n">
        <v>0.5</v>
      </c>
      <c r="N32" t="inlineStr">
        <is>
          <t>none</t>
        </is>
      </c>
      <c r="P32" t="inlineStr">
        <is>
          <t>none</t>
        </is>
      </c>
      <c r="R32" t="inlineStr">
        <is>
          <t>jig_00002</t>
        </is>
      </c>
    </row>
    <row r="33">
      <c r="B33" t="inlineStr">
        <is>
          <t>3行目</t>
        </is>
      </c>
      <c r="F33">
        <f>iferror(vlookup(D33,'行パターン'!$A$2:$C61,2,false)," ")</f>
        <v/>
      </c>
      <c r="J33" t="inlineStr">
        <is>
          <t> </t>
        </is>
      </c>
    </row>
    <row r="34">
      <c r="B34" t="inlineStr">
        <is>
          <t>4行目</t>
        </is>
      </c>
      <c r="F34">
        <f>iferror(vlookup(D34,'行パターン'!$A$2:$C61,2,false)," ")</f>
        <v/>
      </c>
      <c r="J34" t="inlineStr">
        <is>
          <t> </t>
        </is>
      </c>
    </row>
    <row r="35">
      <c r="B35" t="inlineStr">
        <is>
          <t>5行目</t>
        </is>
      </c>
      <c r="F35">
        <f>iferror(vlookup(D35,'行パターン'!$A$2:$C61,2,false)," ")</f>
        <v/>
      </c>
      <c r="J35" t="inlineStr">
        <is>
          <t> </t>
        </is>
      </c>
    </row>
    <row r="37">
      <c r="B37" t="inlineStr">
        <is>
          <t xml:space="preserve">■Enemyシーケンス </t>
        </is>
      </c>
      <c r="F37" t="inlineStr">
        <is>
          <t>※コピペして使用</t>
        </is>
      </c>
    </row>
    <row r="39">
      <c r="B39" t="inlineStr">
        <is>
          <t>sequence
_group_id</t>
        </is>
      </c>
      <c r="D39" t="inlineStr">
        <is>
          <t>sequence_
element_id</t>
        </is>
      </c>
      <c r="F39" t="inlineStr">
        <is>
          <t>priority_sequence_element_id</t>
        </is>
      </c>
      <c r="H39" t="inlineStr">
        <is>
          <t>Enemy_ID</t>
        </is>
      </c>
      <c r="L39" t="inlineStr">
        <is>
          <t>ファントム名</t>
        </is>
      </c>
      <c r="P39" t="inlineStr">
        <is>
          <t>unit_kind</t>
        </is>
      </c>
      <c r="R39" t="inlineStr">
        <is>
          <t>属性</t>
        </is>
      </c>
      <c r="T39" t="inlineStr">
        <is>
          <t>ロール</t>
        </is>
      </c>
      <c r="V39" t="inlineStr">
        <is>
          <t>オーラタイプ</t>
        </is>
      </c>
      <c r="X39" t="inlineStr">
        <is>
          <t>死亡タイプ</t>
        </is>
      </c>
      <c r="Z39" t="inlineStr">
        <is>
          <t>必殺ワザ有無</t>
        </is>
      </c>
      <c r="AB39" t="inlineStr">
        <is>
          <t>体力</t>
        </is>
      </c>
      <c r="AD39" t="inlineStr">
        <is>
          <t>体力係数</t>
        </is>
      </c>
      <c r="AF39" t="inlineStr">
        <is>
          <t>攻撃力</t>
        </is>
      </c>
      <c r="AH39" t="inlineStr">
        <is>
          <t>攻撃係数</t>
        </is>
      </c>
      <c r="AJ39" t="inlineStr">
        <is>
          <t>通常攻撃F</t>
        </is>
      </c>
      <c r="AL39" t="inlineStr">
        <is>
          <t>通常攻撃CDF</t>
        </is>
      </c>
      <c r="AN39" t="inlineStr">
        <is>
          <t>通常攻撃DPS</t>
        </is>
      </c>
      <c r="AP39" t="inlineStr">
        <is>
          <t>通常攻撃備考</t>
        </is>
      </c>
      <c r="AT39" t="inlineStr">
        <is>
          <t>必殺技内容</t>
        </is>
      </c>
      <c r="AY39" t="inlineStr">
        <is>
          <t>必殺発動回数</t>
        </is>
      </c>
      <c r="BA39" t="inlineStr">
        <is>
          <t>必殺技F(秒)</t>
        </is>
      </c>
      <c r="BC39" t="inlineStr">
        <is>
          <t>特性</t>
        </is>
      </c>
      <c r="BE39" t="inlineStr">
        <is>
          <t>移動速度</t>
        </is>
      </c>
      <c r="BG39" t="inlineStr">
        <is>
          <t>well_distance</t>
        </is>
      </c>
      <c r="BI39" t="inlineStr">
        <is>
          <t>start_range</t>
        </is>
      </c>
      <c r="BK39" t="inlineStr">
        <is>
          <t>end_range</t>
        </is>
      </c>
      <c r="BM39" t="inlineStr">
        <is>
          <t>攻撃範囲</t>
        </is>
      </c>
      <c r="BO39" t="inlineStr">
        <is>
          <t>KB回数</t>
        </is>
      </c>
      <c r="BQ39" t="inlineStr">
        <is>
          <t>撃破p</t>
        </is>
      </c>
      <c r="BS39" t="inlineStr">
        <is>
          <t>上書き撃破p</t>
        </is>
      </c>
      <c r="BU39" t="inlineStr">
        <is>
          <t>変身先ID</t>
        </is>
      </c>
      <c r="BW39" t="inlineStr">
        <is>
          <t>変身条件1</t>
        </is>
      </c>
      <c r="BY39" t="inlineStr">
        <is>
          <t>変身条件2</t>
        </is>
      </c>
      <c r="CA39" t="inlineStr">
        <is>
          <t>出撃条件
condition_type</t>
        </is>
      </c>
      <c r="CE39" t="inlineStr">
        <is>
          <t>出撃開始値
condition_value</t>
        </is>
      </c>
      <c r="CG39" t="inlineStr">
        <is>
          <t>出撃感覚値
summon_interval</t>
        </is>
      </c>
      <c r="CI39" t="inlineStr">
        <is>
          <t>召喚回数
summon_count</t>
        </is>
      </c>
      <c r="CK39" t="inlineStr">
        <is>
          <t>アクション遅延
action_delay</t>
        </is>
      </c>
      <c r="CM39" t="inlineStr">
        <is>
          <t>出撃
アニメーション</t>
        </is>
      </c>
      <c r="CO39" t="inlineStr">
        <is>
          <t>召喚pos
summon_position</t>
        </is>
      </c>
      <c r="CQ39" t="inlineStr">
        <is>
          <t>移動開始条件
move_start_condition_type</t>
        </is>
      </c>
      <c r="CU39" t="inlineStr">
        <is>
          <t>移動開始値
condition_value</t>
        </is>
      </c>
      <c r="CW39" t="inlineStr">
        <is>
          <t>移動停止条件
move_stop_condition_type</t>
        </is>
      </c>
      <c r="DA39" t="inlineStr">
        <is>
          <t>移動停止値</t>
        </is>
      </c>
      <c r="DC39" t="inlineStr">
        <is>
          <t>移動再スタート条件
move_restart_condition_type</t>
        </is>
      </c>
      <c r="DG39" t="inlineStr">
        <is>
          <t>移動再スタート値</t>
        </is>
      </c>
      <c r="DI39" t="inlineStr">
        <is>
          <t>再スタート回数
move_loop_count</t>
        </is>
      </c>
      <c r="DK39" t="inlineStr">
        <is>
          <t>ゲート無敵化</t>
        </is>
      </c>
      <c r="DM39" t="inlineStr">
        <is>
          <t>出現停止条件</t>
        </is>
      </c>
      <c r="DQ39" t="inlineStr">
        <is>
          <t>停止条件値</t>
        </is>
      </c>
      <c r="DS39" t="inlineStr">
        <is>
          <t>備考</t>
        </is>
      </c>
      <c r="EA39" t="inlineStr">
        <is>
          <t>sequence_group_id</t>
        </is>
      </c>
      <c r="EB39" t="inlineStr">
        <is>
          <t>sequence_element_id</t>
        </is>
      </c>
      <c r="EC39" t="inlineStr">
        <is>
          <t>priority_sequence_element_id</t>
        </is>
      </c>
      <c r="ED39" t="inlineStr">
        <is>
          <t>condition_type</t>
        </is>
      </c>
      <c r="EE39" t="inlineStr">
        <is>
          <t>condition_value</t>
        </is>
      </c>
      <c r="EF39" t="inlineStr">
        <is>
          <t>action_type</t>
        </is>
      </c>
      <c r="EG39" t="inlineStr">
        <is>
          <t>action_value</t>
        </is>
      </c>
      <c r="EH39" t="inlineStr">
        <is>
          <t>action_value2</t>
        </is>
      </c>
      <c r="EI39" t="inlineStr">
        <is>
          <t>summon_count</t>
        </is>
      </c>
      <c r="EJ39" t="inlineStr">
        <is>
          <t>summon_interval</t>
        </is>
      </c>
      <c r="EK39" t="inlineStr">
        <is>
          <t>summon_animation_type</t>
        </is>
      </c>
      <c r="EL39" t="inlineStr">
        <is>
          <t>summon_position</t>
        </is>
      </c>
      <c r="EM39" t="inlineStr">
        <is>
          <t>move_start_condition_type</t>
        </is>
      </c>
      <c r="EN39" t="inlineStr">
        <is>
          <t>move_start_condition_value</t>
        </is>
      </c>
      <c r="EO39" t="inlineStr">
        <is>
          <t>move_stop_condition_type</t>
        </is>
      </c>
      <c r="EP39" t="inlineStr">
        <is>
          <t>move_stop_condition_value</t>
        </is>
      </c>
      <c r="EQ39" t="inlineStr">
        <is>
          <t>move_restart_condition_type</t>
        </is>
      </c>
      <c r="ER39" t="inlineStr">
        <is>
          <t>move_restart_condition_value</t>
        </is>
      </c>
      <c r="ES39" t="inlineStr">
        <is>
          <t>move_loop_count</t>
        </is>
      </c>
      <c r="ET39" t="inlineStr">
        <is>
          <t>is_summon_unit_outpost_damage_invalidation</t>
        </is>
      </c>
      <c r="EV39" t="inlineStr">
        <is>
          <t>aura_type</t>
        </is>
      </c>
      <c r="EW39" t="inlineStr">
        <is>
          <t>death_type</t>
        </is>
      </c>
      <c r="EX39" t="inlineStr">
        <is>
          <t>enemy_hp_coef</t>
        </is>
      </c>
      <c r="EY39" t="inlineStr">
        <is>
          <t>enemy_attack_coef</t>
        </is>
      </c>
      <c r="EZ39" t="inlineStr">
        <is>
          <t>enemy_speed_coef</t>
        </is>
      </c>
      <c r="FA39" t="inlineStr">
        <is>
          <t>override_drop_battle_point</t>
        </is>
      </c>
      <c r="FB39" t="inlineStr">
        <is>
          <t>defeated_score</t>
        </is>
      </c>
      <c r="FC39" t="inlineStr">
        <is>
          <t>action_delay</t>
        </is>
      </c>
      <c r="FD39" t="inlineStr">
        <is>
          <t>deactivation_condition_type</t>
        </is>
      </c>
      <c r="FE39" t="inlineStr">
        <is>
          <t>deactivation_condition_value</t>
        </is>
      </c>
    </row>
    <row r="40">
      <c r="D40" t="n">
        <v>1</v>
      </c>
      <c r="H40" t="inlineStr">
        <is>
          <t>c_jig_00001_jig1_charaget01_Boss_Yellow</t>
        </is>
      </c>
      <c r="L40" t="inlineStr">
        <is>
          <t>がらんの画眉丸</t>
        </is>
      </c>
      <c r="P40" t="inlineStr">
        <is>
          <t>Boss</t>
        </is>
      </c>
      <c r="R40" t="inlineStr">
        <is>
          <t>Yellow</t>
        </is>
      </c>
      <c r="T40" t="inlineStr">
        <is>
          <t>Technical</t>
        </is>
      </c>
      <c r="V40" t="inlineStr">
        <is>
          <t>Default</t>
        </is>
      </c>
      <c r="X40" t="inlineStr">
        <is>
          <t>Normal</t>
        </is>
      </c>
      <c r="AB40" t="n">
        <v>40000</v>
      </c>
      <c r="AD40" t="n">
        <v>4</v>
      </c>
      <c r="AF40" t="n">
        <v>200</v>
      </c>
      <c r="AH40" t="n">
        <v>2</v>
      </c>
      <c r="AJ40" t="n">
        <v>58.5</v>
      </c>
      <c r="AL40" t="n">
        <v>80</v>
      </c>
      <c r="AN40">
        <f>iferror(AF40*(50/(AJ40+AL40)),"攻撃力に数値を入力")</f>
        <v/>
      </c>
      <c r="AT40" t="inlineStr">
        <is>
          <t>100%の確率で3秒間500ダメージの火傷にする</t>
        </is>
      </c>
      <c r="AY40" t="n">
        <v>5</v>
      </c>
      <c r="BA40" t="n">
        <v>115</v>
      </c>
      <c r="BE40" t="n">
        <v>41</v>
      </c>
      <c r="BG40" t="n">
        <v>0.24</v>
      </c>
      <c r="BI40" t="n">
        <v>0</v>
      </c>
      <c r="BK40" t="n">
        <v>0.25</v>
      </c>
      <c r="BM40" t="n">
        <v>1</v>
      </c>
      <c r="BO40" t="n">
        <v>3</v>
      </c>
      <c r="BQ40" t="n">
        <v>100</v>
      </c>
      <c r="BS40" t="n">
        <v>200</v>
      </c>
      <c r="CA40" t="inlineStr">
        <is>
          <t>EnterTargetKomaIndex</t>
        </is>
      </c>
      <c r="CE40" t="n">
        <v>1</v>
      </c>
      <c r="CG40" t="n">
        <v>0</v>
      </c>
      <c r="CI40" t="n">
        <v>1</v>
      </c>
      <c r="CK40" t="n">
        <v>50</v>
      </c>
      <c r="CM40" t="inlineStr">
        <is>
          <t>None</t>
        </is>
      </c>
      <c r="CQ40" t="inlineStr">
        <is>
          <t>None</t>
        </is>
      </c>
      <c r="CW40" t="inlineStr">
        <is>
          <t>None</t>
        </is>
      </c>
      <c r="DC40" t="inlineStr">
        <is>
          <t>None</t>
        </is>
      </c>
      <c r="DK40" t="b">
        <v>0</v>
      </c>
      <c r="DM40" t="inlineStr">
        <is>
          <t>None</t>
        </is>
      </c>
      <c r="EA40">
        <f>B40</f>
        <v/>
      </c>
      <c r="EB40">
        <f>D40</f>
        <v/>
      </c>
      <c r="EC40">
        <f>F40</f>
        <v/>
      </c>
      <c r="ED40">
        <f>CA40</f>
        <v/>
      </c>
      <c r="EE40">
        <f>CE40</f>
        <v/>
      </c>
      <c r="EF40">
        <f>"SummonEnemy"</f>
        <v/>
      </c>
      <c r="EG40">
        <f>H40</f>
        <v/>
      </c>
      <c r="EI40">
        <f>CI40</f>
        <v/>
      </c>
      <c r="EJ40">
        <f>CG40</f>
        <v/>
      </c>
      <c r="EK40">
        <f>CM40</f>
        <v/>
      </c>
      <c r="EL40">
        <f>CO40</f>
        <v/>
      </c>
      <c r="EM40">
        <f>CQ40</f>
        <v/>
      </c>
      <c r="EN40">
        <f>CU40</f>
        <v/>
      </c>
      <c r="EO40">
        <f>CW40</f>
        <v/>
      </c>
      <c r="EP40">
        <f>DA40</f>
        <v/>
      </c>
      <c r="EQ40">
        <f>DC40</f>
        <v/>
      </c>
      <c r="ER40">
        <f>DG40</f>
        <v/>
      </c>
      <c r="ES40">
        <f>DI40</f>
        <v/>
      </c>
      <c r="ET40">
        <f>DK40</f>
        <v/>
      </c>
      <c r="EV40">
        <f>V40</f>
        <v/>
      </c>
      <c r="EW40">
        <f>X40</f>
        <v/>
      </c>
      <c r="EX40">
        <f>AD40</f>
        <v/>
      </c>
      <c r="EY40">
        <f>AH40</f>
        <v/>
      </c>
      <c r="EZ40">
        <f>"1"</f>
        <v/>
      </c>
      <c r="FA40">
        <f>BS40</f>
        <v/>
      </c>
      <c r="FB40" t="n">
        <v>0</v>
      </c>
      <c r="FC40">
        <f>CK40</f>
        <v/>
      </c>
      <c r="FD40">
        <f>DM40</f>
        <v/>
      </c>
    </row>
    <row r="41">
      <c r="D41" t="n">
        <v>2</v>
      </c>
      <c r="H41" t="inlineStr">
        <is>
          <t>c_jig_00101_jig1_charaget01_Boss_Yellow</t>
        </is>
      </c>
      <c r="L41" t="inlineStr">
        <is>
          <t>山田浅ェ門 佐切</t>
        </is>
      </c>
      <c r="P41" t="inlineStr">
        <is>
          <t>Boss</t>
        </is>
      </c>
      <c r="R41" t="inlineStr">
        <is>
          <t>Yellow</t>
        </is>
      </c>
      <c r="T41" t="inlineStr">
        <is>
          <t>Attack</t>
        </is>
      </c>
      <c r="V41" t="inlineStr">
        <is>
          <t>Default</t>
        </is>
      </c>
      <c r="X41" t="inlineStr">
        <is>
          <t>Normal</t>
        </is>
      </c>
      <c r="AB41" t="n">
        <v>30000</v>
      </c>
      <c r="AD41" t="n">
        <v>3</v>
      </c>
      <c r="AF41" t="n">
        <v>300</v>
      </c>
      <c r="AH41" t="n">
        <v>3</v>
      </c>
      <c r="AJ41" t="n">
        <v>75</v>
      </c>
      <c r="AL41" t="n">
        <v>75</v>
      </c>
      <c r="AN41">
        <f>iferror(AF41*(50/(AJ41+AL41)),"攻撃力に数値を入力")</f>
        <v/>
      </c>
      <c r="AT41" t="inlineStr">
        <is>
          <t>中範囲攻撃</t>
        </is>
      </c>
      <c r="AY41" t="n">
        <v>6</v>
      </c>
      <c r="BA41" t="n">
        <v>125</v>
      </c>
      <c r="BE41" t="n">
        <v>34</v>
      </c>
      <c r="BG41" t="n">
        <v>0.22</v>
      </c>
      <c r="BI41" t="n">
        <v>0</v>
      </c>
      <c r="BK41" t="n">
        <v>0.23</v>
      </c>
      <c r="BM41" t="n">
        <v>1</v>
      </c>
      <c r="BO41" t="n">
        <v>2</v>
      </c>
      <c r="BQ41" t="n">
        <v>100</v>
      </c>
      <c r="BS41" t="n">
        <v>200</v>
      </c>
      <c r="CA41" t="inlineStr">
        <is>
          <t>EnterTargetKomaIndex</t>
        </is>
      </c>
      <c r="CE41" t="n">
        <v>1</v>
      </c>
      <c r="CG41" t="n">
        <v>0</v>
      </c>
      <c r="CI41" t="n">
        <v>1</v>
      </c>
      <c r="CK41" t="n">
        <v>300</v>
      </c>
      <c r="CM41" t="inlineStr">
        <is>
          <t>None</t>
        </is>
      </c>
      <c r="CQ41" t="inlineStr">
        <is>
          <t>None</t>
        </is>
      </c>
      <c r="CW41" t="inlineStr">
        <is>
          <t>None</t>
        </is>
      </c>
      <c r="DC41" t="inlineStr">
        <is>
          <t>None</t>
        </is>
      </c>
      <c r="DK41" t="b">
        <v>0</v>
      </c>
      <c r="DM41" t="inlineStr">
        <is>
          <t>None</t>
        </is>
      </c>
      <c r="EA41">
        <f>B41</f>
        <v/>
      </c>
      <c r="EB41">
        <f>D41</f>
        <v/>
      </c>
      <c r="EC41">
        <f>F41</f>
        <v/>
      </c>
      <c r="ED41">
        <f>CA41</f>
        <v/>
      </c>
      <c r="EE41">
        <f>CE41</f>
        <v/>
      </c>
      <c r="EF41">
        <f>"SummonEnemy"</f>
        <v/>
      </c>
      <c r="EG41">
        <f>H41</f>
        <v/>
      </c>
      <c r="EI41">
        <f>CI41</f>
        <v/>
      </c>
      <c r="EJ41">
        <f>CG41</f>
        <v/>
      </c>
      <c r="EK41">
        <f>CM41</f>
        <v/>
      </c>
      <c r="EL41">
        <f>CO41</f>
        <v/>
      </c>
      <c r="EM41">
        <f>CQ41</f>
        <v/>
      </c>
      <c r="EN41">
        <f>CU41</f>
        <v/>
      </c>
      <c r="EO41">
        <f>CW41</f>
        <v/>
      </c>
      <c r="EP41">
        <f>DA41</f>
        <v/>
      </c>
      <c r="EQ41">
        <f>DC41</f>
        <v/>
      </c>
      <c r="ER41">
        <f>DG41</f>
        <v/>
      </c>
      <c r="ES41">
        <f>DI41</f>
        <v/>
      </c>
      <c r="ET41">
        <f>DK41</f>
        <v/>
      </c>
      <c r="EV41">
        <f>V41</f>
        <v/>
      </c>
      <c r="EW41">
        <f>X41</f>
        <v/>
      </c>
      <c r="EX41">
        <f>AD41</f>
        <v/>
      </c>
      <c r="EY41">
        <f>AH41</f>
        <v/>
      </c>
      <c r="EZ41">
        <f>"1"</f>
        <v/>
      </c>
      <c r="FA41">
        <f>BS41</f>
        <v/>
      </c>
      <c r="FB41" t="n">
        <v>0</v>
      </c>
      <c r="FC41">
        <f>CK41</f>
        <v/>
      </c>
      <c r="FD41">
        <f>DM41</f>
        <v/>
      </c>
    </row>
    <row r="42">
      <c r="D42" t="n">
        <v>3</v>
      </c>
      <c r="H42" t="inlineStr">
        <is>
          <t>e_jig_00402_jig1_charaget01_Normal_Colorless</t>
        </is>
      </c>
      <c r="L42" t="inlineStr">
        <is>
          <t>極楽蝶</t>
        </is>
      </c>
      <c r="P42" t="inlineStr">
        <is>
          <t>Normal</t>
        </is>
      </c>
      <c r="R42" t="inlineStr">
        <is>
          <t>Colorless</t>
        </is>
      </c>
      <c r="T42" t="inlineStr">
        <is>
          <t>Defense</t>
        </is>
      </c>
      <c r="V42" t="inlineStr">
        <is>
          <t>Default</t>
        </is>
      </c>
      <c r="X42" t="inlineStr">
        <is>
          <t>Normal</t>
        </is>
      </c>
      <c r="AB42" t="n">
        <v>20000</v>
      </c>
      <c r="AD42" t="n">
        <v>20</v>
      </c>
      <c r="AF42" t="n">
        <v>80</v>
      </c>
      <c r="AH42" t="n">
        <v>0.8</v>
      </c>
      <c r="AJ42" t="n">
        <v>105</v>
      </c>
      <c r="AL42" t="n">
        <v>200</v>
      </c>
      <c r="AN42">
        <f>iferror(AF42*(50/(AJ42+AL42)),"攻撃力に数値を入力")</f>
        <v/>
      </c>
      <c r="AY42" t="inlineStr">
        <is>
          <t>-</t>
        </is>
      </c>
      <c r="BA42" t="inlineStr">
        <is>
          <t>none</t>
        </is>
      </c>
      <c r="BE42" t="n">
        <v>25</v>
      </c>
      <c r="BG42" t="n">
        <v>0.22</v>
      </c>
      <c r="BI42" t="n">
        <v>0</v>
      </c>
      <c r="BK42" t="n">
        <v>0.23</v>
      </c>
      <c r="BM42" t="n">
        <v>100</v>
      </c>
      <c r="BO42" t="n">
        <v>2</v>
      </c>
      <c r="BQ42" t="n">
        <v>50</v>
      </c>
      <c r="BS42" t="n">
        <v>50</v>
      </c>
      <c r="CA42" t="inlineStr">
        <is>
          <t>InitialSummon</t>
        </is>
      </c>
      <c r="CE42" t="n">
        <v>1</v>
      </c>
      <c r="CG42" t="n">
        <v>0</v>
      </c>
      <c r="CI42" t="n">
        <v>1</v>
      </c>
      <c r="CM42" t="inlineStr">
        <is>
          <t>None</t>
        </is>
      </c>
      <c r="CO42" t="n">
        <v>1.7</v>
      </c>
      <c r="CQ42" t="inlineStr">
        <is>
          <t>EnterTargetKoma</t>
        </is>
      </c>
      <c r="CU42" t="n">
        <v>1</v>
      </c>
      <c r="CW42" t="inlineStr">
        <is>
          <t>None</t>
        </is>
      </c>
      <c r="DC42" t="inlineStr">
        <is>
          <t>None</t>
        </is>
      </c>
      <c r="DK42" t="b">
        <v>0</v>
      </c>
      <c r="DM42" t="inlineStr">
        <is>
          <t>None</t>
        </is>
      </c>
      <c r="EA42">
        <f>B42</f>
        <v/>
      </c>
      <c r="EB42">
        <f>D42</f>
        <v/>
      </c>
      <c r="EC42">
        <f>F42</f>
        <v/>
      </c>
      <c r="ED42">
        <f>CA42</f>
        <v/>
      </c>
      <c r="EE42">
        <f>CE42</f>
        <v/>
      </c>
      <c r="EF42">
        <f>"SummonEnemy"</f>
        <v/>
      </c>
      <c r="EG42">
        <f>H42</f>
        <v/>
      </c>
      <c r="EI42">
        <f>CI42</f>
        <v/>
      </c>
      <c r="EJ42">
        <f>CG42</f>
        <v/>
      </c>
      <c r="EK42">
        <f>CM42</f>
        <v/>
      </c>
      <c r="EL42">
        <f>CO42</f>
        <v/>
      </c>
      <c r="EM42">
        <f>CQ42</f>
        <v/>
      </c>
      <c r="EN42">
        <f>CU42</f>
        <v/>
      </c>
      <c r="EO42">
        <f>CW42</f>
        <v/>
      </c>
      <c r="EP42">
        <f>DA42</f>
        <v/>
      </c>
      <c r="EQ42">
        <f>DC42</f>
        <v/>
      </c>
      <c r="ER42">
        <f>DG42</f>
        <v/>
      </c>
      <c r="ES42">
        <f>DI42</f>
        <v/>
      </c>
      <c r="ET42">
        <f>DK42</f>
        <v/>
      </c>
      <c r="EV42">
        <f>V42</f>
        <v/>
      </c>
      <c r="EW42">
        <f>X42</f>
        <v/>
      </c>
      <c r="EX42">
        <f>AD42</f>
        <v/>
      </c>
      <c r="EY42">
        <f>AH42</f>
        <v/>
      </c>
      <c r="EZ42">
        <f>"1"</f>
        <v/>
      </c>
      <c r="FA42">
        <f>BS42</f>
        <v/>
      </c>
      <c r="FB42" t="n">
        <v>0</v>
      </c>
      <c r="FC42">
        <f>CK42</f>
        <v/>
      </c>
      <c r="FD42">
        <f>DM42</f>
        <v/>
      </c>
    </row>
    <row r="43">
      <c r="D43" t="n">
        <v>4</v>
      </c>
      <c r="H43" t="inlineStr">
        <is>
          <t>e_jig_00402_jig1_charaget01_Normal_Colorless</t>
        </is>
      </c>
      <c r="L43" t="inlineStr">
        <is>
          <t>極楽蝶</t>
        </is>
      </c>
      <c r="P43" t="inlineStr">
        <is>
          <t>Normal</t>
        </is>
      </c>
      <c r="R43" t="inlineStr">
        <is>
          <t>Colorless</t>
        </is>
      </c>
      <c r="T43" t="inlineStr">
        <is>
          <t>Defense</t>
        </is>
      </c>
      <c r="V43" t="inlineStr">
        <is>
          <t>Default</t>
        </is>
      </c>
      <c r="X43" t="inlineStr">
        <is>
          <t>Normal</t>
        </is>
      </c>
      <c r="AB43" t="n">
        <v>20000</v>
      </c>
      <c r="AD43" t="n">
        <v>20</v>
      </c>
      <c r="AF43" t="n">
        <v>80</v>
      </c>
      <c r="AH43" t="n">
        <v>0.8</v>
      </c>
      <c r="AJ43" t="n">
        <v>105</v>
      </c>
      <c r="AL43" t="n">
        <v>200</v>
      </c>
      <c r="AN43">
        <f>iferror(AF43*(50/(AJ43+AL43)),"攻撃力に数値を入力")</f>
        <v/>
      </c>
      <c r="AY43" t="inlineStr">
        <is>
          <t>-</t>
        </is>
      </c>
      <c r="BA43" t="inlineStr">
        <is>
          <t>none</t>
        </is>
      </c>
      <c r="BE43" t="n">
        <v>25</v>
      </c>
      <c r="BG43" t="n">
        <v>0.22</v>
      </c>
      <c r="BI43" t="n">
        <v>0</v>
      </c>
      <c r="BK43" t="n">
        <v>0.23</v>
      </c>
      <c r="BM43" t="n">
        <v>100</v>
      </c>
      <c r="BO43" t="n">
        <v>2</v>
      </c>
      <c r="BQ43" t="n">
        <v>50</v>
      </c>
      <c r="BS43" t="n">
        <v>50</v>
      </c>
      <c r="CA43" t="inlineStr">
        <is>
          <t>FriendUnitDead</t>
        </is>
      </c>
      <c r="CE43" t="n">
        <v>3</v>
      </c>
      <c r="CG43" t="n">
        <v>50</v>
      </c>
      <c r="CI43" t="n">
        <v>2</v>
      </c>
      <c r="CM43" t="inlineStr">
        <is>
          <t>None</t>
        </is>
      </c>
      <c r="CQ43" t="inlineStr">
        <is>
          <t>None</t>
        </is>
      </c>
      <c r="CW43" t="inlineStr">
        <is>
          <t>None</t>
        </is>
      </c>
      <c r="DC43" t="inlineStr">
        <is>
          <t>None</t>
        </is>
      </c>
      <c r="DK43" t="b">
        <v>0</v>
      </c>
      <c r="DM43" t="inlineStr">
        <is>
          <t>None</t>
        </is>
      </c>
      <c r="EA43">
        <f>B43</f>
        <v/>
      </c>
      <c r="EB43">
        <f>D43</f>
        <v/>
      </c>
      <c r="EC43">
        <f>F43</f>
        <v/>
      </c>
      <c r="ED43">
        <f>CA43</f>
        <v/>
      </c>
      <c r="EE43">
        <f>CE43</f>
        <v/>
      </c>
      <c r="EF43">
        <f>"SummonEnemy"</f>
        <v/>
      </c>
      <c r="EG43">
        <f>H43</f>
        <v/>
      </c>
      <c r="EI43">
        <f>CI43</f>
        <v/>
      </c>
      <c r="EJ43">
        <f>CG43</f>
        <v/>
      </c>
      <c r="EK43">
        <f>CM43</f>
        <v/>
      </c>
      <c r="EL43">
        <f>CO43</f>
        <v/>
      </c>
      <c r="EM43">
        <f>CQ43</f>
        <v/>
      </c>
      <c r="EN43">
        <f>CU43</f>
        <v/>
      </c>
      <c r="EO43">
        <f>CW43</f>
        <v/>
      </c>
      <c r="EP43">
        <f>DA43</f>
        <v/>
      </c>
      <c r="EQ43">
        <f>DC43</f>
        <v/>
      </c>
      <c r="ER43">
        <f>DG43</f>
        <v/>
      </c>
      <c r="ES43">
        <f>DI43</f>
        <v/>
      </c>
      <c r="ET43">
        <f>DK43</f>
        <v/>
      </c>
      <c r="EV43">
        <f>V43</f>
        <v/>
      </c>
      <c r="EW43">
        <f>X43</f>
        <v/>
      </c>
      <c r="EX43">
        <f>AD43</f>
        <v/>
      </c>
      <c r="EY43">
        <f>AH43</f>
        <v/>
      </c>
      <c r="EZ43">
        <f>"1"</f>
        <v/>
      </c>
      <c r="FA43">
        <f>BS43</f>
        <v/>
      </c>
      <c r="FB43" t="n">
        <v>0</v>
      </c>
      <c r="FC43">
        <f>CK43</f>
        <v/>
      </c>
      <c r="FD43">
        <f>DM43</f>
        <v/>
      </c>
    </row>
    <row r="44">
      <c r="D44" t="n">
        <v>5</v>
      </c>
      <c r="H44" t="inlineStr">
        <is>
          <t>e_jig_00402_jig1_charaget01_Normal_Colorless</t>
        </is>
      </c>
      <c r="L44" t="inlineStr">
        <is>
          <t>極楽蝶</t>
        </is>
      </c>
      <c r="P44" t="inlineStr">
        <is>
          <t>Normal</t>
        </is>
      </c>
      <c r="R44" t="inlineStr">
        <is>
          <t>Colorless</t>
        </is>
      </c>
      <c r="T44" t="inlineStr">
        <is>
          <t>Defense</t>
        </is>
      </c>
      <c r="V44" t="inlineStr">
        <is>
          <t>Default</t>
        </is>
      </c>
      <c r="X44" t="inlineStr">
        <is>
          <t>Normal</t>
        </is>
      </c>
      <c r="AB44" t="n">
        <v>20000</v>
      </c>
      <c r="AD44" t="n">
        <v>20</v>
      </c>
      <c r="AF44" t="n">
        <v>80</v>
      </c>
      <c r="AH44" t="n">
        <v>0.8</v>
      </c>
      <c r="AJ44" t="n">
        <v>105</v>
      </c>
      <c r="AL44" t="n">
        <v>200</v>
      </c>
      <c r="AN44">
        <f>iferror(AF44*(50/(AJ44+AL44)),"攻撃力に数値を入力")</f>
        <v/>
      </c>
      <c r="AY44" t="inlineStr">
        <is>
          <t>-</t>
        </is>
      </c>
      <c r="BA44" t="inlineStr">
        <is>
          <t>none</t>
        </is>
      </c>
      <c r="BE44" t="n">
        <v>25</v>
      </c>
      <c r="BG44" t="n">
        <v>0.22</v>
      </c>
      <c r="BI44" t="n">
        <v>0</v>
      </c>
      <c r="BK44" t="n">
        <v>0.23</v>
      </c>
      <c r="BM44" t="n">
        <v>100</v>
      </c>
      <c r="BO44" t="n">
        <v>2</v>
      </c>
      <c r="BQ44" t="n">
        <v>50</v>
      </c>
      <c r="BS44" t="n">
        <v>50</v>
      </c>
      <c r="CA44" t="inlineStr">
        <is>
          <t>ElapsedTime</t>
        </is>
      </c>
      <c r="CE44" t="n">
        <v>1500</v>
      </c>
      <c r="CG44" t="n">
        <v>0</v>
      </c>
      <c r="CI44" t="n">
        <v>1</v>
      </c>
      <c r="CM44" t="inlineStr">
        <is>
          <t>None</t>
        </is>
      </c>
      <c r="CQ44" t="inlineStr">
        <is>
          <t>None</t>
        </is>
      </c>
      <c r="CW44" t="inlineStr">
        <is>
          <t>None</t>
        </is>
      </c>
      <c r="DC44" t="inlineStr">
        <is>
          <t>None</t>
        </is>
      </c>
      <c r="DK44" t="b">
        <v>0</v>
      </c>
      <c r="DM44" t="inlineStr">
        <is>
          <t>None</t>
        </is>
      </c>
      <c r="EA44">
        <f>B44</f>
        <v/>
      </c>
      <c r="EB44">
        <f>D44</f>
        <v/>
      </c>
      <c r="EC44">
        <f>F44</f>
        <v/>
      </c>
      <c r="ED44">
        <f>CA44</f>
        <v/>
      </c>
      <c r="EE44">
        <f>CE44</f>
        <v/>
      </c>
      <c r="EF44">
        <f>"SummonEnemy"</f>
        <v/>
      </c>
      <c r="EG44">
        <f>H44</f>
        <v/>
      </c>
      <c r="EI44">
        <f>CI44</f>
        <v/>
      </c>
      <c r="EJ44">
        <f>CG44</f>
        <v/>
      </c>
      <c r="EK44">
        <f>CM44</f>
        <v/>
      </c>
      <c r="EL44">
        <f>CO44</f>
        <v/>
      </c>
      <c r="EM44">
        <f>CQ44</f>
        <v/>
      </c>
      <c r="EN44">
        <f>CU44</f>
        <v/>
      </c>
      <c r="EO44">
        <f>CW44</f>
        <v/>
      </c>
      <c r="EP44">
        <f>DA44</f>
        <v/>
      </c>
      <c r="EQ44">
        <f>DC44</f>
        <v/>
      </c>
      <c r="ER44">
        <f>DG44</f>
        <v/>
      </c>
      <c r="ES44">
        <f>DI44</f>
        <v/>
      </c>
      <c r="ET44">
        <f>DK44</f>
        <v/>
      </c>
      <c r="EV44">
        <f>V44</f>
        <v/>
      </c>
      <c r="EW44">
        <f>X44</f>
        <v/>
      </c>
      <c r="EX44">
        <f>AD44</f>
        <v/>
      </c>
      <c r="EY44">
        <f>AH44</f>
        <v/>
      </c>
      <c r="EZ44">
        <f>"1"</f>
        <v/>
      </c>
      <c r="FA44">
        <f>BS44</f>
        <v/>
      </c>
      <c r="FB44" t="n">
        <v>0</v>
      </c>
      <c r="FC44">
        <f>CK44</f>
        <v/>
      </c>
      <c r="FD44">
        <f>DM44</f>
        <v/>
      </c>
    </row>
    <row r="45">
      <c r="D45" t="n">
        <v>6</v>
      </c>
      <c r="H45" t="inlineStr">
        <is>
          <t>e_jig_00402_jig1_charaget01_Normal_Colorless</t>
        </is>
      </c>
      <c r="L45" t="inlineStr">
        <is>
          <t>極楽蝶</t>
        </is>
      </c>
      <c r="P45" t="inlineStr">
        <is>
          <t>Normal</t>
        </is>
      </c>
      <c r="R45" t="inlineStr">
        <is>
          <t>Colorless</t>
        </is>
      </c>
      <c r="T45" t="inlineStr">
        <is>
          <t>Defense</t>
        </is>
      </c>
      <c r="V45" t="inlineStr">
        <is>
          <t>Default</t>
        </is>
      </c>
      <c r="X45" t="inlineStr">
        <is>
          <t>Normal</t>
        </is>
      </c>
      <c r="AB45" t="n">
        <v>20000</v>
      </c>
      <c r="AD45" t="n">
        <v>20</v>
      </c>
      <c r="AF45" t="n">
        <v>80</v>
      </c>
      <c r="AH45" t="n">
        <v>0.8</v>
      </c>
      <c r="AJ45" t="n">
        <v>105</v>
      </c>
      <c r="AL45" t="n">
        <v>200</v>
      </c>
      <c r="AN45">
        <f>iferror(AF45*(50/(AJ45+AL45)),"攻撃力に数値を入力")</f>
        <v/>
      </c>
      <c r="AY45" t="inlineStr">
        <is>
          <t>-</t>
        </is>
      </c>
      <c r="BA45" t="inlineStr">
        <is>
          <t>none</t>
        </is>
      </c>
      <c r="BE45" t="n">
        <v>25</v>
      </c>
      <c r="BG45" t="n">
        <v>0.22</v>
      </c>
      <c r="BI45" t="n">
        <v>0</v>
      </c>
      <c r="BK45" t="n">
        <v>0.23</v>
      </c>
      <c r="BM45" t="n">
        <v>100</v>
      </c>
      <c r="BO45" t="n">
        <v>2</v>
      </c>
      <c r="BQ45" t="n">
        <v>50</v>
      </c>
      <c r="BS45" t="n">
        <v>50</v>
      </c>
      <c r="CA45" t="inlineStr">
        <is>
          <t>FriendUnitDead</t>
        </is>
      </c>
      <c r="CE45" t="n">
        <v>2</v>
      </c>
      <c r="CG45" t="n">
        <v>1000</v>
      </c>
      <c r="CI45" t="n">
        <v>3</v>
      </c>
      <c r="CK45" t="n">
        <v>50</v>
      </c>
      <c r="CM45" t="inlineStr">
        <is>
          <t>None</t>
        </is>
      </c>
      <c r="CQ45" t="inlineStr">
        <is>
          <t>None</t>
        </is>
      </c>
      <c r="CW45" t="inlineStr">
        <is>
          <t>None</t>
        </is>
      </c>
      <c r="DC45" t="inlineStr">
        <is>
          <t>None</t>
        </is>
      </c>
      <c r="DK45" t="b">
        <v>0</v>
      </c>
      <c r="DM45" t="inlineStr">
        <is>
          <t>None</t>
        </is>
      </c>
      <c r="EA45">
        <f>B45</f>
        <v/>
      </c>
      <c r="EB45">
        <f>D45</f>
        <v/>
      </c>
      <c r="EC45">
        <f>F45</f>
        <v/>
      </c>
      <c r="ED45">
        <f>CA45</f>
        <v/>
      </c>
      <c r="EE45">
        <f>CE45</f>
        <v/>
      </c>
      <c r="EF45">
        <f>"SummonEnemy"</f>
        <v/>
      </c>
      <c r="EG45">
        <f>H45</f>
        <v/>
      </c>
      <c r="EI45">
        <f>CI45</f>
        <v/>
      </c>
      <c r="EJ45">
        <f>CG45</f>
        <v/>
      </c>
      <c r="EK45">
        <f>CM45</f>
        <v/>
      </c>
      <c r="EL45">
        <f>CO45</f>
        <v/>
      </c>
      <c r="EM45">
        <f>CQ45</f>
        <v/>
      </c>
      <c r="EN45">
        <f>CU45</f>
        <v/>
      </c>
      <c r="EO45">
        <f>CW45</f>
        <v/>
      </c>
      <c r="EP45">
        <f>DA45</f>
        <v/>
      </c>
      <c r="EQ45">
        <f>DC45</f>
        <v/>
      </c>
      <c r="ER45">
        <f>DG45</f>
        <v/>
      </c>
      <c r="ES45">
        <f>DI45</f>
        <v/>
      </c>
      <c r="ET45">
        <f>DK45</f>
        <v/>
      </c>
      <c r="EV45">
        <f>V45</f>
        <v/>
      </c>
      <c r="EW45">
        <f>X45</f>
        <v/>
      </c>
      <c r="EX45">
        <f>AD45</f>
        <v/>
      </c>
      <c r="EY45">
        <f>AH45</f>
        <v/>
      </c>
      <c r="EZ45">
        <f>"1"</f>
        <v/>
      </c>
      <c r="FA45">
        <f>BS45</f>
        <v/>
      </c>
      <c r="FB45" t="n">
        <v>0</v>
      </c>
      <c r="FC45">
        <f>CK45</f>
        <v/>
      </c>
      <c r="FD45">
        <f>DM45</f>
        <v/>
      </c>
    </row>
    <row r="46">
      <c r="L46" t="inlineStr">
        <is>
          <t>none</t>
        </is>
      </c>
      <c r="P46" t="inlineStr">
        <is>
          <t>none</t>
        </is>
      </c>
      <c r="R46" t="inlineStr">
        <is>
          <t>none</t>
        </is>
      </c>
      <c r="T46" t="inlineStr">
        <is>
          <t>none</t>
        </is>
      </c>
      <c r="V46" t="inlineStr">
        <is>
          <t>Default</t>
        </is>
      </c>
      <c r="X46" t="inlineStr">
        <is>
          <t>Normal</t>
        </is>
      </c>
      <c r="AB46" t="inlineStr">
        <is>
          <t>none</t>
        </is>
      </c>
      <c r="AD46" t="n">
        <v>1</v>
      </c>
      <c r="AF46" t="inlineStr">
        <is>
          <t>none</t>
        </is>
      </c>
      <c r="AH46" t="n">
        <v>1</v>
      </c>
      <c r="AJ46" t="inlineStr">
        <is>
          <t>none</t>
        </is>
      </c>
      <c r="AL46" t="inlineStr">
        <is>
          <t>none</t>
        </is>
      </c>
      <c r="AN46">
        <f>iferror(AF46*(50/(AJ46+AL46)),"攻撃力に数値を入力")</f>
        <v/>
      </c>
      <c r="AP46" t="inlineStr">
        <is>
          <t>none</t>
        </is>
      </c>
      <c r="AT46" t="inlineStr">
        <is>
          <t>none</t>
        </is>
      </c>
      <c r="AY46" t="inlineStr">
        <is>
          <t>none</t>
        </is>
      </c>
      <c r="BA46" t="inlineStr">
        <is>
          <t>none</t>
        </is>
      </c>
      <c r="BC46" t="inlineStr">
        <is>
          <t>none</t>
        </is>
      </c>
      <c r="BE46" t="inlineStr">
        <is>
          <t>none</t>
        </is>
      </c>
      <c r="BG46" t="inlineStr">
        <is>
          <t>none</t>
        </is>
      </c>
      <c r="BI46" t="inlineStr">
        <is>
          <t>none</t>
        </is>
      </c>
      <c r="BK46" t="inlineStr">
        <is>
          <t>none</t>
        </is>
      </c>
      <c r="BM46" t="inlineStr">
        <is>
          <t>none</t>
        </is>
      </c>
      <c r="BO46" t="inlineStr">
        <is>
          <t>none</t>
        </is>
      </c>
      <c r="BQ46" t="inlineStr">
        <is>
          <t>none</t>
        </is>
      </c>
      <c r="CA46" t="inlineStr">
        <is>
          <t>未入力</t>
        </is>
      </c>
      <c r="CM46" t="inlineStr">
        <is>
          <t>None</t>
        </is>
      </c>
      <c r="CQ46" t="inlineStr">
        <is>
          <t>None</t>
        </is>
      </c>
      <c r="CW46" t="inlineStr">
        <is>
          <t>None</t>
        </is>
      </c>
      <c r="DC46" t="inlineStr">
        <is>
          <t>None</t>
        </is>
      </c>
      <c r="DK46" t="b">
        <v>0</v>
      </c>
      <c r="DM46" t="inlineStr">
        <is>
          <t>None</t>
        </is>
      </c>
      <c r="EA46">
        <f>B46</f>
        <v/>
      </c>
      <c r="EB46">
        <f>D46</f>
        <v/>
      </c>
      <c r="EC46">
        <f>F46</f>
        <v/>
      </c>
      <c r="ED46">
        <f>CA46</f>
        <v/>
      </c>
      <c r="EE46">
        <f>CE46</f>
        <v/>
      </c>
      <c r="EF46">
        <f>"SummonEnemy"</f>
        <v/>
      </c>
      <c r="EG46">
        <f>H46</f>
        <v/>
      </c>
      <c r="EI46">
        <f>CI46</f>
        <v/>
      </c>
      <c r="EJ46">
        <f>CG46</f>
        <v/>
      </c>
      <c r="EK46">
        <f>CM46</f>
        <v/>
      </c>
      <c r="EL46">
        <f>CO46</f>
        <v/>
      </c>
      <c r="EM46">
        <f>CQ46</f>
        <v/>
      </c>
      <c r="EN46">
        <f>CU46</f>
        <v/>
      </c>
      <c r="EO46">
        <f>CW46</f>
        <v/>
      </c>
      <c r="EP46">
        <f>DA46</f>
        <v/>
      </c>
      <c r="EQ46">
        <f>DC46</f>
        <v/>
      </c>
      <c r="ER46">
        <f>DG46</f>
        <v/>
      </c>
      <c r="ES46">
        <f>DI46</f>
        <v/>
      </c>
      <c r="ET46">
        <f>DK46</f>
        <v/>
      </c>
      <c r="EV46">
        <f>V46</f>
        <v/>
      </c>
      <c r="EW46">
        <f>X46</f>
        <v/>
      </c>
      <c r="EX46">
        <f>AD46</f>
        <v/>
      </c>
      <c r="EY46">
        <f>AH46</f>
        <v/>
      </c>
      <c r="EZ46">
        <f>"1"</f>
        <v/>
      </c>
      <c r="FA46">
        <f>BS46</f>
        <v/>
      </c>
      <c r="FB46" t="n">
        <v>0</v>
      </c>
      <c r="FC46">
        <f>CK46</f>
        <v/>
      </c>
      <c r="FD46">
        <f>DM46</f>
        <v/>
      </c>
    </row>
    <row r="47">
      <c r="L47" t="inlineStr">
        <is>
          <t>none</t>
        </is>
      </c>
      <c r="P47" t="inlineStr">
        <is>
          <t>none</t>
        </is>
      </c>
      <c r="R47" t="inlineStr">
        <is>
          <t>none</t>
        </is>
      </c>
      <c r="T47" t="inlineStr">
        <is>
          <t>none</t>
        </is>
      </c>
      <c r="V47" t="inlineStr">
        <is>
          <t>Default</t>
        </is>
      </c>
      <c r="X47" t="inlineStr">
        <is>
          <t>Normal</t>
        </is>
      </c>
      <c r="AB47" t="inlineStr">
        <is>
          <t>none</t>
        </is>
      </c>
      <c r="AD47" t="n">
        <v>1</v>
      </c>
      <c r="AF47" t="inlineStr">
        <is>
          <t>none</t>
        </is>
      </c>
      <c r="AH47" t="n">
        <v>1</v>
      </c>
      <c r="AJ47" t="inlineStr">
        <is>
          <t>none</t>
        </is>
      </c>
      <c r="AL47" t="inlineStr">
        <is>
          <t>none</t>
        </is>
      </c>
      <c r="AN47">
        <f>iferror(AF47*(50/(AJ47+AL47)),"攻撃力に数値を入力")</f>
        <v/>
      </c>
      <c r="AP47" t="inlineStr">
        <is>
          <t>none</t>
        </is>
      </c>
      <c r="AT47" t="inlineStr">
        <is>
          <t>none</t>
        </is>
      </c>
      <c r="AY47" t="inlineStr">
        <is>
          <t>none</t>
        </is>
      </c>
      <c r="BA47" t="inlineStr">
        <is>
          <t>none</t>
        </is>
      </c>
      <c r="BC47" t="inlineStr">
        <is>
          <t>none</t>
        </is>
      </c>
      <c r="BE47" t="inlineStr">
        <is>
          <t>none</t>
        </is>
      </c>
      <c r="BG47" t="inlineStr">
        <is>
          <t>none</t>
        </is>
      </c>
      <c r="BI47" t="inlineStr">
        <is>
          <t>none</t>
        </is>
      </c>
      <c r="BK47" t="inlineStr">
        <is>
          <t>none</t>
        </is>
      </c>
      <c r="BM47" t="inlineStr">
        <is>
          <t>none</t>
        </is>
      </c>
      <c r="BO47" t="inlineStr">
        <is>
          <t>none</t>
        </is>
      </c>
      <c r="BQ47" t="inlineStr">
        <is>
          <t>none</t>
        </is>
      </c>
      <c r="CA47" t="inlineStr">
        <is>
          <t>未入力</t>
        </is>
      </c>
      <c r="CM47" t="inlineStr">
        <is>
          <t>None</t>
        </is>
      </c>
      <c r="CQ47" t="inlineStr">
        <is>
          <t>None</t>
        </is>
      </c>
      <c r="CW47" t="inlineStr">
        <is>
          <t>None</t>
        </is>
      </c>
      <c r="DC47" t="inlineStr">
        <is>
          <t>None</t>
        </is>
      </c>
      <c r="DK47" t="b">
        <v>0</v>
      </c>
      <c r="DM47" t="inlineStr">
        <is>
          <t>None</t>
        </is>
      </c>
      <c r="EA47">
        <f>B47</f>
        <v/>
      </c>
      <c r="EB47">
        <f>D47</f>
        <v/>
      </c>
      <c r="EC47">
        <f>F47</f>
        <v/>
      </c>
      <c r="ED47">
        <f>CA47</f>
        <v/>
      </c>
      <c r="EE47">
        <f>CE47</f>
        <v/>
      </c>
      <c r="EF47">
        <f>"SummonEnemy"</f>
        <v/>
      </c>
      <c r="EG47">
        <f>H47</f>
        <v/>
      </c>
      <c r="EI47">
        <f>CI47</f>
        <v/>
      </c>
      <c r="EJ47">
        <f>CG47</f>
        <v/>
      </c>
      <c r="EK47">
        <f>CM47</f>
        <v/>
      </c>
      <c r="EL47">
        <f>CO47</f>
        <v/>
      </c>
      <c r="EM47">
        <f>CQ47</f>
        <v/>
      </c>
      <c r="EN47">
        <f>CU47</f>
        <v/>
      </c>
      <c r="EO47">
        <f>CW47</f>
        <v/>
      </c>
      <c r="EP47">
        <f>DA47</f>
        <v/>
      </c>
      <c r="EQ47">
        <f>DC47</f>
        <v/>
      </c>
      <c r="ER47">
        <f>DG47</f>
        <v/>
      </c>
      <c r="ES47">
        <f>DI47</f>
        <v/>
      </c>
      <c r="ET47">
        <f>DK47</f>
        <v/>
      </c>
      <c r="EV47">
        <f>V47</f>
        <v/>
      </c>
      <c r="EW47">
        <f>X47</f>
        <v/>
      </c>
      <c r="EX47">
        <f>AD47</f>
        <v/>
      </c>
      <c r="EY47">
        <f>AH47</f>
        <v/>
      </c>
      <c r="EZ47">
        <f>"1"</f>
        <v/>
      </c>
      <c r="FA47">
        <f>BS47</f>
        <v/>
      </c>
      <c r="FB47" t="n">
        <v>0</v>
      </c>
      <c r="FC47">
        <f>CK47</f>
        <v/>
      </c>
      <c r="FD47">
        <f>DM47</f>
        <v/>
      </c>
    </row>
    <row r="48">
      <c r="L48" t="inlineStr">
        <is>
          <t>none</t>
        </is>
      </c>
      <c r="P48" t="inlineStr">
        <is>
          <t>none</t>
        </is>
      </c>
      <c r="R48" t="inlineStr">
        <is>
          <t>none</t>
        </is>
      </c>
      <c r="T48" t="inlineStr">
        <is>
          <t>none</t>
        </is>
      </c>
      <c r="V48" t="inlineStr">
        <is>
          <t>Default</t>
        </is>
      </c>
      <c r="X48" t="inlineStr">
        <is>
          <t>Normal</t>
        </is>
      </c>
      <c r="AB48" t="inlineStr">
        <is>
          <t>none</t>
        </is>
      </c>
      <c r="AD48" t="n">
        <v>1</v>
      </c>
      <c r="AF48" t="inlineStr">
        <is>
          <t>none</t>
        </is>
      </c>
      <c r="AH48" t="n">
        <v>1</v>
      </c>
      <c r="AJ48" t="inlineStr">
        <is>
          <t>none</t>
        </is>
      </c>
      <c r="AL48" t="inlineStr">
        <is>
          <t>none</t>
        </is>
      </c>
      <c r="AN48">
        <f>iferror(AF48*(50/(AJ48+AL48)),"攻撃力に数値を入力")</f>
        <v/>
      </c>
      <c r="AP48" t="inlineStr">
        <is>
          <t>none</t>
        </is>
      </c>
      <c r="AT48" t="inlineStr">
        <is>
          <t>none</t>
        </is>
      </c>
      <c r="AY48" t="inlineStr">
        <is>
          <t>none</t>
        </is>
      </c>
      <c r="BA48" t="inlineStr">
        <is>
          <t>none</t>
        </is>
      </c>
      <c r="BC48" t="inlineStr">
        <is>
          <t>none</t>
        </is>
      </c>
      <c r="BE48" t="inlineStr">
        <is>
          <t>none</t>
        </is>
      </c>
      <c r="BG48" t="inlineStr">
        <is>
          <t>none</t>
        </is>
      </c>
      <c r="BI48" t="inlineStr">
        <is>
          <t>none</t>
        </is>
      </c>
      <c r="BK48" t="inlineStr">
        <is>
          <t>none</t>
        </is>
      </c>
      <c r="BM48" t="inlineStr">
        <is>
          <t>none</t>
        </is>
      </c>
      <c r="BO48" t="inlineStr">
        <is>
          <t>none</t>
        </is>
      </c>
      <c r="BQ48" t="inlineStr">
        <is>
          <t>none</t>
        </is>
      </c>
      <c r="CA48" t="inlineStr">
        <is>
          <t>未入力</t>
        </is>
      </c>
      <c r="CM48" t="inlineStr">
        <is>
          <t>None</t>
        </is>
      </c>
      <c r="CQ48" t="inlineStr">
        <is>
          <t>None</t>
        </is>
      </c>
      <c r="CW48" t="inlineStr">
        <is>
          <t>None</t>
        </is>
      </c>
      <c r="DC48" t="inlineStr">
        <is>
          <t>None</t>
        </is>
      </c>
      <c r="DK48" t="b">
        <v>0</v>
      </c>
      <c r="DM48" t="inlineStr">
        <is>
          <t>None</t>
        </is>
      </c>
      <c r="EA48">
        <f>B48</f>
        <v/>
      </c>
      <c r="EB48">
        <f>D48</f>
        <v/>
      </c>
      <c r="EC48">
        <f>F48</f>
        <v/>
      </c>
      <c r="ED48">
        <f>CA48</f>
        <v/>
      </c>
      <c r="EE48">
        <f>CE48</f>
        <v/>
      </c>
      <c r="EF48">
        <f>"SummonEnemy"</f>
        <v/>
      </c>
      <c r="EG48">
        <f>H48</f>
        <v/>
      </c>
      <c r="EI48">
        <f>CI48</f>
        <v/>
      </c>
      <c r="EJ48">
        <f>CG48</f>
        <v/>
      </c>
      <c r="EK48">
        <f>CM48</f>
        <v/>
      </c>
      <c r="EL48">
        <f>CO48</f>
        <v/>
      </c>
      <c r="EM48">
        <f>CQ48</f>
        <v/>
      </c>
      <c r="EN48">
        <f>CU48</f>
        <v/>
      </c>
      <c r="EO48">
        <f>CW48</f>
        <v/>
      </c>
      <c r="EP48">
        <f>DA48</f>
        <v/>
      </c>
      <c r="EQ48">
        <f>DC48</f>
        <v/>
      </c>
      <c r="ER48">
        <f>DG48</f>
        <v/>
      </c>
      <c r="ES48">
        <f>DI48</f>
        <v/>
      </c>
      <c r="ET48">
        <f>DK48</f>
        <v/>
      </c>
      <c r="EV48">
        <f>V48</f>
        <v/>
      </c>
      <c r="EW48">
        <f>X48</f>
        <v/>
      </c>
      <c r="EX48">
        <f>AD48</f>
        <v/>
      </c>
      <c r="EY48">
        <f>AH48</f>
        <v/>
      </c>
      <c r="EZ48">
        <f>"1"</f>
        <v/>
      </c>
      <c r="FA48">
        <f>BS48</f>
        <v/>
      </c>
      <c r="FB48" t="n">
        <v>0</v>
      </c>
      <c r="FC48">
        <f>CK48</f>
        <v/>
      </c>
      <c r="FD48">
        <f>DM48</f>
        <v/>
      </c>
    </row>
    <row r="49">
      <c r="L49" t="inlineStr">
        <is>
          <t>none</t>
        </is>
      </c>
      <c r="P49" t="inlineStr">
        <is>
          <t>none</t>
        </is>
      </c>
      <c r="R49" t="inlineStr">
        <is>
          <t>none</t>
        </is>
      </c>
      <c r="T49" t="inlineStr">
        <is>
          <t>none</t>
        </is>
      </c>
      <c r="V49" t="inlineStr">
        <is>
          <t>Default</t>
        </is>
      </c>
      <c r="X49" t="inlineStr">
        <is>
          <t>Normal</t>
        </is>
      </c>
      <c r="AB49" t="inlineStr">
        <is>
          <t>none</t>
        </is>
      </c>
      <c r="AD49" t="n">
        <v>1</v>
      </c>
      <c r="AF49" t="inlineStr">
        <is>
          <t>none</t>
        </is>
      </c>
      <c r="AH49" t="n">
        <v>1</v>
      </c>
      <c r="AJ49" t="inlineStr">
        <is>
          <t>none</t>
        </is>
      </c>
      <c r="AL49" t="inlineStr">
        <is>
          <t>none</t>
        </is>
      </c>
      <c r="AN49">
        <f>iferror(AF49*(50/(AJ49+AL49)),"攻撃力に数値を入力")</f>
        <v/>
      </c>
      <c r="AP49" t="inlineStr">
        <is>
          <t>none</t>
        </is>
      </c>
      <c r="AT49" t="inlineStr">
        <is>
          <t>none</t>
        </is>
      </c>
      <c r="AY49" t="inlineStr">
        <is>
          <t>none</t>
        </is>
      </c>
      <c r="BA49" t="inlineStr">
        <is>
          <t>none</t>
        </is>
      </c>
      <c r="BC49" t="inlineStr">
        <is>
          <t>none</t>
        </is>
      </c>
      <c r="BE49" t="inlineStr">
        <is>
          <t>none</t>
        </is>
      </c>
      <c r="BG49" t="inlineStr">
        <is>
          <t>none</t>
        </is>
      </c>
      <c r="BI49" t="inlineStr">
        <is>
          <t>none</t>
        </is>
      </c>
      <c r="BK49" t="inlineStr">
        <is>
          <t>none</t>
        </is>
      </c>
      <c r="BM49" t="inlineStr">
        <is>
          <t>none</t>
        </is>
      </c>
      <c r="BO49" t="inlineStr">
        <is>
          <t>none</t>
        </is>
      </c>
      <c r="BQ49" t="inlineStr">
        <is>
          <t>none</t>
        </is>
      </c>
      <c r="CA49" t="inlineStr">
        <is>
          <t>未入力</t>
        </is>
      </c>
      <c r="CM49" t="inlineStr">
        <is>
          <t>None</t>
        </is>
      </c>
      <c r="CQ49" t="inlineStr">
        <is>
          <t>None</t>
        </is>
      </c>
      <c r="CW49" t="inlineStr">
        <is>
          <t>None</t>
        </is>
      </c>
      <c r="DC49" t="inlineStr">
        <is>
          <t>None</t>
        </is>
      </c>
      <c r="DK49" t="b">
        <v>0</v>
      </c>
      <c r="DM49" t="inlineStr">
        <is>
          <t>None</t>
        </is>
      </c>
      <c r="EA49">
        <f>B49</f>
        <v/>
      </c>
      <c r="EB49">
        <f>D49</f>
        <v/>
      </c>
      <c r="EC49">
        <f>F49</f>
        <v/>
      </c>
      <c r="ED49">
        <f>CA49</f>
        <v/>
      </c>
      <c r="EE49">
        <f>CE49</f>
        <v/>
      </c>
      <c r="EF49">
        <f>"SummonEnemy"</f>
        <v/>
      </c>
      <c r="EG49">
        <f>H49</f>
        <v/>
      </c>
      <c r="EI49">
        <f>CI49</f>
        <v/>
      </c>
      <c r="EJ49">
        <f>CG49</f>
        <v/>
      </c>
      <c r="EK49">
        <f>CM49</f>
        <v/>
      </c>
      <c r="EL49">
        <f>CO49</f>
        <v/>
      </c>
      <c r="EM49">
        <f>CQ49</f>
        <v/>
      </c>
      <c r="EN49">
        <f>CU49</f>
        <v/>
      </c>
      <c r="EO49">
        <f>CW49</f>
        <v/>
      </c>
      <c r="EP49">
        <f>DA49</f>
        <v/>
      </c>
      <c r="EQ49">
        <f>DC49</f>
        <v/>
      </c>
      <c r="ER49">
        <f>DG49</f>
        <v/>
      </c>
      <c r="ES49">
        <f>DI49</f>
        <v/>
      </c>
      <c r="ET49">
        <f>DK49</f>
        <v/>
      </c>
      <c r="EV49">
        <f>V49</f>
        <v/>
      </c>
      <c r="EW49">
        <f>X49</f>
        <v/>
      </c>
      <c r="EX49">
        <f>AD49</f>
        <v/>
      </c>
      <c r="EY49">
        <f>AH49</f>
        <v/>
      </c>
      <c r="EZ49">
        <f>"1"</f>
        <v/>
      </c>
      <c r="FA49">
        <f>BS49</f>
        <v/>
      </c>
      <c r="FB49" t="n">
        <v>0</v>
      </c>
      <c r="FC49">
        <f>CK49</f>
        <v/>
      </c>
      <c r="FD49">
        <f>DM49</f>
        <v/>
      </c>
    </row>
    <row r="50">
      <c r="L50" t="inlineStr">
        <is>
          <t>none</t>
        </is>
      </c>
      <c r="P50" t="inlineStr">
        <is>
          <t>none</t>
        </is>
      </c>
      <c r="R50" t="inlineStr">
        <is>
          <t>none</t>
        </is>
      </c>
      <c r="T50" t="inlineStr">
        <is>
          <t>none</t>
        </is>
      </c>
      <c r="V50" t="inlineStr">
        <is>
          <t>Default</t>
        </is>
      </c>
      <c r="X50" t="inlineStr">
        <is>
          <t>Normal</t>
        </is>
      </c>
      <c r="AB50" t="inlineStr">
        <is>
          <t>none</t>
        </is>
      </c>
      <c r="AD50" t="n">
        <v>1</v>
      </c>
      <c r="AF50" t="inlineStr">
        <is>
          <t>none</t>
        </is>
      </c>
      <c r="AH50" t="n">
        <v>1</v>
      </c>
      <c r="AJ50" t="inlineStr">
        <is>
          <t>none</t>
        </is>
      </c>
      <c r="AL50" t="inlineStr">
        <is>
          <t>none</t>
        </is>
      </c>
      <c r="AN50">
        <f>iferror(AF50*(50/(AJ50+AL50)),"攻撃力に数値を入力")</f>
        <v/>
      </c>
      <c r="AP50" t="inlineStr">
        <is>
          <t>none</t>
        </is>
      </c>
      <c r="AT50" t="inlineStr">
        <is>
          <t>none</t>
        </is>
      </c>
      <c r="AY50" t="inlineStr">
        <is>
          <t>none</t>
        </is>
      </c>
      <c r="BA50" t="inlineStr">
        <is>
          <t>none</t>
        </is>
      </c>
      <c r="BC50" t="inlineStr">
        <is>
          <t>none</t>
        </is>
      </c>
      <c r="BE50" t="inlineStr">
        <is>
          <t>none</t>
        </is>
      </c>
      <c r="BG50" t="inlineStr">
        <is>
          <t>none</t>
        </is>
      </c>
      <c r="BI50" t="inlineStr">
        <is>
          <t>none</t>
        </is>
      </c>
      <c r="BK50" t="inlineStr">
        <is>
          <t>none</t>
        </is>
      </c>
      <c r="BM50" t="inlineStr">
        <is>
          <t>none</t>
        </is>
      </c>
      <c r="BO50" t="inlineStr">
        <is>
          <t>none</t>
        </is>
      </c>
      <c r="BQ50" t="inlineStr">
        <is>
          <t>none</t>
        </is>
      </c>
      <c r="CA50" t="inlineStr">
        <is>
          <t>未入力</t>
        </is>
      </c>
      <c r="CM50" t="inlineStr">
        <is>
          <t>None</t>
        </is>
      </c>
      <c r="CQ50" t="inlineStr">
        <is>
          <t>None</t>
        </is>
      </c>
      <c r="CW50" t="inlineStr">
        <is>
          <t>None</t>
        </is>
      </c>
      <c r="DC50" t="inlineStr">
        <is>
          <t>None</t>
        </is>
      </c>
      <c r="DK50" t="b">
        <v>0</v>
      </c>
      <c r="DM50" t="inlineStr">
        <is>
          <t>None</t>
        </is>
      </c>
      <c r="EA50">
        <f>B50</f>
        <v/>
      </c>
      <c r="EB50">
        <f>D50</f>
        <v/>
      </c>
      <c r="EC50">
        <f>F50</f>
        <v/>
      </c>
      <c r="ED50">
        <f>CA50</f>
        <v/>
      </c>
      <c r="EE50">
        <f>CE50</f>
        <v/>
      </c>
      <c r="EF50">
        <f>"SummonEnemy"</f>
        <v/>
      </c>
      <c r="EG50">
        <f>H50</f>
        <v/>
      </c>
      <c r="EI50">
        <f>CI50</f>
        <v/>
      </c>
      <c r="EJ50">
        <f>CG50</f>
        <v/>
      </c>
      <c r="EK50">
        <f>CM50</f>
        <v/>
      </c>
      <c r="EL50">
        <f>CO50</f>
        <v/>
      </c>
      <c r="EM50">
        <f>CQ50</f>
        <v/>
      </c>
      <c r="EN50">
        <f>CU50</f>
        <v/>
      </c>
      <c r="EO50">
        <f>CW50</f>
        <v/>
      </c>
      <c r="EP50">
        <f>DA50</f>
        <v/>
      </c>
      <c r="EQ50">
        <f>DC50</f>
        <v/>
      </c>
      <c r="ER50">
        <f>DG50</f>
        <v/>
      </c>
      <c r="ES50">
        <f>DI50</f>
        <v/>
      </c>
      <c r="ET50">
        <f>DK50</f>
        <v/>
      </c>
      <c r="EV50">
        <f>V50</f>
        <v/>
      </c>
      <c r="EW50">
        <f>X50</f>
        <v/>
      </c>
      <c r="EX50">
        <f>AD50</f>
        <v/>
      </c>
      <c r="EY50">
        <f>AH50</f>
        <v/>
      </c>
      <c r="EZ50">
        <f>"1"</f>
        <v/>
      </c>
      <c r="FA50">
        <f>BS50</f>
        <v/>
      </c>
      <c r="FB50" t="n">
        <v>0</v>
      </c>
      <c r="FC50">
        <f>CK50</f>
        <v/>
      </c>
      <c r="FD50">
        <f>DM50</f>
        <v/>
      </c>
    </row>
    <row r="51">
      <c r="L51" t="inlineStr">
        <is>
          <t>none</t>
        </is>
      </c>
      <c r="P51" t="inlineStr">
        <is>
          <t>none</t>
        </is>
      </c>
      <c r="R51" t="inlineStr">
        <is>
          <t>none</t>
        </is>
      </c>
      <c r="T51" t="inlineStr">
        <is>
          <t>none</t>
        </is>
      </c>
      <c r="V51" t="inlineStr">
        <is>
          <t>Default</t>
        </is>
      </c>
      <c r="X51" t="inlineStr">
        <is>
          <t>Normal</t>
        </is>
      </c>
      <c r="AB51" t="inlineStr">
        <is>
          <t>none</t>
        </is>
      </c>
      <c r="AD51" t="n">
        <v>1</v>
      </c>
      <c r="AF51" t="inlineStr">
        <is>
          <t>none</t>
        </is>
      </c>
      <c r="AH51" t="n">
        <v>1</v>
      </c>
      <c r="AJ51" t="inlineStr">
        <is>
          <t>none</t>
        </is>
      </c>
      <c r="AL51" t="inlineStr">
        <is>
          <t>none</t>
        </is>
      </c>
      <c r="AN51">
        <f>iferror(AF51*(50/(AJ51+AL51)),"攻撃力に数値を入力")</f>
        <v/>
      </c>
      <c r="AP51" t="inlineStr">
        <is>
          <t>none</t>
        </is>
      </c>
      <c r="AT51" t="inlineStr">
        <is>
          <t>none</t>
        </is>
      </c>
      <c r="AY51" t="inlineStr">
        <is>
          <t>none</t>
        </is>
      </c>
      <c r="BA51" t="inlineStr">
        <is>
          <t>none</t>
        </is>
      </c>
      <c r="BC51" t="inlineStr">
        <is>
          <t>none</t>
        </is>
      </c>
      <c r="BE51" t="inlineStr">
        <is>
          <t>none</t>
        </is>
      </c>
      <c r="BG51" t="inlineStr">
        <is>
          <t>none</t>
        </is>
      </c>
      <c r="BI51" t="inlineStr">
        <is>
          <t>none</t>
        </is>
      </c>
      <c r="BK51" t="inlineStr">
        <is>
          <t>none</t>
        </is>
      </c>
      <c r="BM51" t="inlineStr">
        <is>
          <t>none</t>
        </is>
      </c>
      <c r="BO51" t="inlineStr">
        <is>
          <t>none</t>
        </is>
      </c>
      <c r="BQ51" t="inlineStr">
        <is>
          <t>none</t>
        </is>
      </c>
      <c r="CA51" t="inlineStr">
        <is>
          <t>未入力</t>
        </is>
      </c>
      <c r="CM51" t="inlineStr">
        <is>
          <t>None</t>
        </is>
      </c>
      <c r="CQ51" t="inlineStr">
        <is>
          <t>None</t>
        </is>
      </c>
      <c r="CW51" t="inlineStr">
        <is>
          <t>None</t>
        </is>
      </c>
      <c r="DC51" t="inlineStr">
        <is>
          <t>None</t>
        </is>
      </c>
      <c r="DK51" t="b">
        <v>0</v>
      </c>
      <c r="DM51" t="inlineStr">
        <is>
          <t>None</t>
        </is>
      </c>
      <c r="EA51">
        <f>B51</f>
        <v/>
      </c>
      <c r="EB51">
        <f>D51</f>
        <v/>
      </c>
      <c r="EC51">
        <f>F51</f>
        <v/>
      </c>
      <c r="ED51">
        <f>CA51</f>
        <v/>
      </c>
      <c r="EE51">
        <f>CE51</f>
        <v/>
      </c>
      <c r="EF51">
        <f>"SummonEnemy"</f>
        <v/>
      </c>
      <c r="EG51">
        <f>H51</f>
        <v/>
      </c>
      <c r="EI51">
        <f>CI51</f>
        <v/>
      </c>
      <c r="EJ51">
        <f>CG51</f>
        <v/>
      </c>
      <c r="EK51">
        <f>CM51</f>
        <v/>
      </c>
      <c r="EL51">
        <f>CO51</f>
        <v/>
      </c>
      <c r="EM51">
        <f>CQ51</f>
        <v/>
      </c>
      <c r="EN51">
        <f>CU51</f>
        <v/>
      </c>
      <c r="EO51">
        <f>CW51</f>
        <v/>
      </c>
      <c r="EP51">
        <f>DA51</f>
        <v/>
      </c>
      <c r="EQ51">
        <f>DC51</f>
        <v/>
      </c>
      <c r="ER51">
        <f>DG51</f>
        <v/>
      </c>
      <c r="ES51">
        <f>DI51</f>
        <v/>
      </c>
      <c r="ET51">
        <f>DK51</f>
        <v/>
      </c>
      <c r="EV51">
        <f>V51</f>
        <v/>
      </c>
      <c r="EW51">
        <f>X51</f>
        <v/>
      </c>
      <c r="EX51">
        <f>AD51</f>
        <v/>
      </c>
      <c r="EY51">
        <f>AH51</f>
        <v/>
      </c>
      <c r="EZ51">
        <f>"1"</f>
        <v/>
      </c>
      <c r="FA51">
        <f>BS51</f>
        <v/>
      </c>
      <c r="FB51" t="n">
        <v>0</v>
      </c>
      <c r="FC51">
        <f>CK51</f>
        <v/>
      </c>
      <c r="FD51">
        <f>DM51</f>
        <v/>
      </c>
    </row>
    <row r="52">
      <c r="L52" t="inlineStr">
        <is>
          <t>none</t>
        </is>
      </c>
      <c r="P52" t="inlineStr">
        <is>
          <t>none</t>
        </is>
      </c>
      <c r="R52" t="inlineStr">
        <is>
          <t>none</t>
        </is>
      </c>
      <c r="T52" t="inlineStr">
        <is>
          <t>none</t>
        </is>
      </c>
      <c r="V52" t="inlineStr">
        <is>
          <t>Default</t>
        </is>
      </c>
      <c r="X52" t="inlineStr">
        <is>
          <t>Normal</t>
        </is>
      </c>
      <c r="AB52" t="inlineStr">
        <is>
          <t>none</t>
        </is>
      </c>
      <c r="AD52" t="n">
        <v>1</v>
      </c>
      <c r="AF52" t="inlineStr">
        <is>
          <t>none</t>
        </is>
      </c>
      <c r="AH52" t="n">
        <v>1</v>
      </c>
      <c r="AJ52" t="inlineStr">
        <is>
          <t>none</t>
        </is>
      </c>
      <c r="AL52" t="inlineStr">
        <is>
          <t>none</t>
        </is>
      </c>
      <c r="AN52">
        <f>iferror(AF52*(50/(AJ52+AL52)),"攻撃力に数値を入力")</f>
        <v/>
      </c>
      <c r="AP52" t="inlineStr">
        <is>
          <t>none</t>
        </is>
      </c>
      <c r="AT52" t="inlineStr">
        <is>
          <t>none</t>
        </is>
      </c>
      <c r="AY52" t="inlineStr">
        <is>
          <t>none</t>
        </is>
      </c>
      <c r="BA52" t="inlineStr">
        <is>
          <t>none</t>
        </is>
      </c>
      <c r="BC52" t="inlineStr">
        <is>
          <t>none</t>
        </is>
      </c>
      <c r="BE52" t="inlineStr">
        <is>
          <t>none</t>
        </is>
      </c>
      <c r="BG52" t="inlineStr">
        <is>
          <t>none</t>
        </is>
      </c>
      <c r="BI52" t="inlineStr">
        <is>
          <t>none</t>
        </is>
      </c>
      <c r="BK52" t="inlineStr">
        <is>
          <t>none</t>
        </is>
      </c>
      <c r="BM52" t="inlineStr">
        <is>
          <t>none</t>
        </is>
      </c>
      <c r="BO52" t="inlineStr">
        <is>
          <t>none</t>
        </is>
      </c>
      <c r="BQ52" t="inlineStr">
        <is>
          <t>none</t>
        </is>
      </c>
      <c r="CA52" t="inlineStr">
        <is>
          <t>未入力</t>
        </is>
      </c>
      <c r="CM52" t="inlineStr">
        <is>
          <t>None</t>
        </is>
      </c>
      <c r="CQ52" t="inlineStr">
        <is>
          <t>None</t>
        </is>
      </c>
      <c r="CW52" t="inlineStr">
        <is>
          <t>None</t>
        </is>
      </c>
      <c r="DC52" t="inlineStr">
        <is>
          <t>None</t>
        </is>
      </c>
      <c r="DK52" t="b">
        <v>0</v>
      </c>
      <c r="DM52" t="inlineStr">
        <is>
          <t>None</t>
        </is>
      </c>
      <c r="EA52">
        <f>B52</f>
        <v/>
      </c>
      <c r="EB52">
        <f>D52</f>
        <v/>
      </c>
      <c r="EC52">
        <f>F52</f>
        <v/>
      </c>
      <c r="ED52">
        <f>CA52</f>
        <v/>
      </c>
      <c r="EE52">
        <f>CE52</f>
        <v/>
      </c>
      <c r="EF52">
        <f>"SummonEnemy"</f>
        <v/>
      </c>
      <c r="EG52">
        <f>H52</f>
        <v/>
      </c>
      <c r="EI52">
        <f>CI52</f>
        <v/>
      </c>
      <c r="EJ52">
        <f>CG52</f>
        <v/>
      </c>
      <c r="EK52">
        <f>CM52</f>
        <v/>
      </c>
      <c r="EL52">
        <f>CO52</f>
        <v/>
      </c>
      <c r="EM52">
        <f>CQ52</f>
        <v/>
      </c>
      <c r="EN52">
        <f>CU52</f>
        <v/>
      </c>
      <c r="EO52">
        <f>CW52</f>
        <v/>
      </c>
      <c r="EP52">
        <f>DA52</f>
        <v/>
      </c>
      <c r="EQ52">
        <f>DC52</f>
        <v/>
      </c>
      <c r="ER52">
        <f>DG52</f>
        <v/>
      </c>
      <c r="ES52">
        <f>DI52</f>
        <v/>
      </c>
      <c r="ET52">
        <f>DK52</f>
        <v/>
      </c>
      <c r="EV52">
        <f>V52</f>
        <v/>
      </c>
      <c r="EW52">
        <f>X52</f>
        <v/>
      </c>
      <c r="EX52">
        <f>AD52</f>
        <v/>
      </c>
      <c r="EY52">
        <f>AH52</f>
        <v/>
      </c>
      <c r="EZ52">
        <f>"1"</f>
        <v/>
      </c>
      <c r="FA52">
        <f>BS52</f>
        <v/>
      </c>
      <c r="FB52" t="n">
        <v>0</v>
      </c>
      <c r="FC52">
        <f>CK52</f>
        <v/>
      </c>
      <c r="FD52">
        <f>DM52</f>
        <v/>
      </c>
    </row>
    <row r="53">
      <c r="L53" t="inlineStr">
        <is>
          <t>none</t>
        </is>
      </c>
      <c r="P53" t="inlineStr">
        <is>
          <t>none</t>
        </is>
      </c>
      <c r="R53" t="inlineStr">
        <is>
          <t>none</t>
        </is>
      </c>
      <c r="T53" t="inlineStr">
        <is>
          <t>none</t>
        </is>
      </c>
      <c r="V53" t="inlineStr">
        <is>
          <t>Default</t>
        </is>
      </c>
      <c r="X53" t="inlineStr">
        <is>
          <t>Normal</t>
        </is>
      </c>
      <c r="AB53" t="inlineStr">
        <is>
          <t>none</t>
        </is>
      </c>
      <c r="AD53" t="n">
        <v>1</v>
      </c>
      <c r="AF53" t="inlineStr">
        <is>
          <t>none</t>
        </is>
      </c>
      <c r="AH53" t="n">
        <v>1</v>
      </c>
      <c r="AJ53" t="inlineStr">
        <is>
          <t>none</t>
        </is>
      </c>
      <c r="AL53" t="inlineStr">
        <is>
          <t>none</t>
        </is>
      </c>
      <c r="AN53">
        <f>iferror(AF53*(50/(AJ53+AL53)),"攻撃力に数値を入力")</f>
        <v/>
      </c>
      <c r="AP53" t="inlineStr">
        <is>
          <t>none</t>
        </is>
      </c>
      <c r="AT53" t="inlineStr">
        <is>
          <t>none</t>
        </is>
      </c>
      <c r="AY53" t="inlineStr">
        <is>
          <t>none</t>
        </is>
      </c>
      <c r="BA53" t="inlineStr">
        <is>
          <t>none</t>
        </is>
      </c>
      <c r="BC53" t="inlineStr">
        <is>
          <t>none</t>
        </is>
      </c>
      <c r="BE53" t="inlineStr">
        <is>
          <t>none</t>
        </is>
      </c>
      <c r="BG53" t="inlineStr">
        <is>
          <t>none</t>
        </is>
      </c>
      <c r="BI53" t="inlineStr">
        <is>
          <t>none</t>
        </is>
      </c>
      <c r="BK53" t="inlineStr">
        <is>
          <t>none</t>
        </is>
      </c>
      <c r="BM53" t="inlineStr">
        <is>
          <t>none</t>
        </is>
      </c>
      <c r="BO53" t="inlineStr">
        <is>
          <t>none</t>
        </is>
      </c>
      <c r="BQ53" t="inlineStr">
        <is>
          <t>none</t>
        </is>
      </c>
      <c r="CA53" t="inlineStr">
        <is>
          <t>未入力</t>
        </is>
      </c>
      <c r="CM53" t="inlineStr">
        <is>
          <t>None</t>
        </is>
      </c>
      <c r="CQ53" t="inlineStr">
        <is>
          <t>None</t>
        </is>
      </c>
      <c r="CW53" t="inlineStr">
        <is>
          <t>None</t>
        </is>
      </c>
      <c r="DC53" t="inlineStr">
        <is>
          <t>None</t>
        </is>
      </c>
      <c r="DK53" t="b">
        <v>0</v>
      </c>
      <c r="DM53" t="inlineStr">
        <is>
          <t>None</t>
        </is>
      </c>
      <c r="EA53">
        <f>B53</f>
        <v/>
      </c>
      <c r="EB53">
        <f>D53</f>
        <v/>
      </c>
      <c r="EC53">
        <f>F53</f>
        <v/>
      </c>
      <c r="ED53">
        <f>CA53</f>
        <v/>
      </c>
      <c r="EE53">
        <f>CE53</f>
        <v/>
      </c>
      <c r="EF53">
        <f>"SummonEnemy"</f>
        <v/>
      </c>
      <c r="EG53">
        <f>H53</f>
        <v/>
      </c>
      <c r="EI53">
        <f>CI53</f>
        <v/>
      </c>
      <c r="EJ53">
        <f>CG53</f>
        <v/>
      </c>
      <c r="EK53">
        <f>CM53</f>
        <v/>
      </c>
      <c r="EL53">
        <f>CO53</f>
        <v/>
      </c>
      <c r="EM53">
        <f>CQ53</f>
        <v/>
      </c>
      <c r="EN53">
        <f>CU53</f>
        <v/>
      </c>
      <c r="EO53">
        <f>CW53</f>
        <v/>
      </c>
      <c r="EP53">
        <f>DA53</f>
        <v/>
      </c>
      <c r="EQ53">
        <f>DC53</f>
        <v/>
      </c>
      <c r="ER53">
        <f>DG53</f>
        <v/>
      </c>
      <c r="ES53">
        <f>DI53</f>
        <v/>
      </c>
      <c r="ET53">
        <f>DK53</f>
        <v/>
      </c>
      <c r="EV53">
        <f>V53</f>
        <v/>
      </c>
      <c r="EW53">
        <f>X53</f>
        <v/>
      </c>
      <c r="EX53">
        <f>AD53</f>
        <v/>
      </c>
      <c r="EY53">
        <f>AH53</f>
        <v/>
      </c>
      <c r="EZ53">
        <f>"1"</f>
        <v/>
      </c>
      <c r="FA53">
        <f>BS53</f>
        <v/>
      </c>
      <c r="FB53" t="n">
        <v>0</v>
      </c>
      <c r="FC53">
        <f>CK53</f>
        <v/>
      </c>
      <c r="FD53">
        <f>DM53</f>
        <v/>
      </c>
    </row>
    <row r="54">
      <c r="L54" t="inlineStr">
        <is>
          <t>none</t>
        </is>
      </c>
      <c r="P54" t="inlineStr">
        <is>
          <t>none</t>
        </is>
      </c>
      <c r="R54" t="inlineStr">
        <is>
          <t>none</t>
        </is>
      </c>
      <c r="T54" t="inlineStr">
        <is>
          <t>none</t>
        </is>
      </c>
      <c r="V54" t="inlineStr">
        <is>
          <t>Default</t>
        </is>
      </c>
      <c r="X54" t="inlineStr">
        <is>
          <t>Normal</t>
        </is>
      </c>
      <c r="AB54" t="inlineStr">
        <is>
          <t>none</t>
        </is>
      </c>
      <c r="AD54" t="n">
        <v>1</v>
      </c>
      <c r="AF54" t="inlineStr">
        <is>
          <t>none</t>
        </is>
      </c>
      <c r="AH54" t="n">
        <v>1</v>
      </c>
      <c r="AJ54" t="inlineStr">
        <is>
          <t>none</t>
        </is>
      </c>
      <c r="AL54" t="inlineStr">
        <is>
          <t>none</t>
        </is>
      </c>
      <c r="AN54">
        <f>iferror(AF54*(50/(AJ54+AL54)),"攻撃力に数値を入力")</f>
        <v/>
      </c>
      <c r="AP54" t="inlineStr">
        <is>
          <t>none</t>
        </is>
      </c>
      <c r="AT54" t="inlineStr">
        <is>
          <t>none</t>
        </is>
      </c>
      <c r="AY54" t="inlineStr">
        <is>
          <t>none</t>
        </is>
      </c>
      <c r="BA54" t="inlineStr">
        <is>
          <t>none</t>
        </is>
      </c>
      <c r="BC54" t="inlineStr">
        <is>
          <t>none</t>
        </is>
      </c>
      <c r="BE54" t="inlineStr">
        <is>
          <t>none</t>
        </is>
      </c>
      <c r="BG54" t="inlineStr">
        <is>
          <t>none</t>
        </is>
      </c>
      <c r="BI54" t="inlineStr">
        <is>
          <t>none</t>
        </is>
      </c>
      <c r="BK54" t="inlineStr">
        <is>
          <t>none</t>
        </is>
      </c>
      <c r="BM54" t="inlineStr">
        <is>
          <t>none</t>
        </is>
      </c>
      <c r="BO54" t="inlineStr">
        <is>
          <t>none</t>
        </is>
      </c>
      <c r="BQ54" t="inlineStr">
        <is>
          <t>none</t>
        </is>
      </c>
      <c r="CA54" t="inlineStr">
        <is>
          <t>未入力</t>
        </is>
      </c>
      <c r="CM54" t="inlineStr">
        <is>
          <t>None</t>
        </is>
      </c>
      <c r="CQ54" t="inlineStr">
        <is>
          <t>None</t>
        </is>
      </c>
      <c r="CW54" t="inlineStr">
        <is>
          <t>None</t>
        </is>
      </c>
      <c r="DC54" t="inlineStr">
        <is>
          <t>None</t>
        </is>
      </c>
      <c r="DK54" t="b">
        <v>0</v>
      </c>
      <c r="DM54" t="inlineStr">
        <is>
          <t>None</t>
        </is>
      </c>
      <c r="EA54">
        <f>B54</f>
        <v/>
      </c>
      <c r="EB54">
        <f>D54</f>
        <v/>
      </c>
      <c r="EC54">
        <f>F54</f>
        <v/>
      </c>
      <c r="ED54">
        <f>CA54</f>
        <v/>
      </c>
      <c r="EE54">
        <f>CE54</f>
        <v/>
      </c>
      <c r="EF54">
        <f>"SummonEnemy"</f>
        <v/>
      </c>
      <c r="EG54">
        <f>H54</f>
        <v/>
      </c>
      <c r="EI54">
        <f>CI54</f>
        <v/>
      </c>
      <c r="EJ54">
        <f>CG54</f>
        <v/>
      </c>
      <c r="EK54">
        <f>CM54</f>
        <v/>
      </c>
      <c r="EL54">
        <f>CO54</f>
        <v/>
      </c>
      <c r="EM54">
        <f>CQ54</f>
        <v/>
      </c>
      <c r="EN54">
        <f>CU54</f>
        <v/>
      </c>
      <c r="EO54">
        <f>CW54</f>
        <v/>
      </c>
      <c r="EP54">
        <f>DA54</f>
        <v/>
      </c>
      <c r="EQ54">
        <f>DC54</f>
        <v/>
      </c>
      <c r="ER54">
        <f>DG54</f>
        <v/>
      </c>
      <c r="ES54">
        <f>DI54</f>
        <v/>
      </c>
      <c r="ET54">
        <f>DK54</f>
        <v/>
      </c>
      <c r="EV54">
        <f>V54</f>
        <v/>
      </c>
      <c r="EW54">
        <f>X54</f>
        <v/>
      </c>
      <c r="EX54">
        <f>AD54</f>
        <v/>
      </c>
      <c r="EY54">
        <f>AH54</f>
        <v/>
      </c>
      <c r="EZ54">
        <f>"1"</f>
        <v/>
      </c>
      <c r="FA54">
        <f>BS54</f>
        <v/>
      </c>
      <c r="FB54" t="n">
        <v>0</v>
      </c>
      <c r="FC54">
        <f>CK54</f>
        <v/>
      </c>
      <c r="FD54">
        <f>DM54</f>
        <v/>
      </c>
    </row>
    <row r="55">
      <c r="L55" t="inlineStr">
        <is>
          <t>none</t>
        </is>
      </c>
      <c r="P55" t="inlineStr">
        <is>
          <t>none</t>
        </is>
      </c>
      <c r="R55" t="inlineStr">
        <is>
          <t>none</t>
        </is>
      </c>
      <c r="T55" t="inlineStr">
        <is>
          <t>none</t>
        </is>
      </c>
      <c r="V55" t="inlineStr">
        <is>
          <t>Default</t>
        </is>
      </c>
      <c r="X55" t="inlineStr">
        <is>
          <t>Normal</t>
        </is>
      </c>
      <c r="AB55" t="inlineStr">
        <is>
          <t>none</t>
        </is>
      </c>
      <c r="AD55" t="n">
        <v>1</v>
      </c>
      <c r="AF55" t="inlineStr">
        <is>
          <t>none</t>
        </is>
      </c>
      <c r="AH55" t="n">
        <v>1</v>
      </c>
      <c r="AJ55" t="inlineStr">
        <is>
          <t>none</t>
        </is>
      </c>
      <c r="AL55" t="inlineStr">
        <is>
          <t>none</t>
        </is>
      </c>
      <c r="AN55">
        <f>iferror(AF55*(50/(AJ55+AL55)),"攻撃力に数値を入力")</f>
        <v/>
      </c>
      <c r="AP55" t="inlineStr">
        <is>
          <t>none</t>
        </is>
      </c>
      <c r="AT55" t="inlineStr">
        <is>
          <t>none</t>
        </is>
      </c>
      <c r="AY55" t="inlineStr">
        <is>
          <t>none</t>
        </is>
      </c>
      <c r="BA55" t="inlineStr">
        <is>
          <t>none</t>
        </is>
      </c>
      <c r="BC55" t="inlineStr">
        <is>
          <t>none</t>
        </is>
      </c>
      <c r="BE55" t="inlineStr">
        <is>
          <t>none</t>
        </is>
      </c>
      <c r="BG55" t="inlineStr">
        <is>
          <t>none</t>
        </is>
      </c>
      <c r="BI55" t="inlineStr">
        <is>
          <t>none</t>
        </is>
      </c>
      <c r="BK55" t="inlineStr">
        <is>
          <t>none</t>
        </is>
      </c>
      <c r="BM55" t="inlineStr">
        <is>
          <t>none</t>
        </is>
      </c>
      <c r="BO55" t="inlineStr">
        <is>
          <t>none</t>
        </is>
      </c>
      <c r="BQ55" t="inlineStr">
        <is>
          <t>none</t>
        </is>
      </c>
      <c r="CA55" t="inlineStr">
        <is>
          <t>未入力</t>
        </is>
      </c>
      <c r="CM55" t="inlineStr">
        <is>
          <t>None</t>
        </is>
      </c>
      <c r="CQ55" t="inlineStr">
        <is>
          <t>None</t>
        </is>
      </c>
      <c r="CW55" t="inlineStr">
        <is>
          <t>None</t>
        </is>
      </c>
      <c r="DC55" t="inlineStr">
        <is>
          <t>None</t>
        </is>
      </c>
      <c r="DK55" t="b">
        <v>0</v>
      </c>
      <c r="DM55" t="inlineStr">
        <is>
          <t>None</t>
        </is>
      </c>
      <c r="EA55">
        <f>B55</f>
        <v/>
      </c>
      <c r="EB55">
        <f>D55</f>
        <v/>
      </c>
      <c r="EC55">
        <f>F55</f>
        <v/>
      </c>
      <c r="ED55">
        <f>CA55</f>
        <v/>
      </c>
      <c r="EE55">
        <f>CE55</f>
        <v/>
      </c>
      <c r="EF55">
        <f>"SummonEnemy"</f>
        <v/>
      </c>
      <c r="EG55">
        <f>H55</f>
        <v/>
      </c>
      <c r="EI55">
        <f>CI55</f>
        <v/>
      </c>
      <c r="EJ55">
        <f>CG55</f>
        <v/>
      </c>
      <c r="EK55">
        <f>CM55</f>
        <v/>
      </c>
      <c r="EL55">
        <f>CO55</f>
        <v/>
      </c>
      <c r="EM55">
        <f>CQ55</f>
        <v/>
      </c>
      <c r="EN55">
        <f>CU55</f>
        <v/>
      </c>
      <c r="EO55">
        <f>CW55</f>
        <v/>
      </c>
      <c r="EP55">
        <f>DA55</f>
        <v/>
      </c>
      <c r="EQ55">
        <f>DC55</f>
        <v/>
      </c>
      <c r="ER55">
        <f>DG55</f>
        <v/>
      </c>
      <c r="ES55">
        <f>DI55</f>
        <v/>
      </c>
      <c r="ET55">
        <f>DK55</f>
        <v/>
      </c>
      <c r="EV55">
        <f>V55</f>
        <v/>
      </c>
      <c r="EW55">
        <f>X55</f>
        <v/>
      </c>
      <c r="EX55">
        <f>AD55</f>
        <v/>
      </c>
      <c r="EY55">
        <f>AH55</f>
        <v/>
      </c>
      <c r="EZ55">
        <f>"1"</f>
        <v/>
      </c>
      <c r="FA55">
        <f>BS55</f>
        <v/>
      </c>
      <c r="FB55" t="n">
        <v>0</v>
      </c>
      <c r="FC55">
        <f>CK55</f>
        <v/>
      </c>
      <c r="FD55">
        <f>DM55</f>
        <v/>
      </c>
    </row>
    <row r="56">
      <c r="L56" t="inlineStr">
        <is>
          <t>none</t>
        </is>
      </c>
      <c r="P56" t="inlineStr">
        <is>
          <t>none</t>
        </is>
      </c>
      <c r="R56" t="inlineStr">
        <is>
          <t>none</t>
        </is>
      </c>
      <c r="T56" t="inlineStr">
        <is>
          <t>none</t>
        </is>
      </c>
      <c r="V56" t="inlineStr">
        <is>
          <t>Default</t>
        </is>
      </c>
      <c r="X56" t="inlineStr">
        <is>
          <t>Normal</t>
        </is>
      </c>
      <c r="AB56" t="inlineStr">
        <is>
          <t>none</t>
        </is>
      </c>
      <c r="AD56" t="n">
        <v>1</v>
      </c>
      <c r="AF56" t="inlineStr">
        <is>
          <t>none</t>
        </is>
      </c>
      <c r="AH56" t="n">
        <v>1</v>
      </c>
      <c r="AJ56" t="inlineStr">
        <is>
          <t>none</t>
        </is>
      </c>
      <c r="AL56" t="inlineStr">
        <is>
          <t>none</t>
        </is>
      </c>
      <c r="AN56">
        <f>iferror(AF56*(50/(AJ56+AL56)),"攻撃力に数値を入力")</f>
        <v/>
      </c>
      <c r="AP56" t="inlineStr">
        <is>
          <t>none</t>
        </is>
      </c>
      <c r="AT56" t="inlineStr">
        <is>
          <t>none</t>
        </is>
      </c>
      <c r="AY56" t="inlineStr">
        <is>
          <t>none</t>
        </is>
      </c>
      <c r="BA56" t="inlineStr">
        <is>
          <t>none</t>
        </is>
      </c>
      <c r="BC56" t="inlineStr">
        <is>
          <t>none</t>
        </is>
      </c>
      <c r="BE56" t="inlineStr">
        <is>
          <t>none</t>
        </is>
      </c>
      <c r="BG56" t="inlineStr">
        <is>
          <t>none</t>
        </is>
      </c>
      <c r="BI56" t="inlineStr">
        <is>
          <t>none</t>
        </is>
      </c>
      <c r="BK56" t="inlineStr">
        <is>
          <t>none</t>
        </is>
      </c>
      <c r="BM56" t="inlineStr">
        <is>
          <t>none</t>
        </is>
      </c>
      <c r="BO56" t="inlineStr">
        <is>
          <t>none</t>
        </is>
      </c>
      <c r="BQ56" t="inlineStr">
        <is>
          <t>none</t>
        </is>
      </c>
      <c r="CA56" t="inlineStr">
        <is>
          <t>未入力</t>
        </is>
      </c>
      <c r="CM56" t="inlineStr">
        <is>
          <t>None</t>
        </is>
      </c>
      <c r="CQ56" t="inlineStr">
        <is>
          <t>None</t>
        </is>
      </c>
      <c r="CW56" t="inlineStr">
        <is>
          <t>None</t>
        </is>
      </c>
      <c r="DC56" t="inlineStr">
        <is>
          <t>None</t>
        </is>
      </c>
      <c r="DK56" t="b">
        <v>0</v>
      </c>
      <c r="DM56" t="inlineStr">
        <is>
          <t>None</t>
        </is>
      </c>
      <c r="EA56">
        <f>B56</f>
        <v/>
      </c>
      <c r="EB56">
        <f>D56</f>
        <v/>
      </c>
      <c r="EC56">
        <f>F56</f>
        <v/>
      </c>
      <c r="ED56">
        <f>CA56</f>
        <v/>
      </c>
      <c r="EE56">
        <f>CE56</f>
        <v/>
      </c>
      <c r="EF56">
        <f>"SummonEnemy"</f>
        <v/>
      </c>
      <c r="EG56">
        <f>H56</f>
        <v/>
      </c>
      <c r="EI56">
        <f>CI56</f>
        <v/>
      </c>
      <c r="EJ56">
        <f>CG56</f>
        <v/>
      </c>
      <c r="EK56">
        <f>CM56</f>
        <v/>
      </c>
      <c r="EL56">
        <f>CO56</f>
        <v/>
      </c>
      <c r="EM56">
        <f>CQ56</f>
        <v/>
      </c>
      <c r="EN56">
        <f>CU56</f>
        <v/>
      </c>
      <c r="EO56">
        <f>CW56</f>
        <v/>
      </c>
      <c r="EP56">
        <f>DA56</f>
        <v/>
      </c>
      <c r="EQ56">
        <f>DC56</f>
        <v/>
      </c>
      <c r="ER56">
        <f>DG56</f>
        <v/>
      </c>
      <c r="ES56">
        <f>DI56</f>
        <v/>
      </c>
      <c r="ET56">
        <f>DK56</f>
        <v/>
      </c>
      <c r="EV56">
        <f>V56</f>
        <v/>
      </c>
      <c r="EW56">
        <f>X56</f>
        <v/>
      </c>
      <c r="EX56">
        <f>AD56</f>
        <v/>
      </c>
      <c r="EY56">
        <f>AH56</f>
        <v/>
      </c>
      <c r="EZ56">
        <f>"1"</f>
        <v/>
      </c>
      <c r="FA56">
        <f>BS56</f>
        <v/>
      </c>
      <c r="FB56" t="n">
        <v>0</v>
      </c>
      <c r="FC56">
        <f>CK56</f>
        <v/>
      </c>
      <c r="FD56">
        <f>DM56</f>
        <v/>
      </c>
    </row>
    <row r="57">
      <c r="L57" t="inlineStr">
        <is>
          <t>none</t>
        </is>
      </c>
      <c r="P57" t="inlineStr">
        <is>
          <t>none</t>
        </is>
      </c>
      <c r="R57" t="inlineStr">
        <is>
          <t>none</t>
        </is>
      </c>
      <c r="T57" t="inlineStr">
        <is>
          <t>none</t>
        </is>
      </c>
      <c r="V57" t="inlineStr">
        <is>
          <t>Default</t>
        </is>
      </c>
      <c r="X57" t="inlineStr">
        <is>
          <t>Normal</t>
        </is>
      </c>
      <c r="AB57" t="inlineStr">
        <is>
          <t>none</t>
        </is>
      </c>
      <c r="AD57" t="n">
        <v>1</v>
      </c>
      <c r="AF57" t="inlineStr">
        <is>
          <t>none</t>
        </is>
      </c>
      <c r="AH57" t="n">
        <v>1</v>
      </c>
      <c r="AJ57" t="inlineStr">
        <is>
          <t>none</t>
        </is>
      </c>
      <c r="AL57" t="inlineStr">
        <is>
          <t>none</t>
        </is>
      </c>
      <c r="AN57">
        <f>iferror(AF57*(50/(AJ57+AL57)),"攻撃力に数値を入力")</f>
        <v/>
      </c>
      <c r="AP57" t="inlineStr">
        <is>
          <t>none</t>
        </is>
      </c>
      <c r="AT57" t="inlineStr">
        <is>
          <t>none</t>
        </is>
      </c>
      <c r="AY57" t="inlineStr">
        <is>
          <t>none</t>
        </is>
      </c>
      <c r="BA57" t="inlineStr">
        <is>
          <t>none</t>
        </is>
      </c>
      <c r="BC57" t="inlineStr">
        <is>
          <t>none</t>
        </is>
      </c>
      <c r="BE57" t="inlineStr">
        <is>
          <t>none</t>
        </is>
      </c>
      <c r="BG57" t="inlineStr">
        <is>
          <t>none</t>
        </is>
      </c>
      <c r="BI57" t="inlineStr">
        <is>
          <t>none</t>
        </is>
      </c>
      <c r="BK57" t="inlineStr">
        <is>
          <t>none</t>
        </is>
      </c>
      <c r="BM57" t="inlineStr">
        <is>
          <t>none</t>
        </is>
      </c>
      <c r="BO57" t="inlineStr">
        <is>
          <t>none</t>
        </is>
      </c>
      <c r="BQ57" t="inlineStr">
        <is>
          <t>none</t>
        </is>
      </c>
      <c r="CA57" t="inlineStr">
        <is>
          <t>未入力</t>
        </is>
      </c>
      <c r="CM57" t="inlineStr">
        <is>
          <t>None</t>
        </is>
      </c>
      <c r="CQ57" t="inlineStr">
        <is>
          <t>None</t>
        </is>
      </c>
      <c r="CW57" t="inlineStr">
        <is>
          <t>None</t>
        </is>
      </c>
      <c r="DC57" t="inlineStr">
        <is>
          <t>None</t>
        </is>
      </c>
      <c r="DK57" t="b">
        <v>0</v>
      </c>
      <c r="DM57" t="inlineStr">
        <is>
          <t>None</t>
        </is>
      </c>
      <c r="EA57">
        <f>B57</f>
        <v/>
      </c>
      <c r="EB57">
        <f>D57</f>
        <v/>
      </c>
      <c r="EC57">
        <f>F57</f>
        <v/>
      </c>
      <c r="ED57">
        <f>CA57</f>
        <v/>
      </c>
      <c r="EE57">
        <f>CE57</f>
        <v/>
      </c>
      <c r="EF57">
        <f>"SummonEnemy"</f>
        <v/>
      </c>
      <c r="EG57">
        <f>H57</f>
        <v/>
      </c>
      <c r="EI57">
        <f>CI57</f>
        <v/>
      </c>
      <c r="EJ57">
        <f>CG57</f>
        <v/>
      </c>
      <c r="EK57">
        <f>CM57</f>
        <v/>
      </c>
      <c r="EL57">
        <f>CO57</f>
        <v/>
      </c>
      <c r="EM57">
        <f>CQ57</f>
        <v/>
      </c>
      <c r="EN57">
        <f>CU57</f>
        <v/>
      </c>
      <c r="EO57">
        <f>CW57</f>
        <v/>
      </c>
      <c r="EP57">
        <f>DA57</f>
        <v/>
      </c>
      <c r="EQ57">
        <f>DC57</f>
        <v/>
      </c>
      <c r="ER57">
        <f>DG57</f>
        <v/>
      </c>
      <c r="ES57">
        <f>DI57</f>
        <v/>
      </c>
      <c r="ET57">
        <f>DK57</f>
        <v/>
      </c>
      <c r="EV57">
        <f>V57</f>
        <v/>
      </c>
      <c r="EW57">
        <f>X57</f>
        <v/>
      </c>
      <c r="EX57">
        <f>AD57</f>
        <v/>
      </c>
      <c r="EY57">
        <f>AH57</f>
        <v/>
      </c>
      <c r="EZ57">
        <f>"1"</f>
        <v/>
      </c>
      <c r="FA57">
        <f>BS57</f>
        <v/>
      </c>
      <c r="FB57" t="n">
        <v>0</v>
      </c>
      <c r="FC57">
        <f>CK57</f>
        <v/>
      </c>
      <c r="FD57">
        <f>DM57</f>
        <v/>
      </c>
    </row>
    <row r="58">
      <c r="L58" t="inlineStr">
        <is>
          <t>none</t>
        </is>
      </c>
      <c r="P58" t="inlineStr">
        <is>
          <t>none</t>
        </is>
      </c>
      <c r="R58" t="inlineStr">
        <is>
          <t>none</t>
        </is>
      </c>
      <c r="T58" t="inlineStr">
        <is>
          <t>none</t>
        </is>
      </c>
      <c r="V58" t="inlineStr">
        <is>
          <t>Default</t>
        </is>
      </c>
      <c r="X58" t="inlineStr">
        <is>
          <t>Normal</t>
        </is>
      </c>
      <c r="AB58" t="inlineStr">
        <is>
          <t>none</t>
        </is>
      </c>
      <c r="AD58" t="n">
        <v>1</v>
      </c>
      <c r="AF58" t="inlineStr">
        <is>
          <t>none</t>
        </is>
      </c>
      <c r="AH58" t="n">
        <v>1</v>
      </c>
      <c r="AJ58" t="inlineStr">
        <is>
          <t>none</t>
        </is>
      </c>
      <c r="AL58" t="inlineStr">
        <is>
          <t>none</t>
        </is>
      </c>
      <c r="AN58">
        <f>iferror(AF58*(50/(AJ58+AL58)),"攻撃力に数値を入力")</f>
        <v/>
      </c>
      <c r="AP58" t="inlineStr">
        <is>
          <t>none</t>
        </is>
      </c>
      <c r="AT58" t="inlineStr">
        <is>
          <t>none</t>
        </is>
      </c>
      <c r="AY58" t="inlineStr">
        <is>
          <t>none</t>
        </is>
      </c>
      <c r="BA58" t="inlineStr">
        <is>
          <t>none</t>
        </is>
      </c>
      <c r="BC58" t="inlineStr">
        <is>
          <t>none</t>
        </is>
      </c>
      <c r="BE58" t="inlineStr">
        <is>
          <t>none</t>
        </is>
      </c>
      <c r="BG58" t="inlineStr">
        <is>
          <t>none</t>
        </is>
      </c>
      <c r="BI58" t="inlineStr">
        <is>
          <t>none</t>
        </is>
      </c>
      <c r="BK58" t="inlineStr">
        <is>
          <t>none</t>
        </is>
      </c>
      <c r="BM58" t="inlineStr">
        <is>
          <t>none</t>
        </is>
      </c>
      <c r="BO58" t="inlineStr">
        <is>
          <t>none</t>
        </is>
      </c>
      <c r="BQ58" t="inlineStr">
        <is>
          <t>none</t>
        </is>
      </c>
      <c r="CA58" t="inlineStr">
        <is>
          <t>未入力</t>
        </is>
      </c>
      <c r="CM58" t="inlineStr">
        <is>
          <t>None</t>
        </is>
      </c>
      <c r="CQ58" t="inlineStr">
        <is>
          <t>None</t>
        </is>
      </c>
      <c r="CW58" t="inlineStr">
        <is>
          <t>None</t>
        </is>
      </c>
      <c r="DC58" t="inlineStr">
        <is>
          <t>None</t>
        </is>
      </c>
      <c r="DK58" t="b">
        <v>0</v>
      </c>
      <c r="DM58" t="inlineStr">
        <is>
          <t>None</t>
        </is>
      </c>
      <c r="EA58">
        <f>B58</f>
        <v/>
      </c>
      <c r="EB58">
        <f>D58</f>
        <v/>
      </c>
      <c r="EC58">
        <f>F58</f>
        <v/>
      </c>
      <c r="ED58">
        <f>CA58</f>
        <v/>
      </c>
      <c r="EE58">
        <f>CE58</f>
        <v/>
      </c>
      <c r="EF58">
        <f>"SummonEnemy"</f>
        <v/>
      </c>
      <c r="EG58">
        <f>H58</f>
        <v/>
      </c>
      <c r="EI58">
        <f>CI58</f>
        <v/>
      </c>
      <c r="EJ58">
        <f>CG58</f>
        <v/>
      </c>
      <c r="EK58">
        <f>CM58</f>
        <v/>
      </c>
      <c r="EL58">
        <f>CO58</f>
        <v/>
      </c>
      <c r="EM58">
        <f>CQ58</f>
        <v/>
      </c>
      <c r="EN58">
        <f>CU58</f>
        <v/>
      </c>
      <c r="EO58">
        <f>CW58</f>
        <v/>
      </c>
      <c r="EP58">
        <f>DA58</f>
        <v/>
      </c>
      <c r="EQ58">
        <f>DC58</f>
        <v/>
      </c>
      <c r="ER58">
        <f>DG58</f>
        <v/>
      </c>
      <c r="ES58">
        <f>DI58</f>
        <v/>
      </c>
      <c r="ET58">
        <f>DK58</f>
        <v/>
      </c>
      <c r="EV58">
        <f>V58</f>
        <v/>
      </c>
      <c r="EW58">
        <f>X58</f>
        <v/>
      </c>
      <c r="EX58">
        <f>AD58</f>
        <v/>
      </c>
      <c r="EY58">
        <f>AH58</f>
        <v/>
      </c>
      <c r="EZ58">
        <f>"1"</f>
        <v/>
      </c>
      <c r="FA58">
        <f>BS58</f>
        <v/>
      </c>
      <c r="FB58" t="n">
        <v>0</v>
      </c>
      <c r="FC58">
        <f>CK58</f>
        <v/>
      </c>
      <c r="FD58">
        <f>DM58</f>
        <v/>
      </c>
    </row>
    <row r="59">
      <c r="L59" t="inlineStr">
        <is>
          <t>none</t>
        </is>
      </c>
      <c r="P59" t="inlineStr">
        <is>
          <t>none</t>
        </is>
      </c>
      <c r="R59" t="inlineStr">
        <is>
          <t>none</t>
        </is>
      </c>
      <c r="T59" t="inlineStr">
        <is>
          <t>none</t>
        </is>
      </c>
      <c r="V59" t="inlineStr">
        <is>
          <t>Default</t>
        </is>
      </c>
      <c r="X59" t="inlineStr">
        <is>
          <t>Normal</t>
        </is>
      </c>
      <c r="AB59" t="inlineStr">
        <is>
          <t>none</t>
        </is>
      </c>
      <c r="AD59" t="n">
        <v>1</v>
      </c>
      <c r="AF59" t="inlineStr">
        <is>
          <t>none</t>
        </is>
      </c>
      <c r="AH59" t="n">
        <v>1</v>
      </c>
      <c r="AJ59" t="inlineStr">
        <is>
          <t>none</t>
        </is>
      </c>
      <c r="AL59" t="inlineStr">
        <is>
          <t>none</t>
        </is>
      </c>
      <c r="AN59">
        <f>iferror(AF59*(50/(AJ59+AL59)),"攻撃力に数値を入力")</f>
        <v/>
      </c>
      <c r="AP59" t="inlineStr">
        <is>
          <t>none</t>
        </is>
      </c>
      <c r="AT59" t="inlineStr">
        <is>
          <t>none</t>
        </is>
      </c>
      <c r="AY59" t="inlineStr">
        <is>
          <t>none</t>
        </is>
      </c>
      <c r="BA59" t="inlineStr">
        <is>
          <t>none</t>
        </is>
      </c>
      <c r="BC59" t="inlineStr">
        <is>
          <t>none</t>
        </is>
      </c>
      <c r="BE59" t="inlineStr">
        <is>
          <t>none</t>
        </is>
      </c>
      <c r="BG59" t="inlineStr">
        <is>
          <t>none</t>
        </is>
      </c>
      <c r="BI59" t="inlineStr">
        <is>
          <t>none</t>
        </is>
      </c>
      <c r="BK59" t="inlineStr">
        <is>
          <t>none</t>
        </is>
      </c>
      <c r="BM59" t="inlineStr">
        <is>
          <t>none</t>
        </is>
      </c>
      <c r="BO59" t="inlineStr">
        <is>
          <t>none</t>
        </is>
      </c>
      <c r="BQ59" t="inlineStr">
        <is>
          <t>none</t>
        </is>
      </c>
      <c r="CA59" t="inlineStr">
        <is>
          <t>未入力</t>
        </is>
      </c>
      <c r="CM59" t="inlineStr">
        <is>
          <t>None</t>
        </is>
      </c>
      <c r="CQ59" t="inlineStr">
        <is>
          <t>None</t>
        </is>
      </c>
      <c r="CW59" t="inlineStr">
        <is>
          <t>None</t>
        </is>
      </c>
      <c r="DC59" t="inlineStr">
        <is>
          <t>None</t>
        </is>
      </c>
      <c r="DK59" t="b">
        <v>0</v>
      </c>
      <c r="DM59" t="inlineStr">
        <is>
          <t>None</t>
        </is>
      </c>
      <c r="EA59">
        <f>B59</f>
        <v/>
      </c>
      <c r="EB59">
        <f>D59</f>
        <v/>
      </c>
      <c r="EC59">
        <f>F59</f>
        <v/>
      </c>
      <c r="ED59">
        <f>CA59</f>
        <v/>
      </c>
      <c r="EE59">
        <f>CE59</f>
        <v/>
      </c>
      <c r="EF59">
        <f>"SummonEnemy"</f>
        <v/>
      </c>
      <c r="EG59">
        <f>H59</f>
        <v/>
      </c>
      <c r="EI59">
        <f>CI59</f>
        <v/>
      </c>
      <c r="EJ59">
        <f>CG59</f>
        <v/>
      </c>
      <c r="EK59">
        <f>CM59</f>
        <v/>
      </c>
      <c r="EL59">
        <f>CO59</f>
        <v/>
      </c>
      <c r="EM59">
        <f>CQ59</f>
        <v/>
      </c>
      <c r="EN59">
        <f>CU59</f>
        <v/>
      </c>
      <c r="EO59">
        <f>CW59</f>
        <v/>
      </c>
      <c r="EP59">
        <f>DA59</f>
        <v/>
      </c>
      <c r="EQ59">
        <f>DC59</f>
        <v/>
      </c>
      <c r="ER59">
        <f>DG59</f>
        <v/>
      </c>
      <c r="ES59">
        <f>DI59</f>
        <v/>
      </c>
      <c r="ET59">
        <f>DK59</f>
        <v/>
      </c>
      <c r="EV59">
        <f>V59</f>
        <v/>
      </c>
      <c r="EW59">
        <f>X59</f>
        <v/>
      </c>
      <c r="EX59">
        <f>AD59</f>
        <v/>
      </c>
      <c r="EY59">
        <f>AH59</f>
        <v/>
      </c>
      <c r="EZ59">
        <f>"1"</f>
        <v/>
      </c>
      <c r="FA59">
        <f>BS59</f>
        <v/>
      </c>
      <c r="FB59" t="n">
        <v>0</v>
      </c>
      <c r="FC59">
        <f>CK59</f>
        <v/>
      </c>
      <c r="FD59">
        <f>DM59</f>
        <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2:FE59"/>
  <sheetViews>
    <sheetView workbookViewId="0">
      <selection activeCell="A1" sqref="A1"/>
    </sheetView>
  </sheetViews>
  <sheetFormatPr baseColWidth="8" defaultRowHeight="15"/>
  <sheetData>
    <row r="2">
      <c r="B2" t="inlineStr">
        <is>
          <t>■基礎情報</t>
        </is>
      </c>
    </row>
    <row r="4">
      <c r="B4" t="inlineStr">
        <is>
          <t>ステージコンセプト</t>
        </is>
      </c>
      <c r="S4" t="inlineStr">
        <is>
          <t>ステージ情報詳細</t>
        </is>
      </c>
    </row>
    <row r="5">
      <c r="B5" t="inlineStr">
        <is>
          <t>強敵
杠
山田浅ェ門 仙汰
雑魚
そう神がDPS出してくる極楽蝶</t>
        </is>
      </c>
      <c r="S5" t="inlineStr">
        <is>
          <t>【属性情報】
緑属性の敵が登場するので赤属性のキャラは有利に戦うこともできるぞ!
さらに、無属性の敵も登場するぞ!
【コマ効果情報】
突風コマが登場するぞ!
特性で突風コマ無効化を持っているキャラを編成しよう!
【ギミック情報】
毒攻撃をしてくる敵が登場するぞ!
特性で毒ダメージ軽減を持っているキャラを編成しよう!</t>
        </is>
      </c>
    </row>
    <row r="9">
      <c r="B9" t="inlineStr">
        <is>
          <t>ステージ名（最大20文字）</t>
        </is>
      </c>
      <c r="G9" t="inlineStr">
        <is>
          <t>文字数</t>
        </is>
      </c>
      <c r="I9" t="inlineStr">
        <is>
          <t>スタミナ</t>
        </is>
      </c>
      <c r="K9" t="inlineStr">
        <is>
          <t>難易度</t>
        </is>
      </c>
      <c r="N9" t="inlineStr">
        <is>
          <t>推奨PTLv</t>
        </is>
      </c>
      <c r="Q9" t="inlineStr">
        <is>
          <t>通常BGM</t>
        </is>
      </c>
      <c r="V9" t="inlineStr">
        <is>
          <t>ボスBGM</t>
        </is>
      </c>
    </row>
    <row r="10">
      <c r="B10" t="inlineStr">
        <is>
          <t>4話</t>
        </is>
      </c>
      <c r="G10">
        <f>len(B10)</f>
        <v/>
      </c>
      <c r="I10" t="n">
        <v>7</v>
      </c>
      <c r="K10" t="inlineStr">
        <is>
          <t>イベント全般</t>
        </is>
      </c>
      <c r="N10" t="n">
        <v>20</v>
      </c>
      <c r="Q10" t="inlineStr">
        <is>
          <t>SSE_SBG_003_003</t>
        </is>
      </c>
      <c r="V10" t="inlineStr">
        <is>
          <t>SSE_SBG_003_004</t>
        </is>
      </c>
    </row>
    <row r="12">
      <c r="B12" t="inlineStr">
        <is>
          <t>味方ゲートID</t>
        </is>
      </c>
      <c r="E12" t="inlineStr">
        <is>
          <t>敵ゲートID</t>
        </is>
      </c>
      <c r="H12" t="inlineStr">
        <is>
          <t>敵ゲートasset</t>
        </is>
      </c>
      <c r="K12" t="inlineStr">
        <is>
          <t>敵ゲートHP</t>
        </is>
      </c>
      <c r="N12" t="inlineStr">
        <is>
          <t>リリースキー</t>
        </is>
      </c>
    </row>
    <row r="13">
      <c r="B13" t="inlineStr">
        <is>
          <t>default</t>
        </is>
      </c>
      <c r="E13" t="inlineStr">
        <is>
          <t>event_jig1_charaget01_00004</t>
        </is>
      </c>
      <c r="H13" t="inlineStr">
        <is>
          <t>event_jig_0001</t>
        </is>
      </c>
      <c r="K13" t="n">
        <v>45000</v>
      </c>
      <c r="N13" t="n">
        <v>202601010</v>
      </c>
    </row>
    <row r="15">
      <c r="B15" t="inlineStr">
        <is>
          <t>■報酬設計</t>
        </is>
      </c>
    </row>
    <row r="17">
      <c r="B17" t="inlineStr">
        <is>
          <t>クリアコイン</t>
        </is>
      </c>
      <c r="E17" t="inlineStr">
        <is>
          <t>リーダーEXP</t>
        </is>
      </c>
      <c r="H17" t="inlineStr">
        <is>
          <t>原画のかけら確率</t>
        </is>
      </c>
      <c r="K17" t="inlineStr">
        <is>
          <t>原画のかけら種</t>
        </is>
      </c>
    </row>
    <row r="18">
      <c r="B18" t="n">
        <v>150</v>
      </c>
      <c r="E18">
        <f>I10*10</f>
        <v/>
      </c>
      <c r="H18" t="n">
        <v>1</v>
      </c>
      <c r="K18" t="inlineStr">
        <is>
          <t>3,4,8</t>
        </is>
      </c>
    </row>
    <row r="20">
      <c r="B20" t="inlineStr">
        <is>
          <t>ドロップ区分</t>
        </is>
      </c>
      <c r="E20" t="inlineStr">
        <is>
          <t>リソースtype</t>
        </is>
      </c>
      <c r="G20" t="inlineStr">
        <is>
          <t>アイテムID</t>
        </is>
      </c>
      <c r="J20" t="inlineStr">
        <is>
          <t>アイテム名</t>
        </is>
      </c>
      <c r="R20" t="inlineStr">
        <is>
          <t>ドロップ数</t>
        </is>
      </c>
      <c r="T20" t="inlineStr">
        <is>
          <t>ドロップ率</t>
        </is>
      </c>
    </row>
    <row r="21">
      <c r="B21" t="inlineStr">
        <is>
          <t>FirstClear</t>
        </is>
      </c>
      <c r="E21">
        <f>if(J21="プリズム","FreeDiamond","item")</f>
        <v/>
      </c>
      <c r="G21" t="inlineStr">
        <is>
          <t>prism_glo_00001</t>
        </is>
      </c>
      <c r="J21" t="inlineStr">
        <is>
          <t>プリズム</t>
        </is>
      </c>
      <c r="R21" t="n">
        <v>40</v>
      </c>
      <c r="T21" t="n">
        <v>100</v>
      </c>
    </row>
    <row r="22">
      <c r="B22" t="inlineStr">
        <is>
          <t>FirstClear</t>
        </is>
      </c>
      <c r="E22">
        <f>if(J22="プリズム","FreeDiamond","Item")</f>
        <v/>
      </c>
      <c r="G22" t="inlineStr">
        <is>
          <t>Coin</t>
        </is>
      </c>
      <c r="J22" t="inlineStr">
        <is>
          <t>コイン</t>
        </is>
      </c>
      <c r="R22" t="n">
        <v>500</v>
      </c>
      <c r="T22" t="n">
        <v>100</v>
      </c>
    </row>
    <row r="23">
      <c r="B23" t="inlineStr">
        <is>
          <t>FirstClear</t>
        </is>
      </c>
      <c r="E23">
        <f>if(J23="プリズム","FreeDiamond","Item")</f>
        <v/>
      </c>
      <c r="G23" t="inlineStr">
        <is>
          <t>memory_chara_jig_00701</t>
        </is>
      </c>
      <c r="J23" t="inlineStr">
        <is>
          <t>メイのメモリー</t>
        </is>
      </c>
      <c r="R23" t="n">
        <v>300</v>
      </c>
      <c r="T23" t="n">
        <v>100</v>
      </c>
    </row>
    <row r="24">
      <c r="B24" t="inlineStr">
        <is>
          <t>FirstClear</t>
        </is>
      </c>
      <c r="E24">
        <f>if(J24="プリズム","FreeDiamond","Item")</f>
        <v/>
      </c>
      <c r="G24" t="inlineStr">
        <is>
          <t>memoryfragment_glo_00001</t>
        </is>
      </c>
      <c r="J24" t="inlineStr">
        <is>
          <t>メモリーフラグメント・初級</t>
        </is>
      </c>
      <c r="R24" t="n">
        <v>15</v>
      </c>
      <c r="T24" t="n">
        <v>100</v>
      </c>
    </row>
    <row r="25">
      <c r="B25" t="inlineStr">
        <is>
          <t>Random</t>
        </is>
      </c>
      <c r="E25">
        <f>if(J25="プリズム","FreeDiamond","Item")</f>
        <v/>
      </c>
      <c r="G25" t="inlineStr">
        <is>
          <t>piece_jig_00701</t>
        </is>
      </c>
      <c r="J25" t="inlineStr">
        <is>
          <t>メイのかけら</t>
        </is>
      </c>
      <c r="R25" t="n">
        <v>2</v>
      </c>
      <c r="T25" t="n">
        <v>35</v>
      </c>
    </row>
    <row r="26">
      <c r="E26">
        <f>if(J26="プリズム","FreeDiamond","Item")</f>
        <v/>
      </c>
      <c r="G26" t="inlineStr">
        <is>
          <t>none</t>
        </is>
      </c>
    </row>
    <row r="28">
      <c r="B28" t="inlineStr">
        <is>
          <t>■コマ設計</t>
        </is>
      </c>
    </row>
    <row r="30">
      <c r="B30" t="inlineStr">
        <is>
          <t>行数</t>
        </is>
      </c>
      <c r="D30" t="inlineStr">
        <is>
          <t>行パターンID</t>
        </is>
      </c>
      <c r="F30" t="inlineStr">
        <is>
          <t>コマ数</t>
        </is>
      </c>
      <c r="H30" t="inlineStr">
        <is>
          <t>コマ高さ</t>
        </is>
      </c>
      <c r="J30" t="inlineStr">
        <is>
          <t>コマ幅1</t>
        </is>
      </c>
      <c r="L30" t="inlineStr">
        <is>
          <t>コマ幅2</t>
        </is>
      </c>
      <c r="N30" t="inlineStr">
        <is>
          <t>コマ幅3</t>
        </is>
      </c>
      <c r="P30" t="inlineStr">
        <is>
          <t>コマ幅4</t>
        </is>
      </c>
      <c r="R30" t="inlineStr">
        <is>
          <t>コマ背景</t>
        </is>
      </c>
      <c r="U30" t="inlineStr">
        <is>
          <t>コマ効果1</t>
        </is>
      </c>
      <c r="Z30" t="inlineStr">
        <is>
          <t>効果時間</t>
        </is>
      </c>
      <c r="AB30" t="inlineStr">
        <is>
          <t>効果数値</t>
        </is>
      </c>
      <c r="AD30" t="inlineStr">
        <is>
          <t>コマ効果2</t>
        </is>
      </c>
      <c r="AI30" t="inlineStr">
        <is>
          <t>効果時間</t>
        </is>
      </c>
      <c r="AK30" t="inlineStr">
        <is>
          <t>効果数値</t>
        </is>
      </c>
      <c r="AM30" t="inlineStr">
        <is>
          <t>コマ効果3</t>
        </is>
      </c>
      <c r="AR30" t="inlineStr">
        <is>
          <t>効果時間</t>
        </is>
      </c>
      <c r="AT30" t="inlineStr">
        <is>
          <t>効果数値</t>
        </is>
      </c>
      <c r="AV30" t="inlineStr">
        <is>
          <t>コマ効果4</t>
        </is>
      </c>
      <c r="BA30" t="inlineStr">
        <is>
          <t>効果時間</t>
        </is>
      </c>
      <c r="BC30" t="inlineStr">
        <is>
          <t>効果数値</t>
        </is>
      </c>
    </row>
    <row r="31">
      <c r="B31" t="inlineStr">
        <is>
          <t>1行目</t>
        </is>
      </c>
      <c r="D31" t="n">
        <v>1</v>
      </c>
      <c r="F31">
        <f>iferror(vlookup(D31,'行パターン'!$A$2:$C61,2,false),"error")</f>
        <v/>
      </c>
      <c r="H31" t="n">
        <v>0.55</v>
      </c>
      <c r="J31" t="n">
        <v>1</v>
      </c>
      <c r="L31" t="inlineStr">
        <is>
          <t>none</t>
        </is>
      </c>
      <c r="N31" t="inlineStr">
        <is>
          <t>none</t>
        </is>
      </c>
      <c r="P31" t="inlineStr">
        <is>
          <t>none</t>
        </is>
      </c>
      <c r="R31" t="inlineStr">
        <is>
          <t>jig_00001</t>
        </is>
      </c>
    </row>
    <row r="32">
      <c r="B32" t="inlineStr">
        <is>
          <t>2行目</t>
        </is>
      </c>
      <c r="D32" t="n">
        <v>6</v>
      </c>
      <c r="F32">
        <f>iferror(vlookup(D32,'行パターン'!$A$2:$C61,2,false),"error")</f>
        <v/>
      </c>
      <c r="H32" t="n">
        <v>0.55</v>
      </c>
      <c r="J32" t="n">
        <v>0.5</v>
      </c>
      <c r="L32" t="n">
        <v>0.5</v>
      </c>
      <c r="N32" t="inlineStr">
        <is>
          <t>none</t>
        </is>
      </c>
      <c r="P32" t="inlineStr">
        <is>
          <t>none</t>
        </is>
      </c>
      <c r="R32" t="inlineStr">
        <is>
          <t>jig_00001</t>
        </is>
      </c>
      <c r="AD32" t="inlineStr">
        <is>
          <t>Gust</t>
        </is>
      </c>
      <c r="AI32" t="n">
        <v>1000</v>
      </c>
      <c r="AK32" t="n">
        <v>0.2</v>
      </c>
    </row>
    <row r="33">
      <c r="B33" t="inlineStr">
        <is>
          <t>3行目</t>
        </is>
      </c>
      <c r="D33" t="n">
        <v>8</v>
      </c>
      <c r="F33">
        <f>iferror(vlookup(D33,'行パターン'!$A$2:$C61,2,false)," ")</f>
        <v/>
      </c>
      <c r="H33" t="n">
        <v>0.55</v>
      </c>
      <c r="J33" t="n">
        <v>0.5</v>
      </c>
      <c r="L33" t="n">
        <v>0.25</v>
      </c>
      <c r="N33" t="n">
        <v>0.25</v>
      </c>
      <c r="P33" t="inlineStr">
        <is>
          <t>none</t>
        </is>
      </c>
      <c r="R33" t="inlineStr">
        <is>
          <t>jig_00001</t>
        </is>
      </c>
    </row>
    <row r="34">
      <c r="B34" t="inlineStr">
        <is>
          <t>4行目</t>
        </is>
      </c>
      <c r="F34">
        <f>iferror(vlookup(D34,'行パターン'!$A$2:$C61,2,false)," ")</f>
        <v/>
      </c>
      <c r="J34" t="inlineStr">
        <is>
          <t> </t>
        </is>
      </c>
    </row>
    <row r="35">
      <c r="B35" t="inlineStr">
        <is>
          <t>5行目</t>
        </is>
      </c>
      <c r="F35">
        <f>iferror(vlookup(D35,'行パターン'!$A$2:$C61,2,false)," ")</f>
        <v/>
      </c>
      <c r="J35" t="inlineStr">
        <is>
          <t> </t>
        </is>
      </c>
    </row>
    <row r="37">
      <c r="B37" t="inlineStr">
        <is>
          <t xml:space="preserve">■Enemyシーケンス </t>
        </is>
      </c>
      <c r="F37" t="inlineStr">
        <is>
          <t>※コピペして使用</t>
        </is>
      </c>
    </row>
    <row r="39">
      <c r="B39" t="inlineStr">
        <is>
          <t>sequence
_group_id</t>
        </is>
      </c>
      <c r="D39" t="inlineStr">
        <is>
          <t>sequence_
element_id</t>
        </is>
      </c>
      <c r="F39" t="inlineStr">
        <is>
          <t>priority_sequence_element_id</t>
        </is>
      </c>
      <c r="H39" t="inlineStr">
        <is>
          <t>Enemy_ID</t>
        </is>
      </c>
      <c r="L39" t="inlineStr">
        <is>
          <t>ファントム名</t>
        </is>
      </c>
      <c r="P39" t="inlineStr">
        <is>
          <t>unit_kind</t>
        </is>
      </c>
      <c r="R39" t="inlineStr">
        <is>
          <t>属性</t>
        </is>
      </c>
      <c r="T39" t="inlineStr">
        <is>
          <t>ロール</t>
        </is>
      </c>
      <c r="V39" t="inlineStr">
        <is>
          <t>オーラタイプ</t>
        </is>
      </c>
      <c r="X39" t="inlineStr">
        <is>
          <t>死亡タイプ</t>
        </is>
      </c>
      <c r="Z39" t="inlineStr">
        <is>
          <t>必殺ワザ有無</t>
        </is>
      </c>
      <c r="AB39" t="inlineStr">
        <is>
          <t>体力</t>
        </is>
      </c>
      <c r="AD39" t="inlineStr">
        <is>
          <t>体力係数</t>
        </is>
      </c>
      <c r="AF39" t="inlineStr">
        <is>
          <t>攻撃力</t>
        </is>
      </c>
      <c r="AH39" t="inlineStr">
        <is>
          <t>攻撃係数</t>
        </is>
      </c>
      <c r="AJ39" t="inlineStr">
        <is>
          <t>通常攻撃F</t>
        </is>
      </c>
      <c r="AL39" t="inlineStr">
        <is>
          <t>通常攻撃CDF</t>
        </is>
      </c>
      <c r="AN39" t="inlineStr">
        <is>
          <t>通常攻撃DPS</t>
        </is>
      </c>
      <c r="AP39" t="inlineStr">
        <is>
          <t>通常攻撃備考</t>
        </is>
      </c>
      <c r="AT39" t="inlineStr">
        <is>
          <t>必殺技内容</t>
        </is>
      </c>
      <c r="AY39" t="inlineStr">
        <is>
          <t>必殺発動回数</t>
        </is>
      </c>
      <c r="BA39" t="inlineStr">
        <is>
          <t>必殺技F(秒)</t>
        </is>
      </c>
      <c r="BC39" t="inlineStr">
        <is>
          <t>特性</t>
        </is>
      </c>
      <c r="BE39" t="inlineStr">
        <is>
          <t>移動速度</t>
        </is>
      </c>
      <c r="BG39" t="inlineStr">
        <is>
          <t>well_distance</t>
        </is>
      </c>
      <c r="BI39" t="inlineStr">
        <is>
          <t>start_range</t>
        </is>
      </c>
      <c r="BK39" t="inlineStr">
        <is>
          <t>end_range</t>
        </is>
      </c>
      <c r="BM39" t="inlineStr">
        <is>
          <t>攻撃範囲</t>
        </is>
      </c>
      <c r="BO39" t="inlineStr">
        <is>
          <t>KB回数</t>
        </is>
      </c>
      <c r="BQ39" t="inlineStr">
        <is>
          <t>撃破p</t>
        </is>
      </c>
      <c r="BS39" t="inlineStr">
        <is>
          <t>上書き撃破p</t>
        </is>
      </c>
      <c r="BU39" t="inlineStr">
        <is>
          <t>変身先ID</t>
        </is>
      </c>
      <c r="BW39" t="inlineStr">
        <is>
          <t>変身条件1</t>
        </is>
      </c>
      <c r="BY39" t="inlineStr">
        <is>
          <t>変身条件2</t>
        </is>
      </c>
      <c r="CA39" t="inlineStr">
        <is>
          <t>出撃条件
condition_type</t>
        </is>
      </c>
      <c r="CE39" t="inlineStr">
        <is>
          <t>出撃開始値
condition_value</t>
        </is>
      </c>
      <c r="CG39" t="inlineStr">
        <is>
          <t>出撃感覚値
summon_interval</t>
        </is>
      </c>
      <c r="CI39" t="inlineStr">
        <is>
          <t>召喚回数
summon_count</t>
        </is>
      </c>
      <c r="CK39" t="inlineStr">
        <is>
          <t>アクション遅延
action_delay</t>
        </is>
      </c>
      <c r="CM39" t="inlineStr">
        <is>
          <t>出撃
アニメーション</t>
        </is>
      </c>
      <c r="CO39" t="inlineStr">
        <is>
          <t>召喚pos
summon_position</t>
        </is>
      </c>
      <c r="CQ39" t="inlineStr">
        <is>
          <t>移動開始条件
move_start_condition_type</t>
        </is>
      </c>
      <c r="CU39" t="inlineStr">
        <is>
          <t>移動開始値
condition_value</t>
        </is>
      </c>
      <c r="CW39" t="inlineStr">
        <is>
          <t>移動停止条件
move_stop_condition_type</t>
        </is>
      </c>
      <c r="DA39" t="inlineStr">
        <is>
          <t>移動停止値</t>
        </is>
      </c>
      <c r="DC39" t="inlineStr">
        <is>
          <t>移動再スタート条件
move_restart_condition_type</t>
        </is>
      </c>
      <c r="DG39" t="inlineStr">
        <is>
          <t>移動再スタート値</t>
        </is>
      </c>
      <c r="DI39" t="inlineStr">
        <is>
          <t>再スタート回数
move_loop_count</t>
        </is>
      </c>
      <c r="DK39" t="inlineStr">
        <is>
          <t>ゲート無敵化</t>
        </is>
      </c>
      <c r="DM39" t="inlineStr">
        <is>
          <t>出現停止条件</t>
        </is>
      </c>
      <c r="DQ39" t="inlineStr">
        <is>
          <t>停止条件値</t>
        </is>
      </c>
      <c r="DS39" t="inlineStr">
        <is>
          <t>備考</t>
        </is>
      </c>
      <c r="EA39" t="inlineStr">
        <is>
          <t>sequence_group_id</t>
        </is>
      </c>
      <c r="EB39" t="inlineStr">
        <is>
          <t>sequence_element_id</t>
        </is>
      </c>
      <c r="EC39" t="inlineStr">
        <is>
          <t>priority_sequence_element_id</t>
        </is>
      </c>
      <c r="ED39" t="inlineStr">
        <is>
          <t>condition_type</t>
        </is>
      </c>
      <c r="EE39" t="inlineStr">
        <is>
          <t>condition_value</t>
        </is>
      </c>
      <c r="EF39" t="inlineStr">
        <is>
          <t>action_type</t>
        </is>
      </c>
      <c r="EG39" t="inlineStr">
        <is>
          <t>action_value</t>
        </is>
      </c>
      <c r="EH39" t="inlineStr">
        <is>
          <t>action_value2</t>
        </is>
      </c>
      <c r="EI39" t="inlineStr">
        <is>
          <t>summon_count</t>
        </is>
      </c>
      <c r="EJ39" t="inlineStr">
        <is>
          <t>summon_interval</t>
        </is>
      </c>
      <c r="EK39" t="inlineStr">
        <is>
          <t>summon_animation_type</t>
        </is>
      </c>
      <c r="EL39" t="inlineStr">
        <is>
          <t>summon_position</t>
        </is>
      </c>
      <c r="EM39" t="inlineStr">
        <is>
          <t>move_start_condition_type</t>
        </is>
      </c>
      <c r="EN39" t="inlineStr">
        <is>
          <t>move_start_condition_value</t>
        </is>
      </c>
      <c r="EO39" t="inlineStr">
        <is>
          <t>move_stop_condition_type</t>
        </is>
      </c>
      <c r="EP39" t="inlineStr">
        <is>
          <t>move_stop_condition_value</t>
        </is>
      </c>
      <c r="EQ39" t="inlineStr">
        <is>
          <t>move_restart_condition_type</t>
        </is>
      </c>
      <c r="ER39" t="inlineStr">
        <is>
          <t>move_restart_condition_value</t>
        </is>
      </c>
      <c r="ES39" t="inlineStr">
        <is>
          <t>move_loop_count</t>
        </is>
      </c>
      <c r="ET39" t="inlineStr">
        <is>
          <t>is_summon_unit_outpost_damage_invalidation</t>
        </is>
      </c>
      <c r="EV39" t="inlineStr">
        <is>
          <t>aura_type</t>
        </is>
      </c>
      <c r="EW39" t="inlineStr">
        <is>
          <t>death_type</t>
        </is>
      </c>
      <c r="EX39" t="inlineStr">
        <is>
          <t>enemy_hp_coef</t>
        </is>
      </c>
      <c r="EY39" t="inlineStr">
        <is>
          <t>enemy_attack_coef</t>
        </is>
      </c>
      <c r="EZ39" t="inlineStr">
        <is>
          <t>enemy_speed_coef</t>
        </is>
      </c>
      <c r="FA39" t="inlineStr">
        <is>
          <t>override_drop_battle_point</t>
        </is>
      </c>
      <c r="FB39" t="inlineStr">
        <is>
          <t>defeated_score</t>
        </is>
      </c>
      <c r="FC39" t="inlineStr">
        <is>
          <t>action_delay</t>
        </is>
      </c>
      <c r="FD39" t="inlineStr">
        <is>
          <t>deactivation_condition_type</t>
        </is>
      </c>
      <c r="FE39" t="inlineStr">
        <is>
          <t>deactivation_condition_value</t>
        </is>
      </c>
    </row>
    <row r="40">
      <c r="D40" t="n">
        <v>1</v>
      </c>
      <c r="H40" t="inlineStr">
        <is>
          <t>c_jig_00201_jig1_charaget01_Boss_Green</t>
        </is>
      </c>
      <c r="L40" t="inlineStr">
        <is>
          <t>杠</t>
        </is>
      </c>
      <c r="P40" t="inlineStr">
        <is>
          <t>Boss</t>
        </is>
      </c>
      <c r="R40" t="inlineStr">
        <is>
          <t>Green</t>
        </is>
      </c>
      <c r="T40" t="inlineStr">
        <is>
          <t>Technical</t>
        </is>
      </c>
      <c r="V40" t="inlineStr">
        <is>
          <t>Default</t>
        </is>
      </c>
      <c r="X40" t="inlineStr">
        <is>
          <t>Normal</t>
        </is>
      </c>
      <c r="AB40" t="n">
        <v>60000</v>
      </c>
      <c r="AD40" t="n">
        <v>6</v>
      </c>
      <c r="AF40" t="n">
        <v>400</v>
      </c>
      <c r="AH40" t="n">
        <v>4</v>
      </c>
      <c r="AJ40" t="n">
        <v>83.5</v>
      </c>
      <c r="AN40">
        <f>iferror(AF40*(50/(AJ40+AL40)),"攻撃力に数値を入力")</f>
        <v/>
      </c>
      <c r="AP40" t="inlineStr">
        <is>
          <t>100%の確率で3秒間1%の毒にする</t>
        </is>
      </c>
      <c r="AY40" t="inlineStr">
        <is>
          <t>-</t>
        </is>
      </c>
      <c r="BA40" t="n">
        <v>128</v>
      </c>
      <c r="BE40" t="n">
        <v>34</v>
      </c>
      <c r="BO40" t="n">
        <v>3</v>
      </c>
      <c r="BQ40" t="n">
        <v>100</v>
      </c>
      <c r="BS40" t="n">
        <v>200</v>
      </c>
      <c r="CA40" t="inlineStr">
        <is>
          <t>ElapsedTime</t>
        </is>
      </c>
      <c r="CE40" t="n">
        <v>550</v>
      </c>
      <c r="CG40" t="n">
        <v>0</v>
      </c>
      <c r="CI40" t="n">
        <v>1</v>
      </c>
      <c r="CM40" t="inlineStr">
        <is>
          <t>None</t>
        </is>
      </c>
      <c r="CQ40" t="inlineStr">
        <is>
          <t>None</t>
        </is>
      </c>
      <c r="CW40" t="inlineStr">
        <is>
          <t>None</t>
        </is>
      </c>
      <c r="DC40" t="inlineStr">
        <is>
          <t>None</t>
        </is>
      </c>
      <c r="DK40" t="b">
        <v>0</v>
      </c>
      <c r="DM40" t="inlineStr">
        <is>
          <t>None</t>
        </is>
      </c>
      <c r="EA40">
        <f>B40</f>
        <v/>
      </c>
      <c r="EB40">
        <f>D40</f>
        <v/>
      </c>
      <c r="EC40">
        <f>F40</f>
        <v/>
      </c>
      <c r="ED40">
        <f>CA40</f>
        <v/>
      </c>
      <c r="EE40">
        <f>CE40</f>
        <v/>
      </c>
      <c r="EF40">
        <f>"SummonEnemy"</f>
        <v/>
      </c>
      <c r="EG40">
        <f>H40</f>
        <v/>
      </c>
      <c r="EI40">
        <f>CI40</f>
        <v/>
      </c>
      <c r="EJ40">
        <f>CG40</f>
        <v/>
      </c>
      <c r="EK40">
        <f>CM40</f>
        <v/>
      </c>
      <c r="EL40">
        <f>CO40</f>
        <v/>
      </c>
      <c r="EM40">
        <f>CQ40</f>
        <v/>
      </c>
      <c r="EN40">
        <f>CU40</f>
        <v/>
      </c>
      <c r="EO40">
        <f>CW40</f>
        <v/>
      </c>
      <c r="EP40">
        <f>DA40</f>
        <v/>
      </c>
      <c r="EQ40">
        <f>DC40</f>
        <v/>
      </c>
      <c r="ER40">
        <f>DG40</f>
        <v/>
      </c>
      <c r="ES40">
        <f>DI40</f>
        <v/>
      </c>
      <c r="ET40">
        <f>DK40</f>
        <v/>
      </c>
      <c r="EV40">
        <f>V40</f>
        <v/>
      </c>
      <c r="EW40">
        <f>X40</f>
        <v/>
      </c>
      <c r="EX40">
        <f>AD40</f>
        <v/>
      </c>
      <c r="EY40">
        <f>AH40</f>
        <v/>
      </c>
      <c r="EZ40">
        <f>"1"</f>
        <v/>
      </c>
      <c r="FA40">
        <f>BS40</f>
        <v/>
      </c>
      <c r="FB40" t="n">
        <v>0</v>
      </c>
      <c r="FC40">
        <f>CK40</f>
        <v/>
      </c>
      <c r="FD40">
        <f>DM40</f>
        <v/>
      </c>
    </row>
    <row r="41">
      <c r="D41" t="n">
        <v>2</v>
      </c>
      <c r="H41" t="inlineStr">
        <is>
          <t>c_jig_00301_jig1_charaget01_Boss_Colorless</t>
        </is>
      </c>
      <c r="L41" t="inlineStr">
        <is>
          <t>山田浅ェ門 仙汰</t>
        </is>
      </c>
      <c r="P41" t="inlineStr">
        <is>
          <t>Boss</t>
        </is>
      </c>
      <c r="R41" t="inlineStr">
        <is>
          <t>Colorless</t>
        </is>
      </c>
      <c r="T41" t="inlineStr">
        <is>
          <t>Defense</t>
        </is>
      </c>
      <c r="V41" t="inlineStr">
        <is>
          <t>Default</t>
        </is>
      </c>
      <c r="X41" t="inlineStr">
        <is>
          <t>Normal</t>
        </is>
      </c>
      <c r="AB41" t="n">
        <v>120000</v>
      </c>
      <c r="AD41" t="n">
        <v>12</v>
      </c>
      <c r="AF41" t="n">
        <v>300</v>
      </c>
      <c r="AH41" t="n">
        <v>3</v>
      </c>
      <c r="AJ41" t="n">
        <v>90</v>
      </c>
      <c r="AL41" t="n">
        <v>100</v>
      </c>
      <c r="AN41">
        <f>iferror(AF41*(50/(AJ41+AL41)),"攻撃力に数値を入力")</f>
        <v/>
      </c>
      <c r="AT41" t="inlineStr">
        <is>
          <t>中範囲攻撃</t>
        </is>
      </c>
      <c r="AY41" t="n">
        <v>5</v>
      </c>
      <c r="BA41" t="n">
        <v>117</v>
      </c>
      <c r="BE41" t="n">
        <v>21</v>
      </c>
      <c r="BG41" t="n">
        <v>0.18</v>
      </c>
      <c r="BI41" t="n">
        <v>0</v>
      </c>
      <c r="BK41" t="n">
        <v>0.19</v>
      </c>
      <c r="BM41" t="n">
        <v>1</v>
      </c>
      <c r="BO41" t="n">
        <v>1</v>
      </c>
      <c r="BQ41" t="n">
        <v>100</v>
      </c>
      <c r="BS41" t="n">
        <v>200</v>
      </c>
      <c r="CA41" t="inlineStr">
        <is>
          <t>ElapsedTime</t>
        </is>
      </c>
      <c r="CE41" t="n">
        <v>200</v>
      </c>
      <c r="CG41" t="n">
        <v>0</v>
      </c>
      <c r="CI41" t="n">
        <v>1</v>
      </c>
      <c r="CM41" t="inlineStr">
        <is>
          <t>None</t>
        </is>
      </c>
      <c r="CQ41" t="inlineStr">
        <is>
          <t>None</t>
        </is>
      </c>
      <c r="CW41" t="inlineStr">
        <is>
          <t>None</t>
        </is>
      </c>
      <c r="DC41" t="inlineStr">
        <is>
          <t>None</t>
        </is>
      </c>
      <c r="DK41" t="b">
        <v>0</v>
      </c>
      <c r="DM41" t="inlineStr">
        <is>
          <t>None</t>
        </is>
      </c>
      <c r="EA41">
        <f>B41</f>
        <v/>
      </c>
      <c r="EB41">
        <f>D41</f>
        <v/>
      </c>
      <c r="EC41">
        <f>F41</f>
        <v/>
      </c>
      <c r="ED41">
        <f>CA41</f>
        <v/>
      </c>
      <c r="EE41">
        <f>CE41</f>
        <v/>
      </c>
      <c r="EF41">
        <f>"SummonEnemy"</f>
        <v/>
      </c>
      <c r="EG41">
        <f>H41</f>
        <v/>
      </c>
      <c r="EI41">
        <f>CI41</f>
        <v/>
      </c>
      <c r="EJ41">
        <f>CG41</f>
        <v/>
      </c>
      <c r="EK41">
        <f>CM41</f>
        <v/>
      </c>
      <c r="EL41">
        <f>CO41</f>
        <v/>
      </c>
      <c r="EM41">
        <f>CQ41</f>
        <v/>
      </c>
      <c r="EN41">
        <f>CU41</f>
        <v/>
      </c>
      <c r="EO41">
        <f>CW41</f>
        <v/>
      </c>
      <c r="EP41">
        <f>DA41</f>
        <v/>
      </c>
      <c r="EQ41">
        <f>DC41</f>
        <v/>
      </c>
      <c r="ER41">
        <f>DG41</f>
        <v/>
      </c>
      <c r="ES41">
        <f>DI41</f>
        <v/>
      </c>
      <c r="ET41">
        <f>DK41</f>
        <v/>
      </c>
      <c r="EV41">
        <f>V41</f>
        <v/>
      </c>
      <c r="EW41">
        <f>X41</f>
        <v/>
      </c>
      <c r="EX41">
        <f>AD41</f>
        <v/>
      </c>
      <c r="EY41">
        <f>AH41</f>
        <v/>
      </c>
      <c r="EZ41">
        <f>"1"</f>
        <v/>
      </c>
      <c r="FA41">
        <f>BS41</f>
        <v/>
      </c>
      <c r="FB41" t="n">
        <v>0</v>
      </c>
      <c r="FC41">
        <f>CK41</f>
        <v/>
      </c>
      <c r="FD41">
        <f>DM41</f>
        <v/>
      </c>
    </row>
    <row r="42">
      <c r="D42" t="n">
        <v>3</v>
      </c>
      <c r="H42" t="inlineStr">
        <is>
          <t>e_jig_00301_jig1_charaget01_Normal_Green</t>
        </is>
      </c>
      <c r="L42" t="inlineStr">
        <is>
          <t>竈神 魚</t>
        </is>
      </c>
      <c r="P42" t="inlineStr">
        <is>
          <t>Normal</t>
        </is>
      </c>
      <c r="R42" t="inlineStr">
        <is>
          <t>Green</t>
        </is>
      </c>
      <c r="T42" t="inlineStr">
        <is>
          <t>Attack</t>
        </is>
      </c>
      <c r="V42" t="inlineStr">
        <is>
          <t>Default</t>
        </is>
      </c>
      <c r="X42" t="inlineStr">
        <is>
          <t>Normal</t>
        </is>
      </c>
      <c r="AB42" t="n">
        <v>15000</v>
      </c>
      <c r="AD42" t="n">
        <v>15</v>
      </c>
      <c r="AF42" t="n">
        <v>400</v>
      </c>
      <c r="AH42" t="n">
        <v>4</v>
      </c>
      <c r="AJ42" t="n">
        <v>75</v>
      </c>
      <c r="AL42" t="n">
        <v>10</v>
      </c>
      <c r="AN42">
        <f>iferror(AF42*(50/(AJ42+AL42)),"攻撃力に数値を入力")</f>
        <v/>
      </c>
      <c r="AY42" t="inlineStr">
        <is>
          <t>-</t>
        </is>
      </c>
      <c r="BA42" t="inlineStr">
        <is>
          <t>none</t>
        </is>
      </c>
      <c r="BE42" t="n">
        <v>37</v>
      </c>
      <c r="BG42" t="n">
        <v>0.22</v>
      </c>
      <c r="BI42" t="n">
        <v>0</v>
      </c>
      <c r="BK42" t="n">
        <v>0.23</v>
      </c>
      <c r="BM42" t="n">
        <v>1</v>
      </c>
      <c r="BO42" t="n">
        <v>4</v>
      </c>
      <c r="BQ42" t="n">
        <v>50</v>
      </c>
      <c r="BS42" t="n">
        <v>100</v>
      </c>
      <c r="CA42" t="inlineStr">
        <is>
          <t>FriendUnitDead</t>
        </is>
      </c>
      <c r="CE42" t="n">
        <v>1</v>
      </c>
      <c r="CG42" t="n">
        <v>0</v>
      </c>
      <c r="CI42" t="n">
        <v>1</v>
      </c>
      <c r="CK42" t="n">
        <v>50</v>
      </c>
      <c r="CM42" t="inlineStr">
        <is>
          <t>None</t>
        </is>
      </c>
      <c r="CQ42" t="inlineStr">
        <is>
          <t>None</t>
        </is>
      </c>
      <c r="CW42" t="inlineStr">
        <is>
          <t>None</t>
        </is>
      </c>
      <c r="DC42" t="inlineStr">
        <is>
          <t>None</t>
        </is>
      </c>
      <c r="DK42" t="b">
        <v>0</v>
      </c>
      <c r="DM42" t="inlineStr">
        <is>
          <t>None</t>
        </is>
      </c>
      <c r="EA42">
        <f>B42</f>
        <v/>
      </c>
      <c r="EB42">
        <f>D42</f>
        <v/>
      </c>
      <c r="EC42">
        <f>F42</f>
        <v/>
      </c>
      <c r="ED42">
        <f>CA42</f>
        <v/>
      </c>
      <c r="EE42">
        <f>CE42</f>
        <v/>
      </c>
      <c r="EF42">
        <f>"SummonEnemy"</f>
        <v/>
      </c>
      <c r="EG42">
        <f>H42</f>
        <v/>
      </c>
      <c r="EI42">
        <f>CI42</f>
        <v/>
      </c>
      <c r="EJ42">
        <f>CG42</f>
        <v/>
      </c>
      <c r="EK42">
        <f>CM42</f>
        <v/>
      </c>
      <c r="EL42">
        <f>CO42</f>
        <v/>
      </c>
      <c r="EM42">
        <f>CQ42</f>
        <v/>
      </c>
      <c r="EN42">
        <f>CU42</f>
        <v/>
      </c>
      <c r="EO42">
        <f>CW42</f>
        <v/>
      </c>
      <c r="EP42">
        <f>DA42</f>
        <v/>
      </c>
      <c r="EQ42">
        <f>DC42</f>
        <v/>
      </c>
      <c r="ER42">
        <f>DG42</f>
        <v/>
      </c>
      <c r="ES42">
        <f>DI42</f>
        <v/>
      </c>
      <c r="ET42">
        <f>DK42</f>
        <v/>
      </c>
      <c r="EV42">
        <f>V42</f>
        <v/>
      </c>
      <c r="EW42">
        <f>X42</f>
        <v/>
      </c>
      <c r="EX42">
        <f>AD42</f>
        <v/>
      </c>
      <c r="EY42">
        <f>AH42</f>
        <v/>
      </c>
      <c r="EZ42">
        <f>"1"</f>
        <v/>
      </c>
      <c r="FA42">
        <f>BS42</f>
        <v/>
      </c>
      <c r="FB42" t="n">
        <v>0</v>
      </c>
      <c r="FC42">
        <f>CK42</f>
        <v/>
      </c>
      <c r="FD42">
        <f>DM42</f>
        <v/>
      </c>
    </row>
    <row r="43">
      <c r="D43" t="n">
        <v>4</v>
      </c>
      <c r="H43" t="inlineStr">
        <is>
          <t>e_jig_00401_jig1_charaget01_Normal_Green</t>
        </is>
      </c>
      <c r="L43" t="inlineStr">
        <is>
          <t>極楽蝶</t>
        </is>
      </c>
      <c r="P43" t="inlineStr">
        <is>
          <t>Normal</t>
        </is>
      </c>
      <c r="R43" t="inlineStr">
        <is>
          <t>Green</t>
        </is>
      </c>
      <c r="T43" t="inlineStr">
        <is>
          <t>Technical</t>
        </is>
      </c>
      <c r="V43" t="inlineStr">
        <is>
          <t>Default</t>
        </is>
      </c>
      <c r="X43" t="inlineStr">
        <is>
          <t>Normal</t>
        </is>
      </c>
      <c r="AB43" t="n">
        <v>1000</v>
      </c>
      <c r="AD43" t="n">
        <v>1</v>
      </c>
      <c r="AF43" t="n">
        <v>250</v>
      </c>
      <c r="AH43" t="n">
        <v>2.5</v>
      </c>
      <c r="AJ43" t="n">
        <v>65</v>
      </c>
      <c r="AL43" t="n">
        <v>125</v>
      </c>
      <c r="AN43">
        <f>iferror(AF43*(50/(AJ43+AL43)),"攻撃力に数値を入力")</f>
        <v/>
      </c>
      <c r="AP43" t="inlineStr">
        <is>
          <t>100%の確率で6秒間1%の毒にする</t>
        </is>
      </c>
      <c r="AY43" t="inlineStr">
        <is>
          <t>-</t>
        </is>
      </c>
      <c r="BA43" t="inlineStr">
        <is>
          <t>none</t>
        </is>
      </c>
      <c r="BE43" t="n">
        <v>33</v>
      </c>
      <c r="BG43" t="n">
        <v>0.24</v>
      </c>
      <c r="BI43" t="n">
        <v>0</v>
      </c>
      <c r="BK43" t="n">
        <v>0.25</v>
      </c>
      <c r="BM43" t="n">
        <v>1</v>
      </c>
      <c r="BO43" t="n">
        <v>2</v>
      </c>
      <c r="BQ43" t="n">
        <v>50</v>
      </c>
      <c r="BS43" t="n">
        <v>50</v>
      </c>
      <c r="CA43" t="inlineStr">
        <is>
          <t>ElapsedTime</t>
        </is>
      </c>
      <c r="CE43" t="n">
        <v>800</v>
      </c>
      <c r="CG43" t="n">
        <v>250</v>
      </c>
      <c r="CI43" t="n">
        <v>4</v>
      </c>
      <c r="CM43" t="inlineStr">
        <is>
          <t>None</t>
        </is>
      </c>
      <c r="CQ43" t="inlineStr">
        <is>
          <t>None</t>
        </is>
      </c>
      <c r="CW43" t="inlineStr">
        <is>
          <t>None</t>
        </is>
      </c>
      <c r="DC43" t="inlineStr">
        <is>
          <t>None</t>
        </is>
      </c>
      <c r="DK43" t="b">
        <v>0</v>
      </c>
      <c r="DM43" t="inlineStr">
        <is>
          <t>None</t>
        </is>
      </c>
      <c r="EA43">
        <f>B43</f>
        <v/>
      </c>
      <c r="EB43">
        <f>D43</f>
        <v/>
      </c>
      <c r="EC43">
        <f>F43</f>
        <v/>
      </c>
      <c r="ED43">
        <f>CA43</f>
        <v/>
      </c>
      <c r="EE43">
        <f>CE43</f>
        <v/>
      </c>
      <c r="EF43">
        <f>"SummonEnemy"</f>
        <v/>
      </c>
      <c r="EG43">
        <f>H43</f>
        <v/>
      </c>
      <c r="EI43">
        <f>CI43</f>
        <v/>
      </c>
      <c r="EJ43">
        <f>CG43</f>
        <v/>
      </c>
      <c r="EK43">
        <f>CM43</f>
        <v/>
      </c>
      <c r="EL43">
        <f>CO43</f>
        <v/>
      </c>
      <c r="EM43">
        <f>CQ43</f>
        <v/>
      </c>
      <c r="EN43">
        <f>CU43</f>
        <v/>
      </c>
      <c r="EO43">
        <f>CW43</f>
        <v/>
      </c>
      <c r="EP43">
        <f>DA43</f>
        <v/>
      </c>
      <c r="EQ43">
        <f>DC43</f>
        <v/>
      </c>
      <c r="ER43">
        <f>DG43</f>
        <v/>
      </c>
      <c r="ES43">
        <f>DI43</f>
        <v/>
      </c>
      <c r="ET43">
        <f>DK43</f>
        <v/>
      </c>
      <c r="EV43">
        <f>V43</f>
        <v/>
      </c>
      <c r="EW43">
        <f>X43</f>
        <v/>
      </c>
      <c r="EX43">
        <f>AD43</f>
        <v/>
      </c>
      <c r="EY43">
        <f>AH43</f>
        <v/>
      </c>
      <c r="EZ43">
        <f>"1"</f>
        <v/>
      </c>
      <c r="FA43">
        <f>BS43</f>
        <v/>
      </c>
      <c r="FB43" t="n">
        <v>0</v>
      </c>
      <c r="FC43">
        <f>CK43</f>
        <v/>
      </c>
      <c r="FD43">
        <f>DM43</f>
        <v/>
      </c>
    </row>
    <row r="44">
      <c r="D44" t="n">
        <v>5</v>
      </c>
      <c r="H44" t="inlineStr">
        <is>
          <t>e_jig_00402_jig1_charaget01_Normal_Colorless</t>
        </is>
      </c>
      <c r="L44" t="inlineStr">
        <is>
          <t>極楽蝶</t>
        </is>
      </c>
      <c r="P44" t="inlineStr">
        <is>
          <t>Normal</t>
        </is>
      </c>
      <c r="R44" t="inlineStr">
        <is>
          <t>Colorless</t>
        </is>
      </c>
      <c r="T44" t="inlineStr">
        <is>
          <t>Defense</t>
        </is>
      </c>
      <c r="V44" t="inlineStr">
        <is>
          <t>Default</t>
        </is>
      </c>
      <c r="X44" t="inlineStr">
        <is>
          <t>Normal</t>
        </is>
      </c>
      <c r="AB44" t="n">
        <v>30000</v>
      </c>
      <c r="AD44" t="n">
        <v>30</v>
      </c>
      <c r="AF44" t="n">
        <v>150</v>
      </c>
      <c r="AH44" t="n">
        <v>1.5</v>
      </c>
      <c r="AJ44" t="n">
        <v>105</v>
      </c>
      <c r="AL44" t="n">
        <v>200</v>
      </c>
      <c r="AN44">
        <f>iferror(AF44*(50/(AJ44+AL44)),"攻撃力に数値を入力")</f>
        <v/>
      </c>
      <c r="AY44" t="inlineStr">
        <is>
          <t>-</t>
        </is>
      </c>
      <c r="BA44" t="inlineStr">
        <is>
          <t>none</t>
        </is>
      </c>
      <c r="BE44" t="n">
        <v>25</v>
      </c>
      <c r="BG44" t="n">
        <v>0.22</v>
      </c>
      <c r="BI44" t="n">
        <v>0</v>
      </c>
      <c r="BK44" t="n">
        <v>0.23</v>
      </c>
      <c r="BM44" t="n">
        <v>100</v>
      </c>
      <c r="BO44" t="n">
        <v>2</v>
      </c>
      <c r="BQ44" t="n">
        <v>50</v>
      </c>
      <c r="BS44" t="n">
        <v>50</v>
      </c>
      <c r="CA44" t="inlineStr">
        <is>
          <t>FriendUnitDead</t>
        </is>
      </c>
      <c r="CE44" t="n">
        <v>2</v>
      </c>
      <c r="CG44" t="n">
        <v>50</v>
      </c>
      <c r="CI44" t="n">
        <v>2</v>
      </c>
      <c r="CK44" t="n">
        <v>50</v>
      </c>
      <c r="CM44" t="inlineStr">
        <is>
          <t>None</t>
        </is>
      </c>
      <c r="CQ44" t="inlineStr">
        <is>
          <t>None</t>
        </is>
      </c>
      <c r="CW44" t="inlineStr">
        <is>
          <t>None</t>
        </is>
      </c>
      <c r="DC44" t="inlineStr">
        <is>
          <t>None</t>
        </is>
      </c>
      <c r="DK44" t="b">
        <v>0</v>
      </c>
      <c r="DM44" t="inlineStr">
        <is>
          <t>None</t>
        </is>
      </c>
      <c r="EA44">
        <f>B44</f>
        <v/>
      </c>
      <c r="EB44">
        <f>D44</f>
        <v/>
      </c>
      <c r="EC44">
        <f>F44</f>
        <v/>
      </c>
      <c r="ED44">
        <f>CA44</f>
        <v/>
      </c>
      <c r="EE44">
        <f>CE44</f>
        <v/>
      </c>
      <c r="EF44">
        <f>"SummonEnemy"</f>
        <v/>
      </c>
      <c r="EG44">
        <f>H44</f>
        <v/>
      </c>
      <c r="EI44">
        <f>CI44</f>
        <v/>
      </c>
      <c r="EJ44">
        <f>CG44</f>
        <v/>
      </c>
      <c r="EK44">
        <f>CM44</f>
        <v/>
      </c>
      <c r="EL44">
        <f>CO44</f>
        <v/>
      </c>
      <c r="EM44">
        <f>CQ44</f>
        <v/>
      </c>
      <c r="EN44">
        <f>CU44</f>
        <v/>
      </c>
      <c r="EO44">
        <f>CW44</f>
        <v/>
      </c>
      <c r="EP44">
        <f>DA44</f>
        <v/>
      </c>
      <c r="EQ44">
        <f>DC44</f>
        <v/>
      </c>
      <c r="ER44">
        <f>DG44</f>
        <v/>
      </c>
      <c r="ES44">
        <f>DI44</f>
        <v/>
      </c>
      <c r="ET44">
        <f>DK44</f>
        <v/>
      </c>
      <c r="EV44">
        <f>V44</f>
        <v/>
      </c>
      <c r="EW44">
        <f>X44</f>
        <v/>
      </c>
      <c r="EX44">
        <f>AD44</f>
        <v/>
      </c>
      <c r="EY44">
        <f>AH44</f>
        <v/>
      </c>
      <c r="EZ44">
        <f>"1"</f>
        <v/>
      </c>
      <c r="FA44">
        <f>BS44</f>
        <v/>
      </c>
      <c r="FB44" t="n">
        <v>0</v>
      </c>
      <c r="FC44">
        <f>CK44</f>
        <v/>
      </c>
      <c r="FD44">
        <f>DM44</f>
        <v/>
      </c>
    </row>
    <row r="45">
      <c r="L45" t="inlineStr">
        <is>
          <t>none</t>
        </is>
      </c>
      <c r="P45" t="inlineStr">
        <is>
          <t>none</t>
        </is>
      </c>
      <c r="R45" t="inlineStr">
        <is>
          <t>none</t>
        </is>
      </c>
      <c r="T45" t="inlineStr">
        <is>
          <t>none</t>
        </is>
      </c>
      <c r="V45" t="inlineStr">
        <is>
          <t>Default</t>
        </is>
      </c>
      <c r="X45" t="inlineStr">
        <is>
          <t>Normal</t>
        </is>
      </c>
      <c r="AB45" t="inlineStr">
        <is>
          <t>none</t>
        </is>
      </c>
      <c r="AD45" t="n">
        <v>1</v>
      </c>
      <c r="AF45" t="inlineStr">
        <is>
          <t>none</t>
        </is>
      </c>
      <c r="AH45" t="n">
        <v>1</v>
      </c>
      <c r="AJ45" t="inlineStr">
        <is>
          <t>none</t>
        </is>
      </c>
      <c r="AL45" t="inlineStr">
        <is>
          <t>none</t>
        </is>
      </c>
      <c r="AN45">
        <f>iferror(AF45*(50/(AJ45+AL45)),"攻撃力に数値を入力")</f>
        <v/>
      </c>
      <c r="AP45" t="inlineStr">
        <is>
          <t>none</t>
        </is>
      </c>
      <c r="AT45" t="inlineStr">
        <is>
          <t>none</t>
        </is>
      </c>
      <c r="AY45" t="inlineStr">
        <is>
          <t>none</t>
        </is>
      </c>
      <c r="BA45" t="inlineStr">
        <is>
          <t>none</t>
        </is>
      </c>
      <c r="BC45" t="inlineStr">
        <is>
          <t>none</t>
        </is>
      </c>
      <c r="BE45" t="inlineStr">
        <is>
          <t>none</t>
        </is>
      </c>
      <c r="BG45" t="inlineStr">
        <is>
          <t>none</t>
        </is>
      </c>
      <c r="BI45" t="inlineStr">
        <is>
          <t>none</t>
        </is>
      </c>
      <c r="BK45" t="inlineStr">
        <is>
          <t>none</t>
        </is>
      </c>
      <c r="BM45" t="inlineStr">
        <is>
          <t>none</t>
        </is>
      </c>
      <c r="BO45" t="inlineStr">
        <is>
          <t>none</t>
        </is>
      </c>
      <c r="BQ45" t="inlineStr">
        <is>
          <t>none</t>
        </is>
      </c>
      <c r="CA45" t="inlineStr">
        <is>
          <t>未入力</t>
        </is>
      </c>
      <c r="CM45" t="inlineStr">
        <is>
          <t>None</t>
        </is>
      </c>
      <c r="CQ45" t="inlineStr">
        <is>
          <t>None</t>
        </is>
      </c>
      <c r="CW45" t="inlineStr">
        <is>
          <t>None</t>
        </is>
      </c>
      <c r="DC45" t="inlineStr">
        <is>
          <t>None</t>
        </is>
      </c>
      <c r="DK45" t="b">
        <v>0</v>
      </c>
      <c r="DM45" t="inlineStr">
        <is>
          <t>None</t>
        </is>
      </c>
      <c r="EA45">
        <f>B45</f>
        <v/>
      </c>
      <c r="EB45">
        <f>D45</f>
        <v/>
      </c>
      <c r="EC45">
        <f>F45</f>
        <v/>
      </c>
      <c r="ED45">
        <f>CA45</f>
        <v/>
      </c>
      <c r="EE45">
        <f>CE45</f>
        <v/>
      </c>
      <c r="EF45">
        <f>"SummonEnemy"</f>
        <v/>
      </c>
      <c r="EG45">
        <f>H45</f>
        <v/>
      </c>
      <c r="EI45">
        <f>CI45</f>
        <v/>
      </c>
      <c r="EJ45">
        <f>CG45</f>
        <v/>
      </c>
      <c r="EK45">
        <f>CM45</f>
        <v/>
      </c>
      <c r="EL45">
        <f>CO45</f>
        <v/>
      </c>
      <c r="EM45">
        <f>CQ45</f>
        <v/>
      </c>
      <c r="EN45">
        <f>CU45</f>
        <v/>
      </c>
      <c r="EO45">
        <f>CW45</f>
        <v/>
      </c>
      <c r="EP45">
        <f>DA45</f>
        <v/>
      </c>
      <c r="EQ45">
        <f>DC45</f>
        <v/>
      </c>
      <c r="ER45">
        <f>DG45</f>
        <v/>
      </c>
      <c r="ES45">
        <f>DI45</f>
        <v/>
      </c>
      <c r="ET45">
        <f>DK45</f>
        <v/>
      </c>
      <c r="EV45">
        <f>V45</f>
        <v/>
      </c>
      <c r="EW45">
        <f>X45</f>
        <v/>
      </c>
      <c r="EX45">
        <f>AD45</f>
        <v/>
      </c>
      <c r="EY45">
        <f>AH45</f>
        <v/>
      </c>
      <c r="EZ45">
        <f>"1"</f>
        <v/>
      </c>
      <c r="FA45">
        <f>BS45</f>
        <v/>
      </c>
      <c r="FB45" t="n">
        <v>0</v>
      </c>
      <c r="FC45">
        <f>CK45</f>
        <v/>
      </c>
      <c r="FD45">
        <f>DM45</f>
        <v/>
      </c>
    </row>
    <row r="46">
      <c r="L46" t="inlineStr">
        <is>
          <t>none</t>
        </is>
      </c>
      <c r="P46" t="inlineStr">
        <is>
          <t>none</t>
        </is>
      </c>
      <c r="R46" t="inlineStr">
        <is>
          <t>none</t>
        </is>
      </c>
      <c r="T46" t="inlineStr">
        <is>
          <t>none</t>
        </is>
      </c>
      <c r="V46" t="inlineStr">
        <is>
          <t>Default</t>
        </is>
      </c>
      <c r="X46" t="inlineStr">
        <is>
          <t>Normal</t>
        </is>
      </c>
      <c r="AB46" t="inlineStr">
        <is>
          <t>none</t>
        </is>
      </c>
      <c r="AD46" t="n">
        <v>1</v>
      </c>
      <c r="AF46" t="inlineStr">
        <is>
          <t>none</t>
        </is>
      </c>
      <c r="AH46" t="n">
        <v>1</v>
      </c>
      <c r="AJ46" t="inlineStr">
        <is>
          <t>none</t>
        </is>
      </c>
      <c r="AL46" t="inlineStr">
        <is>
          <t>none</t>
        </is>
      </c>
      <c r="AN46">
        <f>iferror(AF46*(50/(AJ46+AL46)),"攻撃力に数値を入力")</f>
        <v/>
      </c>
      <c r="AP46" t="inlineStr">
        <is>
          <t>none</t>
        </is>
      </c>
      <c r="AT46" t="inlineStr">
        <is>
          <t>none</t>
        </is>
      </c>
      <c r="AY46" t="inlineStr">
        <is>
          <t>none</t>
        </is>
      </c>
      <c r="BA46" t="inlineStr">
        <is>
          <t>none</t>
        </is>
      </c>
      <c r="BC46" t="inlineStr">
        <is>
          <t>none</t>
        </is>
      </c>
      <c r="BE46" t="inlineStr">
        <is>
          <t>none</t>
        </is>
      </c>
      <c r="BG46" t="inlineStr">
        <is>
          <t>none</t>
        </is>
      </c>
      <c r="BI46" t="inlineStr">
        <is>
          <t>none</t>
        </is>
      </c>
      <c r="BK46" t="inlineStr">
        <is>
          <t>none</t>
        </is>
      </c>
      <c r="BM46" t="inlineStr">
        <is>
          <t>none</t>
        </is>
      </c>
      <c r="BO46" t="inlineStr">
        <is>
          <t>none</t>
        </is>
      </c>
      <c r="BQ46" t="inlineStr">
        <is>
          <t>none</t>
        </is>
      </c>
      <c r="CA46" t="inlineStr">
        <is>
          <t>未入力</t>
        </is>
      </c>
      <c r="CM46" t="inlineStr">
        <is>
          <t>None</t>
        </is>
      </c>
      <c r="CQ46" t="inlineStr">
        <is>
          <t>None</t>
        </is>
      </c>
      <c r="CW46" t="inlineStr">
        <is>
          <t>None</t>
        </is>
      </c>
      <c r="DC46" t="inlineStr">
        <is>
          <t>None</t>
        </is>
      </c>
      <c r="DK46" t="b">
        <v>0</v>
      </c>
      <c r="DM46" t="inlineStr">
        <is>
          <t>None</t>
        </is>
      </c>
      <c r="EA46">
        <f>B46</f>
        <v/>
      </c>
      <c r="EB46">
        <f>D46</f>
        <v/>
      </c>
      <c r="EC46">
        <f>F46</f>
        <v/>
      </c>
      <c r="ED46">
        <f>CA46</f>
        <v/>
      </c>
      <c r="EE46">
        <f>CE46</f>
        <v/>
      </c>
      <c r="EF46">
        <f>"SummonEnemy"</f>
        <v/>
      </c>
      <c r="EG46">
        <f>H46</f>
        <v/>
      </c>
      <c r="EI46">
        <f>CI46</f>
        <v/>
      </c>
      <c r="EJ46">
        <f>CG46</f>
        <v/>
      </c>
      <c r="EK46">
        <f>CM46</f>
        <v/>
      </c>
      <c r="EL46">
        <f>CO46</f>
        <v/>
      </c>
      <c r="EM46">
        <f>CQ46</f>
        <v/>
      </c>
      <c r="EN46">
        <f>CU46</f>
        <v/>
      </c>
      <c r="EO46">
        <f>CW46</f>
        <v/>
      </c>
      <c r="EP46">
        <f>DA46</f>
        <v/>
      </c>
      <c r="EQ46">
        <f>DC46</f>
        <v/>
      </c>
      <c r="ER46">
        <f>DG46</f>
        <v/>
      </c>
      <c r="ES46">
        <f>DI46</f>
        <v/>
      </c>
      <c r="ET46">
        <f>DK46</f>
        <v/>
      </c>
      <c r="EV46">
        <f>V46</f>
        <v/>
      </c>
      <c r="EW46">
        <f>X46</f>
        <v/>
      </c>
      <c r="EX46">
        <f>AD46</f>
        <v/>
      </c>
      <c r="EY46">
        <f>AH46</f>
        <v/>
      </c>
      <c r="EZ46">
        <f>"1"</f>
        <v/>
      </c>
      <c r="FA46">
        <f>BS46</f>
        <v/>
      </c>
      <c r="FB46" t="n">
        <v>0</v>
      </c>
      <c r="FC46">
        <f>CK46</f>
        <v/>
      </c>
      <c r="FD46">
        <f>DM46</f>
        <v/>
      </c>
    </row>
    <row r="47">
      <c r="L47" t="inlineStr">
        <is>
          <t>none</t>
        </is>
      </c>
      <c r="P47" t="inlineStr">
        <is>
          <t>none</t>
        </is>
      </c>
      <c r="R47" t="inlineStr">
        <is>
          <t>none</t>
        </is>
      </c>
      <c r="T47" t="inlineStr">
        <is>
          <t>none</t>
        </is>
      </c>
      <c r="V47" t="inlineStr">
        <is>
          <t>Default</t>
        </is>
      </c>
      <c r="X47" t="inlineStr">
        <is>
          <t>Normal</t>
        </is>
      </c>
      <c r="AB47" t="inlineStr">
        <is>
          <t>none</t>
        </is>
      </c>
      <c r="AD47" t="n">
        <v>1</v>
      </c>
      <c r="AF47" t="inlineStr">
        <is>
          <t>none</t>
        </is>
      </c>
      <c r="AH47" t="n">
        <v>1</v>
      </c>
      <c r="AJ47" t="inlineStr">
        <is>
          <t>none</t>
        </is>
      </c>
      <c r="AL47" t="inlineStr">
        <is>
          <t>none</t>
        </is>
      </c>
      <c r="AN47">
        <f>iferror(AF47*(50/(AJ47+AL47)),"攻撃力に数値を入力")</f>
        <v/>
      </c>
      <c r="AP47" t="inlineStr">
        <is>
          <t>none</t>
        </is>
      </c>
      <c r="AT47" t="inlineStr">
        <is>
          <t>none</t>
        </is>
      </c>
      <c r="AY47" t="inlineStr">
        <is>
          <t>none</t>
        </is>
      </c>
      <c r="BA47" t="inlineStr">
        <is>
          <t>none</t>
        </is>
      </c>
      <c r="BC47" t="inlineStr">
        <is>
          <t>none</t>
        </is>
      </c>
      <c r="BE47" t="inlineStr">
        <is>
          <t>none</t>
        </is>
      </c>
      <c r="BG47" t="inlineStr">
        <is>
          <t>none</t>
        </is>
      </c>
      <c r="BI47" t="inlineStr">
        <is>
          <t>none</t>
        </is>
      </c>
      <c r="BK47" t="inlineStr">
        <is>
          <t>none</t>
        </is>
      </c>
      <c r="BM47" t="inlineStr">
        <is>
          <t>none</t>
        </is>
      </c>
      <c r="BO47" t="inlineStr">
        <is>
          <t>none</t>
        </is>
      </c>
      <c r="BQ47" t="inlineStr">
        <is>
          <t>none</t>
        </is>
      </c>
      <c r="CA47" t="inlineStr">
        <is>
          <t>未入力</t>
        </is>
      </c>
      <c r="CM47" t="inlineStr">
        <is>
          <t>None</t>
        </is>
      </c>
      <c r="CQ47" t="inlineStr">
        <is>
          <t>None</t>
        </is>
      </c>
      <c r="CW47" t="inlineStr">
        <is>
          <t>None</t>
        </is>
      </c>
      <c r="DC47" t="inlineStr">
        <is>
          <t>None</t>
        </is>
      </c>
      <c r="DK47" t="b">
        <v>0</v>
      </c>
      <c r="DM47" t="inlineStr">
        <is>
          <t>None</t>
        </is>
      </c>
      <c r="EA47">
        <f>B47</f>
        <v/>
      </c>
      <c r="EB47">
        <f>D47</f>
        <v/>
      </c>
      <c r="EC47">
        <f>F47</f>
        <v/>
      </c>
      <c r="ED47">
        <f>CA47</f>
        <v/>
      </c>
      <c r="EE47">
        <f>CE47</f>
        <v/>
      </c>
      <c r="EF47">
        <f>"SummonEnemy"</f>
        <v/>
      </c>
      <c r="EG47">
        <f>H47</f>
        <v/>
      </c>
      <c r="EI47">
        <f>CI47</f>
        <v/>
      </c>
      <c r="EJ47">
        <f>CG47</f>
        <v/>
      </c>
      <c r="EK47">
        <f>CM47</f>
        <v/>
      </c>
      <c r="EL47">
        <f>CO47</f>
        <v/>
      </c>
      <c r="EM47">
        <f>CQ47</f>
        <v/>
      </c>
      <c r="EN47">
        <f>CU47</f>
        <v/>
      </c>
      <c r="EO47">
        <f>CW47</f>
        <v/>
      </c>
      <c r="EP47">
        <f>DA47</f>
        <v/>
      </c>
      <c r="EQ47">
        <f>DC47</f>
        <v/>
      </c>
      <c r="ER47">
        <f>DG47</f>
        <v/>
      </c>
      <c r="ES47">
        <f>DI47</f>
        <v/>
      </c>
      <c r="ET47">
        <f>DK47</f>
        <v/>
      </c>
      <c r="EV47">
        <f>V47</f>
        <v/>
      </c>
      <c r="EW47">
        <f>X47</f>
        <v/>
      </c>
      <c r="EX47">
        <f>AD47</f>
        <v/>
      </c>
      <c r="EY47">
        <f>AH47</f>
        <v/>
      </c>
      <c r="EZ47">
        <f>"1"</f>
        <v/>
      </c>
      <c r="FA47">
        <f>BS47</f>
        <v/>
      </c>
      <c r="FB47" t="n">
        <v>0</v>
      </c>
      <c r="FC47">
        <f>CK47</f>
        <v/>
      </c>
      <c r="FD47">
        <f>DM47</f>
        <v/>
      </c>
    </row>
    <row r="48">
      <c r="L48" t="inlineStr">
        <is>
          <t>none</t>
        </is>
      </c>
      <c r="P48" t="inlineStr">
        <is>
          <t>none</t>
        </is>
      </c>
      <c r="R48" t="inlineStr">
        <is>
          <t>none</t>
        </is>
      </c>
      <c r="T48" t="inlineStr">
        <is>
          <t>none</t>
        </is>
      </c>
      <c r="V48" t="inlineStr">
        <is>
          <t>Default</t>
        </is>
      </c>
      <c r="X48" t="inlineStr">
        <is>
          <t>Normal</t>
        </is>
      </c>
      <c r="AB48" t="inlineStr">
        <is>
          <t>none</t>
        </is>
      </c>
      <c r="AD48" t="n">
        <v>1</v>
      </c>
      <c r="AF48" t="inlineStr">
        <is>
          <t>none</t>
        </is>
      </c>
      <c r="AH48" t="n">
        <v>1</v>
      </c>
      <c r="AJ48" t="inlineStr">
        <is>
          <t>none</t>
        </is>
      </c>
      <c r="AL48" t="inlineStr">
        <is>
          <t>none</t>
        </is>
      </c>
      <c r="AN48">
        <f>iferror(AF48*(50/(AJ48+AL48)),"攻撃力に数値を入力")</f>
        <v/>
      </c>
      <c r="AP48" t="inlineStr">
        <is>
          <t>none</t>
        </is>
      </c>
      <c r="AT48" t="inlineStr">
        <is>
          <t>none</t>
        </is>
      </c>
      <c r="AY48" t="inlineStr">
        <is>
          <t>none</t>
        </is>
      </c>
      <c r="BA48" t="inlineStr">
        <is>
          <t>none</t>
        </is>
      </c>
      <c r="BC48" t="inlineStr">
        <is>
          <t>none</t>
        </is>
      </c>
      <c r="BE48" t="inlineStr">
        <is>
          <t>none</t>
        </is>
      </c>
      <c r="BG48" t="inlineStr">
        <is>
          <t>none</t>
        </is>
      </c>
      <c r="BI48" t="inlineStr">
        <is>
          <t>none</t>
        </is>
      </c>
      <c r="BK48" t="inlineStr">
        <is>
          <t>none</t>
        </is>
      </c>
      <c r="BM48" t="inlineStr">
        <is>
          <t>none</t>
        </is>
      </c>
      <c r="BO48" t="inlineStr">
        <is>
          <t>none</t>
        </is>
      </c>
      <c r="BQ48" t="inlineStr">
        <is>
          <t>none</t>
        </is>
      </c>
      <c r="CA48" t="inlineStr">
        <is>
          <t>未入力</t>
        </is>
      </c>
      <c r="CM48" t="inlineStr">
        <is>
          <t>None</t>
        </is>
      </c>
      <c r="CQ48" t="inlineStr">
        <is>
          <t>None</t>
        </is>
      </c>
      <c r="CW48" t="inlineStr">
        <is>
          <t>None</t>
        </is>
      </c>
      <c r="DC48" t="inlineStr">
        <is>
          <t>None</t>
        </is>
      </c>
      <c r="DK48" t="b">
        <v>0</v>
      </c>
      <c r="DM48" t="inlineStr">
        <is>
          <t>None</t>
        </is>
      </c>
      <c r="EA48">
        <f>B48</f>
        <v/>
      </c>
      <c r="EB48">
        <f>D48</f>
        <v/>
      </c>
      <c r="EC48">
        <f>F48</f>
        <v/>
      </c>
      <c r="ED48">
        <f>CA48</f>
        <v/>
      </c>
      <c r="EE48">
        <f>CE48</f>
        <v/>
      </c>
      <c r="EF48">
        <f>"SummonEnemy"</f>
        <v/>
      </c>
      <c r="EG48">
        <f>H48</f>
        <v/>
      </c>
      <c r="EI48">
        <f>CI48</f>
        <v/>
      </c>
      <c r="EJ48">
        <f>CG48</f>
        <v/>
      </c>
      <c r="EK48">
        <f>CM48</f>
        <v/>
      </c>
      <c r="EL48">
        <f>CO48</f>
        <v/>
      </c>
      <c r="EM48">
        <f>CQ48</f>
        <v/>
      </c>
      <c r="EN48">
        <f>CU48</f>
        <v/>
      </c>
      <c r="EO48">
        <f>CW48</f>
        <v/>
      </c>
      <c r="EP48">
        <f>DA48</f>
        <v/>
      </c>
      <c r="EQ48">
        <f>DC48</f>
        <v/>
      </c>
      <c r="ER48">
        <f>DG48</f>
        <v/>
      </c>
      <c r="ES48">
        <f>DI48</f>
        <v/>
      </c>
      <c r="ET48">
        <f>DK48</f>
        <v/>
      </c>
      <c r="EV48">
        <f>V48</f>
        <v/>
      </c>
      <c r="EW48">
        <f>X48</f>
        <v/>
      </c>
      <c r="EX48">
        <f>AD48</f>
        <v/>
      </c>
      <c r="EY48">
        <f>AH48</f>
        <v/>
      </c>
      <c r="EZ48">
        <f>"1"</f>
        <v/>
      </c>
      <c r="FA48">
        <f>BS48</f>
        <v/>
      </c>
      <c r="FB48" t="n">
        <v>0</v>
      </c>
      <c r="FC48">
        <f>CK48</f>
        <v/>
      </c>
      <c r="FD48">
        <f>DM48</f>
        <v/>
      </c>
    </row>
    <row r="49">
      <c r="L49" t="inlineStr">
        <is>
          <t>none</t>
        </is>
      </c>
      <c r="P49" t="inlineStr">
        <is>
          <t>none</t>
        </is>
      </c>
      <c r="R49" t="inlineStr">
        <is>
          <t>none</t>
        </is>
      </c>
      <c r="T49" t="inlineStr">
        <is>
          <t>none</t>
        </is>
      </c>
      <c r="V49" t="inlineStr">
        <is>
          <t>Default</t>
        </is>
      </c>
      <c r="X49" t="inlineStr">
        <is>
          <t>Normal</t>
        </is>
      </c>
      <c r="AB49" t="inlineStr">
        <is>
          <t>none</t>
        </is>
      </c>
      <c r="AD49" t="n">
        <v>1</v>
      </c>
      <c r="AF49" t="inlineStr">
        <is>
          <t>none</t>
        </is>
      </c>
      <c r="AH49" t="n">
        <v>1</v>
      </c>
      <c r="AJ49" t="inlineStr">
        <is>
          <t>none</t>
        </is>
      </c>
      <c r="AL49" t="inlineStr">
        <is>
          <t>none</t>
        </is>
      </c>
      <c r="AN49">
        <f>iferror(AF49*(50/(AJ49+AL49)),"攻撃力に数値を入力")</f>
        <v/>
      </c>
      <c r="AP49" t="inlineStr">
        <is>
          <t>none</t>
        </is>
      </c>
      <c r="AT49" t="inlineStr">
        <is>
          <t>none</t>
        </is>
      </c>
      <c r="AY49" t="inlineStr">
        <is>
          <t>none</t>
        </is>
      </c>
      <c r="BA49" t="inlineStr">
        <is>
          <t>none</t>
        </is>
      </c>
      <c r="BC49" t="inlineStr">
        <is>
          <t>none</t>
        </is>
      </c>
      <c r="BE49" t="inlineStr">
        <is>
          <t>none</t>
        </is>
      </c>
      <c r="BG49" t="inlineStr">
        <is>
          <t>none</t>
        </is>
      </c>
      <c r="BI49" t="inlineStr">
        <is>
          <t>none</t>
        </is>
      </c>
      <c r="BK49" t="inlineStr">
        <is>
          <t>none</t>
        </is>
      </c>
      <c r="BM49" t="inlineStr">
        <is>
          <t>none</t>
        </is>
      </c>
      <c r="BO49" t="inlineStr">
        <is>
          <t>none</t>
        </is>
      </c>
      <c r="BQ49" t="inlineStr">
        <is>
          <t>none</t>
        </is>
      </c>
      <c r="CA49" t="inlineStr">
        <is>
          <t>未入力</t>
        </is>
      </c>
      <c r="CM49" t="inlineStr">
        <is>
          <t>None</t>
        </is>
      </c>
      <c r="CQ49" t="inlineStr">
        <is>
          <t>None</t>
        </is>
      </c>
      <c r="CW49" t="inlineStr">
        <is>
          <t>None</t>
        </is>
      </c>
      <c r="DC49" t="inlineStr">
        <is>
          <t>None</t>
        </is>
      </c>
      <c r="DK49" t="b">
        <v>0</v>
      </c>
      <c r="DM49" t="inlineStr">
        <is>
          <t>None</t>
        </is>
      </c>
      <c r="EA49">
        <f>B49</f>
        <v/>
      </c>
      <c r="EB49">
        <f>D49</f>
        <v/>
      </c>
      <c r="EC49">
        <f>F49</f>
        <v/>
      </c>
      <c r="ED49">
        <f>CA49</f>
        <v/>
      </c>
      <c r="EE49">
        <f>CE49</f>
        <v/>
      </c>
      <c r="EF49">
        <f>"SummonEnemy"</f>
        <v/>
      </c>
      <c r="EG49">
        <f>H49</f>
        <v/>
      </c>
      <c r="EI49">
        <f>CI49</f>
        <v/>
      </c>
      <c r="EJ49">
        <f>CG49</f>
        <v/>
      </c>
      <c r="EK49">
        <f>CM49</f>
        <v/>
      </c>
      <c r="EL49">
        <f>CO49</f>
        <v/>
      </c>
      <c r="EM49">
        <f>CQ49</f>
        <v/>
      </c>
      <c r="EN49">
        <f>CU49</f>
        <v/>
      </c>
      <c r="EO49">
        <f>CW49</f>
        <v/>
      </c>
      <c r="EP49">
        <f>DA49</f>
        <v/>
      </c>
      <c r="EQ49">
        <f>DC49</f>
        <v/>
      </c>
      <c r="ER49">
        <f>DG49</f>
        <v/>
      </c>
      <c r="ES49">
        <f>DI49</f>
        <v/>
      </c>
      <c r="ET49">
        <f>DK49</f>
        <v/>
      </c>
      <c r="EV49">
        <f>V49</f>
        <v/>
      </c>
      <c r="EW49">
        <f>X49</f>
        <v/>
      </c>
      <c r="EX49">
        <f>AD49</f>
        <v/>
      </c>
      <c r="EY49">
        <f>AH49</f>
        <v/>
      </c>
      <c r="EZ49">
        <f>"1"</f>
        <v/>
      </c>
      <c r="FA49">
        <f>BS49</f>
        <v/>
      </c>
      <c r="FB49" t="n">
        <v>0</v>
      </c>
      <c r="FC49">
        <f>CK49</f>
        <v/>
      </c>
      <c r="FD49">
        <f>DM49</f>
        <v/>
      </c>
    </row>
    <row r="50">
      <c r="L50" t="inlineStr">
        <is>
          <t>none</t>
        </is>
      </c>
      <c r="P50" t="inlineStr">
        <is>
          <t>none</t>
        </is>
      </c>
      <c r="R50" t="inlineStr">
        <is>
          <t>none</t>
        </is>
      </c>
      <c r="T50" t="inlineStr">
        <is>
          <t>none</t>
        </is>
      </c>
      <c r="V50" t="inlineStr">
        <is>
          <t>Default</t>
        </is>
      </c>
      <c r="X50" t="inlineStr">
        <is>
          <t>Normal</t>
        </is>
      </c>
      <c r="AB50" t="inlineStr">
        <is>
          <t>none</t>
        </is>
      </c>
      <c r="AD50" t="n">
        <v>1</v>
      </c>
      <c r="AF50" t="inlineStr">
        <is>
          <t>none</t>
        </is>
      </c>
      <c r="AH50" t="n">
        <v>1</v>
      </c>
      <c r="AJ50" t="inlineStr">
        <is>
          <t>none</t>
        </is>
      </c>
      <c r="AL50" t="inlineStr">
        <is>
          <t>none</t>
        </is>
      </c>
      <c r="AN50">
        <f>iferror(AF50*(50/(AJ50+AL50)),"攻撃力に数値を入力")</f>
        <v/>
      </c>
      <c r="AP50" t="inlineStr">
        <is>
          <t>none</t>
        </is>
      </c>
      <c r="AT50" t="inlineStr">
        <is>
          <t>none</t>
        </is>
      </c>
      <c r="AY50" t="inlineStr">
        <is>
          <t>none</t>
        </is>
      </c>
      <c r="BA50" t="inlineStr">
        <is>
          <t>none</t>
        </is>
      </c>
      <c r="BC50" t="inlineStr">
        <is>
          <t>none</t>
        </is>
      </c>
      <c r="BE50" t="inlineStr">
        <is>
          <t>none</t>
        </is>
      </c>
      <c r="BG50" t="inlineStr">
        <is>
          <t>none</t>
        </is>
      </c>
      <c r="BI50" t="inlineStr">
        <is>
          <t>none</t>
        </is>
      </c>
      <c r="BK50" t="inlineStr">
        <is>
          <t>none</t>
        </is>
      </c>
      <c r="BM50" t="inlineStr">
        <is>
          <t>none</t>
        </is>
      </c>
      <c r="BO50" t="inlineStr">
        <is>
          <t>none</t>
        </is>
      </c>
      <c r="BQ50" t="inlineStr">
        <is>
          <t>none</t>
        </is>
      </c>
      <c r="CA50" t="inlineStr">
        <is>
          <t>未入力</t>
        </is>
      </c>
      <c r="CM50" t="inlineStr">
        <is>
          <t>None</t>
        </is>
      </c>
      <c r="CQ50" t="inlineStr">
        <is>
          <t>None</t>
        </is>
      </c>
      <c r="CW50" t="inlineStr">
        <is>
          <t>None</t>
        </is>
      </c>
      <c r="DC50" t="inlineStr">
        <is>
          <t>None</t>
        </is>
      </c>
      <c r="DK50" t="b">
        <v>0</v>
      </c>
      <c r="DM50" t="inlineStr">
        <is>
          <t>None</t>
        </is>
      </c>
      <c r="EA50">
        <f>B50</f>
        <v/>
      </c>
      <c r="EB50">
        <f>D50</f>
        <v/>
      </c>
      <c r="EC50">
        <f>F50</f>
        <v/>
      </c>
      <c r="ED50">
        <f>CA50</f>
        <v/>
      </c>
      <c r="EE50">
        <f>CE50</f>
        <v/>
      </c>
      <c r="EF50">
        <f>"SummonEnemy"</f>
        <v/>
      </c>
      <c r="EG50">
        <f>H50</f>
        <v/>
      </c>
      <c r="EI50">
        <f>CI50</f>
        <v/>
      </c>
      <c r="EJ50">
        <f>CG50</f>
        <v/>
      </c>
      <c r="EK50">
        <f>CM50</f>
        <v/>
      </c>
      <c r="EL50">
        <f>CO50</f>
        <v/>
      </c>
      <c r="EM50">
        <f>CQ50</f>
        <v/>
      </c>
      <c r="EN50">
        <f>CU50</f>
        <v/>
      </c>
      <c r="EO50">
        <f>CW50</f>
        <v/>
      </c>
      <c r="EP50">
        <f>DA50</f>
        <v/>
      </c>
      <c r="EQ50">
        <f>DC50</f>
        <v/>
      </c>
      <c r="ER50">
        <f>DG50</f>
        <v/>
      </c>
      <c r="ES50">
        <f>DI50</f>
        <v/>
      </c>
      <c r="ET50">
        <f>DK50</f>
        <v/>
      </c>
      <c r="EV50">
        <f>V50</f>
        <v/>
      </c>
      <c r="EW50">
        <f>X50</f>
        <v/>
      </c>
      <c r="EX50">
        <f>AD50</f>
        <v/>
      </c>
      <c r="EY50">
        <f>AH50</f>
        <v/>
      </c>
      <c r="EZ50">
        <f>"1"</f>
        <v/>
      </c>
      <c r="FA50">
        <f>BS50</f>
        <v/>
      </c>
      <c r="FB50" t="n">
        <v>0</v>
      </c>
      <c r="FC50">
        <f>CK50</f>
        <v/>
      </c>
      <c r="FD50">
        <f>DM50</f>
        <v/>
      </c>
    </row>
    <row r="51">
      <c r="L51" t="inlineStr">
        <is>
          <t>none</t>
        </is>
      </c>
      <c r="P51" t="inlineStr">
        <is>
          <t>none</t>
        </is>
      </c>
      <c r="R51" t="inlineStr">
        <is>
          <t>none</t>
        </is>
      </c>
      <c r="T51" t="inlineStr">
        <is>
          <t>none</t>
        </is>
      </c>
      <c r="V51" t="inlineStr">
        <is>
          <t>Default</t>
        </is>
      </c>
      <c r="X51" t="inlineStr">
        <is>
          <t>Normal</t>
        </is>
      </c>
      <c r="AB51" t="inlineStr">
        <is>
          <t>none</t>
        </is>
      </c>
      <c r="AD51" t="n">
        <v>1</v>
      </c>
      <c r="AF51" t="inlineStr">
        <is>
          <t>none</t>
        </is>
      </c>
      <c r="AH51" t="n">
        <v>1</v>
      </c>
      <c r="AJ51" t="inlineStr">
        <is>
          <t>none</t>
        </is>
      </c>
      <c r="AL51" t="inlineStr">
        <is>
          <t>none</t>
        </is>
      </c>
      <c r="AN51">
        <f>iferror(AF51*(50/(AJ51+AL51)),"攻撃力に数値を入力")</f>
        <v/>
      </c>
      <c r="AP51" t="inlineStr">
        <is>
          <t>none</t>
        </is>
      </c>
      <c r="AT51" t="inlineStr">
        <is>
          <t>none</t>
        </is>
      </c>
      <c r="AY51" t="inlineStr">
        <is>
          <t>none</t>
        </is>
      </c>
      <c r="BA51" t="inlineStr">
        <is>
          <t>none</t>
        </is>
      </c>
      <c r="BC51" t="inlineStr">
        <is>
          <t>none</t>
        </is>
      </c>
      <c r="BE51" t="inlineStr">
        <is>
          <t>none</t>
        </is>
      </c>
      <c r="BG51" t="inlineStr">
        <is>
          <t>none</t>
        </is>
      </c>
      <c r="BI51" t="inlineStr">
        <is>
          <t>none</t>
        </is>
      </c>
      <c r="BK51" t="inlineStr">
        <is>
          <t>none</t>
        </is>
      </c>
      <c r="BM51" t="inlineStr">
        <is>
          <t>none</t>
        </is>
      </c>
      <c r="BO51" t="inlineStr">
        <is>
          <t>none</t>
        </is>
      </c>
      <c r="BQ51" t="inlineStr">
        <is>
          <t>none</t>
        </is>
      </c>
      <c r="CA51" t="inlineStr">
        <is>
          <t>未入力</t>
        </is>
      </c>
      <c r="CM51" t="inlineStr">
        <is>
          <t>None</t>
        </is>
      </c>
      <c r="CQ51" t="inlineStr">
        <is>
          <t>None</t>
        </is>
      </c>
      <c r="CW51" t="inlineStr">
        <is>
          <t>None</t>
        </is>
      </c>
      <c r="DC51" t="inlineStr">
        <is>
          <t>None</t>
        </is>
      </c>
      <c r="DK51" t="b">
        <v>0</v>
      </c>
      <c r="DM51" t="inlineStr">
        <is>
          <t>None</t>
        </is>
      </c>
      <c r="EA51">
        <f>B51</f>
        <v/>
      </c>
      <c r="EB51">
        <f>D51</f>
        <v/>
      </c>
      <c r="EC51">
        <f>F51</f>
        <v/>
      </c>
      <c r="ED51">
        <f>CA51</f>
        <v/>
      </c>
      <c r="EE51">
        <f>CE51</f>
        <v/>
      </c>
      <c r="EF51">
        <f>"SummonEnemy"</f>
        <v/>
      </c>
      <c r="EG51">
        <f>H51</f>
        <v/>
      </c>
      <c r="EI51">
        <f>CI51</f>
        <v/>
      </c>
      <c r="EJ51">
        <f>CG51</f>
        <v/>
      </c>
      <c r="EK51">
        <f>CM51</f>
        <v/>
      </c>
      <c r="EL51">
        <f>CO51</f>
        <v/>
      </c>
      <c r="EM51">
        <f>CQ51</f>
        <v/>
      </c>
      <c r="EN51">
        <f>CU51</f>
        <v/>
      </c>
      <c r="EO51">
        <f>CW51</f>
        <v/>
      </c>
      <c r="EP51">
        <f>DA51</f>
        <v/>
      </c>
      <c r="EQ51">
        <f>DC51</f>
        <v/>
      </c>
      <c r="ER51">
        <f>DG51</f>
        <v/>
      </c>
      <c r="ES51">
        <f>DI51</f>
        <v/>
      </c>
      <c r="ET51">
        <f>DK51</f>
        <v/>
      </c>
      <c r="EV51">
        <f>V51</f>
        <v/>
      </c>
      <c r="EW51">
        <f>X51</f>
        <v/>
      </c>
      <c r="EX51">
        <f>AD51</f>
        <v/>
      </c>
      <c r="EY51">
        <f>AH51</f>
        <v/>
      </c>
      <c r="EZ51">
        <f>"1"</f>
        <v/>
      </c>
      <c r="FA51">
        <f>BS51</f>
        <v/>
      </c>
      <c r="FB51" t="n">
        <v>0</v>
      </c>
      <c r="FC51">
        <f>CK51</f>
        <v/>
      </c>
      <c r="FD51">
        <f>DM51</f>
        <v/>
      </c>
    </row>
    <row r="52">
      <c r="L52" t="inlineStr">
        <is>
          <t>none</t>
        </is>
      </c>
      <c r="P52" t="inlineStr">
        <is>
          <t>none</t>
        </is>
      </c>
      <c r="R52" t="inlineStr">
        <is>
          <t>none</t>
        </is>
      </c>
      <c r="T52" t="inlineStr">
        <is>
          <t>none</t>
        </is>
      </c>
      <c r="V52" t="inlineStr">
        <is>
          <t>Default</t>
        </is>
      </c>
      <c r="X52" t="inlineStr">
        <is>
          <t>Normal</t>
        </is>
      </c>
      <c r="AB52" t="inlineStr">
        <is>
          <t>none</t>
        </is>
      </c>
      <c r="AD52" t="n">
        <v>1</v>
      </c>
      <c r="AF52" t="inlineStr">
        <is>
          <t>none</t>
        </is>
      </c>
      <c r="AH52" t="n">
        <v>1</v>
      </c>
      <c r="AJ52" t="inlineStr">
        <is>
          <t>none</t>
        </is>
      </c>
      <c r="AL52" t="inlineStr">
        <is>
          <t>none</t>
        </is>
      </c>
      <c r="AN52">
        <f>iferror(AF52*(50/(AJ52+AL52)),"攻撃力に数値を入力")</f>
        <v/>
      </c>
      <c r="AP52" t="inlineStr">
        <is>
          <t>none</t>
        </is>
      </c>
      <c r="AT52" t="inlineStr">
        <is>
          <t>none</t>
        </is>
      </c>
      <c r="AY52" t="inlineStr">
        <is>
          <t>none</t>
        </is>
      </c>
      <c r="BA52" t="inlineStr">
        <is>
          <t>none</t>
        </is>
      </c>
      <c r="BC52" t="inlineStr">
        <is>
          <t>none</t>
        </is>
      </c>
      <c r="BE52" t="inlineStr">
        <is>
          <t>none</t>
        </is>
      </c>
      <c r="BG52" t="inlineStr">
        <is>
          <t>none</t>
        </is>
      </c>
      <c r="BI52" t="inlineStr">
        <is>
          <t>none</t>
        </is>
      </c>
      <c r="BK52" t="inlineStr">
        <is>
          <t>none</t>
        </is>
      </c>
      <c r="BM52" t="inlineStr">
        <is>
          <t>none</t>
        </is>
      </c>
      <c r="BO52" t="inlineStr">
        <is>
          <t>none</t>
        </is>
      </c>
      <c r="BQ52" t="inlineStr">
        <is>
          <t>none</t>
        </is>
      </c>
      <c r="CA52" t="inlineStr">
        <is>
          <t>未入力</t>
        </is>
      </c>
      <c r="CM52" t="inlineStr">
        <is>
          <t>None</t>
        </is>
      </c>
      <c r="CQ52" t="inlineStr">
        <is>
          <t>None</t>
        </is>
      </c>
      <c r="CW52" t="inlineStr">
        <is>
          <t>None</t>
        </is>
      </c>
      <c r="DC52" t="inlineStr">
        <is>
          <t>None</t>
        </is>
      </c>
      <c r="DK52" t="b">
        <v>0</v>
      </c>
      <c r="DM52" t="inlineStr">
        <is>
          <t>None</t>
        </is>
      </c>
      <c r="EA52">
        <f>B52</f>
        <v/>
      </c>
      <c r="EB52">
        <f>D52</f>
        <v/>
      </c>
      <c r="EC52">
        <f>F52</f>
        <v/>
      </c>
      <c r="ED52">
        <f>CA52</f>
        <v/>
      </c>
      <c r="EE52">
        <f>CE52</f>
        <v/>
      </c>
      <c r="EF52">
        <f>"SummonEnemy"</f>
        <v/>
      </c>
      <c r="EG52">
        <f>H52</f>
        <v/>
      </c>
      <c r="EI52">
        <f>CI52</f>
        <v/>
      </c>
      <c r="EJ52">
        <f>CG52</f>
        <v/>
      </c>
      <c r="EK52">
        <f>CM52</f>
        <v/>
      </c>
      <c r="EL52">
        <f>CO52</f>
        <v/>
      </c>
      <c r="EM52">
        <f>CQ52</f>
        <v/>
      </c>
      <c r="EN52">
        <f>CU52</f>
        <v/>
      </c>
      <c r="EO52">
        <f>CW52</f>
        <v/>
      </c>
      <c r="EP52">
        <f>DA52</f>
        <v/>
      </c>
      <c r="EQ52">
        <f>DC52</f>
        <v/>
      </c>
      <c r="ER52">
        <f>DG52</f>
        <v/>
      </c>
      <c r="ES52">
        <f>DI52</f>
        <v/>
      </c>
      <c r="ET52">
        <f>DK52</f>
        <v/>
      </c>
      <c r="EV52">
        <f>V52</f>
        <v/>
      </c>
      <c r="EW52">
        <f>X52</f>
        <v/>
      </c>
      <c r="EX52">
        <f>AD52</f>
        <v/>
      </c>
      <c r="EY52">
        <f>AH52</f>
        <v/>
      </c>
      <c r="EZ52">
        <f>"1"</f>
        <v/>
      </c>
      <c r="FA52">
        <f>BS52</f>
        <v/>
      </c>
      <c r="FB52" t="n">
        <v>0</v>
      </c>
      <c r="FC52">
        <f>CK52</f>
        <v/>
      </c>
      <c r="FD52">
        <f>DM52</f>
        <v/>
      </c>
    </row>
    <row r="53">
      <c r="L53" t="inlineStr">
        <is>
          <t>none</t>
        </is>
      </c>
      <c r="P53" t="inlineStr">
        <is>
          <t>none</t>
        </is>
      </c>
      <c r="R53" t="inlineStr">
        <is>
          <t>none</t>
        </is>
      </c>
      <c r="T53" t="inlineStr">
        <is>
          <t>none</t>
        </is>
      </c>
      <c r="V53" t="inlineStr">
        <is>
          <t>Default</t>
        </is>
      </c>
      <c r="X53" t="inlineStr">
        <is>
          <t>Normal</t>
        </is>
      </c>
      <c r="AB53" t="inlineStr">
        <is>
          <t>none</t>
        </is>
      </c>
      <c r="AD53" t="n">
        <v>1</v>
      </c>
      <c r="AF53" t="inlineStr">
        <is>
          <t>none</t>
        </is>
      </c>
      <c r="AH53" t="n">
        <v>1</v>
      </c>
      <c r="AJ53" t="inlineStr">
        <is>
          <t>none</t>
        </is>
      </c>
      <c r="AL53" t="inlineStr">
        <is>
          <t>none</t>
        </is>
      </c>
      <c r="AN53">
        <f>iferror(AF53*(50/(AJ53+AL53)),"攻撃力に数値を入力")</f>
        <v/>
      </c>
      <c r="AP53" t="inlineStr">
        <is>
          <t>none</t>
        </is>
      </c>
      <c r="AT53" t="inlineStr">
        <is>
          <t>none</t>
        </is>
      </c>
      <c r="AY53" t="inlineStr">
        <is>
          <t>none</t>
        </is>
      </c>
      <c r="BA53" t="inlineStr">
        <is>
          <t>none</t>
        </is>
      </c>
      <c r="BC53" t="inlineStr">
        <is>
          <t>none</t>
        </is>
      </c>
      <c r="BE53" t="inlineStr">
        <is>
          <t>none</t>
        </is>
      </c>
      <c r="BG53" t="inlineStr">
        <is>
          <t>none</t>
        </is>
      </c>
      <c r="BI53" t="inlineStr">
        <is>
          <t>none</t>
        </is>
      </c>
      <c r="BK53" t="inlineStr">
        <is>
          <t>none</t>
        </is>
      </c>
      <c r="BM53" t="inlineStr">
        <is>
          <t>none</t>
        </is>
      </c>
      <c r="BO53" t="inlineStr">
        <is>
          <t>none</t>
        </is>
      </c>
      <c r="BQ53" t="inlineStr">
        <is>
          <t>none</t>
        </is>
      </c>
      <c r="CA53" t="inlineStr">
        <is>
          <t>未入力</t>
        </is>
      </c>
      <c r="CM53" t="inlineStr">
        <is>
          <t>None</t>
        </is>
      </c>
      <c r="CQ53" t="inlineStr">
        <is>
          <t>None</t>
        </is>
      </c>
      <c r="CW53" t="inlineStr">
        <is>
          <t>None</t>
        </is>
      </c>
      <c r="DC53" t="inlineStr">
        <is>
          <t>None</t>
        </is>
      </c>
      <c r="DK53" t="b">
        <v>0</v>
      </c>
      <c r="DM53" t="inlineStr">
        <is>
          <t>None</t>
        </is>
      </c>
      <c r="EA53">
        <f>B53</f>
        <v/>
      </c>
      <c r="EB53">
        <f>D53</f>
        <v/>
      </c>
      <c r="EC53">
        <f>F53</f>
        <v/>
      </c>
      <c r="ED53">
        <f>CA53</f>
        <v/>
      </c>
      <c r="EE53">
        <f>CE53</f>
        <v/>
      </c>
      <c r="EF53">
        <f>"SummonEnemy"</f>
        <v/>
      </c>
      <c r="EG53">
        <f>H53</f>
        <v/>
      </c>
      <c r="EI53">
        <f>CI53</f>
        <v/>
      </c>
      <c r="EJ53">
        <f>CG53</f>
        <v/>
      </c>
      <c r="EK53">
        <f>CM53</f>
        <v/>
      </c>
      <c r="EL53">
        <f>CO53</f>
        <v/>
      </c>
      <c r="EM53">
        <f>CQ53</f>
        <v/>
      </c>
      <c r="EN53">
        <f>CU53</f>
        <v/>
      </c>
      <c r="EO53">
        <f>CW53</f>
        <v/>
      </c>
      <c r="EP53">
        <f>DA53</f>
        <v/>
      </c>
      <c r="EQ53">
        <f>DC53</f>
        <v/>
      </c>
      <c r="ER53">
        <f>DG53</f>
        <v/>
      </c>
      <c r="ES53">
        <f>DI53</f>
        <v/>
      </c>
      <c r="ET53">
        <f>DK53</f>
        <v/>
      </c>
      <c r="EV53">
        <f>V53</f>
        <v/>
      </c>
      <c r="EW53">
        <f>X53</f>
        <v/>
      </c>
      <c r="EX53">
        <f>AD53</f>
        <v/>
      </c>
      <c r="EY53">
        <f>AH53</f>
        <v/>
      </c>
      <c r="EZ53">
        <f>"1"</f>
        <v/>
      </c>
      <c r="FA53">
        <f>BS53</f>
        <v/>
      </c>
      <c r="FB53" t="n">
        <v>0</v>
      </c>
      <c r="FC53">
        <f>CK53</f>
        <v/>
      </c>
      <c r="FD53">
        <f>DM53</f>
        <v/>
      </c>
    </row>
    <row r="54">
      <c r="L54" t="inlineStr">
        <is>
          <t>none</t>
        </is>
      </c>
      <c r="P54" t="inlineStr">
        <is>
          <t>none</t>
        </is>
      </c>
      <c r="R54" t="inlineStr">
        <is>
          <t>none</t>
        </is>
      </c>
      <c r="T54" t="inlineStr">
        <is>
          <t>none</t>
        </is>
      </c>
      <c r="V54" t="inlineStr">
        <is>
          <t>Default</t>
        </is>
      </c>
      <c r="X54" t="inlineStr">
        <is>
          <t>Normal</t>
        </is>
      </c>
      <c r="AB54" t="inlineStr">
        <is>
          <t>none</t>
        </is>
      </c>
      <c r="AD54" t="n">
        <v>1</v>
      </c>
      <c r="AF54" t="inlineStr">
        <is>
          <t>none</t>
        </is>
      </c>
      <c r="AH54" t="n">
        <v>1</v>
      </c>
      <c r="AJ54" t="inlineStr">
        <is>
          <t>none</t>
        </is>
      </c>
      <c r="AL54" t="inlineStr">
        <is>
          <t>none</t>
        </is>
      </c>
      <c r="AN54">
        <f>iferror(AF54*(50/(AJ54+AL54)),"攻撃力に数値を入力")</f>
        <v/>
      </c>
      <c r="AP54" t="inlineStr">
        <is>
          <t>none</t>
        </is>
      </c>
      <c r="AT54" t="inlineStr">
        <is>
          <t>none</t>
        </is>
      </c>
      <c r="AY54" t="inlineStr">
        <is>
          <t>none</t>
        </is>
      </c>
      <c r="BA54" t="inlineStr">
        <is>
          <t>none</t>
        </is>
      </c>
      <c r="BC54" t="inlineStr">
        <is>
          <t>none</t>
        </is>
      </c>
      <c r="BE54" t="inlineStr">
        <is>
          <t>none</t>
        </is>
      </c>
      <c r="BG54" t="inlineStr">
        <is>
          <t>none</t>
        </is>
      </c>
      <c r="BI54" t="inlineStr">
        <is>
          <t>none</t>
        </is>
      </c>
      <c r="BK54" t="inlineStr">
        <is>
          <t>none</t>
        </is>
      </c>
      <c r="BM54" t="inlineStr">
        <is>
          <t>none</t>
        </is>
      </c>
      <c r="BO54" t="inlineStr">
        <is>
          <t>none</t>
        </is>
      </c>
      <c r="BQ54" t="inlineStr">
        <is>
          <t>none</t>
        </is>
      </c>
      <c r="CA54" t="inlineStr">
        <is>
          <t>未入力</t>
        </is>
      </c>
      <c r="CM54" t="inlineStr">
        <is>
          <t>None</t>
        </is>
      </c>
      <c r="CQ54" t="inlineStr">
        <is>
          <t>None</t>
        </is>
      </c>
      <c r="CW54" t="inlineStr">
        <is>
          <t>None</t>
        </is>
      </c>
      <c r="DC54" t="inlineStr">
        <is>
          <t>None</t>
        </is>
      </c>
      <c r="DK54" t="b">
        <v>0</v>
      </c>
      <c r="DM54" t="inlineStr">
        <is>
          <t>None</t>
        </is>
      </c>
      <c r="EA54">
        <f>B54</f>
        <v/>
      </c>
      <c r="EB54">
        <f>D54</f>
        <v/>
      </c>
      <c r="EC54">
        <f>F54</f>
        <v/>
      </c>
      <c r="ED54">
        <f>CA54</f>
        <v/>
      </c>
      <c r="EE54">
        <f>CE54</f>
        <v/>
      </c>
      <c r="EF54">
        <f>"SummonEnemy"</f>
        <v/>
      </c>
      <c r="EG54">
        <f>H54</f>
        <v/>
      </c>
      <c r="EI54">
        <f>CI54</f>
        <v/>
      </c>
      <c r="EJ54">
        <f>CG54</f>
        <v/>
      </c>
      <c r="EK54">
        <f>CM54</f>
        <v/>
      </c>
      <c r="EL54">
        <f>CO54</f>
        <v/>
      </c>
      <c r="EM54">
        <f>CQ54</f>
        <v/>
      </c>
      <c r="EN54">
        <f>CU54</f>
        <v/>
      </c>
      <c r="EO54">
        <f>CW54</f>
        <v/>
      </c>
      <c r="EP54">
        <f>DA54</f>
        <v/>
      </c>
      <c r="EQ54">
        <f>DC54</f>
        <v/>
      </c>
      <c r="ER54">
        <f>DG54</f>
        <v/>
      </c>
      <c r="ES54">
        <f>DI54</f>
        <v/>
      </c>
      <c r="ET54">
        <f>DK54</f>
        <v/>
      </c>
      <c r="EV54">
        <f>V54</f>
        <v/>
      </c>
      <c r="EW54">
        <f>X54</f>
        <v/>
      </c>
      <c r="EX54">
        <f>AD54</f>
        <v/>
      </c>
      <c r="EY54">
        <f>AH54</f>
        <v/>
      </c>
      <c r="EZ54">
        <f>"1"</f>
        <v/>
      </c>
      <c r="FA54">
        <f>BS54</f>
        <v/>
      </c>
      <c r="FB54" t="n">
        <v>0</v>
      </c>
      <c r="FC54">
        <f>CK54</f>
        <v/>
      </c>
      <c r="FD54">
        <f>DM54</f>
        <v/>
      </c>
    </row>
    <row r="55">
      <c r="L55" t="inlineStr">
        <is>
          <t>none</t>
        </is>
      </c>
      <c r="P55" t="inlineStr">
        <is>
          <t>none</t>
        </is>
      </c>
      <c r="R55" t="inlineStr">
        <is>
          <t>none</t>
        </is>
      </c>
      <c r="T55" t="inlineStr">
        <is>
          <t>none</t>
        </is>
      </c>
      <c r="V55" t="inlineStr">
        <is>
          <t>Default</t>
        </is>
      </c>
      <c r="X55" t="inlineStr">
        <is>
          <t>Normal</t>
        </is>
      </c>
      <c r="AB55" t="inlineStr">
        <is>
          <t>none</t>
        </is>
      </c>
      <c r="AD55" t="n">
        <v>1</v>
      </c>
      <c r="AF55" t="inlineStr">
        <is>
          <t>none</t>
        </is>
      </c>
      <c r="AH55" t="n">
        <v>1</v>
      </c>
      <c r="AJ55" t="inlineStr">
        <is>
          <t>none</t>
        </is>
      </c>
      <c r="AL55" t="inlineStr">
        <is>
          <t>none</t>
        </is>
      </c>
      <c r="AN55">
        <f>iferror(AF55*(50/(AJ55+AL55)),"攻撃力に数値を入力")</f>
        <v/>
      </c>
      <c r="AP55" t="inlineStr">
        <is>
          <t>none</t>
        </is>
      </c>
      <c r="AT55" t="inlineStr">
        <is>
          <t>none</t>
        </is>
      </c>
      <c r="AY55" t="inlineStr">
        <is>
          <t>none</t>
        </is>
      </c>
      <c r="BA55" t="inlineStr">
        <is>
          <t>none</t>
        </is>
      </c>
      <c r="BC55" t="inlineStr">
        <is>
          <t>none</t>
        </is>
      </c>
      <c r="BE55" t="inlineStr">
        <is>
          <t>none</t>
        </is>
      </c>
      <c r="BG55" t="inlineStr">
        <is>
          <t>none</t>
        </is>
      </c>
      <c r="BI55" t="inlineStr">
        <is>
          <t>none</t>
        </is>
      </c>
      <c r="BK55" t="inlineStr">
        <is>
          <t>none</t>
        </is>
      </c>
      <c r="BM55" t="inlineStr">
        <is>
          <t>none</t>
        </is>
      </c>
      <c r="BO55" t="inlineStr">
        <is>
          <t>none</t>
        </is>
      </c>
      <c r="BQ55" t="inlineStr">
        <is>
          <t>none</t>
        </is>
      </c>
      <c r="CA55" t="inlineStr">
        <is>
          <t>未入力</t>
        </is>
      </c>
      <c r="CM55" t="inlineStr">
        <is>
          <t>None</t>
        </is>
      </c>
      <c r="CQ55" t="inlineStr">
        <is>
          <t>None</t>
        </is>
      </c>
      <c r="CW55" t="inlineStr">
        <is>
          <t>None</t>
        </is>
      </c>
      <c r="DC55" t="inlineStr">
        <is>
          <t>None</t>
        </is>
      </c>
      <c r="DK55" t="b">
        <v>0</v>
      </c>
      <c r="DM55" t="inlineStr">
        <is>
          <t>None</t>
        </is>
      </c>
      <c r="EA55">
        <f>B55</f>
        <v/>
      </c>
      <c r="EB55">
        <f>D55</f>
        <v/>
      </c>
      <c r="EC55">
        <f>F55</f>
        <v/>
      </c>
      <c r="ED55">
        <f>CA55</f>
        <v/>
      </c>
      <c r="EE55">
        <f>CE55</f>
        <v/>
      </c>
      <c r="EF55">
        <f>"SummonEnemy"</f>
        <v/>
      </c>
      <c r="EG55">
        <f>H55</f>
        <v/>
      </c>
      <c r="EI55">
        <f>CI55</f>
        <v/>
      </c>
      <c r="EJ55">
        <f>CG55</f>
        <v/>
      </c>
      <c r="EK55">
        <f>CM55</f>
        <v/>
      </c>
      <c r="EL55">
        <f>CO55</f>
        <v/>
      </c>
      <c r="EM55">
        <f>CQ55</f>
        <v/>
      </c>
      <c r="EN55">
        <f>CU55</f>
        <v/>
      </c>
      <c r="EO55">
        <f>CW55</f>
        <v/>
      </c>
      <c r="EP55">
        <f>DA55</f>
        <v/>
      </c>
      <c r="EQ55">
        <f>DC55</f>
        <v/>
      </c>
      <c r="ER55">
        <f>DG55</f>
        <v/>
      </c>
      <c r="ES55">
        <f>DI55</f>
        <v/>
      </c>
      <c r="ET55">
        <f>DK55</f>
        <v/>
      </c>
      <c r="EV55">
        <f>V55</f>
        <v/>
      </c>
      <c r="EW55">
        <f>X55</f>
        <v/>
      </c>
      <c r="EX55">
        <f>AD55</f>
        <v/>
      </c>
      <c r="EY55">
        <f>AH55</f>
        <v/>
      </c>
      <c r="EZ55">
        <f>"1"</f>
        <v/>
      </c>
      <c r="FA55">
        <f>BS55</f>
        <v/>
      </c>
      <c r="FB55" t="n">
        <v>0</v>
      </c>
      <c r="FC55">
        <f>CK55</f>
        <v/>
      </c>
      <c r="FD55">
        <f>DM55</f>
        <v/>
      </c>
    </row>
    <row r="56">
      <c r="L56" t="inlineStr">
        <is>
          <t>none</t>
        </is>
      </c>
      <c r="P56" t="inlineStr">
        <is>
          <t>none</t>
        </is>
      </c>
      <c r="R56" t="inlineStr">
        <is>
          <t>none</t>
        </is>
      </c>
      <c r="T56" t="inlineStr">
        <is>
          <t>none</t>
        </is>
      </c>
      <c r="V56" t="inlineStr">
        <is>
          <t>Default</t>
        </is>
      </c>
      <c r="X56" t="inlineStr">
        <is>
          <t>Normal</t>
        </is>
      </c>
      <c r="AB56" t="inlineStr">
        <is>
          <t>none</t>
        </is>
      </c>
      <c r="AD56" t="n">
        <v>1</v>
      </c>
      <c r="AF56" t="inlineStr">
        <is>
          <t>none</t>
        </is>
      </c>
      <c r="AH56" t="n">
        <v>1</v>
      </c>
      <c r="AJ56" t="inlineStr">
        <is>
          <t>none</t>
        </is>
      </c>
      <c r="AL56" t="inlineStr">
        <is>
          <t>none</t>
        </is>
      </c>
      <c r="AN56">
        <f>iferror(AF56*(50/(AJ56+AL56)),"攻撃力に数値を入力")</f>
        <v/>
      </c>
      <c r="AP56" t="inlineStr">
        <is>
          <t>none</t>
        </is>
      </c>
      <c r="AT56" t="inlineStr">
        <is>
          <t>none</t>
        </is>
      </c>
      <c r="AY56" t="inlineStr">
        <is>
          <t>none</t>
        </is>
      </c>
      <c r="BA56" t="inlineStr">
        <is>
          <t>none</t>
        </is>
      </c>
      <c r="BC56" t="inlineStr">
        <is>
          <t>none</t>
        </is>
      </c>
      <c r="BE56" t="inlineStr">
        <is>
          <t>none</t>
        </is>
      </c>
      <c r="BG56" t="inlineStr">
        <is>
          <t>none</t>
        </is>
      </c>
      <c r="BI56" t="inlineStr">
        <is>
          <t>none</t>
        </is>
      </c>
      <c r="BK56" t="inlineStr">
        <is>
          <t>none</t>
        </is>
      </c>
      <c r="BM56" t="inlineStr">
        <is>
          <t>none</t>
        </is>
      </c>
      <c r="BO56" t="inlineStr">
        <is>
          <t>none</t>
        </is>
      </c>
      <c r="BQ56" t="inlineStr">
        <is>
          <t>none</t>
        </is>
      </c>
      <c r="CA56" t="inlineStr">
        <is>
          <t>未入力</t>
        </is>
      </c>
      <c r="CM56" t="inlineStr">
        <is>
          <t>None</t>
        </is>
      </c>
      <c r="CQ56" t="inlineStr">
        <is>
          <t>None</t>
        </is>
      </c>
      <c r="CW56" t="inlineStr">
        <is>
          <t>None</t>
        </is>
      </c>
      <c r="DC56" t="inlineStr">
        <is>
          <t>None</t>
        </is>
      </c>
      <c r="DK56" t="b">
        <v>0</v>
      </c>
      <c r="DM56" t="inlineStr">
        <is>
          <t>None</t>
        </is>
      </c>
      <c r="EA56">
        <f>B56</f>
        <v/>
      </c>
      <c r="EB56">
        <f>D56</f>
        <v/>
      </c>
      <c r="EC56">
        <f>F56</f>
        <v/>
      </c>
      <c r="ED56">
        <f>CA56</f>
        <v/>
      </c>
      <c r="EE56">
        <f>CE56</f>
        <v/>
      </c>
      <c r="EF56">
        <f>"SummonEnemy"</f>
        <v/>
      </c>
      <c r="EG56">
        <f>H56</f>
        <v/>
      </c>
      <c r="EI56">
        <f>CI56</f>
        <v/>
      </c>
      <c r="EJ56">
        <f>CG56</f>
        <v/>
      </c>
      <c r="EK56">
        <f>CM56</f>
        <v/>
      </c>
      <c r="EL56">
        <f>CO56</f>
        <v/>
      </c>
      <c r="EM56">
        <f>CQ56</f>
        <v/>
      </c>
      <c r="EN56">
        <f>CU56</f>
        <v/>
      </c>
      <c r="EO56">
        <f>CW56</f>
        <v/>
      </c>
      <c r="EP56">
        <f>DA56</f>
        <v/>
      </c>
      <c r="EQ56">
        <f>DC56</f>
        <v/>
      </c>
      <c r="ER56">
        <f>DG56</f>
        <v/>
      </c>
      <c r="ES56">
        <f>DI56</f>
        <v/>
      </c>
      <c r="ET56">
        <f>DK56</f>
        <v/>
      </c>
      <c r="EV56">
        <f>V56</f>
        <v/>
      </c>
      <c r="EW56">
        <f>X56</f>
        <v/>
      </c>
      <c r="EX56">
        <f>AD56</f>
        <v/>
      </c>
      <c r="EY56">
        <f>AH56</f>
        <v/>
      </c>
      <c r="EZ56">
        <f>"1"</f>
        <v/>
      </c>
      <c r="FA56">
        <f>BS56</f>
        <v/>
      </c>
      <c r="FB56" t="n">
        <v>0</v>
      </c>
      <c r="FC56">
        <f>CK56</f>
        <v/>
      </c>
      <c r="FD56">
        <f>DM56</f>
        <v/>
      </c>
    </row>
    <row r="57">
      <c r="L57" t="inlineStr">
        <is>
          <t>none</t>
        </is>
      </c>
      <c r="P57" t="inlineStr">
        <is>
          <t>none</t>
        </is>
      </c>
      <c r="R57" t="inlineStr">
        <is>
          <t>none</t>
        </is>
      </c>
      <c r="T57" t="inlineStr">
        <is>
          <t>none</t>
        </is>
      </c>
      <c r="V57" t="inlineStr">
        <is>
          <t>Default</t>
        </is>
      </c>
      <c r="X57" t="inlineStr">
        <is>
          <t>Normal</t>
        </is>
      </c>
      <c r="AB57" t="inlineStr">
        <is>
          <t>none</t>
        </is>
      </c>
      <c r="AD57" t="n">
        <v>1</v>
      </c>
      <c r="AF57" t="inlineStr">
        <is>
          <t>none</t>
        </is>
      </c>
      <c r="AH57" t="n">
        <v>1</v>
      </c>
      <c r="AJ57" t="inlineStr">
        <is>
          <t>none</t>
        </is>
      </c>
      <c r="AL57" t="inlineStr">
        <is>
          <t>none</t>
        </is>
      </c>
      <c r="AN57">
        <f>iferror(AF57*(50/(AJ57+AL57)),"攻撃力に数値を入力")</f>
        <v/>
      </c>
      <c r="AP57" t="inlineStr">
        <is>
          <t>none</t>
        </is>
      </c>
      <c r="AT57" t="inlineStr">
        <is>
          <t>none</t>
        </is>
      </c>
      <c r="AY57" t="inlineStr">
        <is>
          <t>none</t>
        </is>
      </c>
      <c r="BA57" t="inlineStr">
        <is>
          <t>none</t>
        </is>
      </c>
      <c r="BC57" t="inlineStr">
        <is>
          <t>none</t>
        </is>
      </c>
      <c r="BE57" t="inlineStr">
        <is>
          <t>none</t>
        </is>
      </c>
      <c r="BG57" t="inlineStr">
        <is>
          <t>none</t>
        </is>
      </c>
      <c r="BI57" t="inlineStr">
        <is>
          <t>none</t>
        </is>
      </c>
      <c r="BK57" t="inlineStr">
        <is>
          <t>none</t>
        </is>
      </c>
      <c r="BM57" t="inlineStr">
        <is>
          <t>none</t>
        </is>
      </c>
      <c r="BO57" t="inlineStr">
        <is>
          <t>none</t>
        </is>
      </c>
      <c r="BQ57" t="inlineStr">
        <is>
          <t>none</t>
        </is>
      </c>
      <c r="CA57" t="inlineStr">
        <is>
          <t>未入力</t>
        </is>
      </c>
      <c r="CM57" t="inlineStr">
        <is>
          <t>None</t>
        </is>
      </c>
      <c r="CQ57" t="inlineStr">
        <is>
          <t>None</t>
        </is>
      </c>
      <c r="CW57" t="inlineStr">
        <is>
          <t>None</t>
        </is>
      </c>
      <c r="DC57" t="inlineStr">
        <is>
          <t>None</t>
        </is>
      </c>
      <c r="DK57" t="b">
        <v>0</v>
      </c>
      <c r="DM57" t="inlineStr">
        <is>
          <t>None</t>
        </is>
      </c>
      <c r="EA57">
        <f>B57</f>
        <v/>
      </c>
      <c r="EB57">
        <f>D57</f>
        <v/>
      </c>
      <c r="EC57">
        <f>F57</f>
        <v/>
      </c>
      <c r="ED57">
        <f>CA57</f>
        <v/>
      </c>
      <c r="EE57">
        <f>CE57</f>
        <v/>
      </c>
      <c r="EF57">
        <f>"SummonEnemy"</f>
        <v/>
      </c>
      <c r="EG57">
        <f>H57</f>
        <v/>
      </c>
      <c r="EI57">
        <f>CI57</f>
        <v/>
      </c>
      <c r="EJ57">
        <f>CG57</f>
        <v/>
      </c>
      <c r="EK57">
        <f>CM57</f>
        <v/>
      </c>
      <c r="EL57">
        <f>CO57</f>
        <v/>
      </c>
      <c r="EM57">
        <f>CQ57</f>
        <v/>
      </c>
      <c r="EN57">
        <f>CU57</f>
        <v/>
      </c>
      <c r="EO57">
        <f>CW57</f>
        <v/>
      </c>
      <c r="EP57">
        <f>DA57</f>
        <v/>
      </c>
      <c r="EQ57">
        <f>DC57</f>
        <v/>
      </c>
      <c r="ER57">
        <f>DG57</f>
        <v/>
      </c>
      <c r="ES57">
        <f>DI57</f>
        <v/>
      </c>
      <c r="ET57">
        <f>DK57</f>
        <v/>
      </c>
      <c r="EV57">
        <f>V57</f>
        <v/>
      </c>
      <c r="EW57">
        <f>X57</f>
        <v/>
      </c>
      <c r="EX57">
        <f>AD57</f>
        <v/>
      </c>
      <c r="EY57">
        <f>AH57</f>
        <v/>
      </c>
      <c r="EZ57">
        <f>"1"</f>
        <v/>
      </c>
      <c r="FA57">
        <f>BS57</f>
        <v/>
      </c>
      <c r="FB57" t="n">
        <v>0</v>
      </c>
      <c r="FC57">
        <f>CK57</f>
        <v/>
      </c>
      <c r="FD57">
        <f>DM57</f>
        <v/>
      </c>
    </row>
    <row r="58">
      <c r="L58" t="inlineStr">
        <is>
          <t>none</t>
        </is>
      </c>
      <c r="P58" t="inlineStr">
        <is>
          <t>none</t>
        </is>
      </c>
      <c r="R58" t="inlineStr">
        <is>
          <t>none</t>
        </is>
      </c>
      <c r="T58" t="inlineStr">
        <is>
          <t>none</t>
        </is>
      </c>
      <c r="V58" t="inlineStr">
        <is>
          <t>Default</t>
        </is>
      </c>
      <c r="X58" t="inlineStr">
        <is>
          <t>Normal</t>
        </is>
      </c>
      <c r="AB58" t="inlineStr">
        <is>
          <t>none</t>
        </is>
      </c>
      <c r="AD58" t="n">
        <v>1</v>
      </c>
      <c r="AF58" t="inlineStr">
        <is>
          <t>none</t>
        </is>
      </c>
      <c r="AH58" t="n">
        <v>1</v>
      </c>
      <c r="AJ58" t="inlineStr">
        <is>
          <t>none</t>
        </is>
      </c>
      <c r="AL58" t="inlineStr">
        <is>
          <t>none</t>
        </is>
      </c>
      <c r="AN58">
        <f>iferror(AF58*(50/(AJ58+AL58)),"攻撃力に数値を入力")</f>
        <v/>
      </c>
      <c r="AP58" t="inlineStr">
        <is>
          <t>none</t>
        </is>
      </c>
      <c r="AT58" t="inlineStr">
        <is>
          <t>none</t>
        </is>
      </c>
      <c r="AY58" t="inlineStr">
        <is>
          <t>none</t>
        </is>
      </c>
      <c r="BA58" t="inlineStr">
        <is>
          <t>none</t>
        </is>
      </c>
      <c r="BC58" t="inlineStr">
        <is>
          <t>none</t>
        </is>
      </c>
      <c r="BE58" t="inlineStr">
        <is>
          <t>none</t>
        </is>
      </c>
      <c r="BG58" t="inlineStr">
        <is>
          <t>none</t>
        </is>
      </c>
      <c r="BI58" t="inlineStr">
        <is>
          <t>none</t>
        </is>
      </c>
      <c r="BK58" t="inlineStr">
        <is>
          <t>none</t>
        </is>
      </c>
      <c r="BM58" t="inlineStr">
        <is>
          <t>none</t>
        </is>
      </c>
      <c r="BO58" t="inlineStr">
        <is>
          <t>none</t>
        </is>
      </c>
      <c r="BQ58" t="inlineStr">
        <is>
          <t>none</t>
        </is>
      </c>
      <c r="CA58" t="inlineStr">
        <is>
          <t>未入力</t>
        </is>
      </c>
      <c r="CM58" t="inlineStr">
        <is>
          <t>None</t>
        </is>
      </c>
      <c r="CQ58" t="inlineStr">
        <is>
          <t>None</t>
        </is>
      </c>
      <c r="CW58" t="inlineStr">
        <is>
          <t>None</t>
        </is>
      </c>
      <c r="DC58" t="inlineStr">
        <is>
          <t>None</t>
        </is>
      </c>
      <c r="DK58" t="b">
        <v>0</v>
      </c>
      <c r="DM58" t="inlineStr">
        <is>
          <t>None</t>
        </is>
      </c>
      <c r="EA58">
        <f>B58</f>
        <v/>
      </c>
      <c r="EB58">
        <f>D58</f>
        <v/>
      </c>
      <c r="EC58">
        <f>F58</f>
        <v/>
      </c>
      <c r="ED58">
        <f>CA58</f>
        <v/>
      </c>
      <c r="EE58">
        <f>CE58</f>
        <v/>
      </c>
      <c r="EF58">
        <f>"SummonEnemy"</f>
        <v/>
      </c>
      <c r="EG58">
        <f>H58</f>
        <v/>
      </c>
      <c r="EI58">
        <f>CI58</f>
        <v/>
      </c>
      <c r="EJ58">
        <f>CG58</f>
        <v/>
      </c>
      <c r="EK58">
        <f>CM58</f>
        <v/>
      </c>
      <c r="EL58">
        <f>CO58</f>
        <v/>
      </c>
      <c r="EM58">
        <f>CQ58</f>
        <v/>
      </c>
      <c r="EN58">
        <f>CU58</f>
        <v/>
      </c>
      <c r="EO58">
        <f>CW58</f>
        <v/>
      </c>
      <c r="EP58">
        <f>DA58</f>
        <v/>
      </c>
      <c r="EQ58">
        <f>DC58</f>
        <v/>
      </c>
      <c r="ER58">
        <f>DG58</f>
        <v/>
      </c>
      <c r="ES58">
        <f>DI58</f>
        <v/>
      </c>
      <c r="ET58">
        <f>DK58</f>
        <v/>
      </c>
      <c r="EV58">
        <f>V58</f>
        <v/>
      </c>
      <c r="EW58">
        <f>X58</f>
        <v/>
      </c>
      <c r="EX58">
        <f>AD58</f>
        <v/>
      </c>
      <c r="EY58">
        <f>AH58</f>
        <v/>
      </c>
      <c r="EZ58">
        <f>"1"</f>
        <v/>
      </c>
      <c r="FA58">
        <f>BS58</f>
        <v/>
      </c>
      <c r="FB58" t="n">
        <v>0</v>
      </c>
      <c r="FC58">
        <f>CK58</f>
        <v/>
      </c>
      <c r="FD58">
        <f>DM58</f>
        <v/>
      </c>
    </row>
    <row r="59">
      <c r="L59" t="inlineStr">
        <is>
          <t>none</t>
        </is>
      </c>
      <c r="P59" t="inlineStr">
        <is>
          <t>none</t>
        </is>
      </c>
      <c r="R59" t="inlineStr">
        <is>
          <t>none</t>
        </is>
      </c>
      <c r="T59" t="inlineStr">
        <is>
          <t>none</t>
        </is>
      </c>
      <c r="V59" t="inlineStr">
        <is>
          <t>Default</t>
        </is>
      </c>
      <c r="X59" t="inlineStr">
        <is>
          <t>Normal</t>
        </is>
      </c>
      <c r="AB59" t="inlineStr">
        <is>
          <t>none</t>
        </is>
      </c>
      <c r="AD59" t="n">
        <v>1</v>
      </c>
      <c r="AF59" t="inlineStr">
        <is>
          <t>none</t>
        </is>
      </c>
      <c r="AH59" t="n">
        <v>1</v>
      </c>
      <c r="AJ59" t="inlineStr">
        <is>
          <t>none</t>
        </is>
      </c>
      <c r="AL59" t="inlineStr">
        <is>
          <t>none</t>
        </is>
      </c>
      <c r="AN59">
        <f>iferror(AF59*(50/(AJ59+AL59)),"攻撃力に数値を入力")</f>
        <v/>
      </c>
      <c r="AP59" t="inlineStr">
        <is>
          <t>none</t>
        </is>
      </c>
      <c r="AT59" t="inlineStr">
        <is>
          <t>none</t>
        </is>
      </c>
      <c r="AY59" t="inlineStr">
        <is>
          <t>none</t>
        </is>
      </c>
      <c r="BA59" t="inlineStr">
        <is>
          <t>none</t>
        </is>
      </c>
      <c r="BC59" t="inlineStr">
        <is>
          <t>none</t>
        </is>
      </c>
      <c r="BE59" t="inlineStr">
        <is>
          <t>none</t>
        </is>
      </c>
      <c r="BG59" t="inlineStr">
        <is>
          <t>none</t>
        </is>
      </c>
      <c r="BI59" t="inlineStr">
        <is>
          <t>none</t>
        </is>
      </c>
      <c r="BK59" t="inlineStr">
        <is>
          <t>none</t>
        </is>
      </c>
      <c r="BM59" t="inlineStr">
        <is>
          <t>none</t>
        </is>
      </c>
      <c r="BO59" t="inlineStr">
        <is>
          <t>none</t>
        </is>
      </c>
      <c r="BQ59" t="inlineStr">
        <is>
          <t>none</t>
        </is>
      </c>
      <c r="CA59" t="inlineStr">
        <is>
          <t>未入力</t>
        </is>
      </c>
      <c r="CM59" t="inlineStr">
        <is>
          <t>None</t>
        </is>
      </c>
      <c r="CQ59" t="inlineStr">
        <is>
          <t>None</t>
        </is>
      </c>
      <c r="CW59" t="inlineStr">
        <is>
          <t>None</t>
        </is>
      </c>
      <c r="DC59" t="inlineStr">
        <is>
          <t>None</t>
        </is>
      </c>
      <c r="DK59" t="b">
        <v>0</v>
      </c>
      <c r="DM59" t="inlineStr">
        <is>
          <t>None</t>
        </is>
      </c>
      <c r="EA59">
        <f>B59</f>
        <v/>
      </c>
      <c r="EB59">
        <f>D59</f>
        <v/>
      </c>
      <c r="EC59">
        <f>F59</f>
        <v/>
      </c>
      <c r="ED59">
        <f>CA59</f>
        <v/>
      </c>
      <c r="EE59">
        <f>CE59</f>
        <v/>
      </c>
      <c r="EF59">
        <f>"SummonEnemy"</f>
        <v/>
      </c>
      <c r="EG59">
        <f>H59</f>
        <v/>
      </c>
      <c r="EI59">
        <f>CI59</f>
        <v/>
      </c>
      <c r="EJ59">
        <f>CG59</f>
        <v/>
      </c>
      <c r="EK59">
        <f>CM59</f>
        <v/>
      </c>
      <c r="EL59">
        <f>CO59</f>
        <v/>
      </c>
      <c r="EM59">
        <f>CQ59</f>
        <v/>
      </c>
      <c r="EN59">
        <f>CU59</f>
        <v/>
      </c>
      <c r="EO59">
        <f>CW59</f>
        <v/>
      </c>
      <c r="EP59">
        <f>DA59</f>
        <v/>
      </c>
      <c r="EQ59">
        <f>DC59</f>
        <v/>
      </c>
      <c r="ER59">
        <f>DG59</f>
        <v/>
      </c>
      <c r="ES59">
        <f>DI59</f>
        <v/>
      </c>
      <c r="ET59">
        <f>DK59</f>
        <v/>
      </c>
      <c r="EV59">
        <f>V59</f>
        <v/>
      </c>
      <c r="EW59">
        <f>X59</f>
        <v/>
      </c>
      <c r="EX59">
        <f>AD59</f>
        <v/>
      </c>
      <c r="EY59">
        <f>AH59</f>
        <v/>
      </c>
      <c r="EZ59">
        <f>"1"</f>
        <v/>
      </c>
      <c r="FA59">
        <f>BS59</f>
        <v/>
      </c>
      <c r="FB59" t="n">
        <v>0</v>
      </c>
      <c r="FC59">
        <f>CK59</f>
        <v/>
      </c>
      <c r="FD59">
        <f>DM59</f>
        <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2:FE59"/>
  <sheetViews>
    <sheetView workbookViewId="0">
      <selection activeCell="A1" sqref="A1"/>
    </sheetView>
  </sheetViews>
  <sheetFormatPr baseColWidth="8" defaultRowHeight="15"/>
  <sheetData>
    <row r="2">
      <c r="B2" t="inlineStr">
        <is>
          <t>■基礎情報</t>
        </is>
      </c>
    </row>
    <row r="4">
      <c r="B4" t="inlineStr">
        <is>
          <t>ステージコンセプト</t>
        </is>
      </c>
      <c r="S4" t="inlineStr">
        <is>
          <t>ステージ情報詳細</t>
        </is>
      </c>
    </row>
    <row r="5">
      <c r="B5" t="inlineStr">
        <is>
          <t>強敵
朱槿
雑魚
そう神と極楽蝶
朱槿倒すまでゲートにダメージが入らない</t>
        </is>
      </c>
      <c r="S5" t="inlineStr">
        <is>
          <t xml:space="preserve">【属性情報】
緑属性の敵が登場するので赤属性のキャラは有利に戦うこともできるぞ!
さらに、無属性の敵も登場するぞ!
【ギミック情報】
毒攻撃をしてくる敵が登場するぞ!
特性で毒ダメージ軽減を持っているキャラを編成しよう!
ファントムゲートにダメージを与えると出現する敵もいるぞ!
このステージでは、『朱槿』が登場している時は、
ファントムゲートHPは削れないぞ! </t>
        </is>
      </c>
    </row>
    <row r="9">
      <c r="B9" t="inlineStr">
        <is>
          <t>ステージ名（最大20文字）</t>
        </is>
      </c>
      <c r="G9" t="inlineStr">
        <is>
          <t>文字数</t>
        </is>
      </c>
      <c r="I9" t="inlineStr">
        <is>
          <t>スタミナ</t>
        </is>
      </c>
      <c r="K9" t="inlineStr">
        <is>
          <t>難易度</t>
        </is>
      </c>
      <c r="N9" t="inlineStr">
        <is>
          <t>推奨PTLv</t>
        </is>
      </c>
      <c r="Q9" t="inlineStr">
        <is>
          <t>通常BGM</t>
        </is>
      </c>
      <c r="V9" t="inlineStr">
        <is>
          <t>ボスBGM</t>
        </is>
      </c>
    </row>
    <row r="10">
      <c r="B10" t="inlineStr">
        <is>
          <t>5話</t>
        </is>
      </c>
      <c r="G10">
        <f>len(B10)</f>
        <v/>
      </c>
      <c r="I10" t="n">
        <v>10</v>
      </c>
      <c r="K10" t="inlineStr">
        <is>
          <t>イベント全般</t>
        </is>
      </c>
      <c r="N10" t="n">
        <v>25</v>
      </c>
      <c r="Q10" t="inlineStr">
        <is>
          <t>SSE_SBG_003_003</t>
        </is>
      </c>
      <c r="V10" t="inlineStr">
        <is>
          <t>SSE_SBG_003_004</t>
        </is>
      </c>
    </row>
    <row r="12">
      <c r="B12" t="inlineStr">
        <is>
          <t>味方ゲートID</t>
        </is>
      </c>
      <c r="E12" t="inlineStr">
        <is>
          <t>敵ゲートID</t>
        </is>
      </c>
      <c r="H12" t="inlineStr">
        <is>
          <t>敵ゲートasset</t>
        </is>
      </c>
      <c r="K12" t="inlineStr">
        <is>
          <t>敵ゲートHP</t>
        </is>
      </c>
      <c r="N12" t="inlineStr">
        <is>
          <t>リリースキー</t>
        </is>
      </c>
    </row>
    <row r="13">
      <c r="B13" t="inlineStr">
        <is>
          <t>default</t>
        </is>
      </c>
      <c r="E13" t="inlineStr">
        <is>
          <t>event_jig1_charaget01_00005</t>
        </is>
      </c>
      <c r="H13" t="inlineStr">
        <is>
          <t>event_jig_0001</t>
        </is>
      </c>
      <c r="K13" t="n">
        <v>50000</v>
      </c>
      <c r="N13" t="n">
        <v>202601010</v>
      </c>
    </row>
    <row r="15">
      <c r="B15" t="inlineStr">
        <is>
          <t>■報酬設計</t>
        </is>
      </c>
    </row>
    <row r="17">
      <c r="B17" t="inlineStr">
        <is>
          <t>クリアコイン</t>
        </is>
      </c>
      <c r="E17" t="inlineStr">
        <is>
          <t>リーダーEXP</t>
        </is>
      </c>
      <c r="H17" t="inlineStr">
        <is>
          <t>原画のかけら確率</t>
        </is>
      </c>
      <c r="K17" t="inlineStr">
        <is>
          <t>原画のかけら種</t>
        </is>
      </c>
    </row>
    <row r="18">
      <c r="B18" t="n">
        <v>200</v>
      </c>
      <c r="E18">
        <f>I10*10</f>
        <v/>
      </c>
      <c r="H18" t="n">
        <v>1</v>
      </c>
      <c r="K18" t="inlineStr">
        <is>
          <t>6,10,14</t>
        </is>
      </c>
    </row>
    <row r="20">
      <c r="B20" t="inlineStr">
        <is>
          <t>ドロップ区分</t>
        </is>
      </c>
      <c r="E20" t="inlineStr">
        <is>
          <t>リソースtype</t>
        </is>
      </c>
      <c r="G20" t="inlineStr">
        <is>
          <t>アイテムID</t>
        </is>
      </c>
      <c r="J20" t="inlineStr">
        <is>
          <t>アイテム名</t>
        </is>
      </c>
      <c r="R20" t="inlineStr">
        <is>
          <t>ドロップ数</t>
        </is>
      </c>
      <c r="T20" t="inlineStr">
        <is>
          <t>ドロップ率</t>
        </is>
      </c>
    </row>
    <row r="21">
      <c r="B21" t="inlineStr">
        <is>
          <t>FirstClear</t>
        </is>
      </c>
      <c r="E21">
        <f>if(J21="プリズム","FreeDiamond","item")</f>
        <v/>
      </c>
      <c r="G21" t="inlineStr">
        <is>
          <t>prism_glo_00001</t>
        </is>
      </c>
      <c r="J21" t="inlineStr">
        <is>
          <t>プリズム</t>
        </is>
      </c>
      <c r="R21" t="n">
        <v>40</v>
      </c>
      <c r="T21" t="n">
        <v>100</v>
      </c>
    </row>
    <row r="22">
      <c r="B22" t="inlineStr">
        <is>
          <t>FirstClear</t>
        </is>
      </c>
      <c r="E22">
        <f>if(J22="プリズム","FreeDiamond","Item")</f>
        <v/>
      </c>
      <c r="G22" t="inlineStr">
        <is>
          <t>Coin</t>
        </is>
      </c>
      <c r="J22" t="inlineStr">
        <is>
          <t>コイン</t>
        </is>
      </c>
      <c r="R22" t="n">
        <v>500</v>
      </c>
      <c r="T22" t="n">
        <v>100</v>
      </c>
    </row>
    <row r="23">
      <c r="B23" t="inlineStr">
        <is>
          <t>FirstClear</t>
        </is>
      </c>
      <c r="E23">
        <f>if(J23="プリズム","FreeDiamond","Item")</f>
        <v/>
      </c>
      <c r="G23" t="inlineStr">
        <is>
          <t>memory_chara_jig_00701</t>
        </is>
      </c>
      <c r="J23" t="inlineStr">
        <is>
          <t>メイのメモリー</t>
        </is>
      </c>
      <c r="R23" t="n">
        <v>300</v>
      </c>
      <c r="T23" t="n">
        <v>100</v>
      </c>
    </row>
    <row r="24">
      <c r="B24" t="inlineStr">
        <is>
          <t>FirstClear</t>
        </is>
      </c>
      <c r="E24">
        <f>if(J24="プリズム","FreeDiamond","Item")</f>
        <v/>
      </c>
      <c r="G24" t="inlineStr">
        <is>
          <t>memoryfragment_glo_00002</t>
        </is>
      </c>
      <c r="J24" t="inlineStr">
        <is>
          <t>メモリーフラグメント・中級</t>
        </is>
      </c>
      <c r="R24" t="n">
        <v>10</v>
      </c>
      <c r="T24" t="n">
        <v>100</v>
      </c>
    </row>
    <row r="25">
      <c r="B25" t="inlineStr">
        <is>
          <t>Random</t>
        </is>
      </c>
      <c r="E25">
        <f>if(J25="プリズム","FreeDiamond","Item")</f>
        <v/>
      </c>
      <c r="G25" t="inlineStr">
        <is>
          <t>piece_jig_00701</t>
        </is>
      </c>
      <c r="J25" t="inlineStr">
        <is>
          <t>メイのかけら</t>
        </is>
      </c>
      <c r="R25" t="n">
        <v>3</v>
      </c>
      <c r="T25" t="n">
        <v>45</v>
      </c>
    </row>
    <row r="26">
      <c r="E26">
        <f>if(J26="プリズム","FreeDiamond","Item")</f>
        <v/>
      </c>
      <c r="G26" t="inlineStr">
        <is>
          <t>none</t>
        </is>
      </c>
    </row>
    <row r="28">
      <c r="B28" t="inlineStr">
        <is>
          <t>■コマ設計</t>
        </is>
      </c>
    </row>
    <row r="30">
      <c r="B30" t="inlineStr">
        <is>
          <t>行数</t>
        </is>
      </c>
      <c r="D30" t="inlineStr">
        <is>
          <t>行パターンID</t>
        </is>
      </c>
      <c r="F30" t="inlineStr">
        <is>
          <t>コマ数</t>
        </is>
      </c>
      <c r="H30" t="inlineStr">
        <is>
          <t>コマ高さ</t>
        </is>
      </c>
      <c r="J30" t="inlineStr">
        <is>
          <t>コマ幅1</t>
        </is>
      </c>
      <c r="L30" t="inlineStr">
        <is>
          <t>コマ幅2</t>
        </is>
      </c>
      <c r="N30" t="inlineStr">
        <is>
          <t>コマ幅3</t>
        </is>
      </c>
      <c r="P30" t="inlineStr">
        <is>
          <t>コマ幅4</t>
        </is>
      </c>
      <c r="R30" t="inlineStr">
        <is>
          <t>コマ背景</t>
        </is>
      </c>
      <c r="U30" t="inlineStr">
        <is>
          <t>コマ効果1</t>
        </is>
      </c>
      <c r="Z30" t="inlineStr">
        <is>
          <t>効果時間</t>
        </is>
      </c>
      <c r="AB30" t="inlineStr">
        <is>
          <t>効果数値</t>
        </is>
      </c>
      <c r="AD30" t="inlineStr">
        <is>
          <t>コマ効果2</t>
        </is>
      </c>
      <c r="AI30" t="inlineStr">
        <is>
          <t>効果時間</t>
        </is>
      </c>
      <c r="AK30" t="inlineStr">
        <is>
          <t>効果数値</t>
        </is>
      </c>
      <c r="AM30" t="inlineStr">
        <is>
          <t>コマ効果3</t>
        </is>
      </c>
      <c r="AR30" t="inlineStr">
        <is>
          <t>効果時間</t>
        </is>
      </c>
      <c r="AT30" t="inlineStr">
        <is>
          <t>効果数値</t>
        </is>
      </c>
      <c r="AV30" t="inlineStr">
        <is>
          <t>コマ効果4</t>
        </is>
      </c>
      <c r="BA30" t="inlineStr">
        <is>
          <t>効果時間</t>
        </is>
      </c>
      <c r="BC30" t="inlineStr">
        <is>
          <t>効果数値</t>
        </is>
      </c>
    </row>
    <row r="31">
      <c r="B31" t="inlineStr">
        <is>
          <t>1行目</t>
        </is>
      </c>
      <c r="D31" t="n">
        <v>1</v>
      </c>
      <c r="F31">
        <f>iferror(vlookup(D31,'行パターン'!$A$2:$C61,2,false),"error")</f>
        <v/>
      </c>
      <c r="H31" t="n">
        <v>1</v>
      </c>
      <c r="J31" t="n">
        <v>1</v>
      </c>
      <c r="L31" t="inlineStr">
        <is>
          <t>none</t>
        </is>
      </c>
      <c r="N31" t="inlineStr">
        <is>
          <t>none</t>
        </is>
      </c>
      <c r="P31" t="inlineStr">
        <is>
          <t>none</t>
        </is>
      </c>
      <c r="R31" t="inlineStr">
        <is>
          <t>jig_00003</t>
        </is>
      </c>
    </row>
    <row r="32">
      <c r="B32" t="inlineStr">
        <is>
          <t>2行目</t>
        </is>
      </c>
      <c r="F32">
        <f>iferror(vlookup(D32,'行パターン'!$A$2:$C61,2,false)," ")</f>
        <v/>
      </c>
      <c r="J32" t="inlineStr">
        <is>
          <t> </t>
        </is>
      </c>
    </row>
    <row r="33">
      <c r="B33" t="inlineStr">
        <is>
          <t>3行目</t>
        </is>
      </c>
      <c r="F33">
        <f>iferror(vlookup(D33,'行パターン'!$A$2:$C61,2,false)," ")</f>
        <v/>
      </c>
      <c r="J33" t="inlineStr">
        <is>
          <t> </t>
        </is>
      </c>
    </row>
    <row r="34">
      <c r="B34" t="inlineStr">
        <is>
          <t>4行目</t>
        </is>
      </c>
      <c r="F34">
        <f>iferror(vlookup(D34,'行パターン'!$A$2:$C61,2,false)," ")</f>
        <v/>
      </c>
      <c r="J34" t="inlineStr">
        <is>
          <t> </t>
        </is>
      </c>
    </row>
    <row r="35">
      <c r="B35" t="inlineStr">
        <is>
          <t>5行目</t>
        </is>
      </c>
      <c r="F35">
        <f>iferror(vlookup(D35,'行パターン'!$A$2:$C61,2,false)," ")</f>
        <v/>
      </c>
      <c r="J35" t="inlineStr">
        <is>
          <t> </t>
        </is>
      </c>
    </row>
    <row r="37">
      <c r="B37" t="inlineStr">
        <is>
          <t xml:space="preserve">■Enemyシーケンス </t>
        </is>
      </c>
      <c r="F37" t="inlineStr">
        <is>
          <t>※コピペして使用</t>
        </is>
      </c>
    </row>
    <row r="39">
      <c r="B39" t="inlineStr">
        <is>
          <t>sequence
_group_id</t>
        </is>
      </c>
      <c r="D39" t="inlineStr">
        <is>
          <t>sequence_
element_id</t>
        </is>
      </c>
      <c r="F39" t="inlineStr">
        <is>
          <t>priority_sequence_element_id</t>
        </is>
      </c>
      <c r="H39" t="inlineStr">
        <is>
          <t>Enemy_ID</t>
        </is>
      </c>
      <c r="L39" t="inlineStr">
        <is>
          <t>ファントム名</t>
        </is>
      </c>
      <c r="P39" t="inlineStr">
        <is>
          <t>unit_kind</t>
        </is>
      </c>
      <c r="R39" t="inlineStr">
        <is>
          <t>属性</t>
        </is>
      </c>
      <c r="T39" t="inlineStr">
        <is>
          <t>ロール</t>
        </is>
      </c>
      <c r="V39" t="inlineStr">
        <is>
          <t>オーラタイプ</t>
        </is>
      </c>
      <c r="X39" t="inlineStr">
        <is>
          <t>死亡タイプ</t>
        </is>
      </c>
      <c r="Z39" t="inlineStr">
        <is>
          <t>必殺ワザ有無</t>
        </is>
      </c>
      <c r="AB39" t="inlineStr">
        <is>
          <t>体力</t>
        </is>
      </c>
      <c r="AD39" t="inlineStr">
        <is>
          <t>体力係数</t>
        </is>
      </c>
      <c r="AF39" t="inlineStr">
        <is>
          <t>攻撃力</t>
        </is>
      </c>
      <c r="AH39" t="inlineStr">
        <is>
          <t>攻撃係数</t>
        </is>
      </c>
      <c r="AJ39" t="inlineStr">
        <is>
          <t>通常攻撃F</t>
        </is>
      </c>
      <c r="AL39" t="inlineStr">
        <is>
          <t>通常攻撃CDF</t>
        </is>
      </c>
      <c r="AN39" t="inlineStr">
        <is>
          <t>通常攻撃DPS</t>
        </is>
      </c>
      <c r="AP39" t="inlineStr">
        <is>
          <t>通常攻撃備考</t>
        </is>
      </c>
      <c r="AT39" t="inlineStr">
        <is>
          <t>必殺技内容</t>
        </is>
      </c>
      <c r="AY39" t="inlineStr">
        <is>
          <t>必殺発動回数</t>
        </is>
      </c>
      <c r="BA39" t="inlineStr">
        <is>
          <t>必殺技F(秒)</t>
        </is>
      </c>
      <c r="BC39" t="inlineStr">
        <is>
          <t>特性</t>
        </is>
      </c>
      <c r="BE39" t="inlineStr">
        <is>
          <t>移動速度</t>
        </is>
      </c>
      <c r="BG39" t="inlineStr">
        <is>
          <t>well_distance</t>
        </is>
      </c>
      <c r="BI39" t="inlineStr">
        <is>
          <t>start_range</t>
        </is>
      </c>
      <c r="BK39" t="inlineStr">
        <is>
          <t>end_range</t>
        </is>
      </c>
      <c r="BM39" t="inlineStr">
        <is>
          <t>攻撃範囲</t>
        </is>
      </c>
      <c r="BO39" t="inlineStr">
        <is>
          <t>KB回数</t>
        </is>
      </c>
      <c r="BQ39" t="inlineStr">
        <is>
          <t>撃破p</t>
        </is>
      </c>
      <c r="BS39" t="inlineStr">
        <is>
          <t>上書き撃破p</t>
        </is>
      </c>
      <c r="BU39" t="inlineStr">
        <is>
          <t>変身先ID</t>
        </is>
      </c>
      <c r="BW39" t="inlineStr">
        <is>
          <t>変身条件1</t>
        </is>
      </c>
      <c r="BY39" t="inlineStr">
        <is>
          <t>変身条件2</t>
        </is>
      </c>
      <c r="CA39" t="inlineStr">
        <is>
          <t>出撃条件
condition_type</t>
        </is>
      </c>
      <c r="CE39" t="inlineStr">
        <is>
          <t>出撃開始値
condition_value</t>
        </is>
      </c>
      <c r="CG39" t="inlineStr">
        <is>
          <t>出撃感覚値
summon_interval</t>
        </is>
      </c>
      <c r="CI39" t="inlineStr">
        <is>
          <t>召喚回数
summon_count</t>
        </is>
      </c>
      <c r="CK39" t="inlineStr">
        <is>
          <t>アクション遅延
action_delay</t>
        </is>
      </c>
      <c r="CM39" t="inlineStr">
        <is>
          <t>出撃
アニメーション</t>
        </is>
      </c>
      <c r="CO39" t="inlineStr">
        <is>
          <t>召喚pos
summon_position</t>
        </is>
      </c>
      <c r="CQ39" t="inlineStr">
        <is>
          <t>移動開始条件
move_start_condition_type</t>
        </is>
      </c>
      <c r="CU39" t="inlineStr">
        <is>
          <t>移動開始値
condition_value</t>
        </is>
      </c>
      <c r="CW39" t="inlineStr">
        <is>
          <t>移動停止条件
move_stop_condition_type</t>
        </is>
      </c>
      <c r="DA39" t="inlineStr">
        <is>
          <t>移動停止値</t>
        </is>
      </c>
      <c r="DC39" t="inlineStr">
        <is>
          <t>移動再スタート条件
move_restart_condition_type</t>
        </is>
      </c>
      <c r="DG39" t="inlineStr">
        <is>
          <t>移動再スタート値</t>
        </is>
      </c>
      <c r="DI39" t="inlineStr">
        <is>
          <t>再スタート回数
move_loop_count</t>
        </is>
      </c>
      <c r="DK39" t="inlineStr">
        <is>
          <t>ゲート無敵化</t>
        </is>
      </c>
      <c r="DM39" t="inlineStr">
        <is>
          <t>出現停止条件</t>
        </is>
      </c>
      <c r="DQ39" t="inlineStr">
        <is>
          <t>停止条件値</t>
        </is>
      </c>
      <c r="DS39" t="inlineStr">
        <is>
          <t>備考</t>
        </is>
      </c>
      <c r="EA39" t="inlineStr">
        <is>
          <t>sequence_group_id</t>
        </is>
      </c>
      <c r="EB39" t="inlineStr">
        <is>
          <t>sequence_element_id</t>
        </is>
      </c>
      <c r="EC39" t="inlineStr">
        <is>
          <t>priority_sequence_element_id</t>
        </is>
      </c>
      <c r="ED39" t="inlineStr">
        <is>
          <t>condition_type</t>
        </is>
      </c>
      <c r="EE39" t="inlineStr">
        <is>
          <t>condition_value</t>
        </is>
      </c>
      <c r="EF39" t="inlineStr">
        <is>
          <t>action_type</t>
        </is>
      </c>
      <c r="EG39" t="inlineStr">
        <is>
          <t>action_value</t>
        </is>
      </c>
      <c r="EH39" t="inlineStr">
        <is>
          <t>action_value2</t>
        </is>
      </c>
      <c r="EI39" t="inlineStr">
        <is>
          <t>summon_count</t>
        </is>
      </c>
      <c r="EJ39" t="inlineStr">
        <is>
          <t>summon_interval</t>
        </is>
      </c>
      <c r="EK39" t="inlineStr">
        <is>
          <t>summon_animation_type</t>
        </is>
      </c>
      <c r="EL39" t="inlineStr">
        <is>
          <t>summon_position</t>
        </is>
      </c>
      <c r="EM39" t="inlineStr">
        <is>
          <t>move_start_condition_type</t>
        </is>
      </c>
      <c r="EN39" t="inlineStr">
        <is>
          <t>move_start_condition_value</t>
        </is>
      </c>
      <c r="EO39" t="inlineStr">
        <is>
          <t>move_stop_condition_type</t>
        </is>
      </c>
      <c r="EP39" t="inlineStr">
        <is>
          <t>move_stop_condition_value</t>
        </is>
      </c>
      <c r="EQ39" t="inlineStr">
        <is>
          <t>move_restart_condition_type</t>
        </is>
      </c>
      <c r="ER39" t="inlineStr">
        <is>
          <t>move_restart_condition_value</t>
        </is>
      </c>
      <c r="ES39" t="inlineStr">
        <is>
          <t>move_loop_count</t>
        </is>
      </c>
      <c r="ET39" t="inlineStr">
        <is>
          <t>is_summon_unit_outpost_damage_invalidation</t>
        </is>
      </c>
      <c r="EV39" t="inlineStr">
        <is>
          <t>aura_type</t>
        </is>
      </c>
      <c r="EW39" t="inlineStr">
        <is>
          <t>death_type</t>
        </is>
      </c>
      <c r="EX39" t="inlineStr">
        <is>
          <t>enemy_hp_coef</t>
        </is>
      </c>
      <c r="EY39" t="inlineStr">
        <is>
          <t>enemy_attack_coef</t>
        </is>
      </c>
      <c r="EZ39" t="inlineStr">
        <is>
          <t>enemy_speed_coef</t>
        </is>
      </c>
      <c r="FA39" t="inlineStr">
        <is>
          <t>override_drop_battle_point</t>
        </is>
      </c>
      <c r="FB39" t="inlineStr">
        <is>
          <t>defeated_score</t>
        </is>
      </c>
      <c r="FC39" t="inlineStr">
        <is>
          <t>action_delay</t>
        </is>
      </c>
      <c r="FD39" t="inlineStr">
        <is>
          <t>deactivation_condition_type</t>
        </is>
      </c>
      <c r="FE39" t="inlineStr">
        <is>
          <t>deactivation_condition_value</t>
        </is>
      </c>
    </row>
    <row r="40">
      <c r="D40" t="n">
        <v>1</v>
      </c>
      <c r="H40" t="inlineStr">
        <is>
          <t>e_jig_00601_jig1_charaget01_Boss_Colorless</t>
        </is>
      </c>
      <c r="L40" t="inlineStr">
        <is>
          <t>朱槿</t>
        </is>
      </c>
      <c r="P40" t="inlineStr">
        <is>
          <t>Boss</t>
        </is>
      </c>
      <c r="R40" t="inlineStr">
        <is>
          <t>Colorless</t>
        </is>
      </c>
      <c r="T40" t="inlineStr">
        <is>
          <t>Attack</t>
        </is>
      </c>
      <c r="V40" t="inlineStr">
        <is>
          <t>Default</t>
        </is>
      </c>
      <c r="X40" t="inlineStr">
        <is>
          <t>Normal</t>
        </is>
      </c>
      <c r="AB40" t="n">
        <v>120000</v>
      </c>
      <c r="AD40" t="n">
        <v>12</v>
      </c>
      <c r="AF40" t="n">
        <v>450</v>
      </c>
      <c r="AH40" t="n">
        <v>4.5</v>
      </c>
      <c r="AJ40" t="n">
        <v>75</v>
      </c>
      <c r="AN40">
        <f>iferror(AF40*(50/(AJ40+AL40)),"攻撃力に数値を入力")</f>
        <v/>
      </c>
      <c r="AY40" t="inlineStr">
        <is>
          <t>-</t>
        </is>
      </c>
      <c r="BA40" t="inlineStr">
        <is>
          <t>none</t>
        </is>
      </c>
      <c r="BE40" t="n">
        <v>37</v>
      </c>
      <c r="BO40" t="n">
        <v>3</v>
      </c>
      <c r="BS40" t="n">
        <v>200</v>
      </c>
      <c r="CA40" t="inlineStr">
        <is>
          <t>InitialSummon</t>
        </is>
      </c>
      <c r="CE40" t="n">
        <v>0</v>
      </c>
      <c r="CG40" t="n">
        <v>0</v>
      </c>
      <c r="CI40" t="n">
        <v>1</v>
      </c>
      <c r="CM40" t="inlineStr">
        <is>
          <t>None</t>
        </is>
      </c>
      <c r="CO40" t="n">
        <v>0.7</v>
      </c>
      <c r="CQ40" t="inlineStr">
        <is>
          <t>Damage</t>
        </is>
      </c>
      <c r="CU40" t="n">
        <v>1</v>
      </c>
      <c r="CW40" t="inlineStr">
        <is>
          <t>None</t>
        </is>
      </c>
      <c r="DC40" t="inlineStr">
        <is>
          <t>None</t>
        </is>
      </c>
      <c r="DK40" t="b">
        <v>1</v>
      </c>
      <c r="DM40" t="inlineStr">
        <is>
          <t>None</t>
        </is>
      </c>
      <c r="EA40">
        <f>B40</f>
        <v/>
      </c>
      <c r="EB40">
        <f>D40</f>
        <v/>
      </c>
      <c r="EC40">
        <f>F40</f>
        <v/>
      </c>
      <c r="ED40">
        <f>CA40</f>
        <v/>
      </c>
      <c r="EE40">
        <f>CE40</f>
        <v/>
      </c>
      <c r="EF40">
        <f>"SummonEnemy"</f>
        <v/>
      </c>
      <c r="EG40">
        <f>H40</f>
        <v/>
      </c>
      <c r="EI40">
        <f>CI40</f>
        <v/>
      </c>
      <c r="EJ40">
        <f>CG40</f>
        <v/>
      </c>
      <c r="EK40">
        <f>CM40</f>
        <v/>
      </c>
      <c r="EL40">
        <f>CO40</f>
        <v/>
      </c>
      <c r="EM40">
        <f>CQ40</f>
        <v/>
      </c>
      <c r="EN40">
        <f>CU40</f>
        <v/>
      </c>
      <c r="EO40">
        <f>CW40</f>
        <v/>
      </c>
      <c r="EP40">
        <f>DA40</f>
        <v/>
      </c>
      <c r="EQ40">
        <f>DC40</f>
        <v/>
      </c>
      <c r="ER40">
        <f>DG40</f>
        <v/>
      </c>
      <c r="ES40">
        <f>DI40</f>
        <v/>
      </c>
      <c r="ET40">
        <f>DK40</f>
        <v/>
      </c>
      <c r="EV40">
        <f>V40</f>
        <v/>
      </c>
      <c r="EW40">
        <f>X40</f>
        <v/>
      </c>
      <c r="EX40">
        <f>AD40</f>
        <v/>
      </c>
      <c r="EY40">
        <f>AH40</f>
        <v/>
      </c>
      <c r="EZ40">
        <f>"1"</f>
        <v/>
      </c>
      <c r="FA40">
        <f>BS40</f>
        <v/>
      </c>
      <c r="FB40" t="n">
        <v>0</v>
      </c>
      <c r="FC40">
        <f>CK40</f>
        <v/>
      </c>
      <c r="FD40">
        <f>DM40</f>
        <v/>
      </c>
    </row>
    <row r="41">
      <c r="D41" t="n">
        <v>2</v>
      </c>
      <c r="H41" t="inlineStr">
        <is>
          <t>e_jig_00301_jig1_charaget01_Normal_Green</t>
        </is>
      </c>
      <c r="L41" t="inlineStr">
        <is>
          <t>竈神 魚</t>
        </is>
      </c>
      <c r="P41" t="inlineStr">
        <is>
          <t>Normal</t>
        </is>
      </c>
      <c r="R41" t="inlineStr">
        <is>
          <t>Green</t>
        </is>
      </c>
      <c r="T41" t="inlineStr">
        <is>
          <t>Attack</t>
        </is>
      </c>
      <c r="V41" t="inlineStr">
        <is>
          <t>Default</t>
        </is>
      </c>
      <c r="X41" t="inlineStr">
        <is>
          <t>Normal</t>
        </is>
      </c>
      <c r="AB41" t="n">
        <v>23000</v>
      </c>
      <c r="AD41" t="n">
        <v>23</v>
      </c>
      <c r="AF41" t="n">
        <v>300</v>
      </c>
      <c r="AH41" t="n">
        <v>3</v>
      </c>
      <c r="AJ41" t="n">
        <v>75</v>
      </c>
      <c r="AL41" t="n">
        <v>10</v>
      </c>
      <c r="AN41">
        <f>iferror(AF41*(50/(AJ41+AL41)),"攻撃力に数値を入力")</f>
        <v/>
      </c>
      <c r="AY41" t="inlineStr">
        <is>
          <t>-</t>
        </is>
      </c>
      <c r="BA41" t="inlineStr">
        <is>
          <t>none</t>
        </is>
      </c>
      <c r="BE41" t="n">
        <v>37</v>
      </c>
      <c r="BG41" t="n">
        <v>0.22</v>
      </c>
      <c r="BI41" t="n">
        <v>0</v>
      </c>
      <c r="BK41" t="n">
        <v>0.23</v>
      </c>
      <c r="BM41" t="n">
        <v>1</v>
      </c>
      <c r="BO41" t="n">
        <v>4</v>
      </c>
      <c r="BQ41" t="n">
        <v>50</v>
      </c>
      <c r="BS41" t="n">
        <v>100</v>
      </c>
      <c r="CA41" t="inlineStr">
        <is>
          <t>ElapsedTime</t>
        </is>
      </c>
      <c r="CE41" t="n">
        <v>2500</v>
      </c>
      <c r="CG41" t="n">
        <v>2000</v>
      </c>
      <c r="CI41" t="n">
        <v>2</v>
      </c>
      <c r="CM41" t="inlineStr">
        <is>
          <t>None</t>
        </is>
      </c>
      <c r="CQ41" t="inlineStr">
        <is>
          <t>None</t>
        </is>
      </c>
      <c r="CW41" t="inlineStr">
        <is>
          <t>None</t>
        </is>
      </c>
      <c r="DC41" t="inlineStr">
        <is>
          <t>None</t>
        </is>
      </c>
      <c r="DK41" t="b">
        <v>0</v>
      </c>
      <c r="DM41" t="inlineStr">
        <is>
          <t>None</t>
        </is>
      </c>
      <c r="EA41">
        <f>B41</f>
        <v/>
      </c>
      <c r="EB41">
        <f>D41</f>
        <v/>
      </c>
      <c r="EC41">
        <f>F41</f>
        <v/>
      </c>
      <c r="ED41">
        <f>CA41</f>
        <v/>
      </c>
      <c r="EE41">
        <f>CE41</f>
        <v/>
      </c>
      <c r="EF41">
        <f>"SummonEnemy"</f>
        <v/>
      </c>
      <c r="EG41">
        <f>H41</f>
        <v/>
      </c>
      <c r="EI41">
        <f>CI41</f>
        <v/>
      </c>
      <c r="EJ41">
        <f>CG41</f>
        <v/>
      </c>
      <c r="EK41">
        <f>CM41</f>
        <v/>
      </c>
      <c r="EL41">
        <f>CO41</f>
        <v/>
      </c>
      <c r="EM41">
        <f>CQ41</f>
        <v/>
      </c>
      <c r="EN41">
        <f>CU41</f>
        <v/>
      </c>
      <c r="EO41">
        <f>CW41</f>
        <v/>
      </c>
      <c r="EP41">
        <f>DA41</f>
        <v/>
      </c>
      <c r="EQ41">
        <f>DC41</f>
        <v/>
      </c>
      <c r="ER41">
        <f>DG41</f>
        <v/>
      </c>
      <c r="ES41">
        <f>DI41</f>
        <v/>
      </c>
      <c r="ET41">
        <f>DK41</f>
        <v/>
      </c>
      <c r="EV41">
        <f>V41</f>
        <v/>
      </c>
      <c r="EW41">
        <f>X41</f>
        <v/>
      </c>
      <c r="EX41">
        <f>AD41</f>
        <v/>
      </c>
      <c r="EY41">
        <f>AH41</f>
        <v/>
      </c>
      <c r="EZ41">
        <f>"1"</f>
        <v/>
      </c>
      <c r="FA41">
        <f>BS41</f>
        <v/>
      </c>
      <c r="FB41" t="n">
        <v>0</v>
      </c>
      <c r="FC41">
        <f>CK41</f>
        <v/>
      </c>
      <c r="FD41">
        <f>DM41</f>
        <v/>
      </c>
    </row>
    <row r="42">
      <c r="D42" t="n">
        <v>3</v>
      </c>
      <c r="H42" t="inlineStr">
        <is>
          <t>e_jig_00301_jig1_charaget01_Normal_Green</t>
        </is>
      </c>
      <c r="L42" t="inlineStr">
        <is>
          <t>竈神 魚</t>
        </is>
      </c>
      <c r="P42" t="inlineStr">
        <is>
          <t>Normal</t>
        </is>
      </c>
      <c r="R42" t="inlineStr">
        <is>
          <t>Green</t>
        </is>
      </c>
      <c r="T42" t="inlineStr">
        <is>
          <t>Attack</t>
        </is>
      </c>
      <c r="V42" t="inlineStr">
        <is>
          <t>Default</t>
        </is>
      </c>
      <c r="X42" t="inlineStr">
        <is>
          <t>Normal</t>
        </is>
      </c>
      <c r="AB42" t="n">
        <v>23000</v>
      </c>
      <c r="AD42" t="n">
        <v>23</v>
      </c>
      <c r="AF42" t="n">
        <v>300</v>
      </c>
      <c r="AH42" t="n">
        <v>3</v>
      </c>
      <c r="AJ42" t="n">
        <v>75</v>
      </c>
      <c r="AL42" t="n">
        <v>10</v>
      </c>
      <c r="AN42">
        <f>iferror(AF42*(50/(AJ42+AL42)),"攻撃力に数値を入力")</f>
        <v/>
      </c>
      <c r="AY42" t="inlineStr">
        <is>
          <t>-</t>
        </is>
      </c>
      <c r="BA42" t="inlineStr">
        <is>
          <t>none</t>
        </is>
      </c>
      <c r="BE42" t="n">
        <v>37</v>
      </c>
      <c r="BG42" t="n">
        <v>0.22</v>
      </c>
      <c r="BI42" t="n">
        <v>0</v>
      </c>
      <c r="BK42" t="n">
        <v>0.23</v>
      </c>
      <c r="BM42" t="n">
        <v>1</v>
      </c>
      <c r="BO42" t="n">
        <v>4</v>
      </c>
      <c r="BQ42" t="n">
        <v>50</v>
      </c>
      <c r="BS42" t="n">
        <v>100</v>
      </c>
      <c r="CA42" t="inlineStr">
        <is>
          <t>FriendUnitDead</t>
        </is>
      </c>
      <c r="CE42" t="n">
        <v>2</v>
      </c>
      <c r="CG42" t="n">
        <v>0</v>
      </c>
      <c r="CI42" t="n">
        <v>1</v>
      </c>
      <c r="CK42" t="n">
        <v>1750</v>
      </c>
      <c r="CM42" t="inlineStr">
        <is>
          <t>None</t>
        </is>
      </c>
      <c r="CQ42" t="inlineStr">
        <is>
          <t>None</t>
        </is>
      </c>
      <c r="CW42" t="inlineStr">
        <is>
          <t>None</t>
        </is>
      </c>
      <c r="DC42" t="inlineStr">
        <is>
          <t>None</t>
        </is>
      </c>
      <c r="DK42" t="b">
        <v>0</v>
      </c>
      <c r="DM42" t="inlineStr">
        <is>
          <t>None</t>
        </is>
      </c>
      <c r="EA42">
        <f>B42</f>
        <v/>
      </c>
      <c r="EB42">
        <f>D42</f>
        <v/>
      </c>
      <c r="EC42">
        <f>F42</f>
        <v/>
      </c>
      <c r="ED42">
        <f>CA42</f>
        <v/>
      </c>
      <c r="EE42">
        <f>CE42</f>
        <v/>
      </c>
      <c r="EF42">
        <f>"SummonEnemy"</f>
        <v/>
      </c>
      <c r="EG42">
        <f>H42</f>
        <v/>
      </c>
      <c r="EI42">
        <f>CI42</f>
        <v/>
      </c>
      <c r="EJ42">
        <f>CG42</f>
        <v/>
      </c>
      <c r="EK42">
        <f>CM42</f>
        <v/>
      </c>
      <c r="EL42">
        <f>CO42</f>
        <v/>
      </c>
      <c r="EM42">
        <f>CQ42</f>
        <v/>
      </c>
      <c r="EN42">
        <f>CU42</f>
        <v/>
      </c>
      <c r="EO42">
        <f>CW42</f>
        <v/>
      </c>
      <c r="EP42">
        <f>DA42</f>
        <v/>
      </c>
      <c r="EQ42">
        <f>DC42</f>
        <v/>
      </c>
      <c r="ER42">
        <f>DG42</f>
        <v/>
      </c>
      <c r="ES42">
        <f>DI42</f>
        <v/>
      </c>
      <c r="ET42">
        <f>DK42</f>
        <v/>
      </c>
      <c r="EV42">
        <f>V42</f>
        <v/>
      </c>
      <c r="EW42">
        <f>X42</f>
        <v/>
      </c>
      <c r="EX42">
        <f>AD42</f>
        <v/>
      </c>
      <c r="EY42">
        <f>AH42</f>
        <v/>
      </c>
      <c r="EZ42">
        <f>"1"</f>
        <v/>
      </c>
      <c r="FA42">
        <f>BS42</f>
        <v/>
      </c>
      <c r="FB42" t="n">
        <v>0</v>
      </c>
      <c r="FC42">
        <f>CK42</f>
        <v/>
      </c>
      <c r="FD42">
        <f>DM42</f>
        <v/>
      </c>
    </row>
    <row r="43">
      <c r="D43" t="n">
        <v>4</v>
      </c>
      <c r="H43" t="inlineStr">
        <is>
          <t>e_jig_00401_jig1_charaget01_Normal_Green</t>
        </is>
      </c>
      <c r="L43" t="inlineStr">
        <is>
          <t>極楽蝶</t>
        </is>
      </c>
      <c r="P43" t="inlineStr">
        <is>
          <t>Normal</t>
        </is>
      </c>
      <c r="R43" t="inlineStr">
        <is>
          <t>Green</t>
        </is>
      </c>
      <c r="T43" t="inlineStr">
        <is>
          <t>Technical</t>
        </is>
      </c>
      <c r="V43" t="inlineStr">
        <is>
          <t>Default</t>
        </is>
      </c>
      <c r="X43" t="inlineStr">
        <is>
          <t>Normal</t>
        </is>
      </c>
      <c r="AB43" t="n">
        <v>10000</v>
      </c>
      <c r="AD43" t="n">
        <v>10</v>
      </c>
      <c r="AF43" t="n">
        <v>250</v>
      </c>
      <c r="AH43" t="n">
        <v>2.5</v>
      </c>
      <c r="AJ43" t="n">
        <v>65</v>
      </c>
      <c r="AL43" t="n">
        <v>125</v>
      </c>
      <c r="AN43">
        <f>iferror(AF43*(50/(AJ43+AL43)),"攻撃力に数値を入力")</f>
        <v/>
      </c>
      <c r="AP43" t="inlineStr">
        <is>
          <t>100%の確率で6秒間1%の毒にする</t>
        </is>
      </c>
      <c r="AY43" t="inlineStr">
        <is>
          <t>-</t>
        </is>
      </c>
      <c r="BA43" t="inlineStr">
        <is>
          <t>none</t>
        </is>
      </c>
      <c r="BE43" t="n">
        <v>33</v>
      </c>
      <c r="BG43" t="n">
        <v>0.24</v>
      </c>
      <c r="BI43" t="n">
        <v>0</v>
      </c>
      <c r="BK43" t="n">
        <v>0.25</v>
      </c>
      <c r="BM43" t="n">
        <v>1</v>
      </c>
      <c r="BO43" t="n">
        <v>2</v>
      </c>
      <c r="BQ43" t="n">
        <v>50</v>
      </c>
      <c r="BS43" t="n">
        <v>100</v>
      </c>
      <c r="CA43" t="inlineStr">
        <is>
          <t>ElapsedTime</t>
        </is>
      </c>
      <c r="CE43" t="n">
        <v>1200</v>
      </c>
      <c r="CG43" t="n">
        <v>1500</v>
      </c>
      <c r="CI43" t="n">
        <v>5</v>
      </c>
      <c r="CM43" t="inlineStr">
        <is>
          <t>None</t>
        </is>
      </c>
      <c r="CQ43" t="inlineStr">
        <is>
          <t>None</t>
        </is>
      </c>
      <c r="CW43" t="inlineStr">
        <is>
          <t>None</t>
        </is>
      </c>
      <c r="DC43" t="inlineStr">
        <is>
          <t>None</t>
        </is>
      </c>
      <c r="DK43" t="b">
        <v>0</v>
      </c>
      <c r="DM43" t="inlineStr">
        <is>
          <t>None</t>
        </is>
      </c>
      <c r="EA43">
        <f>B43</f>
        <v/>
      </c>
      <c r="EB43">
        <f>D43</f>
        <v/>
      </c>
      <c r="EC43">
        <f>F43</f>
        <v/>
      </c>
      <c r="ED43">
        <f>CA43</f>
        <v/>
      </c>
      <c r="EE43">
        <f>CE43</f>
        <v/>
      </c>
      <c r="EF43">
        <f>"SummonEnemy"</f>
        <v/>
      </c>
      <c r="EG43">
        <f>H43</f>
        <v/>
      </c>
      <c r="EI43">
        <f>CI43</f>
        <v/>
      </c>
      <c r="EJ43">
        <f>CG43</f>
        <v/>
      </c>
      <c r="EK43">
        <f>CM43</f>
        <v/>
      </c>
      <c r="EL43">
        <f>CO43</f>
        <v/>
      </c>
      <c r="EM43">
        <f>CQ43</f>
        <v/>
      </c>
      <c r="EN43">
        <f>CU43</f>
        <v/>
      </c>
      <c r="EO43">
        <f>CW43</f>
        <v/>
      </c>
      <c r="EP43">
        <f>DA43</f>
        <v/>
      </c>
      <c r="EQ43">
        <f>DC43</f>
        <v/>
      </c>
      <c r="ER43">
        <f>DG43</f>
        <v/>
      </c>
      <c r="ES43">
        <f>DI43</f>
        <v/>
      </c>
      <c r="ET43">
        <f>DK43</f>
        <v/>
      </c>
      <c r="EV43">
        <f>V43</f>
        <v/>
      </c>
      <c r="EW43">
        <f>X43</f>
        <v/>
      </c>
      <c r="EX43">
        <f>AD43</f>
        <v/>
      </c>
      <c r="EY43">
        <f>AH43</f>
        <v/>
      </c>
      <c r="EZ43">
        <f>"1"</f>
        <v/>
      </c>
      <c r="FA43">
        <f>BS43</f>
        <v/>
      </c>
      <c r="FB43" t="n">
        <v>0</v>
      </c>
      <c r="FC43">
        <f>CK43</f>
        <v/>
      </c>
      <c r="FD43">
        <f>DM43</f>
        <v/>
      </c>
    </row>
    <row r="44">
      <c r="D44" t="n">
        <v>5</v>
      </c>
      <c r="H44" t="inlineStr">
        <is>
          <t>e_jig_00402_jig1_charaget01_Normal_Colorless</t>
        </is>
      </c>
      <c r="L44" t="inlineStr">
        <is>
          <t>極楽蝶</t>
        </is>
      </c>
      <c r="P44" t="inlineStr">
        <is>
          <t>Normal</t>
        </is>
      </c>
      <c r="R44" t="inlineStr">
        <is>
          <t>Colorless</t>
        </is>
      </c>
      <c r="T44" t="inlineStr">
        <is>
          <t>Defense</t>
        </is>
      </c>
      <c r="V44" t="inlineStr">
        <is>
          <t>Default</t>
        </is>
      </c>
      <c r="X44" t="inlineStr">
        <is>
          <t>Normal</t>
        </is>
      </c>
      <c r="AB44" t="n">
        <v>32000</v>
      </c>
      <c r="AD44" t="n">
        <v>32</v>
      </c>
      <c r="AF44" t="n">
        <v>150</v>
      </c>
      <c r="AH44" t="n">
        <v>1.5</v>
      </c>
      <c r="AJ44" t="n">
        <v>105</v>
      </c>
      <c r="AL44" t="n">
        <v>200</v>
      </c>
      <c r="AN44">
        <f>iferror(AF44*(50/(AJ44+AL44)),"攻撃力に数値を入力")</f>
        <v/>
      </c>
      <c r="AY44" t="inlineStr">
        <is>
          <t>-</t>
        </is>
      </c>
      <c r="BA44" t="inlineStr">
        <is>
          <t>none</t>
        </is>
      </c>
      <c r="BE44" t="n">
        <v>25</v>
      </c>
      <c r="BG44" t="n">
        <v>0.22</v>
      </c>
      <c r="BI44" t="n">
        <v>0</v>
      </c>
      <c r="BK44" t="n">
        <v>0.23</v>
      </c>
      <c r="BM44" t="n">
        <v>100</v>
      </c>
      <c r="BO44" t="n">
        <v>2</v>
      </c>
      <c r="BQ44" t="n">
        <v>50</v>
      </c>
      <c r="BS44" t="n">
        <v>100</v>
      </c>
      <c r="CA44" t="inlineStr">
        <is>
          <t>ElapsedTime</t>
        </is>
      </c>
      <c r="CE44" t="n">
        <v>800</v>
      </c>
      <c r="CG44" t="n">
        <v>800</v>
      </c>
      <c r="CI44" t="n">
        <v>5</v>
      </c>
      <c r="CM44" t="inlineStr">
        <is>
          <t>None</t>
        </is>
      </c>
      <c r="CQ44" t="inlineStr">
        <is>
          <t>None</t>
        </is>
      </c>
      <c r="CW44" t="inlineStr">
        <is>
          <t>None</t>
        </is>
      </c>
      <c r="DC44" t="inlineStr">
        <is>
          <t>None</t>
        </is>
      </c>
      <c r="DK44" t="b">
        <v>0</v>
      </c>
      <c r="DM44" t="inlineStr">
        <is>
          <t>None</t>
        </is>
      </c>
      <c r="EA44">
        <f>B44</f>
        <v/>
      </c>
      <c r="EB44">
        <f>D44</f>
        <v/>
      </c>
      <c r="EC44">
        <f>F44</f>
        <v/>
      </c>
      <c r="ED44">
        <f>CA44</f>
        <v/>
      </c>
      <c r="EE44">
        <f>CE44</f>
        <v/>
      </c>
      <c r="EF44">
        <f>"SummonEnemy"</f>
        <v/>
      </c>
      <c r="EG44">
        <f>H44</f>
        <v/>
      </c>
      <c r="EI44">
        <f>CI44</f>
        <v/>
      </c>
      <c r="EJ44">
        <f>CG44</f>
        <v/>
      </c>
      <c r="EK44">
        <f>CM44</f>
        <v/>
      </c>
      <c r="EL44">
        <f>CO44</f>
        <v/>
      </c>
      <c r="EM44">
        <f>CQ44</f>
        <v/>
      </c>
      <c r="EN44">
        <f>CU44</f>
        <v/>
      </c>
      <c r="EO44">
        <f>CW44</f>
        <v/>
      </c>
      <c r="EP44">
        <f>DA44</f>
        <v/>
      </c>
      <c r="EQ44">
        <f>DC44</f>
        <v/>
      </c>
      <c r="ER44">
        <f>DG44</f>
        <v/>
      </c>
      <c r="ES44">
        <f>DI44</f>
        <v/>
      </c>
      <c r="ET44">
        <f>DK44</f>
        <v/>
      </c>
      <c r="EV44">
        <f>V44</f>
        <v/>
      </c>
      <c r="EW44">
        <f>X44</f>
        <v/>
      </c>
      <c r="EX44">
        <f>AD44</f>
        <v/>
      </c>
      <c r="EY44">
        <f>AH44</f>
        <v/>
      </c>
      <c r="EZ44">
        <f>"1"</f>
        <v/>
      </c>
      <c r="FA44">
        <f>BS44</f>
        <v/>
      </c>
      <c r="FB44" t="n">
        <v>0</v>
      </c>
      <c r="FC44">
        <f>CK44</f>
        <v/>
      </c>
      <c r="FD44">
        <f>DM44</f>
        <v/>
      </c>
    </row>
    <row r="45">
      <c r="D45" t="n">
        <v>6</v>
      </c>
      <c r="H45" t="inlineStr">
        <is>
          <t>e_jig_00301_jig1_charaget01_Normal_Green</t>
        </is>
      </c>
      <c r="L45" t="inlineStr">
        <is>
          <t>竈神 魚</t>
        </is>
      </c>
      <c r="P45" t="inlineStr">
        <is>
          <t>Normal</t>
        </is>
      </c>
      <c r="R45" t="inlineStr">
        <is>
          <t>Green</t>
        </is>
      </c>
      <c r="T45" t="inlineStr">
        <is>
          <t>Attack</t>
        </is>
      </c>
      <c r="V45" t="inlineStr">
        <is>
          <t>Default</t>
        </is>
      </c>
      <c r="X45" t="inlineStr">
        <is>
          <t>Normal</t>
        </is>
      </c>
      <c r="AB45" t="n">
        <v>23000</v>
      </c>
      <c r="AD45" t="n">
        <v>23</v>
      </c>
      <c r="AF45" t="n">
        <v>300</v>
      </c>
      <c r="AH45" t="n">
        <v>3</v>
      </c>
      <c r="AJ45" t="n">
        <v>75</v>
      </c>
      <c r="AL45" t="n">
        <v>10</v>
      </c>
      <c r="AN45">
        <f>iferror(AF45*(50/(AJ45+AL45)),"攻撃力に数値を入力")</f>
        <v/>
      </c>
      <c r="AY45" t="inlineStr">
        <is>
          <t>-</t>
        </is>
      </c>
      <c r="BA45" t="inlineStr">
        <is>
          <t>none</t>
        </is>
      </c>
      <c r="BE45" t="n">
        <v>37</v>
      </c>
      <c r="BG45" t="n">
        <v>0.22</v>
      </c>
      <c r="BI45" t="n">
        <v>0</v>
      </c>
      <c r="BK45" t="n">
        <v>0.23</v>
      </c>
      <c r="BM45" t="n">
        <v>1</v>
      </c>
      <c r="BO45" t="n">
        <v>4</v>
      </c>
      <c r="BQ45" t="n">
        <v>50</v>
      </c>
      <c r="BS45" t="n">
        <v>50</v>
      </c>
      <c r="CA45" t="inlineStr">
        <is>
          <t>OutpostHpPercentage</t>
        </is>
      </c>
      <c r="CE45" t="n">
        <v>99</v>
      </c>
      <c r="CG45" t="n">
        <v>0</v>
      </c>
      <c r="CI45" t="n">
        <v>1</v>
      </c>
      <c r="CK45" t="n">
        <v>300</v>
      </c>
      <c r="CM45" t="inlineStr">
        <is>
          <t>None</t>
        </is>
      </c>
      <c r="CQ45" t="inlineStr">
        <is>
          <t>None</t>
        </is>
      </c>
      <c r="CW45" t="inlineStr">
        <is>
          <t>None</t>
        </is>
      </c>
      <c r="DC45" t="inlineStr">
        <is>
          <t>None</t>
        </is>
      </c>
      <c r="DK45" t="b">
        <v>0</v>
      </c>
      <c r="DM45" t="inlineStr">
        <is>
          <t>None</t>
        </is>
      </c>
      <c r="EA45">
        <f>B45</f>
        <v/>
      </c>
      <c r="EB45">
        <f>D45</f>
        <v/>
      </c>
      <c r="EC45">
        <f>F45</f>
        <v/>
      </c>
      <c r="ED45">
        <f>CA45</f>
        <v/>
      </c>
      <c r="EE45">
        <f>CE45</f>
        <v/>
      </c>
      <c r="EF45">
        <f>"SummonEnemy"</f>
        <v/>
      </c>
      <c r="EG45">
        <f>H45</f>
        <v/>
      </c>
      <c r="EI45">
        <f>CI45</f>
        <v/>
      </c>
      <c r="EJ45">
        <f>CG45</f>
        <v/>
      </c>
      <c r="EK45">
        <f>CM45</f>
        <v/>
      </c>
      <c r="EL45">
        <f>CO45</f>
        <v/>
      </c>
      <c r="EM45">
        <f>CQ45</f>
        <v/>
      </c>
      <c r="EN45">
        <f>CU45</f>
        <v/>
      </c>
      <c r="EO45">
        <f>CW45</f>
        <v/>
      </c>
      <c r="EP45">
        <f>DA45</f>
        <v/>
      </c>
      <c r="EQ45">
        <f>DC45</f>
        <v/>
      </c>
      <c r="ER45">
        <f>DG45</f>
        <v/>
      </c>
      <c r="ES45">
        <f>DI45</f>
        <v/>
      </c>
      <c r="ET45">
        <f>DK45</f>
        <v/>
      </c>
      <c r="EV45">
        <f>V45</f>
        <v/>
      </c>
      <c r="EW45">
        <f>X45</f>
        <v/>
      </c>
      <c r="EX45">
        <f>AD45</f>
        <v/>
      </c>
      <c r="EY45">
        <f>AH45</f>
        <v/>
      </c>
      <c r="EZ45">
        <f>"1"</f>
        <v/>
      </c>
      <c r="FA45">
        <f>BS45</f>
        <v/>
      </c>
      <c r="FB45" t="n">
        <v>0</v>
      </c>
      <c r="FC45">
        <f>CK45</f>
        <v/>
      </c>
      <c r="FD45">
        <f>DM45</f>
        <v/>
      </c>
    </row>
    <row r="46">
      <c r="D46" t="n">
        <v>7</v>
      </c>
      <c r="H46" t="inlineStr">
        <is>
          <t>e_jig_00402_jig1_charaget01_Normal_Colorless</t>
        </is>
      </c>
      <c r="L46" t="inlineStr">
        <is>
          <t>極楽蝶</t>
        </is>
      </c>
      <c r="P46" t="inlineStr">
        <is>
          <t>Normal</t>
        </is>
      </c>
      <c r="R46" t="inlineStr">
        <is>
          <t>Colorless</t>
        </is>
      </c>
      <c r="T46" t="inlineStr">
        <is>
          <t>Defense</t>
        </is>
      </c>
      <c r="V46" t="inlineStr">
        <is>
          <t>Default</t>
        </is>
      </c>
      <c r="X46" t="inlineStr">
        <is>
          <t>Normal</t>
        </is>
      </c>
      <c r="AB46" t="n">
        <v>32000</v>
      </c>
      <c r="AD46" t="n">
        <v>32</v>
      </c>
      <c r="AF46" t="n">
        <v>150</v>
      </c>
      <c r="AH46" t="n">
        <v>1.5</v>
      </c>
      <c r="AJ46" t="n">
        <v>105</v>
      </c>
      <c r="AL46" t="n">
        <v>200</v>
      </c>
      <c r="AN46">
        <f>iferror(AF46*(50/(AJ46+AL46)),"攻撃力に数値を入力")</f>
        <v/>
      </c>
      <c r="AY46" t="inlineStr">
        <is>
          <t>-</t>
        </is>
      </c>
      <c r="BA46" t="inlineStr">
        <is>
          <t>none</t>
        </is>
      </c>
      <c r="BE46" t="n">
        <v>25</v>
      </c>
      <c r="BG46" t="n">
        <v>0.22</v>
      </c>
      <c r="BI46" t="n">
        <v>0</v>
      </c>
      <c r="BK46" t="n">
        <v>0.23</v>
      </c>
      <c r="BM46" t="n">
        <v>100</v>
      </c>
      <c r="BO46" t="n">
        <v>2</v>
      </c>
      <c r="BQ46" t="n">
        <v>50</v>
      </c>
      <c r="BS46" t="n">
        <v>50</v>
      </c>
      <c r="CA46" t="inlineStr">
        <is>
          <t>OutpostHpPercentage</t>
        </is>
      </c>
      <c r="CE46" t="n">
        <v>99</v>
      </c>
      <c r="CG46" t="n">
        <v>0</v>
      </c>
      <c r="CI46" t="n">
        <v>1</v>
      </c>
      <c r="CK46" t="n">
        <v>50</v>
      </c>
      <c r="CM46" t="inlineStr">
        <is>
          <t>None</t>
        </is>
      </c>
      <c r="CQ46" t="inlineStr">
        <is>
          <t>None</t>
        </is>
      </c>
      <c r="CW46" t="inlineStr">
        <is>
          <t>None</t>
        </is>
      </c>
      <c r="DC46" t="inlineStr">
        <is>
          <t>None</t>
        </is>
      </c>
      <c r="DK46" t="b">
        <v>0</v>
      </c>
      <c r="DM46" t="inlineStr">
        <is>
          <t>None</t>
        </is>
      </c>
      <c r="EA46">
        <f>B46</f>
        <v/>
      </c>
      <c r="EB46">
        <f>D46</f>
        <v/>
      </c>
      <c r="EC46">
        <f>F46</f>
        <v/>
      </c>
      <c r="ED46">
        <f>CA46</f>
        <v/>
      </c>
      <c r="EE46">
        <f>CE46</f>
        <v/>
      </c>
      <c r="EF46">
        <f>"SummonEnemy"</f>
        <v/>
      </c>
      <c r="EG46">
        <f>H46</f>
        <v/>
      </c>
      <c r="EI46">
        <f>CI46</f>
        <v/>
      </c>
      <c r="EJ46">
        <f>CG46</f>
        <v/>
      </c>
      <c r="EK46">
        <f>CM46</f>
        <v/>
      </c>
      <c r="EL46">
        <f>CO46</f>
        <v/>
      </c>
      <c r="EM46">
        <f>CQ46</f>
        <v/>
      </c>
      <c r="EN46">
        <f>CU46</f>
        <v/>
      </c>
      <c r="EO46">
        <f>CW46</f>
        <v/>
      </c>
      <c r="EP46">
        <f>DA46</f>
        <v/>
      </c>
      <c r="EQ46">
        <f>DC46</f>
        <v/>
      </c>
      <c r="ER46">
        <f>DG46</f>
        <v/>
      </c>
      <c r="ES46">
        <f>DI46</f>
        <v/>
      </c>
      <c r="ET46">
        <f>DK46</f>
        <v/>
      </c>
      <c r="EV46">
        <f>V46</f>
        <v/>
      </c>
      <c r="EW46">
        <f>X46</f>
        <v/>
      </c>
      <c r="EX46">
        <f>AD46</f>
        <v/>
      </c>
      <c r="EY46">
        <f>AH46</f>
        <v/>
      </c>
      <c r="EZ46">
        <f>"1"</f>
        <v/>
      </c>
      <c r="FA46">
        <f>BS46</f>
        <v/>
      </c>
      <c r="FB46" t="n">
        <v>0</v>
      </c>
      <c r="FC46">
        <f>CK46</f>
        <v/>
      </c>
      <c r="FD46">
        <f>DM46</f>
        <v/>
      </c>
    </row>
    <row r="47">
      <c r="L47" t="inlineStr">
        <is>
          <t>none</t>
        </is>
      </c>
      <c r="P47" t="inlineStr">
        <is>
          <t>none</t>
        </is>
      </c>
      <c r="R47" t="inlineStr">
        <is>
          <t>none</t>
        </is>
      </c>
      <c r="T47" t="inlineStr">
        <is>
          <t>none</t>
        </is>
      </c>
      <c r="V47" t="inlineStr">
        <is>
          <t>Default</t>
        </is>
      </c>
      <c r="X47" t="inlineStr">
        <is>
          <t>Normal</t>
        </is>
      </c>
      <c r="AB47" t="inlineStr">
        <is>
          <t>none</t>
        </is>
      </c>
      <c r="AD47" t="n">
        <v>1</v>
      </c>
      <c r="AF47" t="inlineStr">
        <is>
          <t>none</t>
        </is>
      </c>
      <c r="AH47" t="n">
        <v>1</v>
      </c>
      <c r="AJ47" t="inlineStr">
        <is>
          <t>none</t>
        </is>
      </c>
      <c r="AL47" t="inlineStr">
        <is>
          <t>none</t>
        </is>
      </c>
      <c r="AN47">
        <f>iferror(AF47*(50/(AJ47+AL47)),"攻撃力に数値を入力")</f>
        <v/>
      </c>
      <c r="AP47" t="inlineStr">
        <is>
          <t>none</t>
        </is>
      </c>
      <c r="AT47" t="inlineStr">
        <is>
          <t>none</t>
        </is>
      </c>
      <c r="AY47" t="inlineStr">
        <is>
          <t>none</t>
        </is>
      </c>
      <c r="BA47" t="inlineStr">
        <is>
          <t>none</t>
        </is>
      </c>
      <c r="BC47" t="inlineStr">
        <is>
          <t>none</t>
        </is>
      </c>
      <c r="BE47" t="inlineStr">
        <is>
          <t>none</t>
        </is>
      </c>
      <c r="BG47" t="inlineStr">
        <is>
          <t>none</t>
        </is>
      </c>
      <c r="BI47" t="inlineStr">
        <is>
          <t>none</t>
        </is>
      </c>
      <c r="BK47" t="inlineStr">
        <is>
          <t>none</t>
        </is>
      </c>
      <c r="BM47" t="inlineStr">
        <is>
          <t>none</t>
        </is>
      </c>
      <c r="BO47" t="inlineStr">
        <is>
          <t>none</t>
        </is>
      </c>
      <c r="BQ47" t="inlineStr">
        <is>
          <t>none</t>
        </is>
      </c>
      <c r="CA47" t="inlineStr">
        <is>
          <t>未入力</t>
        </is>
      </c>
      <c r="CM47" t="inlineStr">
        <is>
          <t>None</t>
        </is>
      </c>
      <c r="CQ47" t="inlineStr">
        <is>
          <t>None</t>
        </is>
      </c>
      <c r="CW47" t="inlineStr">
        <is>
          <t>None</t>
        </is>
      </c>
      <c r="DC47" t="inlineStr">
        <is>
          <t>None</t>
        </is>
      </c>
      <c r="DK47" t="b">
        <v>0</v>
      </c>
      <c r="DM47" t="inlineStr">
        <is>
          <t>None</t>
        </is>
      </c>
      <c r="EA47">
        <f>B47</f>
        <v/>
      </c>
      <c r="EB47">
        <f>D47</f>
        <v/>
      </c>
      <c r="EC47">
        <f>F47</f>
        <v/>
      </c>
      <c r="ED47">
        <f>CA47</f>
        <v/>
      </c>
      <c r="EE47">
        <f>CE47</f>
        <v/>
      </c>
      <c r="EF47">
        <f>"SummonEnemy"</f>
        <v/>
      </c>
      <c r="EG47">
        <f>H47</f>
        <v/>
      </c>
      <c r="EI47">
        <f>CI47</f>
        <v/>
      </c>
      <c r="EJ47">
        <f>CG47</f>
        <v/>
      </c>
      <c r="EK47">
        <f>CM47</f>
        <v/>
      </c>
      <c r="EL47">
        <f>CO47</f>
        <v/>
      </c>
      <c r="EM47">
        <f>CQ47</f>
        <v/>
      </c>
      <c r="EN47">
        <f>CU47</f>
        <v/>
      </c>
      <c r="EO47">
        <f>CW47</f>
        <v/>
      </c>
      <c r="EP47">
        <f>DA47</f>
        <v/>
      </c>
      <c r="EQ47">
        <f>DC47</f>
        <v/>
      </c>
      <c r="ER47">
        <f>DG47</f>
        <v/>
      </c>
      <c r="ES47">
        <f>DI47</f>
        <v/>
      </c>
      <c r="ET47">
        <f>DK47</f>
        <v/>
      </c>
      <c r="EV47">
        <f>V47</f>
        <v/>
      </c>
      <c r="EW47">
        <f>X47</f>
        <v/>
      </c>
      <c r="EX47">
        <f>AD47</f>
        <v/>
      </c>
      <c r="EY47">
        <f>AH47</f>
        <v/>
      </c>
      <c r="EZ47">
        <f>"1"</f>
        <v/>
      </c>
      <c r="FA47">
        <f>BS47</f>
        <v/>
      </c>
      <c r="FB47" t="n">
        <v>0</v>
      </c>
      <c r="FC47">
        <f>CK47</f>
        <v/>
      </c>
      <c r="FD47">
        <f>DM47</f>
        <v/>
      </c>
    </row>
    <row r="48">
      <c r="L48" t="inlineStr">
        <is>
          <t>none</t>
        </is>
      </c>
      <c r="P48" t="inlineStr">
        <is>
          <t>none</t>
        </is>
      </c>
      <c r="R48" t="inlineStr">
        <is>
          <t>none</t>
        </is>
      </c>
      <c r="T48" t="inlineStr">
        <is>
          <t>none</t>
        </is>
      </c>
      <c r="V48" t="inlineStr">
        <is>
          <t>Default</t>
        </is>
      </c>
      <c r="X48" t="inlineStr">
        <is>
          <t>Normal</t>
        </is>
      </c>
      <c r="AB48" t="inlineStr">
        <is>
          <t>none</t>
        </is>
      </c>
      <c r="AD48" t="n">
        <v>1</v>
      </c>
      <c r="AF48" t="inlineStr">
        <is>
          <t>none</t>
        </is>
      </c>
      <c r="AH48" t="n">
        <v>1</v>
      </c>
      <c r="AJ48" t="inlineStr">
        <is>
          <t>none</t>
        </is>
      </c>
      <c r="AL48" t="inlineStr">
        <is>
          <t>none</t>
        </is>
      </c>
      <c r="AN48">
        <f>iferror(AF48*(50/(AJ48+AL48)),"攻撃力に数値を入力")</f>
        <v/>
      </c>
      <c r="AP48" t="inlineStr">
        <is>
          <t>none</t>
        </is>
      </c>
      <c r="AT48" t="inlineStr">
        <is>
          <t>none</t>
        </is>
      </c>
      <c r="AY48" t="inlineStr">
        <is>
          <t>none</t>
        </is>
      </c>
      <c r="BA48" t="inlineStr">
        <is>
          <t>none</t>
        </is>
      </c>
      <c r="BC48" t="inlineStr">
        <is>
          <t>none</t>
        </is>
      </c>
      <c r="BE48" t="inlineStr">
        <is>
          <t>none</t>
        </is>
      </c>
      <c r="BG48" t="inlineStr">
        <is>
          <t>none</t>
        </is>
      </c>
      <c r="BI48" t="inlineStr">
        <is>
          <t>none</t>
        </is>
      </c>
      <c r="BK48" t="inlineStr">
        <is>
          <t>none</t>
        </is>
      </c>
      <c r="BM48" t="inlineStr">
        <is>
          <t>none</t>
        </is>
      </c>
      <c r="BO48" t="inlineStr">
        <is>
          <t>none</t>
        </is>
      </c>
      <c r="BQ48" t="inlineStr">
        <is>
          <t>none</t>
        </is>
      </c>
      <c r="CA48" t="inlineStr">
        <is>
          <t>未入力</t>
        </is>
      </c>
      <c r="CM48" t="inlineStr">
        <is>
          <t>None</t>
        </is>
      </c>
      <c r="CQ48" t="inlineStr">
        <is>
          <t>None</t>
        </is>
      </c>
      <c r="CW48" t="inlineStr">
        <is>
          <t>None</t>
        </is>
      </c>
      <c r="DC48" t="inlineStr">
        <is>
          <t>None</t>
        </is>
      </c>
      <c r="DK48" t="b">
        <v>0</v>
      </c>
      <c r="DM48" t="inlineStr">
        <is>
          <t>None</t>
        </is>
      </c>
      <c r="EA48">
        <f>B48</f>
        <v/>
      </c>
      <c r="EB48">
        <f>D48</f>
        <v/>
      </c>
      <c r="EC48">
        <f>F48</f>
        <v/>
      </c>
      <c r="ED48">
        <f>CA48</f>
        <v/>
      </c>
      <c r="EE48">
        <f>CE48</f>
        <v/>
      </c>
      <c r="EF48">
        <f>"SummonEnemy"</f>
        <v/>
      </c>
      <c r="EG48">
        <f>H48</f>
        <v/>
      </c>
      <c r="EI48">
        <f>CI48</f>
        <v/>
      </c>
      <c r="EJ48">
        <f>CG48</f>
        <v/>
      </c>
      <c r="EK48">
        <f>CM48</f>
        <v/>
      </c>
      <c r="EL48">
        <f>CO48</f>
        <v/>
      </c>
      <c r="EM48">
        <f>CQ48</f>
        <v/>
      </c>
      <c r="EN48">
        <f>CU48</f>
        <v/>
      </c>
      <c r="EO48">
        <f>CW48</f>
        <v/>
      </c>
      <c r="EP48">
        <f>DA48</f>
        <v/>
      </c>
      <c r="EQ48">
        <f>DC48</f>
        <v/>
      </c>
      <c r="ER48">
        <f>DG48</f>
        <v/>
      </c>
      <c r="ES48">
        <f>DI48</f>
        <v/>
      </c>
      <c r="ET48">
        <f>DK48</f>
        <v/>
      </c>
      <c r="EV48">
        <f>V48</f>
        <v/>
      </c>
      <c r="EW48">
        <f>X48</f>
        <v/>
      </c>
      <c r="EX48">
        <f>AD48</f>
        <v/>
      </c>
      <c r="EY48">
        <f>AH48</f>
        <v/>
      </c>
      <c r="EZ48">
        <f>"1"</f>
        <v/>
      </c>
      <c r="FA48">
        <f>BS48</f>
        <v/>
      </c>
      <c r="FB48" t="n">
        <v>0</v>
      </c>
      <c r="FC48">
        <f>CK48</f>
        <v/>
      </c>
      <c r="FD48">
        <f>DM48</f>
        <v/>
      </c>
    </row>
    <row r="49">
      <c r="L49" t="inlineStr">
        <is>
          <t>none</t>
        </is>
      </c>
      <c r="P49" t="inlineStr">
        <is>
          <t>none</t>
        </is>
      </c>
      <c r="R49" t="inlineStr">
        <is>
          <t>none</t>
        </is>
      </c>
      <c r="T49" t="inlineStr">
        <is>
          <t>none</t>
        </is>
      </c>
      <c r="V49" t="inlineStr">
        <is>
          <t>Default</t>
        </is>
      </c>
      <c r="X49" t="inlineStr">
        <is>
          <t>Normal</t>
        </is>
      </c>
      <c r="AB49" t="inlineStr">
        <is>
          <t>none</t>
        </is>
      </c>
      <c r="AD49" t="n">
        <v>1</v>
      </c>
      <c r="AF49" t="inlineStr">
        <is>
          <t>none</t>
        </is>
      </c>
      <c r="AH49" t="n">
        <v>1</v>
      </c>
      <c r="AJ49" t="inlineStr">
        <is>
          <t>none</t>
        </is>
      </c>
      <c r="AL49" t="inlineStr">
        <is>
          <t>none</t>
        </is>
      </c>
      <c r="AN49">
        <f>iferror(AF49*(50/(AJ49+AL49)),"攻撃力に数値を入力")</f>
        <v/>
      </c>
      <c r="AP49" t="inlineStr">
        <is>
          <t>none</t>
        </is>
      </c>
      <c r="AT49" t="inlineStr">
        <is>
          <t>none</t>
        </is>
      </c>
      <c r="AY49" t="inlineStr">
        <is>
          <t>none</t>
        </is>
      </c>
      <c r="BA49" t="inlineStr">
        <is>
          <t>none</t>
        </is>
      </c>
      <c r="BC49" t="inlineStr">
        <is>
          <t>none</t>
        </is>
      </c>
      <c r="BE49" t="inlineStr">
        <is>
          <t>none</t>
        </is>
      </c>
      <c r="BG49" t="inlineStr">
        <is>
          <t>none</t>
        </is>
      </c>
      <c r="BI49" t="inlineStr">
        <is>
          <t>none</t>
        </is>
      </c>
      <c r="BK49" t="inlineStr">
        <is>
          <t>none</t>
        </is>
      </c>
      <c r="BM49" t="inlineStr">
        <is>
          <t>none</t>
        </is>
      </c>
      <c r="BO49" t="inlineStr">
        <is>
          <t>none</t>
        </is>
      </c>
      <c r="BQ49" t="inlineStr">
        <is>
          <t>none</t>
        </is>
      </c>
      <c r="CA49" t="inlineStr">
        <is>
          <t>未入力</t>
        </is>
      </c>
      <c r="CM49" t="inlineStr">
        <is>
          <t>None</t>
        </is>
      </c>
      <c r="CQ49" t="inlineStr">
        <is>
          <t>None</t>
        </is>
      </c>
      <c r="CW49" t="inlineStr">
        <is>
          <t>None</t>
        </is>
      </c>
      <c r="DC49" t="inlineStr">
        <is>
          <t>None</t>
        </is>
      </c>
      <c r="DK49" t="b">
        <v>0</v>
      </c>
      <c r="DM49" t="inlineStr">
        <is>
          <t>None</t>
        </is>
      </c>
      <c r="EA49">
        <f>B49</f>
        <v/>
      </c>
      <c r="EB49">
        <f>D49</f>
        <v/>
      </c>
      <c r="EC49">
        <f>F49</f>
        <v/>
      </c>
      <c r="ED49">
        <f>CA49</f>
        <v/>
      </c>
      <c r="EE49">
        <f>CE49</f>
        <v/>
      </c>
      <c r="EF49">
        <f>"SummonEnemy"</f>
        <v/>
      </c>
      <c r="EG49">
        <f>H49</f>
        <v/>
      </c>
      <c r="EI49">
        <f>CI49</f>
        <v/>
      </c>
      <c r="EJ49">
        <f>CG49</f>
        <v/>
      </c>
      <c r="EK49">
        <f>CM49</f>
        <v/>
      </c>
      <c r="EL49">
        <f>CO49</f>
        <v/>
      </c>
      <c r="EM49">
        <f>CQ49</f>
        <v/>
      </c>
      <c r="EN49">
        <f>CU49</f>
        <v/>
      </c>
      <c r="EO49">
        <f>CW49</f>
        <v/>
      </c>
      <c r="EP49">
        <f>DA49</f>
        <v/>
      </c>
      <c r="EQ49">
        <f>DC49</f>
        <v/>
      </c>
      <c r="ER49">
        <f>DG49</f>
        <v/>
      </c>
      <c r="ES49">
        <f>DI49</f>
        <v/>
      </c>
      <c r="ET49">
        <f>DK49</f>
        <v/>
      </c>
      <c r="EV49">
        <f>V49</f>
        <v/>
      </c>
      <c r="EW49">
        <f>X49</f>
        <v/>
      </c>
      <c r="EX49">
        <f>AD49</f>
        <v/>
      </c>
      <c r="EY49">
        <f>AH49</f>
        <v/>
      </c>
      <c r="EZ49">
        <f>"1"</f>
        <v/>
      </c>
      <c r="FA49">
        <f>BS49</f>
        <v/>
      </c>
      <c r="FB49" t="n">
        <v>0</v>
      </c>
      <c r="FC49">
        <f>CK49</f>
        <v/>
      </c>
      <c r="FD49">
        <f>DM49</f>
        <v/>
      </c>
    </row>
    <row r="50">
      <c r="L50" t="inlineStr">
        <is>
          <t>none</t>
        </is>
      </c>
      <c r="P50" t="inlineStr">
        <is>
          <t>none</t>
        </is>
      </c>
      <c r="R50" t="inlineStr">
        <is>
          <t>none</t>
        </is>
      </c>
      <c r="T50" t="inlineStr">
        <is>
          <t>none</t>
        </is>
      </c>
      <c r="V50" t="inlineStr">
        <is>
          <t>Default</t>
        </is>
      </c>
      <c r="X50" t="inlineStr">
        <is>
          <t>Normal</t>
        </is>
      </c>
      <c r="AB50" t="inlineStr">
        <is>
          <t>none</t>
        </is>
      </c>
      <c r="AD50" t="n">
        <v>1</v>
      </c>
      <c r="AF50" t="inlineStr">
        <is>
          <t>none</t>
        </is>
      </c>
      <c r="AH50" t="n">
        <v>1</v>
      </c>
      <c r="AJ50" t="inlineStr">
        <is>
          <t>none</t>
        </is>
      </c>
      <c r="AL50" t="inlineStr">
        <is>
          <t>none</t>
        </is>
      </c>
      <c r="AN50">
        <f>iferror(AF50*(50/(AJ50+AL50)),"攻撃力に数値を入力")</f>
        <v/>
      </c>
      <c r="AP50" t="inlineStr">
        <is>
          <t>none</t>
        </is>
      </c>
      <c r="AT50" t="inlineStr">
        <is>
          <t>none</t>
        </is>
      </c>
      <c r="AY50" t="inlineStr">
        <is>
          <t>none</t>
        </is>
      </c>
      <c r="BA50" t="inlineStr">
        <is>
          <t>none</t>
        </is>
      </c>
      <c r="BC50" t="inlineStr">
        <is>
          <t>none</t>
        </is>
      </c>
      <c r="BE50" t="inlineStr">
        <is>
          <t>none</t>
        </is>
      </c>
      <c r="BG50" t="inlineStr">
        <is>
          <t>none</t>
        </is>
      </c>
      <c r="BI50" t="inlineStr">
        <is>
          <t>none</t>
        </is>
      </c>
      <c r="BK50" t="inlineStr">
        <is>
          <t>none</t>
        </is>
      </c>
      <c r="BM50" t="inlineStr">
        <is>
          <t>none</t>
        </is>
      </c>
      <c r="BO50" t="inlineStr">
        <is>
          <t>none</t>
        </is>
      </c>
      <c r="BQ50" t="inlineStr">
        <is>
          <t>none</t>
        </is>
      </c>
      <c r="CA50" t="inlineStr">
        <is>
          <t>未入力</t>
        </is>
      </c>
      <c r="CM50" t="inlineStr">
        <is>
          <t>None</t>
        </is>
      </c>
      <c r="CQ50" t="inlineStr">
        <is>
          <t>None</t>
        </is>
      </c>
      <c r="CW50" t="inlineStr">
        <is>
          <t>None</t>
        </is>
      </c>
      <c r="DC50" t="inlineStr">
        <is>
          <t>None</t>
        </is>
      </c>
      <c r="DK50" t="b">
        <v>0</v>
      </c>
      <c r="DM50" t="inlineStr">
        <is>
          <t>None</t>
        </is>
      </c>
      <c r="EA50">
        <f>B50</f>
        <v/>
      </c>
      <c r="EB50">
        <f>D50</f>
        <v/>
      </c>
      <c r="EC50">
        <f>F50</f>
        <v/>
      </c>
      <c r="ED50">
        <f>CA50</f>
        <v/>
      </c>
      <c r="EE50">
        <f>CE50</f>
        <v/>
      </c>
      <c r="EF50">
        <f>"SummonEnemy"</f>
        <v/>
      </c>
      <c r="EG50">
        <f>H50</f>
        <v/>
      </c>
      <c r="EI50">
        <f>CI50</f>
        <v/>
      </c>
      <c r="EJ50">
        <f>CG50</f>
        <v/>
      </c>
      <c r="EK50">
        <f>CM50</f>
        <v/>
      </c>
      <c r="EL50">
        <f>CO50</f>
        <v/>
      </c>
      <c r="EM50">
        <f>CQ50</f>
        <v/>
      </c>
      <c r="EN50">
        <f>CU50</f>
        <v/>
      </c>
      <c r="EO50">
        <f>CW50</f>
        <v/>
      </c>
      <c r="EP50">
        <f>DA50</f>
        <v/>
      </c>
      <c r="EQ50">
        <f>DC50</f>
        <v/>
      </c>
      <c r="ER50">
        <f>DG50</f>
        <v/>
      </c>
      <c r="ES50">
        <f>DI50</f>
        <v/>
      </c>
      <c r="ET50">
        <f>DK50</f>
        <v/>
      </c>
      <c r="EV50">
        <f>V50</f>
        <v/>
      </c>
      <c r="EW50">
        <f>X50</f>
        <v/>
      </c>
      <c r="EX50">
        <f>AD50</f>
        <v/>
      </c>
      <c r="EY50">
        <f>AH50</f>
        <v/>
      </c>
      <c r="EZ50">
        <f>"1"</f>
        <v/>
      </c>
      <c r="FA50">
        <f>BS50</f>
        <v/>
      </c>
      <c r="FB50" t="n">
        <v>0</v>
      </c>
      <c r="FC50">
        <f>CK50</f>
        <v/>
      </c>
      <c r="FD50">
        <f>DM50</f>
        <v/>
      </c>
    </row>
    <row r="51">
      <c r="L51" t="inlineStr">
        <is>
          <t>none</t>
        </is>
      </c>
      <c r="P51" t="inlineStr">
        <is>
          <t>none</t>
        </is>
      </c>
      <c r="R51" t="inlineStr">
        <is>
          <t>none</t>
        </is>
      </c>
      <c r="T51" t="inlineStr">
        <is>
          <t>none</t>
        </is>
      </c>
      <c r="V51" t="inlineStr">
        <is>
          <t>Default</t>
        </is>
      </c>
      <c r="X51" t="inlineStr">
        <is>
          <t>Normal</t>
        </is>
      </c>
      <c r="AB51" t="inlineStr">
        <is>
          <t>none</t>
        </is>
      </c>
      <c r="AD51" t="n">
        <v>1</v>
      </c>
      <c r="AF51" t="inlineStr">
        <is>
          <t>none</t>
        </is>
      </c>
      <c r="AH51" t="n">
        <v>1</v>
      </c>
      <c r="AJ51" t="inlineStr">
        <is>
          <t>none</t>
        </is>
      </c>
      <c r="AL51" t="inlineStr">
        <is>
          <t>none</t>
        </is>
      </c>
      <c r="AN51">
        <f>iferror(AF51*(50/(AJ51+AL51)),"攻撃力に数値を入力")</f>
        <v/>
      </c>
      <c r="AP51" t="inlineStr">
        <is>
          <t>none</t>
        </is>
      </c>
      <c r="AT51" t="inlineStr">
        <is>
          <t>none</t>
        </is>
      </c>
      <c r="AY51" t="inlineStr">
        <is>
          <t>none</t>
        </is>
      </c>
      <c r="BA51" t="inlineStr">
        <is>
          <t>none</t>
        </is>
      </c>
      <c r="BC51" t="inlineStr">
        <is>
          <t>none</t>
        </is>
      </c>
      <c r="BE51" t="inlineStr">
        <is>
          <t>none</t>
        </is>
      </c>
      <c r="BG51" t="inlineStr">
        <is>
          <t>none</t>
        </is>
      </c>
      <c r="BI51" t="inlineStr">
        <is>
          <t>none</t>
        </is>
      </c>
      <c r="BK51" t="inlineStr">
        <is>
          <t>none</t>
        </is>
      </c>
      <c r="BM51" t="inlineStr">
        <is>
          <t>none</t>
        </is>
      </c>
      <c r="BO51" t="inlineStr">
        <is>
          <t>none</t>
        </is>
      </c>
      <c r="BQ51" t="inlineStr">
        <is>
          <t>none</t>
        </is>
      </c>
      <c r="CA51" t="inlineStr">
        <is>
          <t>未入力</t>
        </is>
      </c>
      <c r="CM51" t="inlineStr">
        <is>
          <t>None</t>
        </is>
      </c>
      <c r="CQ51" t="inlineStr">
        <is>
          <t>None</t>
        </is>
      </c>
      <c r="CW51" t="inlineStr">
        <is>
          <t>None</t>
        </is>
      </c>
      <c r="DC51" t="inlineStr">
        <is>
          <t>None</t>
        </is>
      </c>
      <c r="DK51" t="b">
        <v>0</v>
      </c>
      <c r="DM51" t="inlineStr">
        <is>
          <t>None</t>
        </is>
      </c>
      <c r="EA51">
        <f>B51</f>
        <v/>
      </c>
      <c r="EB51">
        <f>D51</f>
        <v/>
      </c>
      <c r="EC51">
        <f>F51</f>
        <v/>
      </c>
      <c r="ED51">
        <f>CA51</f>
        <v/>
      </c>
      <c r="EE51">
        <f>CE51</f>
        <v/>
      </c>
      <c r="EF51">
        <f>"SummonEnemy"</f>
        <v/>
      </c>
      <c r="EG51">
        <f>H51</f>
        <v/>
      </c>
      <c r="EI51">
        <f>CI51</f>
        <v/>
      </c>
      <c r="EJ51">
        <f>CG51</f>
        <v/>
      </c>
      <c r="EK51">
        <f>CM51</f>
        <v/>
      </c>
      <c r="EL51">
        <f>CO51</f>
        <v/>
      </c>
      <c r="EM51">
        <f>CQ51</f>
        <v/>
      </c>
      <c r="EN51">
        <f>CU51</f>
        <v/>
      </c>
      <c r="EO51">
        <f>CW51</f>
        <v/>
      </c>
      <c r="EP51">
        <f>DA51</f>
        <v/>
      </c>
      <c r="EQ51">
        <f>DC51</f>
        <v/>
      </c>
      <c r="ER51">
        <f>DG51</f>
        <v/>
      </c>
      <c r="ES51">
        <f>DI51</f>
        <v/>
      </c>
      <c r="ET51">
        <f>DK51</f>
        <v/>
      </c>
      <c r="EV51">
        <f>V51</f>
        <v/>
      </c>
      <c r="EW51">
        <f>X51</f>
        <v/>
      </c>
      <c r="EX51">
        <f>AD51</f>
        <v/>
      </c>
      <c r="EY51">
        <f>AH51</f>
        <v/>
      </c>
      <c r="EZ51">
        <f>"1"</f>
        <v/>
      </c>
      <c r="FA51">
        <f>BS51</f>
        <v/>
      </c>
      <c r="FB51" t="n">
        <v>0</v>
      </c>
      <c r="FC51">
        <f>CK51</f>
        <v/>
      </c>
      <c r="FD51">
        <f>DM51</f>
        <v/>
      </c>
    </row>
    <row r="52">
      <c r="L52" t="inlineStr">
        <is>
          <t>none</t>
        </is>
      </c>
      <c r="P52" t="inlineStr">
        <is>
          <t>none</t>
        </is>
      </c>
      <c r="R52" t="inlineStr">
        <is>
          <t>none</t>
        </is>
      </c>
      <c r="T52" t="inlineStr">
        <is>
          <t>none</t>
        </is>
      </c>
      <c r="V52" t="inlineStr">
        <is>
          <t>Default</t>
        </is>
      </c>
      <c r="X52" t="inlineStr">
        <is>
          <t>Normal</t>
        </is>
      </c>
      <c r="AB52" t="inlineStr">
        <is>
          <t>none</t>
        </is>
      </c>
      <c r="AD52" t="n">
        <v>1</v>
      </c>
      <c r="AF52" t="inlineStr">
        <is>
          <t>none</t>
        </is>
      </c>
      <c r="AH52" t="n">
        <v>1</v>
      </c>
      <c r="AJ52" t="inlineStr">
        <is>
          <t>none</t>
        </is>
      </c>
      <c r="AL52" t="inlineStr">
        <is>
          <t>none</t>
        </is>
      </c>
      <c r="AN52">
        <f>iferror(AF52*(50/(AJ52+AL52)),"攻撃力に数値を入力")</f>
        <v/>
      </c>
      <c r="AP52" t="inlineStr">
        <is>
          <t>none</t>
        </is>
      </c>
      <c r="AT52" t="inlineStr">
        <is>
          <t>none</t>
        </is>
      </c>
      <c r="AY52" t="inlineStr">
        <is>
          <t>none</t>
        </is>
      </c>
      <c r="BA52" t="inlineStr">
        <is>
          <t>none</t>
        </is>
      </c>
      <c r="BC52" t="inlineStr">
        <is>
          <t>none</t>
        </is>
      </c>
      <c r="BE52" t="inlineStr">
        <is>
          <t>none</t>
        </is>
      </c>
      <c r="BG52" t="inlineStr">
        <is>
          <t>none</t>
        </is>
      </c>
      <c r="BI52" t="inlineStr">
        <is>
          <t>none</t>
        </is>
      </c>
      <c r="BK52" t="inlineStr">
        <is>
          <t>none</t>
        </is>
      </c>
      <c r="BM52" t="inlineStr">
        <is>
          <t>none</t>
        </is>
      </c>
      <c r="BO52" t="inlineStr">
        <is>
          <t>none</t>
        </is>
      </c>
      <c r="BQ52" t="inlineStr">
        <is>
          <t>none</t>
        </is>
      </c>
      <c r="CA52" t="inlineStr">
        <is>
          <t>未入力</t>
        </is>
      </c>
      <c r="CM52" t="inlineStr">
        <is>
          <t>None</t>
        </is>
      </c>
      <c r="CQ52" t="inlineStr">
        <is>
          <t>None</t>
        </is>
      </c>
      <c r="CW52" t="inlineStr">
        <is>
          <t>None</t>
        </is>
      </c>
      <c r="DC52" t="inlineStr">
        <is>
          <t>None</t>
        </is>
      </c>
      <c r="DK52" t="b">
        <v>0</v>
      </c>
      <c r="DM52" t="inlineStr">
        <is>
          <t>None</t>
        </is>
      </c>
      <c r="EA52">
        <f>B52</f>
        <v/>
      </c>
      <c r="EB52">
        <f>D52</f>
        <v/>
      </c>
      <c r="EC52">
        <f>F52</f>
        <v/>
      </c>
      <c r="ED52">
        <f>CA52</f>
        <v/>
      </c>
      <c r="EE52">
        <f>CE52</f>
        <v/>
      </c>
      <c r="EF52">
        <f>"SummonEnemy"</f>
        <v/>
      </c>
      <c r="EG52">
        <f>H52</f>
        <v/>
      </c>
      <c r="EI52">
        <f>CI52</f>
        <v/>
      </c>
      <c r="EJ52">
        <f>CG52</f>
        <v/>
      </c>
      <c r="EK52">
        <f>CM52</f>
        <v/>
      </c>
      <c r="EL52">
        <f>CO52</f>
        <v/>
      </c>
      <c r="EM52">
        <f>CQ52</f>
        <v/>
      </c>
      <c r="EN52">
        <f>CU52</f>
        <v/>
      </c>
      <c r="EO52">
        <f>CW52</f>
        <v/>
      </c>
      <c r="EP52">
        <f>DA52</f>
        <v/>
      </c>
      <c r="EQ52">
        <f>DC52</f>
        <v/>
      </c>
      <c r="ER52">
        <f>DG52</f>
        <v/>
      </c>
      <c r="ES52">
        <f>DI52</f>
        <v/>
      </c>
      <c r="ET52">
        <f>DK52</f>
        <v/>
      </c>
      <c r="EV52">
        <f>V52</f>
        <v/>
      </c>
      <c r="EW52">
        <f>X52</f>
        <v/>
      </c>
      <c r="EX52">
        <f>AD52</f>
        <v/>
      </c>
      <c r="EY52">
        <f>AH52</f>
        <v/>
      </c>
      <c r="EZ52">
        <f>"1"</f>
        <v/>
      </c>
      <c r="FA52">
        <f>BS52</f>
        <v/>
      </c>
      <c r="FB52" t="n">
        <v>0</v>
      </c>
      <c r="FC52">
        <f>CK52</f>
        <v/>
      </c>
      <c r="FD52">
        <f>DM52</f>
        <v/>
      </c>
    </row>
    <row r="53">
      <c r="L53" t="inlineStr">
        <is>
          <t>none</t>
        </is>
      </c>
      <c r="P53" t="inlineStr">
        <is>
          <t>none</t>
        </is>
      </c>
      <c r="R53" t="inlineStr">
        <is>
          <t>none</t>
        </is>
      </c>
      <c r="T53" t="inlineStr">
        <is>
          <t>none</t>
        </is>
      </c>
      <c r="V53" t="inlineStr">
        <is>
          <t>Default</t>
        </is>
      </c>
      <c r="X53" t="inlineStr">
        <is>
          <t>Normal</t>
        </is>
      </c>
      <c r="AB53" t="inlineStr">
        <is>
          <t>none</t>
        </is>
      </c>
      <c r="AD53" t="n">
        <v>1</v>
      </c>
      <c r="AF53" t="inlineStr">
        <is>
          <t>none</t>
        </is>
      </c>
      <c r="AH53" t="n">
        <v>1</v>
      </c>
      <c r="AJ53" t="inlineStr">
        <is>
          <t>none</t>
        </is>
      </c>
      <c r="AL53" t="inlineStr">
        <is>
          <t>none</t>
        </is>
      </c>
      <c r="AN53">
        <f>iferror(AF53*(50/(AJ53+AL53)),"攻撃力に数値を入力")</f>
        <v/>
      </c>
      <c r="AP53" t="inlineStr">
        <is>
          <t>none</t>
        </is>
      </c>
      <c r="AT53" t="inlineStr">
        <is>
          <t>none</t>
        </is>
      </c>
      <c r="AY53" t="inlineStr">
        <is>
          <t>none</t>
        </is>
      </c>
      <c r="BA53" t="inlineStr">
        <is>
          <t>none</t>
        </is>
      </c>
      <c r="BC53" t="inlineStr">
        <is>
          <t>none</t>
        </is>
      </c>
      <c r="BE53" t="inlineStr">
        <is>
          <t>none</t>
        </is>
      </c>
      <c r="BG53" t="inlineStr">
        <is>
          <t>none</t>
        </is>
      </c>
      <c r="BI53" t="inlineStr">
        <is>
          <t>none</t>
        </is>
      </c>
      <c r="BK53" t="inlineStr">
        <is>
          <t>none</t>
        </is>
      </c>
      <c r="BM53" t="inlineStr">
        <is>
          <t>none</t>
        </is>
      </c>
      <c r="BO53" t="inlineStr">
        <is>
          <t>none</t>
        </is>
      </c>
      <c r="BQ53" t="inlineStr">
        <is>
          <t>none</t>
        </is>
      </c>
      <c r="CA53" t="inlineStr">
        <is>
          <t>未入力</t>
        </is>
      </c>
      <c r="CM53" t="inlineStr">
        <is>
          <t>None</t>
        </is>
      </c>
      <c r="CQ53" t="inlineStr">
        <is>
          <t>None</t>
        </is>
      </c>
      <c r="CW53" t="inlineStr">
        <is>
          <t>None</t>
        </is>
      </c>
      <c r="DC53" t="inlineStr">
        <is>
          <t>None</t>
        </is>
      </c>
      <c r="DK53" t="b">
        <v>0</v>
      </c>
      <c r="DM53" t="inlineStr">
        <is>
          <t>None</t>
        </is>
      </c>
      <c r="EA53">
        <f>B53</f>
        <v/>
      </c>
      <c r="EB53">
        <f>D53</f>
        <v/>
      </c>
      <c r="EC53">
        <f>F53</f>
        <v/>
      </c>
      <c r="ED53">
        <f>CA53</f>
        <v/>
      </c>
      <c r="EE53">
        <f>CE53</f>
        <v/>
      </c>
      <c r="EF53">
        <f>"SummonEnemy"</f>
        <v/>
      </c>
      <c r="EG53">
        <f>H53</f>
        <v/>
      </c>
      <c r="EI53">
        <f>CI53</f>
        <v/>
      </c>
      <c r="EJ53">
        <f>CG53</f>
        <v/>
      </c>
      <c r="EK53">
        <f>CM53</f>
        <v/>
      </c>
      <c r="EL53">
        <f>CO53</f>
        <v/>
      </c>
      <c r="EM53">
        <f>CQ53</f>
        <v/>
      </c>
      <c r="EN53">
        <f>CU53</f>
        <v/>
      </c>
      <c r="EO53">
        <f>CW53</f>
        <v/>
      </c>
      <c r="EP53">
        <f>DA53</f>
        <v/>
      </c>
      <c r="EQ53">
        <f>DC53</f>
        <v/>
      </c>
      <c r="ER53">
        <f>DG53</f>
        <v/>
      </c>
      <c r="ES53">
        <f>DI53</f>
        <v/>
      </c>
      <c r="ET53">
        <f>DK53</f>
        <v/>
      </c>
      <c r="EV53">
        <f>V53</f>
        <v/>
      </c>
      <c r="EW53">
        <f>X53</f>
        <v/>
      </c>
      <c r="EX53">
        <f>AD53</f>
        <v/>
      </c>
      <c r="EY53">
        <f>AH53</f>
        <v/>
      </c>
      <c r="EZ53">
        <f>"1"</f>
        <v/>
      </c>
      <c r="FA53">
        <f>BS53</f>
        <v/>
      </c>
      <c r="FB53" t="n">
        <v>0</v>
      </c>
      <c r="FC53">
        <f>CK53</f>
        <v/>
      </c>
      <c r="FD53">
        <f>DM53</f>
        <v/>
      </c>
    </row>
    <row r="54">
      <c r="L54" t="inlineStr">
        <is>
          <t>none</t>
        </is>
      </c>
      <c r="P54" t="inlineStr">
        <is>
          <t>none</t>
        </is>
      </c>
      <c r="R54" t="inlineStr">
        <is>
          <t>none</t>
        </is>
      </c>
      <c r="T54" t="inlineStr">
        <is>
          <t>none</t>
        </is>
      </c>
      <c r="V54" t="inlineStr">
        <is>
          <t>Default</t>
        </is>
      </c>
      <c r="X54" t="inlineStr">
        <is>
          <t>Normal</t>
        </is>
      </c>
      <c r="AB54" t="inlineStr">
        <is>
          <t>none</t>
        </is>
      </c>
      <c r="AD54" t="n">
        <v>1</v>
      </c>
      <c r="AF54" t="inlineStr">
        <is>
          <t>none</t>
        </is>
      </c>
      <c r="AH54" t="n">
        <v>1</v>
      </c>
      <c r="AJ54" t="inlineStr">
        <is>
          <t>none</t>
        </is>
      </c>
      <c r="AL54" t="inlineStr">
        <is>
          <t>none</t>
        </is>
      </c>
      <c r="AN54">
        <f>iferror(AF54*(50/(AJ54+AL54)),"攻撃力に数値を入力")</f>
        <v/>
      </c>
      <c r="AP54" t="inlineStr">
        <is>
          <t>none</t>
        </is>
      </c>
      <c r="AT54" t="inlineStr">
        <is>
          <t>none</t>
        </is>
      </c>
      <c r="AY54" t="inlineStr">
        <is>
          <t>none</t>
        </is>
      </c>
      <c r="BA54" t="inlineStr">
        <is>
          <t>none</t>
        </is>
      </c>
      <c r="BC54" t="inlineStr">
        <is>
          <t>none</t>
        </is>
      </c>
      <c r="BE54" t="inlineStr">
        <is>
          <t>none</t>
        </is>
      </c>
      <c r="BG54" t="inlineStr">
        <is>
          <t>none</t>
        </is>
      </c>
      <c r="BI54" t="inlineStr">
        <is>
          <t>none</t>
        </is>
      </c>
      <c r="BK54" t="inlineStr">
        <is>
          <t>none</t>
        </is>
      </c>
      <c r="BM54" t="inlineStr">
        <is>
          <t>none</t>
        </is>
      </c>
      <c r="BO54" t="inlineStr">
        <is>
          <t>none</t>
        </is>
      </c>
      <c r="BQ54" t="inlineStr">
        <is>
          <t>none</t>
        </is>
      </c>
      <c r="CA54" t="inlineStr">
        <is>
          <t>未入力</t>
        </is>
      </c>
      <c r="CM54" t="inlineStr">
        <is>
          <t>None</t>
        </is>
      </c>
      <c r="CQ54" t="inlineStr">
        <is>
          <t>None</t>
        </is>
      </c>
      <c r="CW54" t="inlineStr">
        <is>
          <t>None</t>
        </is>
      </c>
      <c r="DC54" t="inlineStr">
        <is>
          <t>None</t>
        </is>
      </c>
      <c r="DK54" t="b">
        <v>0</v>
      </c>
      <c r="DM54" t="inlineStr">
        <is>
          <t>None</t>
        </is>
      </c>
      <c r="EA54">
        <f>B54</f>
        <v/>
      </c>
      <c r="EB54">
        <f>D54</f>
        <v/>
      </c>
      <c r="EC54">
        <f>F54</f>
        <v/>
      </c>
      <c r="ED54">
        <f>CA54</f>
        <v/>
      </c>
      <c r="EE54">
        <f>CE54</f>
        <v/>
      </c>
      <c r="EF54">
        <f>"SummonEnemy"</f>
        <v/>
      </c>
      <c r="EG54">
        <f>H54</f>
        <v/>
      </c>
      <c r="EI54">
        <f>CI54</f>
        <v/>
      </c>
      <c r="EJ54">
        <f>CG54</f>
        <v/>
      </c>
      <c r="EK54">
        <f>CM54</f>
        <v/>
      </c>
      <c r="EL54">
        <f>CO54</f>
        <v/>
      </c>
      <c r="EM54">
        <f>CQ54</f>
        <v/>
      </c>
      <c r="EN54">
        <f>CU54</f>
        <v/>
      </c>
      <c r="EO54">
        <f>CW54</f>
        <v/>
      </c>
      <c r="EP54">
        <f>DA54</f>
        <v/>
      </c>
      <c r="EQ54">
        <f>DC54</f>
        <v/>
      </c>
      <c r="ER54">
        <f>DG54</f>
        <v/>
      </c>
      <c r="ES54">
        <f>DI54</f>
        <v/>
      </c>
      <c r="ET54">
        <f>DK54</f>
        <v/>
      </c>
      <c r="EV54">
        <f>V54</f>
        <v/>
      </c>
      <c r="EW54">
        <f>X54</f>
        <v/>
      </c>
      <c r="EX54">
        <f>AD54</f>
        <v/>
      </c>
      <c r="EY54">
        <f>AH54</f>
        <v/>
      </c>
      <c r="EZ54">
        <f>"1"</f>
        <v/>
      </c>
      <c r="FA54">
        <f>BS54</f>
        <v/>
      </c>
      <c r="FB54" t="n">
        <v>0</v>
      </c>
      <c r="FC54">
        <f>CK54</f>
        <v/>
      </c>
      <c r="FD54">
        <f>DM54</f>
        <v/>
      </c>
    </row>
    <row r="55">
      <c r="L55" t="inlineStr">
        <is>
          <t>none</t>
        </is>
      </c>
      <c r="P55" t="inlineStr">
        <is>
          <t>none</t>
        </is>
      </c>
      <c r="R55" t="inlineStr">
        <is>
          <t>none</t>
        </is>
      </c>
      <c r="T55" t="inlineStr">
        <is>
          <t>none</t>
        </is>
      </c>
      <c r="V55" t="inlineStr">
        <is>
          <t>Default</t>
        </is>
      </c>
      <c r="X55" t="inlineStr">
        <is>
          <t>Normal</t>
        </is>
      </c>
      <c r="AB55" t="inlineStr">
        <is>
          <t>none</t>
        </is>
      </c>
      <c r="AD55" t="n">
        <v>1</v>
      </c>
      <c r="AF55" t="inlineStr">
        <is>
          <t>none</t>
        </is>
      </c>
      <c r="AH55" t="n">
        <v>1</v>
      </c>
      <c r="AJ55" t="inlineStr">
        <is>
          <t>none</t>
        </is>
      </c>
      <c r="AL55" t="inlineStr">
        <is>
          <t>none</t>
        </is>
      </c>
      <c r="AN55">
        <f>iferror(AF55*(50/(AJ55+AL55)),"攻撃力に数値を入力")</f>
        <v/>
      </c>
      <c r="AP55" t="inlineStr">
        <is>
          <t>none</t>
        </is>
      </c>
      <c r="AT55" t="inlineStr">
        <is>
          <t>none</t>
        </is>
      </c>
      <c r="AY55" t="inlineStr">
        <is>
          <t>none</t>
        </is>
      </c>
      <c r="BA55" t="inlineStr">
        <is>
          <t>none</t>
        </is>
      </c>
      <c r="BC55" t="inlineStr">
        <is>
          <t>none</t>
        </is>
      </c>
      <c r="BE55" t="inlineStr">
        <is>
          <t>none</t>
        </is>
      </c>
      <c r="BG55" t="inlineStr">
        <is>
          <t>none</t>
        </is>
      </c>
      <c r="BI55" t="inlineStr">
        <is>
          <t>none</t>
        </is>
      </c>
      <c r="BK55" t="inlineStr">
        <is>
          <t>none</t>
        </is>
      </c>
      <c r="BM55" t="inlineStr">
        <is>
          <t>none</t>
        </is>
      </c>
      <c r="BO55" t="inlineStr">
        <is>
          <t>none</t>
        </is>
      </c>
      <c r="BQ55" t="inlineStr">
        <is>
          <t>none</t>
        </is>
      </c>
      <c r="CA55" t="inlineStr">
        <is>
          <t>未入力</t>
        </is>
      </c>
      <c r="CM55" t="inlineStr">
        <is>
          <t>None</t>
        </is>
      </c>
      <c r="CQ55" t="inlineStr">
        <is>
          <t>None</t>
        </is>
      </c>
      <c r="CW55" t="inlineStr">
        <is>
          <t>None</t>
        </is>
      </c>
      <c r="DC55" t="inlineStr">
        <is>
          <t>None</t>
        </is>
      </c>
      <c r="DK55" t="b">
        <v>0</v>
      </c>
      <c r="DM55" t="inlineStr">
        <is>
          <t>None</t>
        </is>
      </c>
      <c r="EA55">
        <f>B55</f>
        <v/>
      </c>
      <c r="EB55">
        <f>D55</f>
        <v/>
      </c>
      <c r="EC55">
        <f>F55</f>
        <v/>
      </c>
      <c r="ED55">
        <f>CA55</f>
        <v/>
      </c>
      <c r="EE55">
        <f>CE55</f>
        <v/>
      </c>
      <c r="EF55">
        <f>"SummonEnemy"</f>
        <v/>
      </c>
      <c r="EG55">
        <f>H55</f>
        <v/>
      </c>
      <c r="EI55">
        <f>CI55</f>
        <v/>
      </c>
      <c r="EJ55">
        <f>CG55</f>
        <v/>
      </c>
      <c r="EK55">
        <f>CM55</f>
        <v/>
      </c>
      <c r="EL55">
        <f>CO55</f>
        <v/>
      </c>
      <c r="EM55">
        <f>CQ55</f>
        <v/>
      </c>
      <c r="EN55">
        <f>CU55</f>
        <v/>
      </c>
      <c r="EO55">
        <f>CW55</f>
        <v/>
      </c>
      <c r="EP55">
        <f>DA55</f>
        <v/>
      </c>
      <c r="EQ55">
        <f>DC55</f>
        <v/>
      </c>
      <c r="ER55">
        <f>DG55</f>
        <v/>
      </c>
      <c r="ES55">
        <f>DI55</f>
        <v/>
      </c>
      <c r="ET55">
        <f>DK55</f>
        <v/>
      </c>
      <c r="EV55">
        <f>V55</f>
        <v/>
      </c>
      <c r="EW55">
        <f>X55</f>
        <v/>
      </c>
      <c r="EX55">
        <f>AD55</f>
        <v/>
      </c>
      <c r="EY55">
        <f>AH55</f>
        <v/>
      </c>
      <c r="EZ55">
        <f>"1"</f>
        <v/>
      </c>
      <c r="FA55">
        <f>BS55</f>
        <v/>
      </c>
      <c r="FB55" t="n">
        <v>0</v>
      </c>
      <c r="FC55">
        <f>CK55</f>
        <v/>
      </c>
      <c r="FD55">
        <f>DM55</f>
        <v/>
      </c>
    </row>
    <row r="56">
      <c r="L56" t="inlineStr">
        <is>
          <t>none</t>
        </is>
      </c>
      <c r="P56" t="inlineStr">
        <is>
          <t>none</t>
        </is>
      </c>
      <c r="R56" t="inlineStr">
        <is>
          <t>none</t>
        </is>
      </c>
      <c r="T56" t="inlineStr">
        <is>
          <t>none</t>
        </is>
      </c>
      <c r="V56" t="inlineStr">
        <is>
          <t>Default</t>
        </is>
      </c>
      <c r="X56" t="inlineStr">
        <is>
          <t>Normal</t>
        </is>
      </c>
      <c r="AB56" t="inlineStr">
        <is>
          <t>none</t>
        </is>
      </c>
      <c r="AD56" t="n">
        <v>1</v>
      </c>
      <c r="AF56" t="inlineStr">
        <is>
          <t>none</t>
        </is>
      </c>
      <c r="AH56" t="n">
        <v>1</v>
      </c>
      <c r="AJ56" t="inlineStr">
        <is>
          <t>none</t>
        </is>
      </c>
      <c r="AL56" t="inlineStr">
        <is>
          <t>none</t>
        </is>
      </c>
      <c r="AN56">
        <f>iferror(AF56*(50/(AJ56+AL56)),"攻撃力に数値を入力")</f>
        <v/>
      </c>
      <c r="AP56" t="inlineStr">
        <is>
          <t>none</t>
        </is>
      </c>
      <c r="AT56" t="inlineStr">
        <is>
          <t>none</t>
        </is>
      </c>
      <c r="AY56" t="inlineStr">
        <is>
          <t>none</t>
        </is>
      </c>
      <c r="BA56" t="inlineStr">
        <is>
          <t>none</t>
        </is>
      </c>
      <c r="BC56" t="inlineStr">
        <is>
          <t>none</t>
        </is>
      </c>
      <c r="BE56" t="inlineStr">
        <is>
          <t>none</t>
        </is>
      </c>
      <c r="BG56" t="inlineStr">
        <is>
          <t>none</t>
        </is>
      </c>
      <c r="BI56" t="inlineStr">
        <is>
          <t>none</t>
        </is>
      </c>
      <c r="BK56" t="inlineStr">
        <is>
          <t>none</t>
        </is>
      </c>
      <c r="BM56" t="inlineStr">
        <is>
          <t>none</t>
        </is>
      </c>
      <c r="BO56" t="inlineStr">
        <is>
          <t>none</t>
        </is>
      </c>
      <c r="BQ56" t="inlineStr">
        <is>
          <t>none</t>
        </is>
      </c>
      <c r="CA56" t="inlineStr">
        <is>
          <t>未入力</t>
        </is>
      </c>
      <c r="CM56" t="inlineStr">
        <is>
          <t>None</t>
        </is>
      </c>
      <c r="CQ56" t="inlineStr">
        <is>
          <t>None</t>
        </is>
      </c>
      <c r="CW56" t="inlineStr">
        <is>
          <t>None</t>
        </is>
      </c>
      <c r="DC56" t="inlineStr">
        <is>
          <t>None</t>
        </is>
      </c>
      <c r="DK56" t="b">
        <v>0</v>
      </c>
      <c r="DM56" t="inlineStr">
        <is>
          <t>None</t>
        </is>
      </c>
      <c r="EA56">
        <f>B56</f>
        <v/>
      </c>
      <c r="EB56">
        <f>D56</f>
        <v/>
      </c>
      <c r="EC56">
        <f>F56</f>
        <v/>
      </c>
      <c r="ED56">
        <f>CA56</f>
        <v/>
      </c>
      <c r="EE56">
        <f>CE56</f>
        <v/>
      </c>
      <c r="EF56">
        <f>"SummonEnemy"</f>
        <v/>
      </c>
      <c r="EG56">
        <f>H56</f>
        <v/>
      </c>
      <c r="EI56">
        <f>CI56</f>
        <v/>
      </c>
      <c r="EJ56">
        <f>CG56</f>
        <v/>
      </c>
      <c r="EK56">
        <f>CM56</f>
        <v/>
      </c>
      <c r="EL56">
        <f>CO56</f>
        <v/>
      </c>
      <c r="EM56">
        <f>CQ56</f>
        <v/>
      </c>
      <c r="EN56">
        <f>CU56</f>
        <v/>
      </c>
      <c r="EO56">
        <f>CW56</f>
        <v/>
      </c>
      <c r="EP56">
        <f>DA56</f>
        <v/>
      </c>
      <c r="EQ56">
        <f>DC56</f>
        <v/>
      </c>
      <c r="ER56">
        <f>DG56</f>
        <v/>
      </c>
      <c r="ES56">
        <f>DI56</f>
        <v/>
      </c>
      <c r="ET56">
        <f>DK56</f>
        <v/>
      </c>
      <c r="EV56">
        <f>V56</f>
        <v/>
      </c>
      <c r="EW56">
        <f>X56</f>
        <v/>
      </c>
      <c r="EX56">
        <f>AD56</f>
        <v/>
      </c>
      <c r="EY56">
        <f>AH56</f>
        <v/>
      </c>
      <c r="EZ56">
        <f>"1"</f>
        <v/>
      </c>
      <c r="FA56">
        <f>BS56</f>
        <v/>
      </c>
      <c r="FB56" t="n">
        <v>0</v>
      </c>
      <c r="FC56">
        <f>CK56</f>
        <v/>
      </c>
      <c r="FD56">
        <f>DM56</f>
        <v/>
      </c>
    </row>
    <row r="57">
      <c r="L57" t="inlineStr">
        <is>
          <t>none</t>
        </is>
      </c>
      <c r="P57" t="inlineStr">
        <is>
          <t>none</t>
        </is>
      </c>
      <c r="R57" t="inlineStr">
        <is>
          <t>none</t>
        </is>
      </c>
      <c r="T57" t="inlineStr">
        <is>
          <t>none</t>
        </is>
      </c>
      <c r="V57" t="inlineStr">
        <is>
          <t>Default</t>
        </is>
      </c>
      <c r="X57" t="inlineStr">
        <is>
          <t>Normal</t>
        </is>
      </c>
      <c r="AB57" t="inlineStr">
        <is>
          <t>none</t>
        </is>
      </c>
      <c r="AD57" t="n">
        <v>1</v>
      </c>
      <c r="AF57" t="inlineStr">
        <is>
          <t>none</t>
        </is>
      </c>
      <c r="AH57" t="n">
        <v>1</v>
      </c>
      <c r="AJ57" t="inlineStr">
        <is>
          <t>none</t>
        </is>
      </c>
      <c r="AL57" t="inlineStr">
        <is>
          <t>none</t>
        </is>
      </c>
      <c r="AN57">
        <f>iferror(AF57*(50/(AJ57+AL57)),"攻撃力に数値を入力")</f>
        <v/>
      </c>
      <c r="AP57" t="inlineStr">
        <is>
          <t>none</t>
        </is>
      </c>
      <c r="AT57" t="inlineStr">
        <is>
          <t>none</t>
        </is>
      </c>
      <c r="AY57" t="inlineStr">
        <is>
          <t>none</t>
        </is>
      </c>
      <c r="BA57" t="inlineStr">
        <is>
          <t>none</t>
        </is>
      </c>
      <c r="BC57" t="inlineStr">
        <is>
          <t>none</t>
        </is>
      </c>
      <c r="BE57" t="inlineStr">
        <is>
          <t>none</t>
        </is>
      </c>
      <c r="BG57" t="inlineStr">
        <is>
          <t>none</t>
        </is>
      </c>
      <c r="BI57" t="inlineStr">
        <is>
          <t>none</t>
        </is>
      </c>
      <c r="BK57" t="inlineStr">
        <is>
          <t>none</t>
        </is>
      </c>
      <c r="BM57" t="inlineStr">
        <is>
          <t>none</t>
        </is>
      </c>
      <c r="BO57" t="inlineStr">
        <is>
          <t>none</t>
        </is>
      </c>
      <c r="BQ57" t="inlineStr">
        <is>
          <t>none</t>
        </is>
      </c>
      <c r="CA57" t="inlineStr">
        <is>
          <t>未入力</t>
        </is>
      </c>
      <c r="CM57" t="inlineStr">
        <is>
          <t>None</t>
        </is>
      </c>
      <c r="CQ57" t="inlineStr">
        <is>
          <t>None</t>
        </is>
      </c>
      <c r="CW57" t="inlineStr">
        <is>
          <t>None</t>
        </is>
      </c>
      <c r="DC57" t="inlineStr">
        <is>
          <t>None</t>
        </is>
      </c>
      <c r="DK57" t="b">
        <v>0</v>
      </c>
      <c r="DM57" t="inlineStr">
        <is>
          <t>None</t>
        </is>
      </c>
      <c r="EA57">
        <f>B57</f>
        <v/>
      </c>
      <c r="EB57">
        <f>D57</f>
        <v/>
      </c>
      <c r="EC57">
        <f>F57</f>
        <v/>
      </c>
      <c r="ED57">
        <f>CA57</f>
        <v/>
      </c>
      <c r="EE57">
        <f>CE57</f>
        <v/>
      </c>
      <c r="EF57">
        <f>"SummonEnemy"</f>
        <v/>
      </c>
      <c r="EG57">
        <f>H57</f>
        <v/>
      </c>
      <c r="EI57">
        <f>CI57</f>
        <v/>
      </c>
      <c r="EJ57">
        <f>CG57</f>
        <v/>
      </c>
      <c r="EK57">
        <f>CM57</f>
        <v/>
      </c>
      <c r="EL57">
        <f>CO57</f>
        <v/>
      </c>
      <c r="EM57">
        <f>CQ57</f>
        <v/>
      </c>
      <c r="EN57">
        <f>CU57</f>
        <v/>
      </c>
      <c r="EO57">
        <f>CW57</f>
        <v/>
      </c>
      <c r="EP57">
        <f>DA57</f>
        <v/>
      </c>
      <c r="EQ57">
        <f>DC57</f>
        <v/>
      </c>
      <c r="ER57">
        <f>DG57</f>
        <v/>
      </c>
      <c r="ES57">
        <f>DI57</f>
        <v/>
      </c>
      <c r="ET57">
        <f>DK57</f>
        <v/>
      </c>
      <c r="EV57">
        <f>V57</f>
        <v/>
      </c>
      <c r="EW57">
        <f>X57</f>
        <v/>
      </c>
      <c r="EX57">
        <f>AD57</f>
        <v/>
      </c>
      <c r="EY57">
        <f>AH57</f>
        <v/>
      </c>
      <c r="EZ57">
        <f>"1"</f>
        <v/>
      </c>
      <c r="FA57">
        <f>BS57</f>
        <v/>
      </c>
      <c r="FB57" t="n">
        <v>0</v>
      </c>
      <c r="FC57">
        <f>CK57</f>
        <v/>
      </c>
      <c r="FD57">
        <f>DM57</f>
        <v/>
      </c>
    </row>
    <row r="58">
      <c r="L58" t="inlineStr">
        <is>
          <t>none</t>
        </is>
      </c>
      <c r="P58" t="inlineStr">
        <is>
          <t>none</t>
        </is>
      </c>
      <c r="R58" t="inlineStr">
        <is>
          <t>none</t>
        </is>
      </c>
      <c r="T58" t="inlineStr">
        <is>
          <t>none</t>
        </is>
      </c>
      <c r="V58" t="inlineStr">
        <is>
          <t>Default</t>
        </is>
      </c>
      <c r="X58" t="inlineStr">
        <is>
          <t>Normal</t>
        </is>
      </c>
      <c r="AB58" t="inlineStr">
        <is>
          <t>none</t>
        </is>
      </c>
      <c r="AD58" t="n">
        <v>1</v>
      </c>
      <c r="AF58" t="inlineStr">
        <is>
          <t>none</t>
        </is>
      </c>
      <c r="AH58" t="n">
        <v>1</v>
      </c>
      <c r="AJ58" t="inlineStr">
        <is>
          <t>none</t>
        </is>
      </c>
      <c r="AL58" t="inlineStr">
        <is>
          <t>none</t>
        </is>
      </c>
      <c r="AN58">
        <f>iferror(AF58*(50/(AJ58+AL58)),"攻撃力に数値を入力")</f>
        <v/>
      </c>
      <c r="AP58" t="inlineStr">
        <is>
          <t>none</t>
        </is>
      </c>
      <c r="AT58" t="inlineStr">
        <is>
          <t>none</t>
        </is>
      </c>
      <c r="AY58" t="inlineStr">
        <is>
          <t>none</t>
        </is>
      </c>
      <c r="BA58" t="inlineStr">
        <is>
          <t>none</t>
        </is>
      </c>
      <c r="BC58" t="inlineStr">
        <is>
          <t>none</t>
        </is>
      </c>
      <c r="BE58" t="inlineStr">
        <is>
          <t>none</t>
        </is>
      </c>
      <c r="BG58" t="inlineStr">
        <is>
          <t>none</t>
        </is>
      </c>
      <c r="BI58" t="inlineStr">
        <is>
          <t>none</t>
        </is>
      </c>
      <c r="BK58" t="inlineStr">
        <is>
          <t>none</t>
        </is>
      </c>
      <c r="BM58" t="inlineStr">
        <is>
          <t>none</t>
        </is>
      </c>
      <c r="BO58" t="inlineStr">
        <is>
          <t>none</t>
        </is>
      </c>
      <c r="BQ58" t="inlineStr">
        <is>
          <t>none</t>
        </is>
      </c>
      <c r="CA58" t="inlineStr">
        <is>
          <t>未入力</t>
        </is>
      </c>
      <c r="CM58" t="inlineStr">
        <is>
          <t>None</t>
        </is>
      </c>
      <c r="CQ58" t="inlineStr">
        <is>
          <t>None</t>
        </is>
      </c>
      <c r="CW58" t="inlineStr">
        <is>
          <t>None</t>
        </is>
      </c>
      <c r="DC58" t="inlineStr">
        <is>
          <t>None</t>
        </is>
      </c>
      <c r="DK58" t="b">
        <v>0</v>
      </c>
      <c r="DM58" t="inlineStr">
        <is>
          <t>None</t>
        </is>
      </c>
      <c r="EA58">
        <f>B58</f>
        <v/>
      </c>
      <c r="EB58">
        <f>D58</f>
        <v/>
      </c>
      <c r="EC58">
        <f>F58</f>
        <v/>
      </c>
      <c r="ED58">
        <f>CA58</f>
        <v/>
      </c>
      <c r="EE58">
        <f>CE58</f>
        <v/>
      </c>
      <c r="EF58">
        <f>"SummonEnemy"</f>
        <v/>
      </c>
      <c r="EG58">
        <f>H58</f>
        <v/>
      </c>
      <c r="EI58">
        <f>CI58</f>
        <v/>
      </c>
      <c r="EJ58">
        <f>CG58</f>
        <v/>
      </c>
      <c r="EK58">
        <f>CM58</f>
        <v/>
      </c>
      <c r="EL58">
        <f>CO58</f>
        <v/>
      </c>
      <c r="EM58">
        <f>CQ58</f>
        <v/>
      </c>
      <c r="EN58">
        <f>CU58</f>
        <v/>
      </c>
      <c r="EO58">
        <f>CW58</f>
        <v/>
      </c>
      <c r="EP58">
        <f>DA58</f>
        <v/>
      </c>
      <c r="EQ58">
        <f>DC58</f>
        <v/>
      </c>
      <c r="ER58">
        <f>DG58</f>
        <v/>
      </c>
      <c r="ES58">
        <f>DI58</f>
        <v/>
      </c>
      <c r="ET58">
        <f>DK58</f>
        <v/>
      </c>
      <c r="EV58">
        <f>V58</f>
        <v/>
      </c>
      <c r="EW58">
        <f>X58</f>
        <v/>
      </c>
      <c r="EX58">
        <f>AD58</f>
        <v/>
      </c>
      <c r="EY58">
        <f>AH58</f>
        <v/>
      </c>
      <c r="EZ58">
        <f>"1"</f>
        <v/>
      </c>
      <c r="FA58">
        <f>BS58</f>
        <v/>
      </c>
      <c r="FB58" t="n">
        <v>0</v>
      </c>
      <c r="FC58">
        <f>CK58</f>
        <v/>
      </c>
      <c r="FD58">
        <f>DM58</f>
        <v/>
      </c>
    </row>
    <row r="59">
      <c r="L59" t="inlineStr">
        <is>
          <t>none</t>
        </is>
      </c>
      <c r="P59" t="inlineStr">
        <is>
          <t>none</t>
        </is>
      </c>
      <c r="R59" t="inlineStr">
        <is>
          <t>none</t>
        </is>
      </c>
      <c r="T59" t="inlineStr">
        <is>
          <t>none</t>
        </is>
      </c>
      <c r="V59" t="inlineStr">
        <is>
          <t>Default</t>
        </is>
      </c>
      <c r="X59" t="inlineStr">
        <is>
          <t>Normal</t>
        </is>
      </c>
      <c r="AB59" t="inlineStr">
        <is>
          <t>none</t>
        </is>
      </c>
      <c r="AD59" t="n">
        <v>1</v>
      </c>
      <c r="AF59" t="inlineStr">
        <is>
          <t>none</t>
        </is>
      </c>
      <c r="AH59" t="n">
        <v>1</v>
      </c>
      <c r="AJ59" t="inlineStr">
        <is>
          <t>none</t>
        </is>
      </c>
      <c r="AL59" t="inlineStr">
        <is>
          <t>none</t>
        </is>
      </c>
      <c r="AN59">
        <f>iferror(AF59*(50/(AJ59+AL59)),"攻撃力に数値を入力")</f>
        <v/>
      </c>
      <c r="AP59" t="inlineStr">
        <is>
          <t>none</t>
        </is>
      </c>
      <c r="AT59" t="inlineStr">
        <is>
          <t>none</t>
        </is>
      </c>
      <c r="AY59" t="inlineStr">
        <is>
          <t>none</t>
        </is>
      </c>
      <c r="BA59" t="inlineStr">
        <is>
          <t>none</t>
        </is>
      </c>
      <c r="BC59" t="inlineStr">
        <is>
          <t>none</t>
        </is>
      </c>
      <c r="BE59" t="inlineStr">
        <is>
          <t>none</t>
        </is>
      </c>
      <c r="BG59" t="inlineStr">
        <is>
          <t>none</t>
        </is>
      </c>
      <c r="BI59" t="inlineStr">
        <is>
          <t>none</t>
        </is>
      </c>
      <c r="BK59" t="inlineStr">
        <is>
          <t>none</t>
        </is>
      </c>
      <c r="BM59" t="inlineStr">
        <is>
          <t>none</t>
        </is>
      </c>
      <c r="BO59" t="inlineStr">
        <is>
          <t>none</t>
        </is>
      </c>
      <c r="BQ59" t="inlineStr">
        <is>
          <t>none</t>
        </is>
      </c>
      <c r="CA59" t="inlineStr">
        <is>
          <t>未入力</t>
        </is>
      </c>
      <c r="CM59" t="inlineStr">
        <is>
          <t>None</t>
        </is>
      </c>
      <c r="CQ59" t="inlineStr">
        <is>
          <t>None</t>
        </is>
      </c>
      <c r="CW59" t="inlineStr">
        <is>
          <t>None</t>
        </is>
      </c>
      <c r="DC59" t="inlineStr">
        <is>
          <t>None</t>
        </is>
      </c>
      <c r="DK59" t="b">
        <v>0</v>
      </c>
      <c r="DM59" t="inlineStr">
        <is>
          <t>None</t>
        </is>
      </c>
      <c r="EA59">
        <f>B59</f>
        <v/>
      </c>
      <c r="EB59">
        <f>D59</f>
        <v/>
      </c>
      <c r="EC59">
        <f>F59</f>
        <v/>
      </c>
      <c r="ED59">
        <f>CA59</f>
        <v/>
      </c>
      <c r="EE59">
        <f>CE59</f>
        <v/>
      </c>
      <c r="EF59">
        <f>"SummonEnemy"</f>
        <v/>
      </c>
      <c r="EG59">
        <f>H59</f>
        <v/>
      </c>
      <c r="EI59">
        <f>CI59</f>
        <v/>
      </c>
      <c r="EJ59">
        <f>CG59</f>
        <v/>
      </c>
      <c r="EK59">
        <f>CM59</f>
        <v/>
      </c>
      <c r="EL59">
        <f>CO59</f>
        <v/>
      </c>
      <c r="EM59">
        <f>CQ59</f>
        <v/>
      </c>
      <c r="EN59">
        <f>CU59</f>
        <v/>
      </c>
      <c r="EO59">
        <f>CW59</f>
        <v/>
      </c>
      <c r="EP59">
        <f>DA59</f>
        <v/>
      </c>
      <c r="EQ59">
        <f>DC59</f>
        <v/>
      </c>
      <c r="ER59">
        <f>DG59</f>
        <v/>
      </c>
      <c r="ES59">
        <f>DI59</f>
        <v/>
      </c>
      <c r="ET59">
        <f>DK59</f>
        <v/>
      </c>
      <c r="EV59">
        <f>V59</f>
        <v/>
      </c>
      <c r="EW59">
        <f>X59</f>
        <v/>
      </c>
      <c r="EX59">
        <f>AD59</f>
        <v/>
      </c>
      <c r="EY59">
        <f>AH59</f>
        <v/>
      </c>
      <c r="EZ59">
        <f>"1"</f>
        <v/>
      </c>
      <c r="FA59">
        <f>BS59</f>
        <v/>
      </c>
      <c r="FB59" t="n">
        <v>0</v>
      </c>
      <c r="FC59">
        <f>CK59</f>
        <v/>
      </c>
      <c r="FD59">
        <f>DM59</f>
        <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2:FE59"/>
  <sheetViews>
    <sheetView workbookViewId="0">
      <selection activeCell="A1" sqref="A1"/>
    </sheetView>
  </sheetViews>
  <sheetFormatPr baseColWidth="8" defaultRowHeight="15"/>
  <sheetData>
    <row r="2">
      <c r="B2" t="inlineStr">
        <is>
          <t>■基礎情報</t>
        </is>
      </c>
    </row>
    <row r="4">
      <c r="B4" t="inlineStr">
        <is>
          <t>ステージコンセプト</t>
        </is>
      </c>
      <c r="S4" t="inlineStr">
        <is>
          <t>ステージ情報詳細</t>
        </is>
      </c>
    </row>
    <row r="5">
      <c r="B5" t="inlineStr">
        <is>
          <t>強敵
朱槿
雑魚
門神と極楽蝶
朱槿が近距離の単体、門神が中距離で範囲攻撃してくる
雑魚の極楽蝶は毒攻撃をしてくる（倒すとコストまあまあもらえるのでメイが使いやすい）</t>
        </is>
      </c>
      <c r="S5" t="inlineStr">
        <is>
          <t xml:space="preserve">【属性情報】
緑属性の敵が登場するので赤属性のキャラは有利に戦うこともできるぞ!
さらに、無属性の敵も登場するぞ!
【コマ効果情報】
毒コマ、突風コマが登場するぞ!
特性で突風コマ無効化を持っているキャラを編成しよう!
【ギミック情報】
毒攻撃をしてくる敵が登場するぞ!
特性で毒ダメージ軽減を持っているキャラを編成しよう!
このステージでは、『朱槿』が登場している時は、
ファントムゲートHPは削れないぞ! </t>
        </is>
      </c>
    </row>
    <row r="9">
      <c r="B9" t="inlineStr">
        <is>
          <t>ステージ名（最大20文字）</t>
        </is>
      </c>
      <c r="G9" t="inlineStr">
        <is>
          <t>文字数</t>
        </is>
      </c>
      <c r="I9" t="inlineStr">
        <is>
          <t>スタミナ</t>
        </is>
      </c>
      <c r="K9" t="inlineStr">
        <is>
          <t>難易度</t>
        </is>
      </c>
      <c r="N9" t="inlineStr">
        <is>
          <t>推奨PTLv</t>
        </is>
      </c>
      <c r="Q9" t="inlineStr">
        <is>
          <t>通常BGM</t>
        </is>
      </c>
      <c r="V9" t="inlineStr">
        <is>
          <t>ボスBGM</t>
        </is>
      </c>
    </row>
    <row r="10">
      <c r="B10" t="inlineStr">
        <is>
          <t>6話</t>
        </is>
      </c>
      <c r="G10">
        <f>len(B10)</f>
        <v/>
      </c>
      <c r="I10" t="n">
        <v>10</v>
      </c>
      <c r="K10" t="inlineStr">
        <is>
          <t>イベント全般</t>
        </is>
      </c>
      <c r="N10" t="n">
        <v>30</v>
      </c>
      <c r="Q10" t="inlineStr">
        <is>
          <t>SSE_SBG_003_003</t>
        </is>
      </c>
      <c r="V10" t="inlineStr">
        <is>
          <t>SSE_SBG_003_004</t>
        </is>
      </c>
    </row>
    <row r="12">
      <c r="B12" t="inlineStr">
        <is>
          <t>味方ゲートID</t>
        </is>
      </c>
      <c r="E12" t="inlineStr">
        <is>
          <t>敵ゲートID</t>
        </is>
      </c>
      <c r="H12" t="inlineStr">
        <is>
          <t>敵ゲートasset</t>
        </is>
      </c>
      <c r="K12" t="inlineStr">
        <is>
          <t>敵ゲートHP</t>
        </is>
      </c>
      <c r="N12" t="inlineStr">
        <is>
          <t>リリースキー</t>
        </is>
      </c>
    </row>
    <row r="13">
      <c r="B13" t="inlineStr">
        <is>
          <t>default</t>
        </is>
      </c>
      <c r="E13" t="inlineStr">
        <is>
          <t>event_jig1_charaget01_00006</t>
        </is>
      </c>
      <c r="H13" t="inlineStr">
        <is>
          <t>event_jig_0001</t>
        </is>
      </c>
      <c r="K13" t="n">
        <v>50000</v>
      </c>
      <c r="N13" t="n">
        <v>202601010</v>
      </c>
    </row>
    <row r="15">
      <c r="B15" t="inlineStr">
        <is>
          <t>■報酬設計</t>
        </is>
      </c>
    </row>
    <row r="17">
      <c r="B17" t="inlineStr">
        <is>
          <t>クリアコイン</t>
        </is>
      </c>
      <c r="E17" t="inlineStr">
        <is>
          <t>リーダーEXP</t>
        </is>
      </c>
      <c r="H17" t="inlineStr">
        <is>
          <t>原画のかけら確率</t>
        </is>
      </c>
      <c r="K17" t="inlineStr">
        <is>
          <t>原画のかけら種</t>
        </is>
      </c>
    </row>
    <row r="18">
      <c r="B18" t="n">
        <v>300</v>
      </c>
      <c r="E18">
        <f>I10*10</f>
        <v/>
      </c>
      <c r="H18" t="n">
        <v>1</v>
      </c>
      <c r="K18" t="inlineStr">
        <is>
          <t>1,12,15</t>
        </is>
      </c>
    </row>
    <row r="20">
      <c r="B20" t="inlineStr">
        <is>
          <t>ドロップ区分</t>
        </is>
      </c>
      <c r="E20" t="inlineStr">
        <is>
          <t>リソースtype</t>
        </is>
      </c>
      <c r="G20" t="inlineStr">
        <is>
          <t>アイテムID</t>
        </is>
      </c>
      <c r="J20" t="inlineStr">
        <is>
          <t>アイテム名</t>
        </is>
      </c>
      <c r="R20" t="inlineStr">
        <is>
          <t>ドロップ数</t>
        </is>
      </c>
      <c r="T20" t="inlineStr">
        <is>
          <t>ドロップ率</t>
        </is>
      </c>
    </row>
    <row r="21">
      <c r="B21" t="inlineStr">
        <is>
          <t>FirstClear</t>
        </is>
      </c>
      <c r="E21">
        <f>if(J21="プリズム","FreeDiamond","item")</f>
        <v/>
      </c>
      <c r="G21" t="inlineStr">
        <is>
          <t>prism_glo_00001</t>
        </is>
      </c>
      <c r="J21" t="inlineStr">
        <is>
          <t>プリズム</t>
        </is>
      </c>
      <c r="R21" t="n">
        <v>40</v>
      </c>
      <c r="T21" t="n">
        <v>100</v>
      </c>
    </row>
    <row r="22">
      <c r="B22" t="inlineStr">
        <is>
          <t>FirstClear</t>
        </is>
      </c>
      <c r="E22">
        <f>if(J22="プリズム","FreeDiamond","Item")</f>
        <v/>
      </c>
      <c r="G22" t="inlineStr">
        <is>
          <t>Coin</t>
        </is>
      </c>
      <c r="J22" t="inlineStr">
        <is>
          <t>コイン</t>
        </is>
      </c>
      <c r="R22" t="n">
        <v>500</v>
      </c>
      <c r="T22" t="n">
        <v>100</v>
      </c>
    </row>
    <row r="23">
      <c r="B23" t="inlineStr">
        <is>
          <t>FirstClear</t>
        </is>
      </c>
      <c r="E23">
        <f>if(J23="プリズム","FreeDiamond","Item")</f>
        <v/>
      </c>
      <c r="G23" t="inlineStr">
        <is>
          <t>memoryfragment_glo_00003</t>
        </is>
      </c>
      <c r="J23" t="inlineStr">
        <is>
          <t>メモリーフラグメント・上級</t>
        </is>
      </c>
      <c r="R23" t="n">
        <v>1</v>
      </c>
      <c r="T23" t="n">
        <v>100</v>
      </c>
    </row>
    <row r="24">
      <c r="B24" t="inlineStr">
        <is>
          <t>Random</t>
        </is>
      </c>
      <c r="E24">
        <f>if(J24="プリズム","FreeDiamond","Item")</f>
        <v/>
      </c>
      <c r="G24" t="inlineStr">
        <is>
          <t>piece_jig_00701</t>
        </is>
      </c>
      <c r="J24" t="inlineStr">
        <is>
          <t>メイのかけら</t>
        </is>
      </c>
      <c r="R24" t="n">
        <v>5</v>
      </c>
      <c r="T24" t="n">
        <v>60</v>
      </c>
    </row>
    <row r="25">
      <c r="E25">
        <f>if(J25="プリズム","FreeDiamond","Item")</f>
        <v/>
      </c>
      <c r="G25" t="inlineStr">
        <is>
          <t>none</t>
        </is>
      </c>
    </row>
    <row r="26">
      <c r="E26">
        <f>if(J26="プリズム","FreeDiamond","Item")</f>
        <v/>
      </c>
      <c r="G26" t="inlineStr">
        <is>
          <t>none</t>
        </is>
      </c>
    </row>
    <row r="28">
      <c r="B28" t="inlineStr">
        <is>
          <t>■コマ設計</t>
        </is>
      </c>
    </row>
    <row r="30">
      <c r="B30" t="inlineStr">
        <is>
          <t>行数</t>
        </is>
      </c>
      <c r="D30" t="inlineStr">
        <is>
          <t>行パターンID</t>
        </is>
      </c>
      <c r="F30" t="inlineStr">
        <is>
          <t>コマ数</t>
        </is>
      </c>
      <c r="H30" t="inlineStr">
        <is>
          <t>コマ高さ</t>
        </is>
      </c>
      <c r="J30" t="inlineStr">
        <is>
          <t>コマ幅1</t>
        </is>
      </c>
      <c r="L30" t="inlineStr">
        <is>
          <t>コマ幅2</t>
        </is>
      </c>
      <c r="N30" t="inlineStr">
        <is>
          <t>コマ幅3</t>
        </is>
      </c>
      <c r="P30" t="inlineStr">
        <is>
          <t>コマ幅4</t>
        </is>
      </c>
      <c r="R30" t="inlineStr">
        <is>
          <t>コマ背景</t>
        </is>
      </c>
      <c r="U30" t="inlineStr">
        <is>
          <t>コマ効果1</t>
        </is>
      </c>
      <c r="Z30" t="inlineStr">
        <is>
          <t>効果時間</t>
        </is>
      </c>
      <c r="AB30" t="inlineStr">
        <is>
          <t>効果数値</t>
        </is>
      </c>
      <c r="AD30" t="inlineStr">
        <is>
          <t>コマ効果2</t>
        </is>
      </c>
      <c r="AI30" t="inlineStr">
        <is>
          <t>効果時間</t>
        </is>
      </c>
      <c r="AK30" t="inlineStr">
        <is>
          <t>効果数値</t>
        </is>
      </c>
      <c r="AM30" t="inlineStr">
        <is>
          <t>コマ効果3</t>
        </is>
      </c>
      <c r="AR30" t="inlineStr">
        <is>
          <t>効果時間</t>
        </is>
      </c>
      <c r="AT30" t="inlineStr">
        <is>
          <t>効果数値</t>
        </is>
      </c>
      <c r="AV30" t="inlineStr">
        <is>
          <t>コマ効果4</t>
        </is>
      </c>
      <c r="BA30" t="inlineStr">
        <is>
          <t>効果時間</t>
        </is>
      </c>
      <c r="BC30" t="inlineStr">
        <is>
          <t>効果数値</t>
        </is>
      </c>
    </row>
    <row r="31">
      <c r="B31" t="inlineStr">
        <is>
          <t>1行目</t>
        </is>
      </c>
      <c r="D31" t="n">
        <v>4</v>
      </c>
      <c r="F31">
        <f>iferror(vlookup(D31,'行パターン'!$A$2:$C61,2,false),"error")</f>
        <v/>
      </c>
      <c r="H31" t="n">
        <v>0.55</v>
      </c>
      <c r="J31" t="n">
        <v>0.75</v>
      </c>
      <c r="L31" t="n">
        <v>0.25</v>
      </c>
      <c r="N31" t="inlineStr">
        <is>
          <t>none</t>
        </is>
      </c>
      <c r="P31" t="inlineStr">
        <is>
          <t>none</t>
        </is>
      </c>
      <c r="R31" t="inlineStr">
        <is>
          <t>jig_00003</t>
        </is>
      </c>
    </row>
    <row r="32">
      <c r="B32" t="inlineStr">
        <is>
          <t>2行目</t>
        </is>
      </c>
      <c r="D32" t="n">
        <v>6</v>
      </c>
      <c r="F32">
        <f>iferror(vlookup(D32,'行パターン'!$A$2:$C61,2,false),"error")</f>
        <v/>
      </c>
      <c r="H32" t="n">
        <v>0.55</v>
      </c>
      <c r="J32" t="n">
        <v>0.5</v>
      </c>
      <c r="L32" t="n">
        <v>0.5</v>
      </c>
      <c r="N32" t="inlineStr">
        <is>
          <t>none</t>
        </is>
      </c>
      <c r="P32" t="inlineStr">
        <is>
          <t>none</t>
        </is>
      </c>
      <c r="R32" t="inlineStr">
        <is>
          <t>jig_00003</t>
        </is>
      </c>
      <c r="AD32" t="inlineStr">
        <is>
          <t>Poison</t>
        </is>
      </c>
      <c r="AI32" t="n">
        <v>200</v>
      </c>
      <c r="AK32" t="n">
        <v>5</v>
      </c>
    </row>
    <row r="33">
      <c r="B33" t="inlineStr">
        <is>
          <t>3行目</t>
        </is>
      </c>
      <c r="D33" t="n">
        <v>12</v>
      </c>
      <c r="F33">
        <f>iferror(vlookup(D33,'行パターン'!$A$2:$C61,2,false)," ")</f>
        <v/>
      </c>
      <c r="H33" t="n">
        <v>0.55</v>
      </c>
      <c r="J33" t="n">
        <v>0.25</v>
      </c>
      <c r="L33" t="n">
        <v>0.25</v>
      </c>
      <c r="N33" t="n">
        <v>0.25</v>
      </c>
      <c r="P33" t="n">
        <v>0.25</v>
      </c>
      <c r="R33" t="inlineStr">
        <is>
          <t>jig_00003</t>
        </is>
      </c>
      <c r="U33" t="inlineStr">
        <is>
          <t>Gust</t>
        </is>
      </c>
      <c r="Z33" t="n">
        <v>500</v>
      </c>
      <c r="AB33" t="n">
        <v>0.2</v>
      </c>
    </row>
    <row r="34">
      <c r="B34" t="inlineStr">
        <is>
          <t>4行目</t>
        </is>
      </c>
      <c r="F34">
        <f>iferror(vlookup(D34,'行パターン'!$A$2:$C61,2,false)," ")</f>
        <v/>
      </c>
      <c r="J34" t="inlineStr">
        <is>
          <t> </t>
        </is>
      </c>
    </row>
    <row r="35">
      <c r="B35" t="inlineStr">
        <is>
          <t>5行目</t>
        </is>
      </c>
      <c r="F35">
        <f>iferror(vlookup(D35,'行パターン'!$A$2:$C61,2,false)," ")</f>
        <v/>
      </c>
      <c r="J35" t="inlineStr">
        <is>
          <t> </t>
        </is>
      </c>
    </row>
    <row r="37">
      <c r="B37" t="inlineStr">
        <is>
          <t xml:space="preserve">■Enemyシーケンス </t>
        </is>
      </c>
      <c r="F37" t="inlineStr">
        <is>
          <t>※コピペして使用</t>
        </is>
      </c>
    </row>
    <row r="39">
      <c r="B39" t="inlineStr">
        <is>
          <t>sequence
_group_id</t>
        </is>
      </c>
      <c r="D39" t="inlineStr">
        <is>
          <t>sequence_
element_id</t>
        </is>
      </c>
      <c r="F39" t="inlineStr">
        <is>
          <t>priority_sequence_element_id</t>
        </is>
      </c>
      <c r="H39" t="inlineStr">
        <is>
          <t>Enemy_ID</t>
        </is>
      </c>
      <c r="L39" t="inlineStr">
        <is>
          <t>ファントム名</t>
        </is>
      </c>
      <c r="P39" t="inlineStr">
        <is>
          <t>unit_kind</t>
        </is>
      </c>
      <c r="R39" t="inlineStr">
        <is>
          <t>属性</t>
        </is>
      </c>
      <c r="T39" t="inlineStr">
        <is>
          <t>ロール</t>
        </is>
      </c>
      <c r="V39" t="inlineStr">
        <is>
          <t>オーラタイプ</t>
        </is>
      </c>
      <c r="X39" t="inlineStr">
        <is>
          <t>死亡タイプ</t>
        </is>
      </c>
      <c r="Z39" t="inlineStr">
        <is>
          <t>必殺ワザ有無</t>
        </is>
      </c>
      <c r="AB39" t="inlineStr">
        <is>
          <t>体力</t>
        </is>
      </c>
      <c r="AD39" t="inlineStr">
        <is>
          <t>体力係数</t>
        </is>
      </c>
      <c r="AF39" t="inlineStr">
        <is>
          <t>攻撃力</t>
        </is>
      </c>
      <c r="AH39" t="inlineStr">
        <is>
          <t>攻撃係数</t>
        </is>
      </c>
      <c r="AJ39" t="inlineStr">
        <is>
          <t>通常攻撃F</t>
        </is>
      </c>
      <c r="AL39" t="inlineStr">
        <is>
          <t>通常攻撃CDF</t>
        </is>
      </c>
      <c r="AN39" t="inlineStr">
        <is>
          <t>通常攻撃DPS</t>
        </is>
      </c>
      <c r="AP39" t="inlineStr">
        <is>
          <t>通常攻撃備考</t>
        </is>
      </c>
      <c r="AT39" t="inlineStr">
        <is>
          <t>必殺技内容</t>
        </is>
      </c>
      <c r="AY39" t="inlineStr">
        <is>
          <t>必殺発動回数</t>
        </is>
      </c>
      <c r="BA39" t="inlineStr">
        <is>
          <t>必殺技F(秒)</t>
        </is>
      </c>
      <c r="BC39" t="inlineStr">
        <is>
          <t>特性</t>
        </is>
      </c>
      <c r="BE39" t="inlineStr">
        <is>
          <t>移動速度</t>
        </is>
      </c>
      <c r="BG39" t="inlineStr">
        <is>
          <t>well_distance</t>
        </is>
      </c>
      <c r="BI39" t="inlineStr">
        <is>
          <t>start_range</t>
        </is>
      </c>
      <c r="BK39" t="inlineStr">
        <is>
          <t>end_range</t>
        </is>
      </c>
      <c r="BM39" t="inlineStr">
        <is>
          <t>攻撃範囲</t>
        </is>
      </c>
      <c r="BO39" t="inlineStr">
        <is>
          <t>KB回数</t>
        </is>
      </c>
      <c r="BQ39" t="inlineStr">
        <is>
          <t>撃破p</t>
        </is>
      </c>
      <c r="BS39" t="inlineStr">
        <is>
          <t>上書き撃破p</t>
        </is>
      </c>
      <c r="BU39" t="inlineStr">
        <is>
          <t>変身先ID</t>
        </is>
      </c>
      <c r="BW39" t="inlineStr">
        <is>
          <t>変身条件1</t>
        </is>
      </c>
      <c r="BY39" t="inlineStr">
        <is>
          <t>変身条件2</t>
        </is>
      </c>
      <c r="CA39" t="inlineStr">
        <is>
          <t>出撃条件
condition_type</t>
        </is>
      </c>
      <c r="CE39" t="inlineStr">
        <is>
          <t>出撃開始値
condition_value</t>
        </is>
      </c>
      <c r="CG39" t="inlineStr">
        <is>
          <t>出撃感覚値
summon_interval</t>
        </is>
      </c>
      <c r="CI39" t="inlineStr">
        <is>
          <t>召喚回数
summon_count</t>
        </is>
      </c>
      <c r="CK39" t="inlineStr">
        <is>
          <t>アクション遅延
action_delay</t>
        </is>
      </c>
      <c r="CM39" t="inlineStr">
        <is>
          <t>出撃
アニメーション</t>
        </is>
      </c>
      <c r="CO39" t="inlineStr">
        <is>
          <t>召喚pos
summon_position</t>
        </is>
      </c>
      <c r="CQ39" t="inlineStr">
        <is>
          <t>移動開始条件
move_start_condition_type</t>
        </is>
      </c>
      <c r="CU39" t="inlineStr">
        <is>
          <t>移動開始値
condition_value</t>
        </is>
      </c>
      <c r="CW39" t="inlineStr">
        <is>
          <t>移動停止条件
move_stop_condition_type</t>
        </is>
      </c>
      <c r="DA39" t="inlineStr">
        <is>
          <t>移動停止値</t>
        </is>
      </c>
      <c r="DC39" t="inlineStr">
        <is>
          <t>移動再スタート条件
move_restart_condition_type</t>
        </is>
      </c>
      <c r="DG39" t="inlineStr">
        <is>
          <t>移動再スタート値</t>
        </is>
      </c>
      <c r="DI39" t="inlineStr">
        <is>
          <t>再スタート回数
move_loop_count</t>
        </is>
      </c>
      <c r="DK39" t="inlineStr">
        <is>
          <t>ゲート無敵化</t>
        </is>
      </c>
      <c r="DM39" t="inlineStr">
        <is>
          <t>出現停止条件</t>
        </is>
      </c>
      <c r="DQ39" t="inlineStr">
        <is>
          <t>停止条件値</t>
        </is>
      </c>
      <c r="DS39" t="inlineStr">
        <is>
          <t>備考</t>
        </is>
      </c>
      <c r="EA39" t="inlineStr">
        <is>
          <t>sequence_group_id</t>
        </is>
      </c>
      <c r="EB39" t="inlineStr">
        <is>
          <t>sequence_element_id</t>
        </is>
      </c>
      <c r="EC39" t="inlineStr">
        <is>
          <t>priority_sequence_element_id</t>
        </is>
      </c>
      <c r="ED39" t="inlineStr">
        <is>
          <t>condition_type</t>
        </is>
      </c>
      <c r="EE39" t="inlineStr">
        <is>
          <t>condition_value</t>
        </is>
      </c>
      <c r="EF39" t="inlineStr">
        <is>
          <t>action_type</t>
        </is>
      </c>
      <c r="EG39" t="inlineStr">
        <is>
          <t>action_value</t>
        </is>
      </c>
      <c r="EH39" t="inlineStr">
        <is>
          <t>action_value2</t>
        </is>
      </c>
      <c r="EI39" t="inlineStr">
        <is>
          <t>summon_count</t>
        </is>
      </c>
      <c r="EJ39" t="inlineStr">
        <is>
          <t>summon_interval</t>
        </is>
      </c>
      <c r="EK39" t="inlineStr">
        <is>
          <t>summon_animation_type</t>
        </is>
      </c>
      <c r="EL39" t="inlineStr">
        <is>
          <t>summon_position</t>
        </is>
      </c>
      <c r="EM39" t="inlineStr">
        <is>
          <t>move_start_condition_type</t>
        </is>
      </c>
      <c r="EN39" t="inlineStr">
        <is>
          <t>move_start_condition_value</t>
        </is>
      </c>
      <c r="EO39" t="inlineStr">
        <is>
          <t>move_stop_condition_type</t>
        </is>
      </c>
      <c r="EP39" t="inlineStr">
        <is>
          <t>move_stop_condition_value</t>
        </is>
      </c>
      <c r="EQ39" t="inlineStr">
        <is>
          <t>move_restart_condition_type</t>
        </is>
      </c>
      <c r="ER39" t="inlineStr">
        <is>
          <t>move_restart_condition_value</t>
        </is>
      </c>
      <c r="ES39" t="inlineStr">
        <is>
          <t>move_loop_count</t>
        </is>
      </c>
      <c r="ET39" t="inlineStr">
        <is>
          <t>is_summon_unit_outpost_damage_invalidation</t>
        </is>
      </c>
      <c r="EV39" t="inlineStr">
        <is>
          <t>aura_type</t>
        </is>
      </c>
      <c r="EW39" t="inlineStr">
        <is>
          <t>death_type</t>
        </is>
      </c>
      <c r="EX39" t="inlineStr">
        <is>
          <t>enemy_hp_coef</t>
        </is>
      </c>
      <c r="EY39" t="inlineStr">
        <is>
          <t>enemy_attack_coef</t>
        </is>
      </c>
      <c r="EZ39" t="inlineStr">
        <is>
          <t>enemy_speed_coef</t>
        </is>
      </c>
      <c r="FA39" t="inlineStr">
        <is>
          <t>override_drop_battle_point</t>
        </is>
      </c>
      <c r="FB39" t="inlineStr">
        <is>
          <t>defeated_score</t>
        </is>
      </c>
      <c r="FC39" t="inlineStr">
        <is>
          <t>action_delay</t>
        </is>
      </c>
      <c r="FD39" t="inlineStr">
        <is>
          <t>deactivation_condition_type</t>
        </is>
      </c>
      <c r="FE39" t="inlineStr">
        <is>
          <t>deactivation_condition_value</t>
        </is>
      </c>
    </row>
    <row r="40">
      <c r="D40" t="n">
        <v>1</v>
      </c>
      <c r="H40" t="inlineStr">
        <is>
          <t>e_jig_00601_jig1_charaget01_Boss_Colorless</t>
        </is>
      </c>
      <c r="L40" t="inlineStr">
        <is>
          <t>朱槿</t>
        </is>
      </c>
      <c r="P40" t="inlineStr">
        <is>
          <t>Boss</t>
        </is>
      </c>
      <c r="R40" t="inlineStr">
        <is>
          <t>Colorless</t>
        </is>
      </c>
      <c r="T40" t="inlineStr">
        <is>
          <t>Attack</t>
        </is>
      </c>
      <c r="V40" t="inlineStr">
        <is>
          <t>Default</t>
        </is>
      </c>
      <c r="X40" t="inlineStr">
        <is>
          <t>Normal</t>
        </is>
      </c>
      <c r="AB40" t="n">
        <v>150000</v>
      </c>
      <c r="AD40" t="n">
        <v>15</v>
      </c>
      <c r="AF40" t="n">
        <v>450</v>
      </c>
      <c r="AH40" t="n">
        <v>4.5</v>
      </c>
      <c r="AJ40" t="n">
        <v>75</v>
      </c>
      <c r="AN40">
        <f>iferror(AF40*(50/(AJ40+AL40)),"攻撃力に数値を入力")</f>
        <v/>
      </c>
      <c r="AY40" t="inlineStr">
        <is>
          <t>-</t>
        </is>
      </c>
      <c r="BA40" t="inlineStr">
        <is>
          <t>none</t>
        </is>
      </c>
      <c r="BE40" t="n">
        <v>37</v>
      </c>
      <c r="BO40" t="n">
        <v>3</v>
      </c>
      <c r="BS40" t="n">
        <v>200</v>
      </c>
      <c r="CA40" t="inlineStr">
        <is>
          <t>ElapsedTime</t>
        </is>
      </c>
      <c r="CE40" t="n">
        <v>500</v>
      </c>
      <c r="CG40" t="n">
        <v>0</v>
      </c>
      <c r="CI40" t="n">
        <v>1</v>
      </c>
      <c r="CM40" t="inlineStr">
        <is>
          <t>None</t>
        </is>
      </c>
      <c r="CQ40" t="inlineStr">
        <is>
          <t>None</t>
        </is>
      </c>
      <c r="CW40" t="inlineStr">
        <is>
          <t>None</t>
        </is>
      </c>
      <c r="DC40" t="inlineStr">
        <is>
          <t>None</t>
        </is>
      </c>
      <c r="DK40" t="b">
        <v>1</v>
      </c>
      <c r="DM40" t="inlineStr">
        <is>
          <t>None</t>
        </is>
      </c>
      <c r="EA40">
        <f>B40</f>
        <v/>
      </c>
      <c r="EB40">
        <f>D40</f>
        <v/>
      </c>
      <c r="EC40">
        <f>F40</f>
        <v/>
      </c>
      <c r="ED40">
        <f>CA40</f>
        <v/>
      </c>
      <c r="EE40">
        <f>CE40</f>
        <v/>
      </c>
      <c r="EF40">
        <f>"SummonEnemy"</f>
        <v/>
      </c>
      <c r="EG40">
        <f>H40</f>
        <v/>
      </c>
      <c r="EI40">
        <f>CI40</f>
        <v/>
      </c>
      <c r="EJ40">
        <f>CG40</f>
        <v/>
      </c>
      <c r="EK40">
        <f>CM40</f>
        <v/>
      </c>
      <c r="EL40">
        <f>CO40</f>
        <v/>
      </c>
      <c r="EM40">
        <f>CQ40</f>
        <v/>
      </c>
      <c r="EN40">
        <f>CU40</f>
        <v/>
      </c>
      <c r="EO40">
        <f>CW40</f>
        <v/>
      </c>
      <c r="EP40">
        <f>DA40</f>
        <v/>
      </c>
      <c r="EQ40">
        <f>DC40</f>
        <v/>
      </c>
      <c r="ER40">
        <f>DG40</f>
        <v/>
      </c>
      <c r="ES40">
        <f>DI40</f>
        <v/>
      </c>
      <c r="ET40">
        <f>DK40</f>
        <v/>
      </c>
      <c r="EV40">
        <f>V40</f>
        <v/>
      </c>
      <c r="EW40">
        <f>X40</f>
        <v/>
      </c>
      <c r="EX40">
        <f>AD40</f>
        <v/>
      </c>
      <c r="EY40">
        <f>AH40</f>
        <v/>
      </c>
      <c r="EZ40">
        <f>"1"</f>
        <v/>
      </c>
      <c r="FA40">
        <f>BS40</f>
        <v/>
      </c>
      <c r="FB40" t="n">
        <v>0</v>
      </c>
      <c r="FC40">
        <f>CK40</f>
        <v/>
      </c>
      <c r="FD40">
        <f>DM40</f>
        <v/>
      </c>
    </row>
    <row r="41">
      <c r="D41" t="n">
        <v>2</v>
      </c>
      <c r="H41" t="inlineStr">
        <is>
          <t>e_jig_00301_jig1_charaget01_Normal_Green</t>
        </is>
      </c>
      <c r="L41" t="inlineStr">
        <is>
          <t>竈神 魚</t>
        </is>
      </c>
      <c r="P41" t="inlineStr">
        <is>
          <t>Normal</t>
        </is>
      </c>
      <c r="R41" t="inlineStr">
        <is>
          <t>Green</t>
        </is>
      </c>
      <c r="T41" t="inlineStr">
        <is>
          <t>Attack</t>
        </is>
      </c>
      <c r="V41" t="inlineStr">
        <is>
          <t>Default</t>
        </is>
      </c>
      <c r="X41" t="inlineStr">
        <is>
          <t>Normal</t>
        </is>
      </c>
      <c r="AB41" t="n">
        <v>30000</v>
      </c>
      <c r="AD41" t="n">
        <v>30</v>
      </c>
      <c r="AF41" t="n">
        <v>300</v>
      </c>
      <c r="AH41" t="n">
        <v>3</v>
      </c>
      <c r="AJ41" t="n">
        <v>75</v>
      </c>
      <c r="AL41" t="n">
        <v>10</v>
      </c>
      <c r="AN41">
        <f>iferror(AF41*(50/(AJ41+AL41)),"攻撃力に数値を入力")</f>
        <v/>
      </c>
      <c r="AY41" t="inlineStr">
        <is>
          <t>-</t>
        </is>
      </c>
      <c r="BA41" t="inlineStr">
        <is>
          <t>none</t>
        </is>
      </c>
      <c r="BE41" t="n">
        <v>37</v>
      </c>
      <c r="BG41" t="n">
        <v>0.22</v>
      </c>
      <c r="BI41" t="n">
        <v>0</v>
      </c>
      <c r="BK41" t="n">
        <v>0.23</v>
      </c>
      <c r="BM41" t="n">
        <v>1</v>
      </c>
      <c r="BO41" t="n">
        <v>4</v>
      </c>
      <c r="BQ41" t="n">
        <v>50</v>
      </c>
      <c r="BS41" t="n">
        <v>100</v>
      </c>
      <c r="CA41" t="inlineStr">
        <is>
          <t>ElapsedTime</t>
        </is>
      </c>
      <c r="CE41" t="n">
        <v>3500</v>
      </c>
      <c r="CG41" t="n">
        <v>2000</v>
      </c>
      <c r="CI41" t="n">
        <v>2</v>
      </c>
      <c r="CM41" t="inlineStr">
        <is>
          <t>None</t>
        </is>
      </c>
      <c r="CQ41" t="inlineStr">
        <is>
          <t>None</t>
        </is>
      </c>
      <c r="CW41" t="inlineStr">
        <is>
          <t>None</t>
        </is>
      </c>
      <c r="DC41" t="inlineStr">
        <is>
          <t>None</t>
        </is>
      </c>
      <c r="DK41" t="b">
        <v>0</v>
      </c>
      <c r="DM41" t="inlineStr">
        <is>
          <t>None</t>
        </is>
      </c>
      <c r="EA41">
        <f>B41</f>
        <v/>
      </c>
      <c r="EB41">
        <f>D41</f>
        <v/>
      </c>
      <c r="EC41">
        <f>F41</f>
        <v/>
      </c>
      <c r="ED41">
        <f>CA41</f>
        <v/>
      </c>
      <c r="EE41">
        <f>CE41</f>
        <v/>
      </c>
      <c r="EF41">
        <f>"SummonEnemy"</f>
        <v/>
      </c>
      <c r="EG41">
        <f>H41</f>
        <v/>
      </c>
      <c r="EI41">
        <f>CI41</f>
        <v/>
      </c>
      <c r="EJ41">
        <f>CG41</f>
        <v/>
      </c>
      <c r="EK41">
        <f>CM41</f>
        <v/>
      </c>
      <c r="EL41">
        <f>CO41</f>
        <v/>
      </c>
      <c r="EM41">
        <f>CQ41</f>
        <v/>
      </c>
      <c r="EN41">
        <f>CU41</f>
        <v/>
      </c>
      <c r="EO41">
        <f>CW41</f>
        <v/>
      </c>
      <c r="EP41">
        <f>DA41</f>
        <v/>
      </c>
      <c r="EQ41">
        <f>DC41</f>
        <v/>
      </c>
      <c r="ER41">
        <f>DG41</f>
        <v/>
      </c>
      <c r="ES41">
        <f>DI41</f>
        <v/>
      </c>
      <c r="ET41">
        <f>DK41</f>
        <v/>
      </c>
      <c r="EV41">
        <f>V41</f>
        <v/>
      </c>
      <c r="EW41">
        <f>X41</f>
        <v/>
      </c>
      <c r="EX41">
        <f>AD41</f>
        <v/>
      </c>
      <c r="EY41">
        <f>AH41</f>
        <v/>
      </c>
      <c r="EZ41">
        <f>"1"</f>
        <v/>
      </c>
      <c r="FA41">
        <f>BS41</f>
        <v/>
      </c>
      <c r="FB41" t="n">
        <v>0</v>
      </c>
      <c r="FC41">
        <f>CK41</f>
        <v/>
      </c>
      <c r="FD41">
        <f>DM41</f>
        <v/>
      </c>
    </row>
    <row r="42">
      <c r="D42" t="n">
        <v>3</v>
      </c>
      <c r="H42" t="inlineStr">
        <is>
          <t>e_jig_00001_jig1_charaget01_Normal_Colorless</t>
        </is>
      </c>
      <c r="L42" t="inlineStr">
        <is>
          <t>門神</t>
        </is>
      </c>
      <c r="P42" t="inlineStr">
        <is>
          <t>Normal</t>
        </is>
      </c>
      <c r="R42" t="inlineStr">
        <is>
          <t>Colorless</t>
        </is>
      </c>
      <c r="T42" t="inlineStr">
        <is>
          <t>Defense</t>
        </is>
      </c>
      <c r="V42" t="inlineStr">
        <is>
          <t>Default</t>
        </is>
      </c>
      <c r="X42" t="inlineStr">
        <is>
          <t>Normal</t>
        </is>
      </c>
      <c r="AB42" t="n">
        <v>80000</v>
      </c>
      <c r="AD42" t="n">
        <v>80</v>
      </c>
      <c r="AF42" t="n">
        <v>150</v>
      </c>
      <c r="AH42" t="n">
        <v>1.5</v>
      </c>
      <c r="AJ42" t="n">
        <v>91.5</v>
      </c>
      <c r="AL42" t="n">
        <v>100</v>
      </c>
      <c r="AN42">
        <f>iferror(AF42*(50/(AJ42+AL42)),"攻撃力に数値を入力")</f>
        <v/>
      </c>
      <c r="AY42" t="inlineStr">
        <is>
          <t>-</t>
        </is>
      </c>
      <c r="BA42" t="inlineStr">
        <is>
          <t>none</t>
        </is>
      </c>
      <c r="BE42" t="n">
        <v>27</v>
      </c>
      <c r="BG42" t="n">
        <v>0.22</v>
      </c>
      <c r="BI42" t="n">
        <v>0</v>
      </c>
      <c r="BK42" t="n">
        <v>0.27</v>
      </c>
      <c r="BM42" t="n">
        <v>100</v>
      </c>
      <c r="BO42" t="n">
        <v>1</v>
      </c>
      <c r="BQ42" t="n">
        <v>50</v>
      </c>
      <c r="BS42" t="n">
        <v>50</v>
      </c>
      <c r="CA42" t="inlineStr">
        <is>
          <t>ElapsedTime</t>
        </is>
      </c>
      <c r="CE42" t="n">
        <v>2000</v>
      </c>
      <c r="CG42" t="n">
        <v>2000</v>
      </c>
      <c r="CI42" t="n">
        <v>2</v>
      </c>
      <c r="CM42" t="inlineStr">
        <is>
          <t>None</t>
        </is>
      </c>
      <c r="CQ42" t="inlineStr">
        <is>
          <t>None</t>
        </is>
      </c>
      <c r="CW42" t="inlineStr">
        <is>
          <t>None</t>
        </is>
      </c>
      <c r="DC42" t="inlineStr">
        <is>
          <t>None</t>
        </is>
      </c>
      <c r="DK42" t="b">
        <v>0</v>
      </c>
      <c r="DM42" t="inlineStr">
        <is>
          <t>None</t>
        </is>
      </c>
      <c r="EA42">
        <f>B42</f>
        <v/>
      </c>
      <c r="EB42">
        <f>D42</f>
        <v/>
      </c>
      <c r="EC42">
        <f>F42</f>
        <v/>
      </c>
      <c r="ED42">
        <f>CA42</f>
        <v/>
      </c>
      <c r="EE42">
        <f>CE42</f>
        <v/>
      </c>
      <c r="EF42">
        <f>"SummonEnemy"</f>
        <v/>
      </c>
      <c r="EG42">
        <f>H42</f>
        <v/>
      </c>
      <c r="EI42">
        <f>CI42</f>
        <v/>
      </c>
      <c r="EJ42">
        <f>CG42</f>
        <v/>
      </c>
      <c r="EK42">
        <f>CM42</f>
        <v/>
      </c>
      <c r="EL42">
        <f>CO42</f>
        <v/>
      </c>
      <c r="EM42">
        <f>CQ42</f>
        <v/>
      </c>
      <c r="EN42">
        <f>CU42</f>
        <v/>
      </c>
      <c r="EO42">
        <f>CW42</f>
        <v/>
      </c>
      <c r="EP42">
        <f>DA42</f>
        <v/>
      </c>
      <c r="EQ42">
        <f>DC42</f>
        <v/>
      </c>
      <c r="ER42">
        <f>DG42</f>
        <v/>
      </c>
      <c r="ES42">
        <f>DI42</f>
        <v/>
      </c>
      <c r="ET42">
        <f>DK42</f>
        <v/>
      </c>
      <c r="EV42">
        <f>V42</f>
        <v/>
      </c>
      <c r="EW42">
        <f>X42</f>
        <v/>
      </c>
      <c r="EX42">
        <f>AD42</f>
        <v/>
      </c>
      <c r="EY42">
        <f>AH42</f>
        <v/>
      </c>
      <c r="EZ42">
        <f>"1"</f>
        <v/>
      </c>
      <c r="FA42">
        <f>BS42</f>
        <v/>
      </c>
      <c r="FB42" t="n">
        <v>0</v>
      </c>
      <c r="FC42">
        <f>CK42</f>
        <v/>
      </c>
      <c r="FD42">
        <f>DM42</f>
        <v/>
      </c>
    </row>
    <row r="43">
      <c r="D43" t="n">
        <v>4</v>
      </c>
      <c r="H43" t="inlineStr">
        <is>
          <t>e_jig_00401_jig1_charaget01_Normal_Green</t>
        </is>
      </c>
      <c r="L43" t="inlineStr">
        <is>
          <t>極楽蝶</t>
        </is>
      </c>
      <c r="P43" t="inlineStr">
        <is>
          <t>Normal</t>
        </is>
      </c>
      <c r="R43" t="inlineStr">
        <is>
          <t>Green</t>
        </is>
      </c>
      <c r="T43" t="inlineStr">
        <is>
          <t>Technical</t>
        </is>
      </c>
      <c r="V43" t="inlineStr">
        <is>
          <t>Default</t>
        </is>
      </c>
      <c r="X43" t="inlineStr">
        <is>
          <t>Normal</t>
        </is>
      </c>
      <c r="AB43" t="n">
        <v>10000</v>
      </c>
      <c r="AD43" t="n">
        <v>10</v>
      </c>
      <c r="AF43" t="n">
        <v>200</v>
      </c>
      <c r="AH43" t="n">
        <v>2</v>
      </c>
      <c r="AJ43" t="n">
        <v>65</v>
      </c>
      <c r="AL43" t="n">
        <v>125</v>
      </c>
      <c r="AN43">
        <f>iferror(AF43*(50/(AJ43+AL43)),"攻撃力に数値を入力")</f>
        <v/>
      </c>
      <c r="AP43" t="inlineStr">
        <is>
          <t>100%の確率で6秒間1%の毒にする</t>
        </is>
      </c>
      <c r="AY43" t="inlineStr">
        <is>
          <t>-</t>
        </is>
      </c>
      <c r="BA43" t="inlineStr">
        <is>
          <t>none</t>
        </is>
      </c>
      <c r="BE43" t="n">
        <v>33</v>
      </c>
      <c r="BG43" t="n">
        <v>0.24</v>
      </c>
      <c r="BI43" t="n">
        <v>0</v>
      </c>
      <c r="BK43" t="n">
        <v>0.25</v>
      </c>
      <c r="BM43" t="n">
        <v>1</v>
      </c>
      <c r="BO43" t="n">
        <v>2</v>
      </c>
      <c r="BQ43" t="n">
        <v>50</v>
      </c>
      <c r="BS43" t="n">
        <v>100</v>
      </c>
      <c r="CA43" t="inlineStr">
        <is>
          <t>ElapsedTime</t>
        </is>
      </c>
      <c r="CE43" t="n">
        <v>800</v>
      </c>
      <c r="CG43" t="n">
        <v>50</v>
      </c>
      <c r="CI43" t="n">
        <v>2</v>
      </c>
      <c r="CM43" t="inlineStr">
        <is>
          <t>None</t>
        </is>
      </c>
      <c r="CQ43" t="inlineStr">
        <is>
          <t>None</t>
        </is>
      </c>
      <c r="CW43" t="inlineStr">
        <is>
          <t>None</t>
        </is>
      </c>
      <c r="DC43" t="inlineStr">
        <is>
          <t>None</t>
        </is>
      </c>
      <c r="DK43" t="b">
        <v>0</v>
      </c>
      <c r="DM43" t="inlineStr">
        <is>
          <t>None</t>
        </is>
      </c>
      <c r="EA43">
        <f>B43</f>
        <v/>
      </c>
      <c r="EB43">
        <f>D43</f>
        <v/>
      </c>
      <c r="EC43">
        <f>F43</f>
        <v/>
      </c>
      <c r="ED43">
        <f>CA43</f>
        <v/>
      </c>
      <c r="EE43">
        <f>CE43</f>
        <v/>
      </c>
      <c r="EF43">
        <f>"SummonEnemy"</f>
        <v/>
      </c>
      <c r="EG43">
        <f>H43</f>
        <v/>
      </c>
      <c r="EI43">
        <f>CI43</f>
        <v/>
      </c>
      <c r="EJ43">
        <f>CG43</f>
        <v/>
      </c>
      <c r="EK43">
        <f>CM43</f>
        <v/>
      </c>
      <c r="EL43">
        <f>CO43</f>
        <v/>
      </c>
      <c r="EM43">
        <f>CQ43</f>
        <v/>
      </c>
      <c r="EN43">
        <f>CU43</f>
        <v/>
      </c>
      <c r="EO43">
        <f>CW43</f>
        <v/>
      </c>
      <c r="EP43">
        <f>DA43</f>
        <v/>
      </c>
      <c r="EQ43">
        <f>DC43</f>
        <v/>
      </c>
      <c r="ER43">
        <f>DG43</f>
        <v/>
      </c>
      <c r="ES43">
        <f>DI43</f>
        <v/>
      </c>
      <c r="ET43">
        <f>DK43</f>
        <v/>
      </c>
      <c r="EV43">
        <f>V43</f>
        <v/>
      </c>
      <c r="EW43">
        <f>X43</f>
        <v/>
      </c>
      <c r="EX43">
        <f>AD43</f>
        <v/>
      </c>
      <c r="EY43">
        <f>AH43</f>
        <v/>
      </c>
      <c r="EZ43">
        <f>"1"</f>
        <v/>
      </c>
      <c r="FA43">
        <f>BS43</f>
        <v/>
      </c>
      <c r="FB43" t="n">
        <v>0</v>
      </c>
      <c r="FC43">
        <f>CK43</f>
        <v/>
      </c>
      <c r="FD43">
        <f>DM43</f>
        <v/>
      </c>
    </row>
    <row r="44">
      <c r="D44" t="n">
        <v>5</v>
      </c>
      <c r="H44" t="inlineStr">
        <is>
          <t>e_jig_00402_jig1_charaget01_Normal_Colorless</t>
        </is>
      </c>
      <c r="L44" t="inlineStr">
        <is>
          <t>極楽蝶</t>
        </is>
      </c>
      <c r="P44" t="inlineStr">
        <is>
          <t>Normal</t>
        </is>
      </c>
      <c r="R44" t="inlineStr">
        <is>
          <t>Colorless</t>
        </is>
      </c>
      <c r="T44" t="inlineStr">
        <is>
          <t>Defense</t>
        </is>
      </c>
      <c r="V44" t="inlineStr">
        <is>
          <t>Default</t>
        </is>
      </c>
      <c r="X44" t="inlineStr">
        <is>
          <t>Normal</t>
        </is>
      </c>
      <c r="AB44" t="n">
        <v>40000</v>
      </c>
      <c r="AD44" t="n">
        <v>40</v>
      </c>
      <c r="AF44" t="n">
        <v>100</v>
      </c>
      <c r="AH44" t="n">
        <v>1</v>
      </c>
      <c r="AJ44" t="n">
        <v>105</v>
      </c>
      <c r="AL44" t="n">
        <v>200</v>
      </c>
      <c r="AN44">
        <f>iferror(AF44*(50/(AJ44+AL44)),"攻撃力に数値を入力")</f>
        <v/>
      </c>
      <c r="AY44" t="inlineStr">
        <is>
          <t>-</t>
        </is>
      </c>
      <c r="BA44" t="inlineStr">
        <is>
          <t>none</t>
        </is>
      </c>
      <c r="BE44" t="n">
        <v>25</v>
      </c>
      <c r="BG44" t="n">
        <v>0.22</v>
      </c>
      <c r="BI44" t="n">
        <v>0</v>
      </c>
      <c r="BK44" t="n">
        <v>0.23</v>
      </c>
      <c r="BM44" t="n">
        <v>100</v>
      </c>
      <c r="BO44" t="n">
        <v>2</v>
      </c>
      <c r="BQ44" t="n">
        <v>50</v>
      </c>
      <c r="BS44" t="n">
        <v>100</v>
      </c>
      <c r="CA44" t="inlineStr">
        <is>
          <t>ElapsedTime</t>
        </is>
      </c>
      <c r="CE44" t="n">
        <v>200</v>
      </c>
      <c r="CG44" t="n">
        <v>50</v>
      </c>
      <c r="CI44" t="n">
        <v>1</v>
      </c>
      <c r="CM44" t="inlineStr">
        <is>
          <t>None</t>
        </is>
      </c>
      <c r="CQ44" t="inlineStr">
        <is>
          <t>None</t>
        </is>
      </c>
      <c r="CW44" t="inlineStr">
        <is>
          <t>None</t>
        </is>
      </c>
      <c r="DC44" t="inlineStr">
        <is>
          <t>None</t>
        </is>
      </c>
      <c r="DK44" t="b">
        <v>0</v>
      </c>
      <c r="DM44" t="inlineStr">
        <is>
          <t>None</t>
        </is>
      </c>
      <c r="EA44">
        <f>B44</f>
        <v/>
      </c>
      <c r="EB44">
        <f>D44</f>
        <v/>
      </c>
      <c r="EC44">
        <f>F44</f>
        <v/>
      </c>
      <c r="ED44">
        <f>CA44</f>
        <v/>
      </c>
      <c r="EE44">
        <f>CE44</f>
        <v/>
      </c>
      <c r="EF44">
        <f>"SummonEnemy"</f>
        <v/>
      </c>
      <c r="EG44">
        <f>H44</f>
        <v/>
      </c>
      <c r="EI44">
        <f>CI44</f>
        <v/>
      </c>
      <c r="EJ44">
        <f>CG44</f>
        <v/>
      </c>
      <c r="EK44">
        <f>CM44</f>
        <v/>
      </c>
      <c r="EL44">
        <f>CO44</f>
        <v/>
      </c>
      <c r="EM44">
        <f>CQ44</f>
        <v/>
      </c>
      <c r="EN44">
        <f>CU44</f>
        <v/>
      </c>
      <c r="EO44">
        <f>CW44</f>
        <v/>
      </c>
      <c r="EP44">
        <f>DA44</f>
        <v/>
      </c>
      <c r="EQ44">
        <f>DC44</f>
        <v/>
      </c>
      <c r="ER44">
        <f>DG44</f>
        <v/>
      </c>
      <c r="ES44">
        <f>DI44</f>
        <v/>
      </c>
      <c r="ET44">
        <f>DK44</f>
        <v/>
      </c>
      <c r="EV44">
        <f>V44</f>
        <v/>
      </c>
      <c r="EW44">
        <f>X44</f>
        <v/>
      </c>
      <c r="EX44">
        <f>AD44</f>
        <v/>
      </c>
      <c r="EY44">
        <f>AH44</f>
        <v/>
      </c>
      <c r="EZ44">
        <f>"1"</f>
        <v/>
      </c>
      <c r="FA44">
        <f>BS44</f>
        <v/>
      </c>
      <c r="FB44" t="n">
        <v>0</v>
      </c>
      <c r="FC44">
        <f>CK44</f>
        <v/>
      </c>
      <c r="FD44">
        <f>DM44</f>
        <v/>
      </c>
    </row>
    <row r="45">
      <c r="D45" t="n">
        <v>6</v>
      </c>
      <c r="H45" t="inlineStr">
        <is>
          <t>e_jig_00401_jig1_charaget01_Normal_Green</t>
        </is>
      </c>
      <c r="L45" t="inlineStr">
        <is>
          <t>極楽蝶</t>
        </is>
      </c>
      <c r="P45" t="inlineStr">
        <is>
          <t>Normal</t>
        </is>
      </c>
      <c r="R45" t="inlineStr">
        <is>
          <t>Green</t>
        </is>
      </c>
      <c r="T45" t="inlineStr">
        <is>
          <t>Technical</t>
        </is>
      </c>
      <c r="V45" t="inlineStr">
        <is>
          <t>Default</t>
        </is>
      </c>
      <c r="X45" t="inlineStr">
        <is>
          <t>Normal</t>
        </is>
      </c>
      <c r="AB45" t="n">
        <v>10000</v>
      </c>
      <c r="AD45" t="n">
        <v>10</v>
      </c>
      <c r="AF45" t="n">
        <v>200</v>
      </c>
      <c r="AH45" t="n">
        <v>2</v>
      </c>
      <c r="AJ45" t="n">
        <v>65</v>
      </c>
      <c r="AL45" t="n">
        <v>125</v>
      </c>
      <c r="AN45">
        <f>iferror(AF45*(50/(AJ45+AL45)),"攻撃力に数値を入力")</f>
        <v/>
      </c>
      <c r="AP45" t="inlineStr">
        <is>
          <t>100%の確率で6秒間1%の毒にする</t>
        </is>
      </c>
      <c r="AY45" t="inlineStr">
        <is>
          <t>-</t>
        </is>
      </c>
      <c r="BA45" t="inlineStr">
        <is>
          <t>none</t>
        </is>
      </c>
      <c r="BE45" t="n">
        <v>33</v>
      </c>
      <c r="BG45" t="n">
        <v>0.24</v>
      </c>
      <c r="BI45" t="n">
        <v>0</v>
      </c>
      <c r="BK45" t="n">
        <v>0.25</v>
      </c>
      <c r="BM45" t="n">
        <v>1</v>
      </c>
      <c r="BO45" t="n">
        <v>2</v>
      </c>
      <c r="BQ45" t="n">
        <v>50</v>
      </c>
      <c r="BS45" t="n">
        <v>50</v>
      </c>
      <c r="CA45" t="inlineStr">
        <is>
          <t>ElapsedTime</t>
        </is>
      </c>
      <c r="CE45" t="n">
        <v>2700</v>
      </c>
      <c r="CG45" t="n">
        <v>50</v>
      </c>
      <c r="CI45" t="n">
        <v>3</v>
      </c>
      <c r="CM45" t="inlineStr">
        <is>
          <t>None</t>
        </is>
      </c>
      <c r="CQ45" t="inlineStr">
        <is>
          <t>None</t>
        </is>
      </c>
      <c r="CW45" t="inlineStr">
        <is>
          <t>None</t>
        </is>
      </c>
      <c r="DC45" t="inlineStr">
        <is>
          <t>None</t>
        </is>
      </c>
      <c r="DK45" t="b">
        <v>0</v>
      </c>
      <c r="DM45" t="inlineStr">
        <is>
          <t>None</t>
        </is>
      </c>
      <c r="EA45">
        <f>B45</f>
        <v/>
      </c>
      <c r="EB45">
        <f>D45</f>
        <v/>
      </c>
      <c r="EC45">
        <f>F45</f>
        <v/>
      </c>
      <c r="ED45">
        <f>CA45</f>
        <v/>
      </c>
      <c r="EE45">
        <f>CE45</f>
        <v/>
      </c>
      <c r="EF45">
        <f>"SummonEnemy"</f>
        <v/>
      </c>
      <c r="EG45">
        <f>H45</f>
        <v/>
      </c>
      <c r="EI45">
        <f>CI45</f>
        <v/>
      </c>
      <c r="EJ45">
        <f>CG45</f>
        <v/>
      </c>
      <c r="EK45">
        <f>CM45</f>
        <v/>
      </c>
      <c r="EL45">
        <f>CO45</f>
        <v/>
      </c>
      <c r="EM45">
        <f>CQ45</f>
        <v/>
      </c>
      <c r="EN45">
        <f>CU45</f>
        <v/>
      </c>
      <c r="EO45">
        <f>CW45</f>
        <v/>
      </c>
      <c r="EP45">
        <f>DA45</f>
        <v/>
      </c>
      <c r="EQ45">
        <f>DC45</f>
        <v/>
      </c>
      <c r="ER45">
        <f>DG45</f>
        <v/>
      </c>
      <c r="ES45">
        <f>DI45</f>
        <v/>
      </c>
      <c r="ET45">
        <f>DK45</f>
        <v/>
      </c>
      <c r="EV45">
        <f>V45</f>
        <v/>
      </c>
      <c r="EW45">
        <f>X45</f>
        <v/>
      </c>
      <c r="EX45">
        <f>AD45</f>
        <v/>
      </c>
      <c r="EY45">
        <f>AH45</f>
        <v/>
      </c>
      <c r="EZ45">
        <f>"1"</f>
        <v/>
      </c>
      <c r="FA45">
        <f>BS45</f>
        <v/>
      </c>
      <c r="FB45" t="n">
        <v>0</v>
      </c>
      <c r="FC45">
        <f>CK45</f>
        <v/>
      </c>
      <c r="FD45">
        <f>DM45</f>
        <v/>
      </c>
    </row>
    <row r="46">
      <c r="D46" t="n">
        <v>7</v>
      </c>
      <c r="H46" t="inlineStr">
        <is>
          <t>e_jig_00402_jig1_charaget01_Normal_Colorless</t>
        </is>
      </c>
      <c r="L46" t="inlineStr">
        <is>
          <t>極楽蝶</t>
        </is>
      </c>
      <c r="P46" t="inlineStr">
        <is>
          <t>Normal</t>
        </is>
      </c>
      <c r="R46" t="inlineStr">
        <is>
          <t>Colorless</t>
        </is>
      </c>
      <c r="T46" t="inlineStr">
        <is>
          <t>Defense</t>
        </is>
      </c>
      <c r="V46" t="inlineStr">
        <is>
          <t>Default</t>
        </is>
      </c>
      <c r="X46" t="inlineStr">
        <is>
          <t>Normal</t>
        </is>
      </c>
      <c r="AB46" t="n">
        <v>40000</v>
      </c>
      <c r="AD46" t="n">
        <v>40</v>
      </c>
      <c r="AF46" t="n">
        <v>100</v>
      </c>
      <c r="AH46" t="n">
        <v>1</v>
      </c>
      <c r="AJ46" t="n">
        <v>105</v>
      </c>
      <c r="AL46" t="n">
        <v>200</v>
      </c>
      <c r="AN46">
        <f>iferror(AF46*(50/(AJ46+AL46)),"攻撃力に数値を入力")</f>
        <v/>
      </c>
      <c r="AY46" t="inlineStr">
        <is>
          <t>-</t>
        </is>
      </c>
      <c r="BA46" t="inlineStr">
        <is>
          <t>none</t>
        </is>
      </c>
      <c r="BE46" t="n">
        <v>25</v>
      </c>
      <c r="BG46" t="n">
        <v>0.22</v>
      </c>
      <c r="BI46" t="n">
        <v>0</v>
      </c>
      <c r="BK46" t="n">
        <v>0.23</v>
      </c>
      <c r="BM46" t="n">
        <v>100</v>
      </c>
      <c r="BO46" t="n">
        <v>2</v>
      </c>
      <c r="BQ46" t="n">
        <v>50</v>
      </c>
      <c r="BS46" t="n">
        <v>50</v>
      </c>
      <c r="CA46" t="inlineStr">
        <is>
          <t>ElapsedTime</t>
        </is>
      </c>
      <c r="CE46" t="n">
        <v>3500</v>
      </c>
      <c r="CG46" t="n">
        <v>50</v>
      </c>
      <c r="CI46" t="n">
        <v>3</v>
      </c>
      <c r="CM46" t="inlineStr">
        <is>
          <t>None</t>
        </is>
      </c>
      <c r="CQ46" t="inlineStr">
        <is>
          <t>None</t>
        </is>
      </c>
      <c r="CW46" t="inlineStr">
        <is>
          <t>None</t>
        </is>
      </c>
      <c r="DC46" t="inlineStr">
        <is>
          <t>None</t>
        </is>
      </c>
      <c r="DK46" t="b">
        <v>0</v>
      </c>
      <c r="DM46" t="inlineStr">
        <is>
          <t>None</t>
        </is>
      </c>
      <c r="EA46">
        <f>B46</f>
        <v/>
      </c>
      <c r="EB46">
        <f>D46</f>
        <v/>
      </c>
      <c r="EC46">
        <f>F46</f>
        <v/>
      </c>
      <c r="ED46">
        <f>CA46</f>
        <v/>
      </c>
      <c r="EE46">
        <f>CE46</f>
        <v/>
      </c>
      <c r="EF46">
        <f>"SummonEnemy"</f>
        <v/>
      </c>
      <c r="EG46">
        <f>H46</f>
        <v/>
      </c>
      <c r="EI46">
        <f>CI46</f>
        <v/>
      </c>
      <c r="EJ46">
        <f>CG46</f>
        <v/>
      </c>
      <c r="EK46">
        <f>CM46</f>
        <v/>
      </c>
      <c r="EL46">
        <f>CO46</f>
        <v/>
      </c>
      <c r="EM46">
        <f>CQ46</f>
        <v/>
      </c>
      <c r="EN46">
        <f>CU46</f>
        <v/>
      </c>
      <c r="EO46">
        <f>CW46</f>
        <v/>
      </c>
      <c r="EP46">
        <f>DA46</f>
        <v/>
      </c>
      <c r="EQ46">
        <f>DC46</f>
        <v/>
      </c>
      <c r="ER46">
        <f>DG46</f>
        <v/>
      </c>
      <c r="ES46">
        <f>DI46</f>
        <v/>
      </c>
      <c r="ET46">
        <f>DK46</f>
        <v/>
      </c>
      <c r="EV46">
        <f>V46</f>
        <v/>
      </c>
      <c r="EW46">
        <f>X46</f>
        <v/>
      </c>
      <c r="EX46">
        <f>AD46</f>
        <v/>
      </c>
      <c r="EY46">
        <f>AH46</f>
        <v/>
      </c>
      <c r="EZ46">
        <f>"1"</f>
        <v/>
      </c>
      <c r="FA46">
        <f>BS46</f>
        <v/>
      </c>
      <c r="FB46" t="n">
        <v>0</v>
      </c>
      <c r="FC46">
        <f>CK46</f>
        <v/>
      </c>
      <c r="FD46">
        <f>DM46</f>
        <v/>
      </c>
    </row>
    <row r="47">
      <c r="D47" t="n">
        <v>8</v>
      </c>
      <c r="H47" t="inlineStr">
        <is>
          <t>e_jig_00401_jig1_charaget01_Normal_Green</t>
        </is>
      </c>
      <c r="L47" t="inlineStr">
        <is>
          <t>極楽蝶</t>
        </is>
      </c>
      <c r="P47" t="inlineStr">
        <is>
          <t>Normal</t>
        </is>
      </c>
      <c r="R47" t="inlineStr">
        <is>
          <t>Green</t>
        </is>
      </c>
      <c r="T47" t="inlineStr">
        <is>
          <t>Technical</t>
        </is>
      </c>
      <c r="V47" t="inlineStr">
        <is>
          <t>Default</t>
        </is>
      </c>
      <c r="X47" t="inlineStr">
        <is>
          <t>Normal</t>
        </is>
      </c>
      <c r="AB47" t="n">
        <v>10000</v>
      </c>
      <c r="AD47" t="n">
        <v>10</v>
      </c>
      <c r="AF47" t="n">
        <v>200</v>
      </c>
      <c r="AH47" t="n">
        <v>2</v>
      </c>
      <c r="AJ47" t="n">
        <v>65</v>
      </c>
      <c r="AL47" t="n">
        <v>125</v>
      </c>
      <c r="AN47">
        <f>iferror(AF47*(50/(AJ47+AL47)),"攻撃力に数値を入力")</f>
        <v/>
      </c>
      <c r="AP47" t="inlineStr">
        <is>
          <t>100%の確率で6秒間1%の毒にする</t>
        </is>
      </c>
      <c r="AY47" t="inlineStr">
        <is>
          <t>-</t>
        </is>
      </c>
      <c r="BA47" t="inlineStr">
        <is>
          <t>none</t>
        </is>
      </c>
      <c r="BE47" t="n">
        <v>33</v>
      </c>
      <c r="BG47" t="n">
        <v>0.24</v>
      </c>
      <c r="BI47" t="n">
        <v>0</v>
      </c>
      <c r="BK47" t="n">
        <v>0.25</v>
      </c>
      <c r="BM47" t="n">
        <v>1</v>
      </c>
      <c r="BO47" t="n">
        <v>2</v>
      </c>
      <c r="BQ47" t="n">
        <v>50</v>
      </c>
      <c r="BS47" t="n">
        <v>50</v>
      </c>
      <c r="CA47" t="inlineStr">
        <is>
          <t>ElapsedTime</t>
        </is>
      </c>
      <c r="CE47" t="n">
        <v>4500</v>
      </c>
      <c r="CG47" t="n">
        <v>500</v>
      </c>
      <c r="CI47" t="n">
        <v>10</v>
      </c>
      <c r="CM47" t="inlineStr">
        <is>
          <t>None</t>
        </is>
      </c>
      <c r="CQ47" t="inlineStr">
        <is>
          <t>None</t>
        </is>
      </c>
      <c r="CW47" t="inlineStr">
        <is>
          <t>None</t>
        </is>
      </c>
      <c r="DC47" t="inlineStr">
        <is>
          <t>None</t>
        </is>
      </c>
      <c r="DK47" t="b">
        <v>0</v>
      </c>
      <c r="DM47" t="inlineStr">
        <is>
          <t>None</t>
        </is>
      </c>
      <c r="EA47">
        <f>B47</f>
        <v/>
      </c>
      <c r="EB47">
        <f>D47</f>
        <v/>
      </c>
      <c r="EC47">
        <f>F47</f>
        <v/>
      </c>
      <c r="ED47">
        <f>CA47</f>
        <v/>
      </c>
      <c r="EE47">
        <f>CE47</f>
        <v/>
      </c>
      <c r="EF47">
        <f>"SummonEnemy"</f>
        <v/>
      </c>
      <c r="EG47">
        <f>H47</f>
        <v/>
      </c>
      <c r="EI47">
        <f>CI47</f>
        <v/>
      </c>
      <c r="EJ47">
        <f>CG47</f>
        <v/>
      </c>
      <c r="EK47">
        <f>CM47</f>
        <v/>
      </c>
      <c r="EL47">
        <f>CO47</f>
        <v/>
      </c>
      <c r="EM47">
        <f>CQ47</f>
        <v/>
      </c>
      <c r="EN47">
        <f>CU47</f>
        <v/>
      </c>
      <c r="EO47">
        <f>CW47</f>
        <v/>
      </c>
      <c r="EP47">
        <f>DA47</f>
        <v/>
      </c>
      <c r="EQ47">
        <f>DC47</f>
        <v/>
      </c>
      <c r="ER47">
        <f>DG47</f>
        <v/>
      </c>
      <c r="ES47">
        <f>DI47</f>
        <v/>
      </c>
      <c r="ET47">
        <f>DK47</f>
        <v/>
      </c>
      <c r="EV47">
        <f>V47</f>
        <v/>
      </c>
      <c r="EW47">
        <f>X47</f>
        <v/>
      </c>
      <c r="EX47">
        <f>AD47</f>
        <v/>
      </c>
      <c r="EY47">
        <f>AH47</f>
        <v/>
      </c>
      <c r="EZ47">
        <f>"1"</f>
        <v/>
      </c>
      <c r="FA47">
        <f>BS47</f>
        <v/>
      </c>
      <c r="FB47" t="n">
        <v>0</v>
      </c>
      <c r="FC47">
        <f>CK47</f>
        <v/>
      </c>
      <c r="FD47">
        <f>DM47</f>
        <v/>
      </c>
    </row>
    <row r="48">
      <c r="L48" t="inlineStr">
        <is>
          <t>none</t>
        </is>
      </c>
      <c r="P48" t="inlineStr">
        <is>
          <t>none</t>
        </is>
      </c>
      <c r="R48" t="inlineStr">
        <is>
          <t>none</t>
        </is>
      </c>
      <c r="T48" t="inlineStr">
        <is>
          <t>none</t>
        </is>
      </c>
      <c r="V48" t="inlineStr">
        <is>
          <t>Default</t>
        </is>
      </c>
      <c r="X48" t="inlineStr">
        <is>
          <t>Normal</t>
        </is>
      </c>
      <c r="AB48" t="inlineStr">
        <is>
          <t>none</t>
        </is>
      </c>
      <c r="AD48" t="n">
        <v>1</v>
      </c>
      <c r="AF48" t="inlineStr">
        <is>
          <t>none</t>
        </is>
      </c>
      <c r="AH48" t="n">
        <v>1</v>
      </c>
      <c r="AJ48" t="inlineStr">
        <is>
          <t>none</t>
        </is>
      </c>
      <c r="AL48" t="inlineStr">
        <is>
          <t>none</t>
        </is>
      </c>
      <c r="AN48">
        <f>iferror(AF48*(50/(AJ48+AL48)),"攻撃力に数値を入力")</f>
        <v/>
      </c>
      <c r="AP48" t="inlineStr">
        <is>
          <t>none</t>
        </is>
      </c>
      <c r="AT48" t="inlineStr">
        <is>
          <t>none</t>
        </is>
      </c>
      <c r="AY48" t="inlineStr">
        <is>
          <t>none</t>
        </is>
      </c>
      <c r="BA48" t="inlineStr">
        <is>
          <t>none</t>
        </is>
      </c>
      <c r="BC48" t="inlineStr">
        <is>
          <t>none</t>
        </is>
      </c>
      <c r="BE48" t="inlineStr">
        <is>
          <t>none</t>
        </is>
      </c>
      <c r="BG48" t="inlineStr">
        <is>
          <t>none</t>
        </is>
      </c>
      <c r="BI48" t="inlineStr">
        <is>
          <t>none</t>
        </is>
      </c>
      <c r="BK48" t="inlineStr">
        <is>
          <t>none</t>
        </is>
      </c>
      <c r="BM48" t="inlineStr">
        <is>
          <t>none</t>
        </is>
      </c>
      <c r="BO48" t="inlineStr">
        <is>
          <t>none</t>
        </is>
      </c>
      <c r="BQ48" t="inlineStr">
        <is>
          <t>none</t>
        </is>
      </c>
      <c r="CA48" t="inlineStr">
        <is>
          <t>未入力</t>
        </is>
      </c>
      <c r="CM48" t="inlineStr">
        <is>
          <t>None</t>
        </is>
      </c>
      <c r="CQ48" t="inlineStr">
        <is>
          <t>None</t>
        </is>
      </c>
      <c r="CW48" t="inlineStr">
        <is>
          <t>None</t>
        </is>
      </c>
      <c r="DC48" t="inlineStr">
        <is>
          <t>None</t>
        </is>
      </c>
      <c r="DK48" t="b">
        <v>0</v>
      </c>
      <c r="DM48" t="inlineStr">
        <is>
          <t>None</t>
        </is>
      </c>
      <c r="EA48">
        <f>B48</f>
        <v/>
      </c>
      <c r="EB48">
        <f>D48</f>
        <v/>
      </c>
      <c r="EC48">
        <f>F48</f>
        <v/>
      </c>
      <c r="ED48">
        <f>CA48</f>
        <v/>
      </c>
      <c r="EE48">
        <f>CE48</f>
        <v/>
      </c>
      <c r="EF48">
        <f>"SummonEnemy"</f>
        <v/>
      </c>
      <c r="EG48">
        <f>H48</f>
        <v/>
      </c>
      <c r="EI48">
        <f>CI48</f>
        <v/>
      </c>
      <c r="EJ48">
        <f>CG48</f>
        <v/>
      </c>
      <c r="EK48">
        <f>CM48</f>
        <v/>
      </c>
      <c r="EL48">
        <f>CO48</f>
        <v/>
      </c>
      <c r="EM48">
        <f>CQ48</f>
        <v/>
      </c>
      <c r="EN48">
        <f>CU48</f>
        <v/>
      </c>
      <c r="EO48">
        <f>CW48</f>
        <v/>
      </c>
      <c r="EP48">
        <f>DA48</f>
        <v/>
      </c>
      <c r="EQ48">
        <f>DC48</f>
        <v/>
      </c>
      <c r="ER48">
        <f>DG48</f>
        <v/>
      </c>
      <c r="ES48">
        <f>DI48</f>
        <v/>
      </c>
      <c r="ET48">
        <f>DK48</f>
        <v/>
      </c>
      <c r="EV48">
        <f>V48</f>
        <v/>
      </c>
      <c r="EW48">
        <f>X48</f>
        <v/>
      </c>
      <c r="EX48">
        <f>AD48</f>
        <v/>
      </c>
      <c r="EY48">
        <f>AH48</f>
        <v/>
      </c>
      <c r="EZ48">
        <f>"1"</f>
        <v/>
      </c>
      <c r="FA48">
        <f>BS48</f>
        <v/>
      </c>
      <c r="FB48" t="n">
        <v>0</v>
      </c>
      <c r="FC48">
        <f>CK48</f>
        <v/>
      </c>
      <c r="FD48">
        <f>DM48</f>
        <v/>
      </c>
    </row>
    <row r="49">
      <c r="L49" t="inlineStr">
        <is>
          <t>none</t>
        </is>
      </c>
      <c r="P49" t="inlineStr">
        <is>
          <t>none</t>
        </is>
      </c>
      <c r="R49" t="inlineStr">
        <is>
          <t>none</t>
        </is>
      </c>
      <c r="T49" t="inlineStr">
        <is>
          <t>none</t>
        </is>
      </c>
      <c r="V49" t="inlineStr">
        <is>
          <t>Default</t>
        </is>
      </c>
      <c r="X49" t="inlineStr">
        <is>
          <t>Normal</t>
        </is>
      </c>
      <c r="AB49" t="inlineStr">
        <is>
          <t>none</t>
        </is>
      </c>
      <c r="AD49" t="n">
        <v>1</v>
      </c>
      <c r="AF49" t="inlineStr">
        <is>
          <t>none</t>
        </is>
      </c>
      <c r="AH49" t="n">
        <v>1</v>
      </c>
      <c r="AJ49" t="inlineStr">
        <is>
          <t>none</t>
        </is>
      </c>
      <c r="AL49" t="inlineStr">
        <is>
          <t>none</t>
        </is>
      </c>
      <c r="AN49">
        <f>iferror(AF49*(50/(AJ49+AL49)),"攻撃力に数値を入力")</f>
        <v/>
      </c>
      <c r="AP49" t="inlineStr">
        <is>
          <t>none</t>
        </is>
      </c>
      <c r="AT49" t="inlineStr">
        <is>
          <t>none</t>
        </is>
      </c>
      <c r="AY49" t="inlineStr">
        <is>
          <t>none</t>
        </is>
      </c>
      <c r="BA49" t="inlineStr">
        <is>
          <t>none</t>
        </is>
      </c>
      <c r="BC49" t="inlineStr">
        <is>
          <t>none</t>
        </is>
      </c>
      <c r="BE49" t="inlineStr">
        <is>
          <t>none</t>
        </is>
      </c>
      <c r="BG49" t="inlineStr">
        <is>
          <t>none</t>
        </is>
      </c>
      <c r="BI49" t="inlineStr">
        <is>
          <t>none</t>
        </is>
      </c>
      <c r="BK49" t="inlineStr">
        <is>
          <t>none</t>
        </is>
      </c>
      <c r="BM49" t="inlineStr">
        <is>
          <t>none</t>
        </is>
      </c>
      <c r="BO49" t="inlineStr">
        <is>
          <t>none</t>
        </is>
      </c>
      <c r="BQ49" t="inlineStr">
        <is>
          <t>none</t>
        </is>
      </c>
      <c r="CA49" t="inlineStr">
        <is>
          <t>未入力</t>
        </is>
      </c>
      <c r="CM49" t="inlineStr">
        <is>
          <t>None</t>
        </is>
      </c>
      <c r="CQ49" t="inlineStr">
        <is>
          <t>None</t>
        </is>
      </c>
      <c r="CW49" t="inlineStr">
        <is>
          <t>None</t>
        </is>
      </c>
      <c r="DC49" t="inlineStr">
        <is>
          <t>None</t>
        </is>
      </c>
      <c r="DK49" t="b">
        <v>0</v>
      </c>
      <c r="DM49" t="inlineStr">
        <is>
          <t>None</t>
        </is>
      </c>
      <c r="EA49">
        <f>B49</f>
        <v/>
      </c>
      <c r="EB49">
        <f>D49</f>
        <v/>
      </c>
      <c r="EC49">
        <f>F49</f>
        <v/>
      </c>
      <c r="ED49">
        <f>CA49</f>
        <v/>
      </c>
      <c r="EE49">
        <f>CE49</f>
        <v/>
      </c>
      <c r="EF49">
        <f>"SummonEnemy"</f>
        <v/>
      </c>
      <c r="EG49">
        <f>H49</f>
        <v/>
      </c>
      <c r="EI49">
        <f>CI49</f>
        <v/>
      </c>
      <c r="EJ49">
        <f>CG49</f>
        <v/>
      </c>
      <c r="EK49">
        <f>CM49</f>
        <v/>
      </c>
      <c r="EL49">
        <f>CO49</f>
        <v/>
      </c>
      <c r="EM49">
        <f>CQ49</f>
        <v/>
      </c>
      <c r="EN49">
        <f>CU49</f>
        <v/>
      </c>
      <c r="EO49">
        <f>CW49</f>
        <v/>
      </c>
      <c r="EP49">
        <f>DA49</f>
        <v/>
      </c>
      <c r="EQ49">
        <f>DC49</f>
        <v/>
      </c>
      <c r="ER49">
        <f>DG49</f>
        <v/>
      </c>
      <c r="ES49">
        <f>DI49</f>
        <v/>
      </c>
      <c r="ET49">
        <f>DK49</f>
        <v/>
      </c>
      <c r="EV49">
        <f>V49</f>
        <v/>
      </c>
      <c r="EW49">
        <f>X49</f>
        <v/>
      </c>
      <c r="EX49">
        <f>AD49</f>
        <v/>
      </c>
      <c r="EY49">
        <f>AH49</f>
        <v/>
      </c>
      <c r="EZ49">
        <f>"1"</f>
        <v/>
      </c>
      <c r="FA49">
        <f>BS49</f>
        <v/>
      </c>
      <c r="FB49" t="n">
        <v>0</v>
      </c>
      <c r="FC49">
        <f>CK49</f>
        <v/>
      </c>
      <c r="FD49">
        <f>DM49</f>
        <v/>
      </c>
    </row>
    <row r="50">
      <c r="L50" t="inlineStr">
        <is>
          <t>none</t>
        </is>
      </c>
      <c r="P50" t="inlineStr">
        <is>
          <t>none</t>
        </is>
      </c>
      <c r="R50" t="inlineStr">
        <is>
          <t>none</t>
        </is>
      </c>
      <c r="T50" t="inlineStr">
        <is>
          <t>none</t>
        </is>
      </c>
      <c r="V50" t="inlineStr">
        <is>
          <t>Default</t>
        </is>
      </c>
      <c r="X50" t="inlineStr">
        <is>
          <t>Normal</t>
        </is>
      </c>
      <c r="AB50" t="inlineStr">
        <is>
          <t>none</t>
        </is>
      </c>
      <c r="AD50" t="n">
        <v>1</v>
      </c>
      <c r="AF50" t="inlineStr">
        <is>
          <t>none</t>
        </is>
      </c>
      <c r="AH50" t="n">
        <v>1</v>
      </c>
      <c r="AJ50" t="inlineStr">
        <is>
          <t>none</t>
        </is>
      </c>
      <c r="AL50" t="inlineStr">
        <is>
          <t>none</t>
        </is>
      </c>
      <c r="AN50">
        <f>iferror(AF50*(50/(AJ50+AL50)),"攻撃力に数値を入力")</f>
        <v/>
      </c>
      <c r="AP50" t="inlineStr">
        <is>
          <t>none</t>
        </is>
      </c>
      <c r="AT50" t="inlineStr">
        <is>
          <t>none</t>
        </is>
      </c>
      <c r="AY50" t="inlineStr">
        <is>
          <t>none</t>
        </is>
      </c>
      <c r="BA50" t="inlineStr">
        <is>
          <t>none</t>
        </is>
      </c>
      <c r="BC50" t="inlineStr">
        <is>
          <t>none</t>
        </is>
      </c>
      <c r="BE50" t="inlineStr">
        <is>
          <t>none</t>
        </is>
      </c>
      <c r="BG50" t="inlineStr">
        <is>
          <t>none</t>
        </is>
      </c>
      <c r="BI50" t="inlineStr">
        <is>
          <t>none</t>
        </is>
      </c>
      <c r="BK50" t="inlineStr">
        <is>
          <t>none</t>
        </is>
      </c>
      <c r="BM50" t="inlineStr">
        <is>
          <t>none</t>
        </is>
      </c>
      <c r="BO50" t="inlineStr">
        <is>
          <t>none</t>
        </is>
      </c>
      <c r="BQ50" t="inlineStr">
        <is>
          <t>none</t>
        </is>
      </c>
      <c r="CA50" t="inlineStr">
        <is>
          <t>未入力</t>
        </is>
      </c>
      <c r="CM50" t="inlineStr">
        <is>
          <t>None</t>
        </is>
      </c>
      <c r="CQ50" t="inlineStr">
        <is>
          <t>None</t>
        </is>
      </c>
      <c r="CW50" t="inlineStr">
        <is>
          <t>None</t>
        </is>
      </c>
      <c r="DC50" t="inlineStr">
        <is>
          <t>None</t>
        </is>
      </c>
      <c r="DK50" t="b">
        <v>0</v>
      </c>
      <c r="DM50" t="inlineStr">
        <is>
          <t>None</t>
        </is>
      </c>
      <c r="EA50">
        <f>B50</f>
        <v/>
      </c>
      <c r="EB50">
        <f>D50</f>
        <v/>
      </c>
      <c r="EC50">
        <f>F50</f>
        <v/>
      </c>
      <c r="ED50">
        <f>CA50</f>
        <v/>
      </c>
      <c r="EE50">
        <f>CE50</f>
        <v/>
      </c>
      <c r="EF50">
        <f>"SummonEnemy"</f>
        <v/>
      </c>
      <c r="EG50">
        <f>H50</f>
        <v/>
      </c>
      <c r="EI50">
        <f>CI50</f>
        <v/>
      </c>
      <c r="EJ50">
        <f>CG50</f>
        <v/>
      </c>
      <c r="EK50">
        <f>CM50</f>
        <v/>
      </c>
      <c r="EL50">
        <f>CO50</f>
        <v/>
      </c>
      <c r="EM50">
        <f>CQ50</f>
        <v/>
      </c>
      <c r="EN50">
        <f>CU50</f>
        <v/>
      </c>
      <c r="EO50">
        <f>CW50</f>
        <v/>
      </c>
      <c r="EP50">
        <f>DA50</f>
        <v/>
      </c>
      <c r="EQ50">
        <f>DC50</f>
        <v/>
      </c>
      <c r="ER50">
        <f>DG50</f>
        <v/>
      </c>
      <c r="ES50">
        <f>DI50</f>
        <v/>
      </c>
      <c r="ET50">
        <f>DK50</f>
        <v/>
      </c>
      <c r="EV50">
        <f>V50</f>
        <v/>
      </c>
      <c r="EW50">
        <f>X50</f>
        <v/>
      </c>
      <c r="EX50">
        <f>AD50</f>
        <v/>
      </c>
      <c r="EY50">
        <f>AH50</f>
        <v/>
      </c>
      <c r="EZ50">
        <f>"1"</f>
        <v/>
      </c>
      <c r="FA50">
        <f>BS50</f>
        <v/>
      </c>
      <c r="FB50" t="n">
        <v>0</v>
      </c>
      <c r="FC50">
        <f>CK50</f>
        <v/>
      </c>
      <c r="FD50">
        <f>DM50</f>
        <v/>
      </c>
    </row>
    <row r="51">
      <c r="L51" t="inlineStr">
        <is>
          <t>none</t>
        </is>
      </c>
      <c r="P51" t="inlineStr">
        <is>
          <t>none</t>
        </is>
      </c>
      <c r="R51" t="inlineStr">
        <is>
          <t>none</t>
        </is>
      </c>
      <c r="T51" t="inlineStr">
        <is>
          <t>none</t>
        </is>
      </c>
      <c r="V51" t="inlineStr">
        <is>
          <t>Default</t>
        </is>
      </c>
      <c r="X51" t="inlineStr">
        <is>
          <t>Normal</t>
        </is>
      </c>
      <c r="AB51" t="inlineStr">
        <is>
          <t>none</t>
        </is>
      </c>
      <c r="AD51" t="n">
        <v>1</v>
      </c>
      <c r="AF51" t="inlineStr">
        <is>
          <t>none</t>
        </is>
      </c>
      <c r="AH51" t="n">
        <v>1</v>
      </c>
      <c r="AJ51" t="inlineStr">
        <is>
          <t>none</t>
        </is>
      </c>
      <c r="AL51" t="inlineStr">
        <is>
          <t>none</t>
        </is>
      </c>
      <c r="AN51">
        <f>iferror(AF51*(50/(AJ51+AL51)),"攻撃力に数値を入力")</f>
        <v/>
      </c>
      <c r="AP51" t="inlineStr">
        <is>
          <t>none</t>
        </is>
      </c>
      <c r="AT51" t="inlineStr">
        <is>
          <t>none</t>
        </is>
      </c>
      <c r="AY51" t="inlineStr">
        <is>
          <t>none</t>
        </is>
      </c>
      <c r="BA51" t="inlineStr">
        <is>
          <t>none</t>
        </is>
      </c>
      <c r="BC51" t="inlineStr">
        <is>
          <t>none</t>
        </is>
      </c>
      <c r="BE51" t="inlineStr">
        <is>
          <t>none</t>
        </is>
      </c>
      <c r="BG51" t="inlineStr">
        <is>
          <t>none</t>
        </is>
      </c>
      <c r="BI51" t="inlineStr">
        <is>
          <t>none</t>
        </is>
      </c>
      <c r="BK51" t="inlineStr">
        <is>
          <t>none</t>
        </is>
      </c>
      <c r="BM51" t="inlineStr">
        <is>
          <t>none</t>
        </is>
      </c>
      <c r="BO51" t="inlineStr">
        <is>
          <t>none</t>
        </is>
      </c>
      <c r="BQ51" t="inlineStr">
        <is>
          <t>none</t>
        </is>
      </c>
      <c r="CA51" t="inlineStr">
        <is>
          <t>未入力</t>
        </is>
      </c>
      <c r="CM51" t="inlineStr">
        <is>
          <t>None</t>
        </is>
      </c>
      <c r="CQ51" t="inlineStr">
        <is>
          <t>None</t>
        </is>
      </c>
      <c r="CW51" t="inlineStr">
        <is>
          <t>None</t>
        </is>
      </c>
      <c r="DC51" t="inlineStr">
        <is>
          <t>None</t>
        </is>
      </c>
      <c r="DK51" t="b">
        <v>0</v>
      </c>
      <c r="DM51" t="inlineStr">
        <is>
          <t>None</t>
        </is>
      </c>
      <c r="EA51">
        <f>B51</f>
        <v/>
      </c>
      <c r="EB51">
        <f>D51</f>
        <v/>
      </c>
      <c r="EC51">
        <f>F51</f>
        <v/>
      </c>
      <c r="ED51">
        <f>CA51</f>
        <v/>
      </c>
      <c r="EE51">
        <f>CE51</f>
        <v/>
      </c>
      <c r="EF51">
        <f>"SummonEnemy"</f>
        <v/>
      </c>
      <c r="EG51">
        <f>H51</f>
        <v/>
      </c>
      <c r="EI51">
        <f>CI51</f>
        <v/>
      </c>
      <c r="EJ51">
        <f>CG51</f>
        <v/>
      </c>
      <c r="EK51">
        <f>CM51</f>
        <v/>
      </c>
      <c r="EL51">
        <f>CO51</f>
        <v/>
      </c>
      <c r="EM51">
        <f>CQ51</f>
        <v/>
      </c>
      <c r="EN51">
        <f>CU51</f>
        <v/>
      </c>
      <c r="EO51">
        <f>CW51</f>
        <v/>
      </c>
      <c r="EP51">
        <f>DA51</f>
        <v/>
      </c>
      <c r="EQ51">
        <f>DC51</f>
        <v/>
      </c>
      <c r="ER51">
        <f>DG51</f>
        <v/>
      </c>
      <c r="ES51">
        <f>DI51</f>
        <v/>
      </c>
      <c r="ET51">
        <f>DK51</f>
        <v/>
      </c>
      <c r="EV51">
        <f>V51</f>
        <v/>
      </c>
      <c r="EW51">
        <f>X51</f>
        <v/>
      </c>
      <c r="EX51">
        <f>AD51</f>
        <v/>
      </c>
      <c r="EY51">
        <f>AH51</f>
        <v/>
      </c>
      <c r="EZ51">
        <f>"1"</f>
        <v/>
      </c>
      <c r="FA51">
        <f>BS51</f>
        <v/>
      </c>
      <c r="FB51" t="n">
        <v>0</v>
      </c>
      <c r="FC51">
        <f>CK51</f>
        <v/>
      </c>
      <c r="FD51">
        <f>DM51</f>
        <v/>
      </c>
    </row>
    <row r="52">
      <c r="L52" t="inlineStr">
        <is>
          <t>none</t>
        </is>
      </c>
      <c r="P52" t="inlineStr">
        <is>
          <t>none</t>
        </is>
      </c>
      <c r="R52" t="inlineStr">
        <is>
          <t>none</t>
        </is>
      </c>
      <c r="T52" t="inlineStr">
        <is>
          <t>none</t>
        </is>
      </c>
      <c r="V52" t="inlineStr">
        <is>
          <t>Default</t>
        </is>
      </c>
      <c r="X52" t="inlineStr">
        <is>
          <t>Normal</t>
        </is>
      </c>
      <c r="AB52" t="inlineStr">
        <is>
          <t>none</t>
        </is>
      </c>
      <c r="AD52" t="n">
        <v>1</v>
      </c>
      <c r="AF52" t="inlineStr">
        <is>
          <t>none</t>
        </is>
      </c>
      <c r="AH52" t="n">
        <v>1</v>
      </c>
      <c r="AJ52" t="inlineStr">
        <is>
          <t>none</t>
        </is>
      </c>
      <c r="AL52" t="inlineStr">
        <is>
          <t>none</t>
        </is>
      </c>
      <c r="AN52">
        <f>iferror(AF52*(50/(AJ52+AL52)),"攻撃力に数値を入力")</f>
        <v/>
      </c>
      <c r="AP52" t="inlineStr">
        <is>
          <t>none</t>
        </is>
      </c>
      <c r="AT52" t="inlineStr">
        <is>
          <t>none</t>
        </is>
      </c>
      <c r="AY52" t="inlineStr">
        <is>
          <t>none</t>
        </is>
      </c>
      <c r="BA52" t="inlineStr">
        <is>
          <t>none</t>
        </is>
      </c>
      <c r="BC52" t="inlineStr">
        <is>
          <t>none</t>
        </is>
      </c>
      <c r="BE52" t="inlineStr">
        <is>
          <t>none</t>
        </is>
      </c>
      <c r="BG52" t="inlineStr">
        <is>
          <t>none</t>
        </is>
      </c>
      <c r="BI52" t="inlineStr">
        <is>
          <t>none</t>
        </is>
      </c>
      <c r="BK52" t="inlineStr">
        <is>
          <t>none</t>
        </is>
      </c>
      <c r="BM52" t="inlineStr">
        <is>
          <t>none</t>
        </is>
      </c>
      <c r="BO52" t="inlineStr">
        <is>
          <t>none</t>
        </is>
      </c>
      <c r="BQ52" t="inlineStr">
        <is>
          <t>none</t>
        </is>
      </c>
      <c r="CA52" t="inlineStr">
        <is>
          <t>未入力</t>
        </is>
      </c>
      <c r="CM52" t="inlineStr">
        <is>
          <t>None</t>
        </is>
      </c>
      <c r="CQ52" t="inlineStr">
        <is>
          <t>None</t>
        </is>
      </c>
      <c r="CW52" t="inlineStr">
        <is>
          <t>None</t>
        </is>
      </c>
      <c r="DC52" t="inlineStr">
        <is>
          <t>None</t>
        </is>
      </c>
      <c r="DK52" t="b">
        <v>0</v>
      </c>
      <c r="DM52" t="inlineStr">
        <is>
          <t>None</t>
        </is>
      </c>
      <c r="EA52">
        <f>B52</f>
        <v/>
      </c>
      <c r="EB52">
        <f>D52</f>
        <v/>
      </c>
      <c r="EC52">
        <f>F52</f>
        <v/>
      </c>
      <c r="ED52">
        <f>CA52</f>
        <v/>
      </c>
      <c r="EE52">
        <f>CE52</f>
        <v/>
      </c>
      <c r="EF52">
        <f>"SummonEnemy"</f>
        <v/>
      </c>
      <c r="EG52">
        <f>H52</f>
        <v/>
      </c>
      <c r="EI52">
        <f>CI52</f>
        <v/>
      </c>
      <c r="EJ52">
        <f>CG52</f>
        <v/>
      </c>
      <c r="EK52">
        <f>CM52</f>
        <v/>
      </c>
      <c r="EL52">
        <f>CO52</f>
        <v/>
      </c>
      <c r="EM52">
        <f>CQ52</f>
        <v/>
      </c>
      <c r="EN52">
        <f>CU52</f>
        <v/>
      </c>
      <c r="EO52">
        <f>CW52</f>
        <v/>
      </c>
      <c r="EP52">
        <f>DA52</f>
        <v/>
      </c>
      <c r="EQ52">
        <f>DC52</f>
        <v/>
      </c>
      <c r="ER52">
        <f>DG52</f>
        <v/>
      </c>
      <c r="ES52">
        <f>DI52</f>
        <v/>
      </c>
      <c r="ET52">
        <f>DK52</f>
        <v/>
      </c>
      <c r="EV52">
        <f>V52</f>
        <v/>
      </c>
      <c r="EW52">
        <f>X52</f>
        <v/>
      </c>
      <c r="EX52">
        <f>AD52</f>
        <v/>
      </c>
      <c r="EY52">
        <f>AH52</f>
        <v/>
      </c>
      <c r="EZ52">
        <f>"1"</f>
        <v/>
      </c>
      <c r="FA52">
        <f>BS52</f>
        <v/>
      </c>
      <c r="FB52" t="n">
        <v>0</v>
      </c>
      <c r="FC52">
        <f>CK52</f>
        <v/>
      </c>
      <c r="FD52">
        <f>DM52</f>
        <v/>
      </c>
    </row>
    <row r="53">
      <c r="L53" t="inlineStr">
        <is>
          <t>none</t>
        </is>
      </c>
      <c r="P53" t="inlineStr">
        <is>
          <t>none</t>
        </is>
      </c>
      <c r="R53" t="inlineStr">
        <is>
          <t>none</t>
        </is>
      </c>
      <c r="T53" t="inlineStr">
        <is>
          <t>none</t>
        </is>
      </c>
      <c r="V53" t="inlineStr">
        <is>
          <t>Default</t>
        </is>
      </c>
      <c r="X53" t="inlineStr">
        <is>
          <t>Normal</t>
        </is>
      </c>
      <c r="AB53" t="inlineStr">
        <is>
          <t>none</t>
        </is>
      </c>
      <c r="AD53" t="n">
        <v>1</v>
      </c>
      <c r="AF53" t="inlineStr">
        <is>
          <t>none</t>
        </is>
      </c>
      <c r="AH53" t="n">
        <v>1</v>
      </c>
      <c r="AJ53" t="inlineStr">
        <is>
          <t>none</t>
        </is>
      </c>
      <c r="AL53" t="inlineStr">
        <is>
          <t>none</t>
        </is>
      </c>
      <c r="AN53">
        <f>iferror(AF53*(50/(AJ53+AL53)),"攻撃力に数値を入力")</f>
        <v/>
      </c>
      <c r="AP53" t="inlineStr">
        <is>
          <t>none</t>
        </is>
      </c>
      <c r="AT53" t="inlineStr">
        <is>
          <t>none</t>
        </is>
      </c>
      <c r="AY53" t="inlineStr">
        <is>
          <t>none</t>
        </is>
      </c>
      <c r="BA53" t="inlineStr">
        <is>
          <t>none</t>
        </is>
      </c>
      <c r="BC53" t="inlineStr">
        <is>
          <t>none</t>
        </is>
      </c>
      <c r="BE53" t="inlineStr">
        <is>
          <t>none</t>
        </is>
      </c>
      <c r="BG53" t="inlineStr">
        <is>
          <t>none</t>
        </is>
      </c>
      <c r="BI53" t="inlineStr">
        <is>
          <t>none</t>
        </is>
      </c>
      <c r="BK53" t="inlineStr">
        <is>
          <t>none</t>
        </is>
      </c>
      <c r="BM53" t="inlineStr">
        <is>
          <t>none</t>
        </is>
      </c>
      <c r="BO53" t="inlineStr">
        <is>
          <t>none</t>
        </is>
      </c>
      <c r="BQ53" t="inlineStr">
        <is>
          <t>none</t>
        </is>
      </c>
      <c r="CA53" t="inlineStr">
        <is>
          <t>未入力</t>
        </is>
      </c>
      <c r="CM53" t="inlineStr">
        <is>
          <t>None</t>
        </is>
      </c>
      <c r="CQ53" t="inlineStr">
        <is>
          <t>None</t>
        </is>
      </c>
      <c r="CW53" t="inlineStr">
        <is>
          <t>None</t>
        </is>
      </c>
      <c r="DC53" t="inlineStr">
        <is>
          <t>None</t>
        </is>
      </c>
      <c r="DK53" t="b">
        <v>0</v>
      </c>
      <c r="DM53" t="inlineStr">
        <is>
          <t>None</t>
        </is>
      </c>
      <c r="EA53">
        <f>B53</f>
        <v/>
      </c>
      <c r="EB53">
        <f>D53</f>
        <v/>
      </c>
      <c r="EC53">
        <f>F53</f>
        <v/>
      </c>
      <c r="ED53">
        <f>CA53</f>
        <v/>
      </c>
      <c r="EE53">
        <f>CE53</f>
        <v/>
      </c>
      <c r="EF53">
        <f>"SummonEnemy"</f>
        <v/>
      </c>
      <c r="EG53">
        <f>H53</f>
        <v/>
      </c>
      <c r="EI53">
        <f>CI53</f>
        <v/>
      </c>
      <c r="EJ53">
        <f>CG53</f>
        <v/>
      </c>
      <c r="EK53">
        <f>CM53</f>
        <v/>
      </c>
      <c r="EL53">
        <f>CO53</f>
        <v/>
      </c>
      <c r="EM53">
        <f>CQ53</f>
        <v/>
      </c>
      <c r="EN53">
        <f>CU53</f>
        <v/>
      </c>
      <c r="EO53">
        <f>CW53</f>
        <v/>
      </c>
      <c r="EP53">
        <f>DA53</f>
        <v/>
      </c>
      <c r="EQ53">
        <f>DC53</f>
        <v/>
      </c>
      <c r="ER53">
        <f>DG53</f>
        <v/>
      </c>
      <c r="ES53">
        <f>DI53</f>
        <v/>
      </c>
      <c r="ET53">
        <f>DK53</f>
        <v/>
      </c>
      <c r="EV53">
        <f>V53</f>
        <v/>
      </c>
      <c r="EW53">
        <f>X53</f>
        <v/>
      </c>
      <c r="EX53">
        <f>AD53</f>
        <v/>
      </c>
      <c r="EY53">
        <f>AH53</f>
        <v/>
      </c>
      <c r="EZ53">
        <f>"1"</f>
        <v/>
      </c>
      <c r="FA53">
        <f>BS53</f>
        <v/>
      </c>
      <c r="FB53" t="n">
        <v>0</v>
      </c>
      <c r="FC53">
        <f>CK53</f>
        <v/>
      </c>
      <c r="FD53">
        <f>DM53</f>
        <v/>
      </c>
    </row>
    <row r="54">
      <c r="L54" t="inlineStr">
        <is>
          <t>none</t>
        </is>
      </c>
      <c r="P54" t="inlineStr">
        <is>
          <t>none</t>
        </is>
      </c>
      <c r="R54" t="inlineStr">
        <is>
          <t>none</t>
        </is>
      </c>
      <c r="T54" t="inlineStr">
        <is>
          <t>none</t>
        </is>
      </c>
      <c r="V54" t="inlineStr">
        <is>
          <t>Default</t>
        </is>
      </c>
      <c r="X54" t="inlineStr">
        <is>
          <t>Normal</t>
        </is>
      </c>
      <c r="AB54" t="inlineStr">
        <is>
          <t>none</t>
        </is>
      </c>
      <c r="AD54" t="n">
        <v>1</v>
      </c>
      <c r="AF54" t="inlineStr">
        <is>
          <t>none</t>
        </is>
      </c>
      <c r="AH54" t="n">
        <v>1</v>
      </c>
      <c r="AJ54" t="inlineStr">
        <is>
          <t>none</t>
        </is>
      </c>
      <c r="AL54" t="inlineStr">
        <is>
          <t>none</t>
        </is>
      </c>
      <c r="AN54">
        <f>iferror(AF54*(50/(AJ54+AL54)),"攻撃力に数値を入力")</f>
        <v/>
      </c>
      <c r="AP54" t="inlineStr">
        <is>
          <t>none</t>
        </is>
      </c>
      <c r="AT54" t="inlineStr">
        <is>
          <t>none</t>
        </is>
      </c>
      <c r="AY54" t="inlineStr">
        <is>
          <t>none</t>
        </is>
      </c>
      <c r="BA54" t="inlineStr">
        <is>
          <t>none</t>
        </is>
      </c>
      <c r="BC54" t="inlineStr">
        <is>
          <t>none</t>
        </is>
      </c>
      <c r="BE54" t="inlineStr">
        <is>
          <t>none</t>
        </is>
      </c>
      <c r="BG54" t="inlineStr">
        <is>
          <t>none</t>
        </is>
      </c>
      <c r="BI54" t="inlineStr">
        <is>
          <t>none</t>
        </is>
      </c>
      <c r="BK54" t="inlineStr">
        <is>
          <t>none</t>
        </is>
      </c>
      <c r="BM54" t="inlineStr">
        <is>
          <t>none</t>
        </is>
      </c>
      <c r="BO54" t="inlineStr">
        <is>
          <t>none</t>
        </is>
      </c>
      <c r="BQ54" t="inlineStr">
        <is>
          <t>none</t>
        </is>
      </c>
      <c r="CA54" t="inlineStr">
        <is>
          <t>未入力</t>
        </is>
      </c>
      <c r="CM54" t="inlineStr">
        <is>
          <t>None</t>
        </is>
      </c>
      <c r="CQ54" t="inlineStr">
        <is>
          <t>None</t>
        </is>
      </c>
      <c r="CW54" t="inlineStr">
        <is>
          <t>None</t>
        </is>
      </c>
      <c r="DC54" t="inlineStr">
        <is>
          <t>None</t>
        </is>
      </c>
      <c r="DK54" t="b">
        <v>0</v>
      </c>
      <c r="DM54" t="inlineStr">
        <is>
          <t>None</t>
        </is>
      </c>
      <c r="EA54">
        <f>B54</f>
        <v/>
      </c>
      <c r="EB54">
        <f>D54</f>
        <v/>
      </c>
      <c r="EC54">
        <f>F54</f>
        <v/>
      </c>
      <c r="ED54">
        <f>CA54</f>
        <v/>
      </c>
      <c r="EE54">
        <f>CE54</f>
        <v/>
      </c>
      <c r="EF54">
        <f>"SummonEnemy"</f>
        <v/>
      </c>
      <c r="EG54">
        <f>H54</f>
        <v/>
      </c>
      <c r="EI54">
        <f>CI54</f>
        <v/>
      </c>
      <c r="EJ54">
        <f>CG54</f>
        <v/>
      </c>
      <c r="EK54">
        <f>CM54</f>
        <v/>
      </c>
      <c r="EL54">
        <f>CO54</f>
        <v/>
      </c>
      <c r="EM54">
        <f>CQ54</f>
        <v/>
      </c>
      <c r="EN54">
        <f>CU54</f>
        <v/>
      </c>
      <c r="EO54">
        <f>CW54</f>
        <v/>
      </c>
      <c r="EP54">
        <f>DA54</f>
        <v/>
      </c>
      <c r="EQ54">
        <f>DC54</f>
        <v/>
      </c>
      <c r="ER54">
        <f>DG54</f>
        <v/>
      </c>
      <c r="ES54">
        <f>DI54</f>
        <v/>
      </c>
      <c r="ET54">
        <f>DK54</f>
        <v/>
      </c>
      <c r="EV54">
        <f>V54</f>
        <v/>
      </c>
      <c r="EW54">
        <f>X54</f>
        <v/>
      </c>
      <c r="EX54">
        <f>AD54</f>
        <v/>
      </c>
      <c r="EY54">
        <f>AH54</f>
        <v/>
      </c>
      <c r="EZ54">
        <f>"1"</f>
        <v/>
      </c>
      <c r="FA54">
        <f>BS54</f>
        <v/>
      </c>
      <c r="FB54" t="n">
        <v>0</v>
      </c>
      <c r="FC54">
        <f>CK54</f>
        <v/>
      </c>
      <c r="FD54">
        <f>DM54</f>
        <v/>
      </c>
    </row>
    <row r="55">
      <c r="L55" t="inlineStr">
        <is>
          <t>none</t>
        </is>
      </c>
      <c r="P55" t="inlineStr">
        <is>
          <t>none</t>
        </is>
      </c>
      <c r="R55" t="inlineStr">
        <is>
          <t>none</t>
        </is>
      </c>
      <c r="T55" t="inlineStr">
        <is>
          <t>none</t>
        </is>
      </c>
      <c r="V55" t="inlineStr">
        <is>
          <t>Default</t>
        </is>
      </c>
      <c r="X55" t="inlineStr">
        <is>
          <t>Normal</t>
        </is>
      </c>
      <c r="AB55" t="inlineStr">
        <is>
          <t>none</t>
        </is>
      </c>
      <c r="AD55" t="n">
        <v>1</v>
      </c>
      <c r="AF55" t="inlineStr">
        <is>
          <t>none</t>
        </is>
      </c>
      <c r="AH55" t="n">
        <v>1</v>
      </c>
      <c r="AJ55" t="inlineStr">
        <is>
          <t>none</t>
        </is>
      </c>
      <c r="AL55" t="inlineStr">
        <is>
          <t>none</t>
        </is>
      </c>
      <c r="AN55">
        <f>iferror(AF55*(50/(AJ55+AL55)),"攻撃力に数値を入力")</f>
        <v/>
      </c>
      <c r="AP55" t="inlineStr">
        <is>
          <t>none</t>
        </is>
      </c>
      <c r="AT55" t="inlineStr">
        <is>
          <t>none</t>
        </is>
      </c>
      <c r="AY55" t="inlineStr">
        <is>
          <t>none</t>
        </is>
      </c>
      <c r="BA55" t="inlineStr">
        <is>
          <t>none</t>
        </is>
      </c>
      <c r="BC55" t="inlineStr">
        <is>
          <t>none</t>
        </is>
      </c>
      <c r="BE55" t="inlineStr">
        <is>
          <t>none</t>
        </is>
      </c>
      <c r="BG55" t="inlineStr">
        <is>
          <t>none</t>
        </is>
      </c>
      <c r="BI55" t="inlineStr">
        <is>
          <t>none</t>
        </is>
      </c>
      <c r="BK55" t="inlineStr">
        <is>
          <t>none</t>
        </is>
      </c>
      <c r="BM55" t="inlineStr">
        <is>
          <t>none</t>
        </is>
      </c>
      <c r="BO55" t="inlineStr">
        <is>
          <t>none</t>
        </is>
      </c>
      <c r="BQ55" t="inlineStr">
        <is>
          <t>none</t>
        </is>
      </c>
      <c r="CA55" t="inlineStr">
        <is>
          <t>未入力</t>
        </is>
      </c>
      <c r="CM55" t="inlineStr">
        <is>
          <t>None</t>
        </is>
      </c>
      <c r="CQ55" t="inlineStr">
        <is>
          <t>None</t>
        </is>
      </c>
      <c r="CW55" t="inlineStr">
        <is>
          <t>None</t>
        </is>
      </c>
      <c r="DC55" t="inlineStr">
        <is>
          <t>None</t>
        </is>
      </c>
      <c r="DK55" t="b">
        <v>0</v>
      </c>
      <c r="DM55" t="inlineStr">
        <is>
          <t>None</t>
        </is>
      </c>
      <c r="EA55">
        <f>B55</f>
        <v/>
      </c>
      <c r="EB55">
        <f>D55</f>
        <v/>
      </c>
      <c r="EC55">
        <f>F55</f>
        <v/>
      </c>
      <c r="ED55">
        <f>CA55</f>
        <v/>
      </c>
      <c r="EE55">
        <f>CE55</f>
        <v/>
      </c>
      <c r="EF55">
        <f>"SummonEnemy"</f>
        <v/>
      </c>
      <c r="EG55">
        <f>H55</f>
        <v/>
      </c>
      <c r="EI55">
        <f>CI55</f>
        <v/>
      </c>
      <c r="EJ55">
        <f>CG55</f>
        <v/>
      </c>
      <c r="EK55">
        <f>CM55</f>
        <v/>
      </c>
      <c r="EL55">
        <f>CO55</f>
        <v/>
      </c>
      <c r="EM55">
        <f>CQ55</f>
        <v/>
      </c>
      <c r="EN55">
        <f>CU55</f>
        <v/>
      </c>
      <c r="EO55">
        <f>CW55</f>
        <v/>
      </c>
      <c r="EP55">
        <f>DA55</f>
        <v/>
      </c>
      <c r="EQ55">
        <f>DC55</f>
        <v/>
      </c>
      <c r="ER55">
        <f>DG55</f>
        <v/>
      </c>
      <c r="ES55">
        <f>DI55</f>
        <v/>
      </c>
      <c r="ET55">
        <f>DK55</f>
        <v/>
      </c>
      <c r="EV55">
        <f>V55</f>
        <v/>
      </c>
      <c r="EW55">
        <f>X55</f>
        <v/>
      </c>
      <c r="EX55">
        <f>AD55</f>
        <v/>
      </c>
      <c r="EY55">
        <f>AH55</f>
        <v/>
      </c>
      <c r="EZ55">
        <f>"1"</f>
        <v/>
      </c>
      <c r="FA55">
        <f>BS55</f>
        <v/>
      </c>
      <c r="FB55" t="n">
        <v>0</v>
      </c>
      <c r="FC55">
        <f>CK55</f>
        <v/>
      </c>
      <c r="FD55">
        <f>DM55</f>
        <v/>
      </c>
    </row>
    <row r="56">
      <c r="L56" t="inlineStr">
        <is>
          <t>none</t>
        </is>
      </c>
      <c r="P56" t="inlineStr">
        <is>
          <t>none</t>
        </is>
      </c>
      <c r="R56" t="inlineStr">
        <is>
          <t>none</t>
        </is>
      </c>
      <c r="T56" t="inlineStr">
        <is>
          <t>none</t>
        </is>
      </c>
      <c r="V56" t="inlineStr">
        <is>
          <t>Default</t>
        </is>
      </c>
      <c r="X56" t="inlineStr">
        <is>
          <t>Normal</t>
        </is>
      </c>
      <c r="AB56" t="inlineStr">
        <is>
          <t>none</t>
        </is>
      </c>
      <c r="AD56" t="n">
        <v>1</v>
      </c>
      <c r="AF56" t="inlineStr">
        <is>
          <t>none</t>
        </is>
      </c>
      <c r="AH56" t="n">
        <v>1</v>
      </c>
      <c r="AJ56" t="inlineStr">
        <is>
          <t>none</t>
        </is>
      </c>
      <c r="AL56" t="inlineStr">
        <is>
          <t>none</t>
        </is>
      </c>
      <c r="AN56">
        <f>iferror(AF56*(50/(AJ56+AL56)),"攻撃力に数値を入力")</f>
        <v/>
      </c>
      <c r="AP56" t="inlineStr">
        <is>
          <t>none</t>
        </is>
      </c>
      <c r="AT56" t="inlineStr">
        <is>
          <t>none</t>
        </is>
      </c>
      <c r="AY56" t="inlineStr">
        <is>
          <t>none</t>
        </is>
      </c>
      <c r="BA56" t="inlineStr">
        <is>
          <t>none</t>
        </is>
      </c>
      <c r="BC56" t="inlineStr">
        <is>
          <t>none</t>
        </is>
      </c>
      <c r="BE56" t="inlineStr">
        <is>
          <t>none</t>
        </is>
      </c>
      <c r="BG56" t="inlineStr">
        <is>
          <t>none</t>
        </is>
      </c>
      <c r="BI56" t="inlineStr">
        <is>
          <t>none</t>
        </is>
      </c>
      <c r="BK56" t="inlineStr">
        <is>
          <t>none</t>
        </is>
      </c>
      <c r="BM56" t="inlineStr">
        <is>
          <t>none</t>
        </is>
      </c>
      <c r="BO56" t="inlineStr">
        <is>
          <t>none</t>
        </is>
      </c>
      <c r="BQ56" t="inlineStr">
        <is>
          <t>none</t>
        </is>
      </c>
      <c r="CA56" t="inlineStr">
        <is>
          <t>未入力</t>
        </is>
      </c>
      <c r="CM56" t="inlineStr">
        <is>
          <t>None</t>
        </is>
      </c>
      <c r="CQ56" t="inlineStr">
        <is>
          <t>None</t>
        </is>
      </c>
      <c r="CW56" t="inlineStr">
        <is>
          <t>None</t>
        </is>
      </c>
      <c r="DC56" t="inlineStr">
        <is>
          <t>None</t>
        </is>
      </c>
      <c r="DK56" t="b">
        <v>0</v>
      </c>
      <c r="DM56" t="inlineStr">
        <is>
          <t>None</t>
        </is>
      </c>
      <c r="EA56">
        <f>B56</f>
        <v/>
      </c>
      <c r="EB56">
        <f>D56</f>
        <v/>
      </c>
      <c r="EC56">
        <f>F56</f>
        <v/>
      </c>
      <c r="ED56">
        <f>CA56</f>
        <v/>
      </c>
      <c r="EE56">
        <f>CE56</f>
        <v/>
      </c>
      <c r="EF56">
        <f>"SummonEnemy"</f>
        <v/>
      </c>
      <c r="EG56">
        <f>H56</f>
        <v/>
      </c>
      <c r="EI56">
        <f>CI56</f>
        <v/>
      </c>
      <c r="EJ56">
        <f>CG56</f>
        <v/>
      </c>
      <c r="EK56">
        <f>CM56</f>
        <v/>
      </c>
      <c r="EL56">
        <f>CO56</f>
        <v/>
      </c>
      <c r="EM56">
        <f>CQ56</f>
        <v/>
      </c>
      <c r="EN56">
        <f>CU56</f>
        <v/>
      </c>
      <c r="EO56">
        <f>CW56</f>
        <v/>
      </c>
      <c r="EP56">
        <f>DA56</f>
        <v/>
      </c>
      <c r="EQ56">
        <f>DC56</f>
        <v/>
      </c>
      <c r="ER56">
        <f>DG56</f>
        <v/>
      </c>
      <c r="ES56">
        <f>DI56</f>
        <v/>
      </c>
      <c r="ET56">
        <f>DK56</f>
        <v/>
      </c>
      <c r="EV56">
        <f>V56</f>
        <v/>
      </c>
      <c r="EW56">
        <f>X56</f>
        <v/>
      </c>
      <c r="EX56">
        <f>AD56</f>
        <v/>
      </c>
      <c r="EY56">
        <f>AH56</f>
        <v/>
      </c>
      <c r="EZ56">
        <f>"1"</f>
        <v/>
      </c>
      <c r="FA56">
        <f>BS56</f>
        <v/>
      </c>
      <c r="FB56" t="n">
        <v>0</v>
      </c>
      <c r="FC56">
        <f>CK56</f>
        <v/>
      </c>
      <c r="FD56">
        <f>DM56</f>
        <v/>
      </c>
    </row>
    <row r="57">
      <c r="L57" t="inlineStr">
        <is>
          <t>none</t>
        </is>
      </c>
      <c r="P57" t="inlineStr">
        <is>
          <t>none</t>
        </is>
      </c>
      <c r="R57" t="inlineStr">
        <is>
          <t>none</t>
        </is>
      </c>
      <c r="T57" t="inlineStr">
        <is>
          <t>none</t>
        </is>
      </c>
      <c r="V57" t="inlineStr">
        <is>
          <t>Default</t>
        </is>
      </c>
      <c r="X57" t="inlineStr">
        <is>
          <t>Normal</t>
        </is>
      </c>
      <c r="AB57" t="inlineStr">
        <is>
          <t>none</t>
        </is>
      </c>
      <c r="AD57" t="n">
        <v>1</v>
      </c>
      <c r="AF57" t="inlineStr">
        <is>
          <t>none</t>
        </is>
      </c>
      <c r="AH57" t="n">
        <v>1</v>
      </c>
      <c r="AJ57" t="inlineStr">
        <is>
          <t>none</t>
        </is>
      </c>
      <c r="AL57" t="inlineStr">
        <is>
          <t>none</t>
        </is>
      </c>
      <c r="AN57">
        <f>iferror(AF57*(50/(AJ57+AL57)),"攻撃力に数値を入力")</f>
        <v/>
      </c>
      <c r="AP57" t="inlineStr">
        <is>
          <t>none</t>
        </is>
      </c>
      <c r="AT57" t="inlineStr">
        <is>
          <t>none</t>
        </is>
      </c>
      <c r="AY57" t="inlineStr">
        <is>
          <t>none</t>
        </is>
      </c>
      <c r="BA57" t="inlineStr">
        <is>
          <t>none</t>
        </is>
      </c>
      <c r="BC57" t="inlineStr">
        <is>
          <t>none</t>
        </is>
      </c>
      <c r="BE57" t="inlineStr">
        <is>
          <t>none</t>
        </is>
      </c>
      <c r="BG57" t="inlineStr">
        <is>
          <t>none</t>
        </is>
      </c>
      <c r="BI57" t="inlineStr">
        <is>
          <t>none</t>
        </is>
      </c>
      <c r="BK57" t="inlineStr">
        <is>
          <t>none</t>
        </is>
      </c>
      <c r="BM57" t="inlineStr">
        <is>
          <t>none</t>
        </is>
      </c>
      <c r="BO57" t="inlineStr">
        <is>
          <t>none</t>
        </is>
      </c>
      <c r="BQ57" t="inlineStr">
        <is>
          <t>none</t>
        </is>
      </c>
      <c r="CA57" t="inlineStr">
        <is>
          <t>未入力</t>
        </is>
      </c>
      <c r="CM57" t="inlineStr">
        <is>
          <t>None</t>
        </is>
      </c>
      <c r="CQ57" t="inlineStr">
        <is>
          <t>None</t>
        </is>
      </c>
      <c r="CW57" t="inlineStr">
        <is>
          <t>None</t>
        </is>
      </c>
      <c r="DC57" t="inlineStr">
        <is>
          <t>None</t>
        </is>
      </c>
      <c r="DK57" t="b">
        <v>0</v>
      </c>
      <c r="DM57" t="inlineStr">
        <is>
          <t>None</t>
        </is>
      </c>
      <c r="EA57">
        <f>B57</f>
        <v/>
      </c>
      <c r="EB57">
        <f>D57</f>
        <v/>
      </c>
      <c r="EC57">
        <f>F57</f>
        <v/>
      </c>
      <c r="ED57">
        <f>CA57</f>
        <v/>
      </c>
      <c r="EE57">
        <f>CE57</f>
        <v/>
      </c>
      <c r="EF57">
        <f>"SummonEnemy"</f>
        <v/>
      </c>
      <c r="EG57">
        <f>H57</f>
        <v/>
      </c>
      <c r="EI57">
        <f>CI57</f>
        <v/>
      </c>
      <c r="EJ57">
        <f>CG57</f>
        <v/>
      </c>
      <c r="EK57">
        <f>CM57</f>
        <v/>
      </c>
      <c r="EL57">
        <f>CO57</f>
        <v/>
      </c>
      <c r="EM57">
        <f>CQ57</f>
        <v/>
      </c>
      <c r="EN57">
        <f>CU57</f>
        <v/>
      </c>
      <c r="EO57">
        <f>CW57</f>
        <v/>
      </c>
      <c r="EP57">
        <f>DA57</f>
        <v/>
      </c>
      <c r="EQ57">
        <f>DC57</f>
        <v/>
      </c>
      <c r="ER57">
        <f>DG57</f>
        <v/>
      </c>
      <c r="ES57">
        <f>DI57</f>
        <v/>
      </c>
      <c r="ET57">
        <f>DK57</f>
        <v/>
      </c>
      <c r="EV57">
        <f>V57</f>
        <v/>
      </c>
      <c r="EW57">
        <f>X57</f>
        <v/>
      </c>
      <c r="EX57">
        <f>AD57</f>
        <v/>
      </c>
      <c r="EY57">
        <f>AH57</f>
        <v/>
      </c>
      <c r="EZ57">
        <f>"1"</f>
        <v/>
      </c>
      <c r="FA57">
        <f>BS57</f>
        <v/>
      </c>
      <c r="FB57" t="n">
        <v>0</v>
      </c>
      <c r="FC57">
        <f>CK57</f>
        <v/>
      </c>
      <c r="FD57">
        <f>DM57</f>
        <v/>
      </c>
    </row>
    <row r="58">
      <c r="L58" t="inlineStr">
        <is>
          <t>none</t>
        </is>
      </c>
      <c r="P58" t="inlineStr">
        <is>
          <t>none</t>
        </is>
      </c>
      <c r="R58" t="inlineStr">
        <is>
          <t>none</t>
        </is>
      </c>
      <c r="T58" t="inlineStr">
        <is>
          <t>none</t>
        </is>
      </c>
      <c r="V58" t="inlineStr">
        <is>
          <t>Default</t>
        </is>
      </c>
      <c r="X58" t="inlineStr">
        <is>
          <t>Normal</t>
        </is>
      </c>
      <c r="AB58" t="inlineStr">
        <is>
          <t>none</t>
        </is>
      </c>
      <c r="AD58" t="n">
        <v>1</v>
      </c>
      <c r="AF58" t="inlineStr">
        <is>
          <t>none</t>
        </is>
      </c>
      <c r="AH58" t="n">
        <v>1</v>
      </c>
      <c r="AJ58" t="inlineStr">
        <is>
          <t>none</t>
        </is>
      </c>
      <c r="AL58" t="inlineStr">
        <is>
          <t>none</t>
        </is>
      </c>
      <c r="AN58">
        <f>iferror(AF58*(50/(AJ58+AL58)),"攻撃力に数値を入力")</f>
        <v/>
      </c>
      <c r="AP58" t="inlineStr">
        <is>
          <t>none</t>
        </is>
      </c>
      <c r="AT58" t="inlineStr">
        <is>
          <t>none</t>
        </is>
      </c>
      <c r="AY58" t="inlineStr">
        <is>
          <t>none</t>
        </is>
      </c>
      <c r="BA58" t="inlineStr">
        <is>
          <t>none</t>
        </is>
      </c>
      <c r="BC58" t="inlineStr">
        <is>
          <t>none</t>
        </is>
      </c>
      <c r="BE58" t="inlineStr">
        <is>
          <t>none</t>
        </is>
      </c>
      <c r="BG58" t="inlineStr">
        <is>
          <t>none</t>
        </is>
      </c>
      <c r="BI58" t="inlineStr">
        <is>
          <t>none</t>
        </is>
      </c>
      <c r="BK58" t="inlineStr">
        <is>
          <t>none</t>
        </is>
      </c>
      <c r="BM58" t="inlineStr">
        <is>
          <t>none</t>
        </is>
      </c>
      <c r="BO58" t="inlineStr">
        <is>
          <t>none</t>
        </is>
      </c>
      <c r="BQ58" t="inlineStr">
        <is>
          <t>none</t>
        </is>
      </c>
      <c r="CA58" t="inlineStr">
        <is>
          <t>未入力</t>
        </is>
      </c>
      <c r="CM58" t="inlineStr">
        <is>
          <t>None</t>
        </is>
      </c>
      <c r="CQ58" t="inlineStr">
        <is>
          <t>None</t>
        </is>
      </c>
      <c r="CW58" t="inlineStr">
        <is>
          <t>None</t>
        </is>
      </c>
      <c r="DC58" t="inlineStr">
        <is>
          <t>None</t>
        </is>
      </c>
      <c r="DK58" t="b">
        <v>0</v>
      </c>
      <c r="DM58" t="inlineStr">
        <is>
          <t>None</t>
        </is>
      </c>
      <c r="EA58">
        <f>B58</f>
        <v/>
      </c>
      <c r="EB58">
        <f>D58</f>
        <v/>
      </c>
      <c r="EC58">
        <f>F58</f>
        <v/>
      </c>
      <c r="ED58">
        <f>CA58</f>
        <v/>
      </c>
      <c r="EE58">
        <f>CE58</f>
        <v/>
      </c>
      <c r="EF58">
        <f>"SummonEnemy"</f>
        <v/>
      </c>
      <c r="EG58">
        <f>H58</f>
        <v/>
      </c>
      <c r="EI58">
        <f>CI58</f>
        <v/>
      </c>
      <c r="EJ58">
        <f>CG58</f>
        <v/>
      </c>
      <c r="EK58">
        <f>CM58</f>
        <v/>
      </c>
      <c r="EL58">
        <f>CO58</f>
        <v/>
      </c>
      <c r="EM58">
        <f>CQ58</f>
        <v/>
      </c>
      <c r="EN58">
        <f>CU58</f>
        <v/>
      </c>
      <c r="EO58">
        <f>CW58</f>
        <v/>
      </c>
      <c r="EP58">
        <f>DA58</f>
        <v/>
      </c>
      <c r="EQ58">
        <f>DC58</f>
        <v/>
      </c>
      <c r="ER58">
        <f>DG58</f>
        <v/>
      </c>
      <c r="ES58">
        <f>DI58</f>
        <v/>
      </c>
      <c r="ET58">
        <f>DK58</f>
        <v/>
      </c>
      <c r="EV58">
        <f>V58</f>
        <v/>
      </c>
      <c r="EW58">
        <f>X58</f>
        <v/>
      </c>
      <c r="EX58">
        <f>AD58</f>
        <v/>
      </c>
      <c r="EY58">
        <f>AH58</f>
        <v/>
      </c>
      <c r="EZ58">
        <f>"1"</f>
        <v/>
      </c>
      <c r="FA58">
        <f>BS58</f>
        <v/>
      </c>
      <c r="FB58" t="n">
        <v>0</v>
      </c>
      <c r="FC58">
        <f>CK58</f>
        <v/>
      </c>
      <c r="FD58">
        <f>DM58</f>
        <v/>
      </c>
    </row>
    <row r="59">
      <c r="L59" t="inlineStr">
        <is>
          <t>none</t>
        </is>
      </c>
      <c r="P59" t="inlineStr">
        <is>
          <t>none</t>
        </is>
      </c>
      <c r="R59" t="inlineStr">
        <is>
          <t>none</t>
        </is>
      </c>
      <c r="T59" t="inlineStr">
        <is>
          <t>none</t>
        </is>
      </c>
      <c r="V59" t="inlineStr">
        <is>
          <t>Default</t>
        </is>
      </c>
      <c r="X59" t="inlineStr">
        <is>
          <t>Normal</t>
        </is>
      </c>
      <c r="AB59" t="inlineStr">
        <is>
          <t>none</t>
        </is>
      </c>
      <c r="AD59" t="n">
        <v>1</v>
      </c>
      <c r="AF59" t="inlineStr">
        <is>
          <t>none</t>
        </is>
      </c>
      <c r="AH59" t="n">
        <v>1</v>
      </c>
      <c r="AJ59" t="inlineStr">
        <is>
          <t>none</t>
        </is>
      </c>
      <c r="AL59" t="inlineStr">
        <is>
          <t>none</t>
        </is>
      </c>
      <c r="AN59">
        <f>iferror(AF59*(50/(AJ59+AL59)),"攻撃力に数値を入力")</f>
        <v/>
      </c>
      <c r="AP59" t="inlineStr">
        <is>
          <t>none</t>
        </is>
      </c>
      <c r="AT59" t="inlineStr">
        <is>
          <t>none</t>
        </is>
      </c>
      <c r="AY59" t="inlineStr">
        <is>
          <t>none</t>
        </is>
      </c>
      <c r="BA59" t="inlineStr">
        <is>
          <t>none</t>
        </is>
      </c>
      <c r="BC59" t="inlineStr">
        <is>
          <t>none</t>
        </is>
      </c>
      <c r="BE59" t="inlineStr">
        <is>
          <t>none</t>
        </is>
      </c>
      <c r="BG59" t="inlineStr">
        <is>
          <t>none</t>
        </is>
      </c>
      <c r="BI59" t="inlineStr">
        <is>
          <t>none</t>
        </is>
      </c>
      <c r="BK59" t="inlineStr">
        <is>
          <t>none</t>
        </is>
      </c>
      <c r="BM59" t="inlineStr">
        <is>
          <t>none</t>
        </is>
      </c>
      <c r="BO59" t="inlineStr">
        <is>
          <t>none</t>
        </is>
      </c>
      <c r="BQ59" t="inlineStr">
        <is>
          <t>none</t>
        </is>
      </c>
      <c r="CA59" t="inlineStr">
        <is>
          <t>未入力</t>
        </is>
      </c>
      <c r="CM59" t="inlineStr">
        <is>
          <t>None</t>
        </is>
      </c>
      <c r="CQ59" t="inlineStr">
        <is>
          <t>None</t>
        </is>
      </c>
      <c r="CW59" t="inlineStr">
        <is>
          <t>None</t>
        </is>
      </c>
      <c r="DC59" t="inlineStr">
        <is>
          <t>None</t>
        </is>
      </c>
      <c r="DK59" t="b">
        <v>0</v>
      </c>
      <c r="DM59" t="inlineStr">
        <is>
          <t>None</t>
        </is>
      </c>
      <c r="EA59">
        <f>B59</f>
        <v/>
      </c>
      <c r="EB59">
        <f>D59</f>
        <v/>
      </c>
      <c r="EC59">
        <f>F59</f>
        <v/>
      </c>
      <c r="ED59">
        <f>CA59</f>
        <v/>
      </c>
      <c r="EE59">
        <f>CE59</f>
        <v/>
      </c>
      <c r="EF59">
        <f>"SummonEnemy"</f>
        <v/>
      </c>
      <c r="EG59">
        <f>H59</f>
        <v/>
      </c>
      <c r="EI59">
        <f>CI59</f>
        <v/>
      </c>
      <c r="EJ59">
        <f>CG59</f>
        <v/>
      </c>
      <c r="EK59">
        <f>CM59</f>
        <v/>
      </c>
      <c r="EL59">
        <f>CO59</f>
        <v/>
      </c>
      <c r="EM59">
        <f>CQ59</f>
        <v/>
      </c>
      <c r="EN59">
        <f>CU59</f>
        <v/>
      </c>
      <c r="EO59">
        <f>CW59</f>
        <v/>
      </c>
      <c r="EP59">
        <f>DA59</f>
        <v/>
      </c>
      <c r="EQ59">
        <f>DC59</f>
        <v/>
      </c>
      <c r="ER59">
        <f>DG59</f>
        <v/>
      </c>
      <c r="ES59">
        <f>DI59</f>
        <v/>
      </c>
      <c r="ET59">
        <f>DK59</f>
        <v/>
      </c>
      <c r="EV59">
        <f>V59</f>
        <v/>
      </c>
      <c r="EW59">
        <f>X59</f>
        <v/>
      </c>
      <c r="EX59">
        <f>AD59</f>
        <v/>
      </c>
      <c r="EY59">
        <f>AH59</f>
        <v/>
      </c>
      <c r="EZ59">
        <f>"1"</f>
        <v/>
      </c>
      <c r="FA59">
        <f>BS59</f>
        <v/>
      </c>
      <c r="FB59" t="n">
        <v>0</v>
      </c>
      <c r="FC59">
        <f>CK59</f>
        <v/>
      </c>
      <c r="FD59">
        <f>DM59</f>
        <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2:Q15"/>
  <sheetViews>
    <sheetView workbookViewId="0">
      <selection activeCell="A1" sqref="A1"/>
    </sheetView>
  </sheetViews>
  <sheetFormatPr baseColWidth="8" defaultRowHeight="15"/>
  <sheetData>
    <row r="2">
      <c r="B2" t="inlineStr">
        <is>
          <t>mst_in_game_id</t>
        </is>
      </c>
      <c r="E2" t="inlineStr">
        <is>
          <t>language</t>
        </is>
      </c>
      <c r="G2" t="inlineStr">
        <is>
          <t>result_tips</t>
        </is>
      </c>
      <c r="P2" t="inlineStr">
        <is>
          <t>文字数</t>
        </is>
      </c>
    </row>
    <row r="3">
      <c r="B3" t="inlineStr">
        <is>
          <t>event_jig1_charaget01_00001</t>
        </is>
      </c>
      <c r="E3" t="inlineStr">
        <is>
          <t>ja</t>
        </is>
      </c>
      <c r="G3" t="inlineStr">
        <is>
          <t>キャラを強化してみよう!</t>
        </is>
      </c>
      <c r="Q3">
        <f>len(G3)</f>
        <v/>
      </c>
    </row>
    <row r="4">
      <c r="B4" t="inlineStr">
        <is>
          <t>event_jig1_charaget01_00002</t>
        </is>
      </c>
      <c r="E4" t="inlineStr">
        <is>
          <t>ja</t>
        </is>
      </c>
      <c r="G4" t="inlineStr">
        <is>
          <t>キャラを強化してみよう!</t>
        </is>
      </c>
      <c r="Q4">
        <f>len(G4)</f>
        <v/>
      </c>
    </row>
    <row r="5">
      <c r="B5" t="inlineStr">
        <is>
          <t>event_jig1_charaget01_00003</t>
        </is>
      </c>
      <c r="E5" t="inlineStr">
        <is>
          <t>ja</t>
        </is>
      </c>
      <c r="G5" t="inlineStr">
        <is>
          <t>緑属性のキャラを編成してみよう!</t>
        </is>
      </c>
      <c r="Q5">
        <f>len(G5)</f>
        <v/>
      </c>
    </row>
    <row r="6">
      <c r="B6" t="inlineStr">
        <is>
          <t>event_jig1_charaget01_00004</t>
        </is>
      </c>
      <c r="E6" t="inlineStr">
        <is>
          <t>ja</t>
        </is>
      </c>
      <c r="G6" t="inlineStr">
        <is>
          <t>赤属性のキャラを編成してみよう!</t>
        </is>
      </c>
      <c r="Q6">
        <f>len(G6)</f>
        <v/>
      </c>
    </row>
    <row r="7">
      <c r="B7" t="inlineStr">
        <is>
          <t>event_jig1_charaget01_00005</t>
        </is>
      </c>
      <c r="E7" t="inlineStr">
        <is>
          <t>ja</t>
        </is>
      </c>
      <c r="G7" t="inlineStr">
        <is>
          <t>キャラを強化してみよう!</t>
        </is>
      </c>
      <c r="Q7">
        <f>len(G7)</f>
        <v/>
      </c>
    </row>
    <row r="8">
      <c r="B8" t="inlineStr">
        <is>
          <t>event_jig1_charaget01_00006</t>
        </is>
      </c>
      <c r="E8" t="inlineStr">
        <is>
          <t>ja</t>
        </is>
      </c>
      <c r="G8" t="inlineStr">
        <is>
          <t>キャラを強化してみよう!</t>
        </is>
      </c>
      <c r="Q8">
        <f>len(G8)</f>
        <v/>
      </c>
    </row>
    <row r="9">
      <c r="E9" t="inlineStr">
        <is>
          <t>ja</t>
        </is>
      </c>
      <c r="Q9">
        <f>len(G9)</f>
        <v/>
      </c>
    </row>
    <row r="10">
      <c r="E10" t="inlineStr">
        <is>
          <t>ja</t>
        </is>
      </c>
      <c r="Q10">
        <f>len(G10)</f>
        <v/>
      </c>
    </row>
    <row r="11">
      <c r="E11" t="inlineStr">
        <is>
          <t>ja</t>
        </is>
      </c>
      <c r="Q11">
        <f>len(G11)</f>
        <v/>
      </c>
    </row>
    <row r="12">
      <c r="E12" t="inlineStr">
        <is>
          <t>ja</t>
        </is>
      </c>
      <c r="Q12">
        <f>len(G12)</f>
        <v/>
      </c>
    </row>
    <row r="13">
      <c r="E13" t="inlineStr">
        <is>
          <t>ja</t>
        </is>
      </c>
      <c r="Q13">
        <f>len(G13)</f>
        <v/>
      </c>
    </row>
    <row r="14">
      <c r="E14" t="inlineStr">
        <is>
          <t>ja</t>
        </is>
      </c>
      <c r="Q14">
        <f>len(G14)</f>
        <v/>
      </c>
    </row>
    <row r="15">
      <c r="E15" t="inlineStr">
        <is>
          <t>ja</t>
        </is>
      </c>
      <c r="Q15">
        <f>len(G15)</f>
        <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2:J13"/>
  <sheetViews>
    <sheetView workbookViewId="0">
      <selection activeCell="A1" sqref="A1"/>
    </sheetView>
  </sheetViews>
  <sheetFormatPr baseColWidth="8" defaultRowHeight="15"/>
  <sheetData>
    <row r="2">
      <c r="B2" t="inlineStr">
        <is>
          <t>要求スタミナ</t>
        </is>
      </c>
      <c r="C2" t="inlineStr">
        <is>
          <t>メイン</t>
        </is>
      </c>
      <c r="F2" t="inlineStr">
        <is>
          <t>イベント</t>
        </is>
      </c>
    </row>
    <row r="3">
      <c r="B3" t="n">
        <v>1</v>
      </c>
      <c r="F3" t="inlineStr">
        <is>
          <t>1日1回</t>
        </is>
      </c>
    </row>
    <row r="4">
      <c r="B4" t="n">
        <v>5</v>
      </c>
      <c r="C4" t="inlineStr">
        <is>
          <t>メインNormal1~3</t>
        </is>
      </c>
    </row>
    <row r="5">
      <c r="B5" t="n">
        <v>10</v>
      </c>
      <c r="C5" t="inlineStr">
        <is>
          <t>メインNormal4~6</t>
        </is>
      </c>
      <c r="F5" t="inlineStr">
        <is>
          <t>SRキャラGET1</t>
        </is>
      </c>
      <c r="G5" t="inlineStr">
        <is>
          <t>SSRキャラGET1</t>
        </is>
      </c>
      <c r="H5" t="inlineStr">
        <is>
          <t>原画1-2</t>
        </is>
      </c>
      <c r="I5" t="inlineStr">
        <is>
          <t>スコチャレ1</t>
        </is>
      </c>
    </row>
    <row r="6">
      <c r="B6" t="n">
        <v>15</v>
      </c>
      <c r="C6" t="inlineStr">
        <is>
          <t>メインNormal7~10</t>
        </is>
      </c>
      <c r="I6" t="inlineStr">
        <is>
          <t>スコチャレ2</t>
        </is>
      </c>
    </row>
    <row r="7">
      <c r="B7" t="n">
        <v>20</v>
      </c>
      <c r="C7" t="inlineStr">
        <is>
          <t>メインNormal11~14</t>
        </is>
      </c>
      <c r="D7" t="inlineStr">
        <is>
          <t>メインHard1-6</t>
        </is>
      </c>
      <c r="F7" t="inlineStr">
        <is>
          <t>SRキャラGET2</t>
        </is>
      </c>
      <c r="G7" t="inlineStr">
        <is>
          <t>SSRキャラGET2</t>
        </is>
      </c>
      <c r="H7" t="inlineStr">
        <is>
          <t>原画3</t>
        </is>
      </c>
      <c r="I7" t="inlineStr">
        <is>
          <t>スコチャレ3</t>
        </is>
      </c>
    </row>
    <row r="8">
      <c r="B8" t="n">
        <v>25</v>
      </c>
      <c r="C8" t="inlineStr">
        <is>
          <t>メインNormal15~16</t>
        </is>
      </c>
      <c r="I8" t="inlineStr">
        <is>
          <t>スコチャレ4</t>
        </is>
      </c>
    </row>
    <row r="9">
      <c r="B9" t="n">
        <v>30</v>
      </c>
      <c r="D9" t="inlineStr">
        <is>
          <t>メインHard7-12</t>
        </is>
      </c>
      <c r="E9" t="inlineStr">
        <is>
          <t>メインVHard1-8</t>
        </is>
      </c>
      <c r="F9" t="inlineStr">
        <is>
          <t>SRキャラGET3</t>
        </is>
      </c>
      <c r="H9" t="inlineStr">
        <is>
          <t>原画4</t>
        </is>
      </c>
      <c r="I9" t="inlineStr">
        <is>
          <t>スコチャレ5</t>
        </is>
      </c>
      <c r="J9" t="inlineStr">
        <is>
          <t>高難度1</t>
        </is>
      </c>
    </row>
    <row r="10">
      <c r="B10" t="n">
        <v>35</v>
      </c>
    </row>
    <row r="11">
      <c r="B11" t="n">
        <v>40</v>
      </c>
      <c r="D11" t="inlineStr">
        <is>
          <t>メインHard13~16</t>
        </is>
      </c>
      <c r="E11" t="inlineStr">
        <is>
          <t>メインVHard9-16</t>
        </is>
      </c>
      <c r="G11" t="inlineStr">
        <is>
          <t>SSRキャラGET3</t>
        </is>
      </c>
    </row>
    <row r="12">
      <c r="B12" t="n">
        <v>45</v>
      </c>
    </row>
    <row r="13">
      <c r="B13" t="n">
        <v>50</v>
      </c>
      <c r="J13" t="inlineStr">
        <is>
          <t>高難度2</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sheetData>
    <row r="1">
      <c r="A1" t="inlineStr">
        <is>
          <t>行パターンID</t>
        </is>
      </c>
      <c r="B1" t="inlineStr">
        <is>
          <t>コマ数</t>
        </is>
      </c>
      <c r="C1" t="inlineStr">
        <is>
          <t>パターン</t>
        </is>
      </c>
      <c r="D1" t="inlineStr">
        <is>
          <t>コマ幅1</t>
        </is>
      </c>
      <c r="E1" t="inlineStr">
        <is>
          <t>コマ幅2</t>
        </is>
      </c>
      <c r="F1" t="inlineStr">
        <is>
          <t>コマ幅3</t>
        </is>
      </c>
      <c r="G1" t="inlineStr">
        <is>
          <t>コマ幅4</t>
        </is>
      </c>
      <c r="H1" t="inlineStr">
        <is>
          <t>使用可能デプロイ</t>
        </is>
      </c>
    </row>
    <row r="2">
      <c r="A2" t="n">
        <v>1</v>
      </c>
      <c r="B2" t="inlineStr">
        <is>
          <t>1コマ</t>
        </is>
      </c>
      <c r="C2" t="inlineStr">
        <is>
          <t>1コマのみ</t>
        </is>
      </c>
      <c r="D2" t="n">
        <v>1</v>
      </c>
      <c r="H2" t="inlineStr">
        <is>
          <t>実装済み</t>
        </is>
      </c>
    </row>
    <row r="3">
      <c r="A3" t="n">
        <v>2</v>
      </c>
      <c r="B3" t="inlineStr">
        <is>
          <t>2コマ</t>
        </is>
      </c>
      <c r="C3" t="inlineStr">
        <is>
          <t>右ちょい長2コマ</t>
        </is>
      </c>
      <c r="D3" t="n">
        <v>0.6</v>
      </c>
      <c r="E3" t="n">
        <v>0.4</v>
      </c>
      <c r="H3" t="inlineStr">
        <is>
          <t>実装済み</t>
        </is>
      </c>
    </row>
    <row r="4">
      <c r="A4" t="n">
        <v>3</v>
      </c>
      <c r="B4" t="inlineStr">
        <is>
          <t>2コマ</t>
        </is>
      </c>
      <c r="C4" t="inlineStr">
        <is>
          <t>左ちょい長2コマ</t>
        </is>
      </c>
      <c r="D4" t="n">
        <v>0.4</v>
      </c>
      <c r="E4" t="n">
        <v>0.6</v>
      </c>
      <c r="H4" t="inlineStr">
        <is>
          <t>実装済み</t>
        </is>
      </c>
    </row>
    <row r="5">
      <c r="A5" t="n">
        <v>4</v>
      </c>
      <c r="B5" t="inlineStr">
        <is>
          <t>2コマ</t>
        </is>
      </c>
      <c r="C5" t="inlineStr">
        <is>
          <t>がっつり右長2コマ</t>
        </is>
      </c>
      <c r="D5" t="n">
        <v>0.75</v>
      </c>
      <c r="E5" t="n">
        <v>0.25</v>
      </c>
      <c r="H5" t="inlineStr">
        <is>
          <t>実装済み</t>
        </is>
      </c>
    </row>
    <row r="6">
      <c r="A6" t="n">
        <v>5</v>
      </c>
      <c r="B6" t="inlineStr">
        <is>
          <t>2コマ</t>
        </is>
      </c>
      <c r="C6" t="inlineStr">
        <is>
          <t>がっつり左長2コマ</t>
        </is>
      </c>
      <c r="D6" t="n">
        <v>0.25</v>
      </c>
      <c r="E6" t="n">
        <v>0.75</v>
      </c>
      <c r="H6" t="inlineStr">
        <is>
          <t>実装済み</t>
        </is>
      </c>
    </row>
    <row r="7">
      <c r="A7" t="n">
        <v>6</v>
      </c>
      <c r="B7" t="inlineStr">
        <is>
          <t>2コマ</t>
        </is>
      </c>
      <c r="C7" t="inlineStr">
        <is>
          <t>2等分</t>
        </is>
      </c>
      <c r="D7" t="n">
        <v>0.5</v>
      </c>
      <c r="E7" t="n">
        <v>0.5</v>
      </c>
      <c r="H7" t="inlineStr">
        <is>
          <t>実装済み</t>
        </is>
      </c>
    </row>
    <row r="8">
      <c r="A8" t="n">
        <v>7</v>
      </c>
      <c r="B8" t="inlineStr">
        <is>
          <t>3コマ</t>
        </is>
      </c>
      <c r="C8" t="inlineStr">
        <is>
          <t>3等分</t>
        </is>
      </c>
      <c r="D8" t="n">
        <v>0.33</v>
      </c>
      <c r="E8" t="n">
        <v>0.34</v>
      </c>
      <c r="F8" t="n">
        <v>0.33</v>
      </c>
      <c r="H8" t="inlineStr">
        <is>
          <t>実装済み</t>
        </is>
      </c>
    </row>
    <row r="9">
      <c r="A9" t="n">
        <v>8</v>
      </c>
      <c r="B9" t="inlineStr">
        <is>
          <t>3コマ</t>
        </is>
      </c>
      <c r="C9" t="inlineStr">
        <is>
          <t>右広い</t>
        </is>
      </c>
      <c r="D9" t="n">
        <v>0.5</v>
      </c>
      <c r="E9" t="n">
        <v>0.25</v>
      </c>
      <c r="F9" t="n">
        <v>0.25</v>
      </c>
      <c r="H9" t="inlineStr">
        <is>
          <t>実装済み</t>
        </is>
      </c>
    </row>
    <row r="10">
      <c r="A10" t="n">
        <v>9</v>
      </c>
      <c r="B10" t="inlineStr">
        <is>
          <t>3コマ</t>
        </is>
      </c>
      <c r="C10" t="inlineStr">
        <is>
          <t>中央広い</t>
        </is>
      </c>
      <c r="D10" t="n">
        <v>0.25</v>
      </c>
      <c r="E10" t="n">
        <v>0.5</v>
      </c>
      <c r="F10" t="n">
        <v>0.25</v>
      </c>
      <c r="H10" t="inlineStr">
        <is>
          <t>実装済み</t>
        </is>
      </c>
    </row>
    <row r="11">
      <c r="A11" t="n">
        <v>10</v>
      </c>
      <c r="B11" t="inlineStr">
        <is>
          <t>3コマ</t>
        </is>
      </c>
      <c r="C11" t="inlineStr">
        <is>
          <t>左広い</t>
        </is>
      </c>
      <c r="D11" t="n">
        <v>0.25</v>
      </c>
      <c r="E11" t="n">
        <v>0.25</v>
      </c>
      <c r="F11" t="n">
        <v>0.5</v>
      </c>
      <c r="H11" t="inlineStr">
        <is>
          <t>実装済み</t>
        </is>
      </c>
    </row>
    <row r="12">
      <c r="A12" t="n">
        <v>11</v>
      </c>
      <c r="B12" t="inlineStr">
        <is>
          <t>3コマ</t>
        </is>
      </c>
      <c r="C12" t="inlineStr">
        <is>
          <t>中央狭い</t>
        </is>
      </c>
      <c r="D12" t="n">
        <v>0.4</v>
      </c>
      <c r="E12" t="n">
        <v>0.2</v>
      </c>
      <c r="F12" t="n">
        <v>0.4</v>
      </c>
      <c r="H12" t="inlineStr">
        <is>
          <t>実装済み</t>
        </is>
      </c>
    </row>
    <row r="13">
      <c r="A13" t="n">
        <v>12</v>
      </c>
      <c r="B13" t="inlineStr">
        <is>
          <t>4コマ</t>
        </is>
      </c>
      <c r="C13" t="inlineStr">
        <is>
          <t>4等分</t>
        </is>
      </c>
      <c r="D13" t="n">
        <v>0.25</v>
      </c>
      <c r="E13" t="n">
        <v>0.25</v>
      </c>
      <c r="F13" t="n">
        <v>0.25</v>
      </c>
      <c r="G13" t="n">
        <v>0.25</v>
      </c>
      <c r="H13" t="inlineStr">
        <is>
          <t>実装済み</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効果内容</t>
        </is>
      </c>
      <c r="B1" t="inlineStr">
        <is>
          <t>効果param</t>
        </is>
      </c>
    </row>
    <row r="2">
      <c r="A2" t="inlineStr">
        <is>
          <t>攻撃力upコマ</t>
        </is>
      </c>
      <c r="B2" t="inlineStr">
        <is>
          <t>AttackPowerUp</t>
        </is>
      </c>
    </row>
    <row r="3">
      <c r="A3" t="inlineStr">
        <is>
          <t>攻撃力downコマ</t>
        </is>
      </c>
      <c r="B3" t="inlineStr">
        <is>
          <t>AttackPowerDown</t>
        </is>
      </c>
    </row>
    <row r="4">
      <c r="A4" t="inlineStr">
        <is>
          <t>移動スピードupコマ</t>
        </is>
      </c>
      <c r="B4" t="inlineStr">
        <is>
          <t>MoveSpeedUp</t>
        </is>
      </c>
    </row>
    <row r="5">
      <c r="A5" t="inlineStr">
        <is>
          <t>ダメージコマ</t>
        </is>
      </c>
      <c r="B5" t="inlineStr">
        <is>
          <t>SlipDamage</t>
        </is>
      </c>
    </row>
    <row r="6">
      <c r="A6" t="inlineStr">
        <is>
          <t>突風コマ</t>
        </is>
      </c>
      <c r="B6" t="inlineStr">
        <is>
          <t>Gust</t>
        </is>
      </c>
    </row>
    <row r="7">
      <c r="A7" t="inlineStr">
        <is>
          <t>毒コマ</t>
        </is>
      </c>
      <c r="B7" t="inlineStr">
        <is>
          <t>Poison</t>
        </is>
      </c>
    </row>
    <row r="8">
      <c r="A8" t="inlineStr">
        <is>
          <t>暗闇コマ</t>
        </is>
      </c>
      <c r="B8" t="inlineStr">
        <is>
          <t>Darkness</t>
        </is>
      </c>
    </row>
    <row r="9">
      <c r="A9" t="inlineStr">
        <is>
          <t>火傷コマ</t>
        </is>
      </c>
      <c r="B9" t="inlineStr">
        <is>
          <t>Burn</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T13"/>
  <sheetViews>
    <sheetView workbookViewId="0">
      <selection activeCell="A1" sqref="A1"/>
    </sheetView>
  </sheetViews>
  <sheetFormatPr baseColWidth="8" defaultRowHeight="15"/>
  <sheetData>
    <row r="1">
      <c r="A1" t="inlineStr">
        <is>
          <t>param</t>
        </is>
      </c>
      <c r="B1" t="inlineStr">
        <is>
          <t>出現トリガー説明</t>
        </is>
      </c>
      <c r="D1" t="inlineStr">
        <is>
          <t>param</t>
        </is>
      </c>
      <c r="E1" t="inlineStr">
        <is>
          <t>登場内容</t>
        </is>
      </c>
      <c r="G1" t="inlineStr">
        <is>
          <t>param</t>
        </is>
      </c>
      <c r="H1" t="inlineStr">
        <is>
          <t>歩き出し内容</t>
        </is>
      </c>
      <c r="J1" t="inlineStr">
        <is>
          <t>param</t>
        </is>
      </c>
      <c r="K1" t="inlineStr">
        <is>
          <t>移動停止</t>
        </is>
      </c>
      <c r="M1" t="inlineStr">
        <is>
          <t>transformationConditionType</t>
        </is>
      </c>
      <c r="N1" t="inlineStr">
        <is>
          <t>変身条件</t>
        </is>
      </c>
      <c r="P1" t="inlineStr">
        <is>
          <t>aura_type</t>
        </is>
      </c>
      <c r="Q1" t="inlineStr">
        <is>
          <t>内容</t>
        </is>
      </c>
      <c r="S1" t="inlineStr">
        <is>
          <t>death_type</t>
        </is>
      </c>
    </row>
    <row r="2">
      <c r="A2" t="inlineStr">
        <is>
          <t>未入力</t>
        </is>
      </c>
      <c r="D2" t="inlineStr">
        <is>
          <t>None</t>
        </is>
      </c>
      <c r="E2" t="inlineStr">
        <is>
          <t>ノーマル</t>
        </is>
      </c>
      <c r="G2" t="inlineStr">
        <is>
          <t>None</t>
        </is>
      </c>
      <c r="H2" t="inlineStr">
        <is>
          <t>なにもなし</t>
        </is>
      </c>
      <c r="J2" t="inlineStr">
        <is>
          <t>None</t>
        </is>
      </c>
      <c r="K2" t="inlineStr">
        <is>
          <t>なにもなし</t>
        </is>
      </c>
      <c r="M2" t="inlineStr">
        <is>
          <t>None</t>
        </is>
      </c>
      <c r="N2" t="inlineStr">
        <is>
          <t>なにもなし</t>
        </is>
      </c>
      <c r="P2" t="inlineStr">
        <is>
          <t>Default</t>
        </is>
      </c>
      <c r="Q2" t="inlineStr">
        <is>
          <t>オーラなし</t>
        </is>
      </c>
      <c r="S2" t="inlineStr">
        <is>
          <t>Normal</t>
        </is>
      </c>
      <c r="T2" t="inlineStr">
        <is>
          <t>通常死亡</t>
        </is>
      </c>
    </row>
    <row r="3">
      <c r="A3" t="inlineStr">
        <is>
          <t>ElapsedTime</t>
        </is>
      </c>
      <c r="B3" t="inlineStr">
        <is>
          <t>時間経過毎</t>
        </is>
      </c>
      <c r="D3" t="inlineStr">
        <is>
          <t>Fall0</t>
        </is>
      </c>
      <c r="E3" t="inlineStr">
        <is>
          <t>高さ0登場</t>
        </is>
      </c>
      <c r="G3" t="inlineStr">
        <is>
          <t>ElapsedTime</t>
        </is>
      </c>
      <c r="H3" t="inlineStr">
        <is>
          <t>時間経過歩き出し</t>
        </is>
      </c>
      <c r="J3" t="inlineStr">
        <is>
          <t>ElapsedTime</t>
        </is>
      </c>
      <c r="K3" t="inlineStr">
        <is>
          <t>時間経過停止</t>
        </is>
      </c>
      <c r="M3" t="inlineStr">
        <is>
          <t>HpPercentage</t>
        </is>
      </c>
      <c r="N3" t="inlineStr">
        <is>
          <t>HPパーセンテージ</t>
        </is>
      </c>
      <c r="P3" t="inlineStr">
        <is>
          <t>Boss</t>
        </is>
      </c>
      <c r="Q3" t="inlineStr">
        <is>
          <t>通常ボスオーラ（※kindがbossの場合使用なし）</t>
        </is>
      </c>
      <c r="S3" t="inlineStr">
        <is>
          <t>Escape</t>
        </is>
      </c>
      <c r="T3" t="inlineStr">
        <is>
          <t>撤退</t>
        </is>
      </c>
    </row>
    <row r="4">
      <c r="A4" t="inlineStr">
        <is>
          <t>OutpostDamage</t>
        </is>
      </c>
      <c r="B4" t="inlineStr">
        <is>
          <t>ゲートHPがn値削れたら</t>
        </is>
      </c>
      <c r="D4" t="inlineStr">
        <is>
          <t>Fall</t>
        </is>
      </c>
      <c r="E4" t="inlineStr">
        <is>
          <t>落下登場</t>
        </is>
      </c>
      <c r="G4" t="inlineStr">
        <is>
          <t>FoeEnterSameKoma</t>
        </is>
      </c>
      <c r="H4" t="inlineStr">
        <is>
          <t>自分のコマ侵入時</t>
        </is>
      </c>
      <c r="J4" t="inlineStr">
        <is>
          <t>TargetPosition</t>
        </is>
      </c>
      <c r="K4" t="inlineStr">
        <is>
          <t>特定ポジションまで</t>
        </is>
      </c>
      <c r="M4" t="inlineStr">
        <is>
          <t>StageTime</t>
        </is>
      </c>
      <c r="N4" t="inlineStr">
        <is>
          <t>バトル開始時間</t>
        </is>
      </c>
      <c r="P4" t="inlineStr">
        <is>
          <t>AdventBoss1</t>
        </is>
      </c>
      <c r="Q4" t="inlineStr">
        <is>
          <t>降臨バトルオーラ1</t>
        </is>
      </c>
    </row>
    <row r="5">
      <c r="A5" t="inlineStr">
        <is>
          <t>OutpostHpPercentage</t>
        </is>
      </c>
      <c r="B5" t="inlineStr">
        <is>
          <t>ゲートHPがn%削れたら</t>
        </is>
      </c>
      <c r="D5" t="inlineStr">
        <is>
          <t>Fall4</t>
        </is>
      </c>
      <c r="E5" t="inlineStr">
        <is>
          <t>とても高いところから登場</t>
        </is>
      </c>
      <c r="G5" t="inlineStr">
        <is>
          <t>EnterTargetKoma</t>
        </is>
      </c>
      <c r="H5" t="inlineStr">
        <is>
          <t>指定コマ侵入時</t>
        </is>
      </c>
      <c r="J5" t="inlineStr">
        <is>
          <t>PassedKomaCount</t>
        </is>
      </c>
      <c r="K5" t="inlineStr">
        <is>
          <t>移動開始してからの移動したコマ数</t>
        </is>
      </c>
      <c r="P5" t="inlineStr">
        <is>
          <t>AdventBoss2</t>
        </is>
      </c>
      <c r="Q5" t="inlineStr">
        <is>
          <t>降臨バトルオーラ2</t>
        </is>
      </c>
    </row>
    <row r="6">
      <c r="A6" t="inlineStr">
        <is>
          <t>InitialSummon</t>
        </is>
      </c>
      <c r="B6" t="inlineStr">
        <is>
          <t>nコマ目に配置指定</t>
        </is>
      </c>
      <c r="G6" t="inlineStr">
        <is>
          <t>Damage</t>
        </is>
      </c>
      <c r="H6" t="inlineStr">
        <is>
          <t>自身がダメージを受けたら</t>
        </is>
      </c>
      <c r="P6" t="inlineStr">
        <is>
          <t>AdventBoss3</t>
        </is>
      </c>
      <c r="Q6" t="inlineStr">
        <is>
          <t>降臨バトルオーラ3</t>
        </is>
      </c>
    </row>
    <row r="7">
      <c r="A7" t="inlineStr">
        <is>
          <t>EnterTargetKomaIndex</t>
        </is>
      </c>
      <c r="B7" t="inlineStr">
        <is>
          <t>nコマ目にキャラが侵入したら</t>
        </is>
      </c>
      <c r="G7" t="inlineStr">
        <is>
          <t>DeadFriendUnitCount</t>
        </is>
      </c>
      <c r="H7" t="inlineStr">
        <is>
          <t>ファントムがX体倒されたら</t>
        </is>
      </c>
    </row>
    <row r="8">
      <c r="A8" t="inlineStr">
        <is>
          <t>DarknessKomaCleared</t>
        </is>
      </c>
      <c r="B8" t="inlineStr">
        <is>
          <t>nコマ目の暗闇コマが晴れたら</t>
        </is>
      </c>
    </row>
    <row r="9">
      <c r="A9" t="inlineStr">
        <is>
          <t>FriendUnitDead</t>
        </is>
      </c>
      <c r="B9" t="inlineStr">
        <is>
          <t>sequence_element_id、「n」のエネミーが死んだら</t>
        </is>
      </c>
    </row>
    <row r="10">
      <c r="A10" t="inlineStr">
        <is>
          <t>FriendUnitTransform</t>
        </is>
      </c>
      <c r="B10" t="inlineStr">
        <is>
          <t>sequence_element_id、「n」のエネミーが変身したら</t>
        </is>
      </c>
    </row>
    <row r="11">
      <c r="A11" t="inlineStr">
        <is>
          <t>ElapsedTimeSinceSequenceGroupActivated</t>
        </is>
      </c>
      <c r="B11" t="inlineStr">
        <is>
          <t>sequence_group_id、「n」が活性化したら</t>
        </is>
      </c>
    </row>
    <row r="12">
      <c r="A12" t="inlineStr">
        <is>
          <t>None</t>
        </is>
      </c>
    </row>
    <row r="13">
      <c r="A13" t="inlineStr">
        <is>
          <t>FriendUnitSummoned</t>
        </is>
      </c>
      <c r="B13" t="inlineStr">
        <is>
          <t>ユニットが召喚されたら</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2:B17"/>
  <sheetViews>
    <sheetView workbookViewId="0">
      <selection activeCell="A1" sqref="A1"/>
    </sheetView>
  </sheetViews>
  <sheetFormatPr baseColWidth="8" defaultRowHeight="15"/>
  <sheetData>
    <row r="2">
      <c r="B2" t="inlineStr">
        <is>
          <t>事前準備</t>
        </is>
      </c>
    </row>
    <row r="4">
      <c r="B4" t="inlineStr">
        <is>
          <t>変身先になるEnemyIDやステータスを以下に登録しておく</t>
        </is>
      </c>
    </row>
    <row r="5">
      <c r="B5" t="inlineStr">
        <is>
          <t>・MstEnemyCharacter</t>
        </is>
      </c>
    </row>
    <row r="6">
      <c r="B6" t="inlineStr">
        <is>
          <t>・MstEnemyCharacterI18n</t>
        </is>
      </c>
    </row>
    <row r="7">
      <c r="B7" t="inlineStr">
        <is>
          <t>・MstEnemyStageParameter</t>
        </is>
      </c>
    </row>
    <row r="8">
      <c r="B8" t="inlineStr">
        <is>
          <t>・MstAttack</t>
        </is>
      </c>
    </row>
    <row r="9">
      <c r="B9" t="inlineStr">
        <is>
          <t>・MstAttackI18n</t>
        </is>
      </c>
    </row>
    <row r="10">
      <c r="B10" t="inlineStr">
        <is>
          <t>・MstAttackElement</t>
        </is>
      </c>
    </row>
    <row r="12">
      <c r="B12" t="inlineStr">
        <is>
          <t>設定方法</t>
        </is>
      </c>
    </row>
    <row r="14">
      <c r="B14" t="inlineStr">
        <is>
          <t>・「MstEnemyStageParameter」のT列「mstTransformationEnemyStageParameterId」に変身先の「MstEnemyCharacter ID」を入力</t>
        </is>
      </c>
    </row>
    <row r="15">
      <c r="B15" t="inlineStr">
        <is>
          <t>・「MstEnemyStageParameter」のU列「transformationConditionType」に変身条件を入力</t>
        </is>
      </c>
    </row>
    <row r="16">
      <c r="B16" t="inlineStr">
        <is>
          <t>→HpPercentageなど</t>
        </is>
      </c>
    </row>
    <row r="17">
      <c r="B17" t="inlineStr">
        <is>
          <t>・「MstEnemyStageParameter」のV列「transformationConditionValue」に変身条件数値を入力</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AD552"/>
  <sheetViews>
    <sheetView workbookViewId="0">
      <selection activeCell="A1" sqref="A1"/>
    </sheetView>
  </sheetViews>
  <sheetFormatPr baseColWidth="8" defaultRowHeight="15"/>
  <sheetData>
    <row r="1">
      <c r="A1">
        <f>IFERROR(__xludf.DUMMYFUNCTION("IMPORTRANGE(""https://docs.google.com/spreadsheets/d/1-a-cwR6zd3n4WYdDeMbaZ8h8KRnYlL8SOdp0o28XPPQ/edit#gid=0"",""ファントムマスター_イベント!A:ad"")"),"")</f>
        <v/>
      </c>
      <c r="B1">
        <f>IFERROR(__xludf.DUMMYFUNCTION("""COMPUTED_VALUE"""),"※同IDが存在してないように使用用途を識別に入力する。　「general」や「normal_01only」など")</f>
        <v/>
      </c>
      <c r="I1">
        <f>IFERROR(__xludf.DUMMYFUNCTION("""COMPUTED_VALUE"""),"※手打ち可能")</f>
        <v/>
      </c>
    </row>
    <row r="2">
      <c r="B2">
        <f>IFERROR(__xludf.DUMMYFUNCTION("""COMPUTED_VALUE"""),"master_id")</f>
        <v/>
      </c>
      <c r="C2">
        <f>IFERROR(__xludf.DUMMYFUNCTION("""COMPUTED_VALUE"""),"識別")</f>
        <v/>
      </c>
      <c r="D2">
        <f>IFERROR(__xludf.DUMMYFUNCTION("""COMPUTED_VALUE"""),"enemy_ID")</f>
        <v/>
      </c>
      <c r="E2">
        <f>IFERROR(__xludf.DUMMYFUNCTION("""COMPUTED_VALUE"""),"作品")</f>
        <v/>
      </c>
      <c r="F2">
        <f>IFERROR(__xludf.DUMMYFUNCTION("""COMPUTED_VALUE"""),"キャラ名(監修名)")</f>
        <v/>
      </c>
      <c r="G2">
        <f>IFERROR(__xludf.DUMMYFUNCTION("""COMPUTED_VALUE"""),"識別キャラ名")</f>
        <v/>
      </c>
      <c r="H2">
        <f>IFERROR(__xludf.DUMMYFUNCTION("""COMPUTED_VALUE"""),"unit_kind")</f>
        <v/>
      </c>
      <c r="I2">
        <f>IFERROR(__xludf.DUMMYFUNCTION("""COMPUTED_VALUE"""),"role_type")</f>
        <v/>
      </c>
      <c r="J2">
        <f>IFERROR(__xludf.DUMMYFUNCTION("""COMPUTED_VALUE"""),"color")</f>
        <v/>
      </c>
      <c r="K2">
        <f>IFERROR(__xludf.DUMMYFUNCTION("""COMPUTED_VALUE"""),"HP")</f>
        <v/>
      </c>
      <c r="L2">
        <f>IFERROR(__xludf.DUMMYFUNCTION("""COMPUTED_VALUE"""),"knock_back")</f>
        <v/>
      </c>
      <c r="M2">
        <f>IFERROR(__xludf.DUMMYFUNCTION("""COMPUTED_VALUE"""),"move_speed")</f>
        <v/>
      </c>
      <c r="N2">
        <f>IFERROR(__xludf.DUMMYFUNCTION("""COMPUTED_VALUE"""),"well_distance")</f>
        <v/>
      </c>
      <c r="O2">
        <f>IFERROR(__xludf.DUMMYFUNCTION("""COMPUTED_VALUE"""),"attack_power")</f>
        <v/>
      </c>
      <c r="P2">
        <f>IFERROR(__xludf.DUMMYFUNCTION("""COMPUTED_VALUE"""),"start_range")</f>
        <v/>
      </c>
      <c r="Q2">
        <f>IFERROR(__xludf.DUMMYFUNCTION("""COMPUTED_VALUE"""),"end_range")</f>
        <v/>
      </c>
      <c r="R2">
        <f>IFERROR(__xludf.DUMMYFUNCTION("""COMPUTED_VALUE"""),"攻撃範囲")</f>
        <v/>
      </c>
      <c r="S2">
        <f>IFERROR(__xludf.DUMMYFUNCTION("""COMPUTED_VALUE"""),"撃破リーダーP")</f>
        <v/>
      </c>
      <c r="T2">
        <f>IFERROR(__xludf.DUMMYFUNCTION("""COMPUTED_VALUE"""),"通常攻撃モーション秒")</f>
        <v/>
      </c>
      <c r="U2">
        <f>IFERROR(__xludf.DUMMYFUNCTION("""COMPUTED_VALUE"""),"通常攻撃発生秒")</f>
        <v/>
      </c>
      <c r="V2">
        <f>IFERROR(__xludf.DUMMYFUNCTION("""COMPUTED_VALUE"""),"通常攻撃CDF")</f>
        <v/>
      </c>
      <c r="W2">
        <f>IFERROR(__xludf.DUMMYFUNCTION("""COMPUTED_VALUE"""),"必殺攻撃モーション秒")</f>
        <v/>
      </c>
      <c r="X2">
        <f>IFERROR(__xludf.DUMMYFUNCTION("""COMPUTED_VALUE"""),"必殺攻撃発生秒")</f>
        <v/>
      </c>
      <c r="Y2">
        <f>IFERROR(__xludf.DUMMYFUNCTION("""COMPUTED_VALUE"""),"必殺ワザ内容")</f>
        <v/>
      </c>
      <c r="Z2">
        <f>IFERROR(__xludf.DUMMYFUNCTION("""COMPUTED_VALUE"""),"必殺発動回数")</f>
        <v/>
      </c>
      <c r="AA2">
        <f>IFERROR(__xludf.DUMMYFUNCTION("""COMPUTED_VALUE"""),"特性")</f>
        <v/>
      </c>
      <c r="AB2">
        <f>IFERROR(__xludf.DUMMYFUNCTION("""COMPUTED_VALUE"""),"オノマトペ")</f>
        <v/>
      </c>
      <c r="AC2">
        <f>IFERROR(__xludf.DUMMYFUNCTION("""COMPUTED_VALUE"""),"通常攻撃備考")</f>
        <v/>
      </c>
      <c r="AD2">
        <f>IFERROR(__xludf.DUMMYFUNCTION("""COMPUTED_VALUE"""),"備考")</f>
        <v/>
      </c>
    </row>
    <row r="3">
      <c r="D3">
        <f>IFERROR(__xludf.DUMMYFUNCTION("""COMPUTED_VALUE"""),"__Normal_")</f>
        <v/>
      </c>
      <c r="E3">
        <f>IFERROR(__xludf.DUMMYFUNCTION("""COMPUTED_VALUE"""),"none")</f>
        <v/>
      </c>
      <c r="F3">
        <f>IFERROR(__xludf.DUMMYFUNCTION("""COMPUTED_VALUE"""),"none")</f>
        <v/>
      </c>
      <c r="G3">
        <f>IFERROR(__xludf.DUMMYFUNCTION("""COMPUTED_VALUE"""),"none")</f>
        <v/>
      </c>
      <c r="H3">
        <f>IFERROR(__xludf.DUMMYFUNCTION("""COMPUTED_VALUE"""),"Normal")</f>
        <v/>
      </c>
      <c r="I3">
        <f>IFERROR(__xludf.DUMMYFUNCTION("""COMPUTED_VALUE"""),"none")</f>
        <v/>
      </c>
      <c r="T3">
        <f>IFERROR(__xludf.DUMMYFUNCTION("""COMPUTED_VALUE"""),"none")</f>
        <v/>
      </c>
      <c r="U3">
        <f>IFERROR(__xludf.DUMMYFUNCTION("""COMPUTED_VALUE"""),"none")</f>
        <v/>
      </c>
      <c r="W3">
        <f>IFERROR(__xludf.DUMMYFUNCTION("""COMPUTED_VALUE"""),"none")</f>
        <v/>
      </c>
      <c r="X3">
        <f>IFERROR(__xludf.DUMMYFUNCTION("""COMPUTED_VALUE"""),"none")</f>
        <v/>
      </c>
      <c r="AB3">
        <f>IFERROR(__xludf.DUMMYFUNCTION("""COMPUTED_VALUE"""),"none")</f>
        <v/>
      </c>
    </row>
    <row r="4">
      <c r="B4">
        <f>IFERROR(__xludf.DUMMYFUNCTION("""COMPUTED_VALUE"""),"enemy_glo_00001")</f>
        <v/>
      </c>
      <c r="C4">
        <f>IFERROR(__xludf.DUMMYFUNCTION("""COMPUTED_VALUE"""),"_event_spy1_artwork")</f>
        <v/>
      </c>
      <c r="D4">
        <f>IFERROR(__xludf.DUMMYFUNCTION("""COMPUTED_VALUE"""),"e_glo_00001_event_spy1_artwork_Normal_Colorless")</f>
        <v/>
      </c>
      <c r="E4">
        <f>IFERROR(__xludf.DUMMYFUNCTION("""COMPUTED_VALUE"""),"GLOW")</f>
        <v/>
      </c>
      <c r="F4">
        <f>IFERROR(__xludf.DUMMYFUNCTION("""COMPUTED_VALUE"""),"ファントム")</f>
        <v/>
      </c>
      <c r="G4">
        <f>IFERROR(__xludf.DUMMYFUNCTION("""COMPUTED_VALUE"""),"ファントム_event_spy1_artwork")</f>
        <v/>
      </c>
      <c r="H4">
        <f>IFERROR(__xludf.DUMMYFUNCTION("""COMPUTED_VALUE"""),"Normal")</f>
        <v/>
      </c>
      <c r="I4">
        <f>IFERROR(__xludf.DUMMYFUNCTION("""COMPUTED_VALUE"""),"Attack")</f>
        <v/>
      </c>
      <c r="J4">
        <f>IFERROR(__xludf.DUMMYFUNCTION("""COMPUTED_VALUE"""),"Colorless")</f>
        <v/>
      </c>
      <c r="K4">
        <f>IFERROR(__xludf.DUMMYFUNCTION("""COMPUTED_VALUE"""),3000.0)</f>
        <v/>
      </c>
      <c r="L4">
        <f>IFERROR(__xludf.DUMMYFUNCTION("""COMPUTED_VALUE"""),3.0)</f>
        <v/>
      </c>
      <c r="M4">
        <f>IFERROR(__xludf.DUMMYFUNCTION("""COMPUTED_VALUE"""),34.0)</f>
        <v/>
      </c>
      <c r="N4">
        <f>IFERROR(__xludf.DUMMYFUNCTION("""COMPUTED_VALUE"""),0.22)</f>
        <v/>
      </c>
      <c r="O4">
        <f>IFERROR(__xludf.DUMMYFUNCTION("""COMPUTED_VALUE"""),100.0)</f>
        <v/>
      </c>
      <c r="P4">
        <f>IFERROR(__xludf.DUMMYFUNCTION("""COMPUTED_VALUE"""),0.0)</f>
        <v/>
      </c>
      <c r="Q4">
        <f>IFERROR(__xludf.DUMMYFUNCTION("""COMPUTED_VALUE"""),0.23)</f>
        <v/>
      </c>
      <c r="R4">
        <f>IFERROR(__xludf.DUMMYFUNCTION("""COMPUTED_VALUE"""),1.0)</f>
        <v/>
      </c>
      <c r="S4">
        <f>IFERROR(__xludf.DUMMYFUNCTION("""COMPUTED_VALUE"""),300.0)</f>
        <v/>
      </c>
      <c r="T4">
        <f>IFERROR(__xludf.DUMMYFUNCTION("""COMPUTED_VALUE"""),"1.00")</f>
        <v/>
      </c>
      <c r="U4">
        <f>IFERROR(__xludf.DUMMYFUNCTION("""COMPUTED_VALUE"""),"0.50")</f>
        <v/>
      </c>
      <c r="V4">
        <f>IFERROR(__xludf.DUMMYFUNCTION("""COMPUTED_VALUE"""),50.0)</f>
        <v/>
      </c>
      <c r="AB4">
        <f>IFERROR(__xludf.DUMMYFUNCTION("""COMPUTED_VALUE"""),"dageki_1")</f>
        <v/>
      </c>
      <c r="AC4">
        <f>IFERROR(__xludf.DUMMYFUNCTION("""COMPUTED_VALUE"""),"test")</f>
        <v/>
      </c>
    </row>
    <row r="5">
      <c r="B5">
        <f>IFERROR(__xludf.DUMMYFUNCTION("""COMPUTED_VALUE"""),"enemy_glo_00001")</f>
        <v/>
      </c>
      <c r="C5">
        <f>IFERROR(__xludf.DUMMYFUNCTION("""COMPUTED_VALUE"""),"_event_spy1_artwork")</f>
        <v/>
      </c>
      <c r="D5">
        <f>IFERROR(__xludf.DUMMYFUNCTION("""COMPUTED_VALUE"""),"e_glo_00001_event_spy1_artwork_Boss_Colorless")</f>
        <v/>
      </c>
      <c r="E5">
        <f>IFERROR(__xludf.DUMMYFUNCTION("""COMPUTED_VALUE"""),"GLOW")</f>
        <v/>
      </c>
      <c r="F5">
        <f>IFERROR(__xludf.DUMMYFUNCTION("""COMPUTED_VALUE"""),"ファントム")</f>
        <v/>
      </c>
      <c r="G5">
        <f>IFERROR(__xludf.DUMMYFUNCTION("""COMPUTED_VALUE"""),"ファントム_event_spy1_artwork")</f>
        <v/>
      </c>
      <c r="H5">
        <f>IFERROR(__xludf.DUMMYFUNCTION("""COMPUTED_VALUE"""),"Boss")</f>
        <v/>
      </c>
      <c r="I5">
        <f>IFERROR(__xludf.DUMMYFUNCTION("""COMPUTED_VALUE"""),"Attack")</f>
        <v/>
      </c>
      <c r="J5">
        <f>IFERROR(__xludf.DUMMYFUNCTION("""COMPUTED_VALUE"""),"Colorless")</f>
        <v/>
      </c>
      <c r="K5">
        <f>IFERROR(__xludf.DUMMYFUNCTION("""COMPUTED_VALUE"""),5000.0)</f>
        <v/>
      </c>
      <c r="L5">
        <f>IFERROR(__xludf.DUMMYFUNCTION("""COMPUTED_VALUE"""),2.0)</f>
        <v/>
      </c>
      <c r="M5">
        <f>IFERROR(__xludf.DUMMYFUNCTION("""COMPUTED_VALUE"""),25.0)</f>
        <v/>
      </c>
      <c r="N5">
        <f>IFERROR(__xludf.DUMMYFUNCTION("""COMPUTED_VALUE"""),0.25)</f>
        <v/>
      </c>
      <c r="O5">
        <f>IFERROR(__xludf.DUMMYFUNCTION("""COMPUTED_VALUE"""),100.0)</f>
        <v/>
      </c>
      <c r="P5">
        <f>IFERROR(__xludf.DUMMYFUNCTION("""COMPUTED_VALUE"""),0.0)</f>
        <v/>
      </c>
      <c r="Q5">
        <f>IFERROR(__xludf.DUMMYFUNCTION("""COMPUTED_VALUE"""),0.23)</f>
        <v/>
      </c>
      <c r="R5">
        <f>IFERROR(__xludf.DUMMYFUNCTION("""COMPUTED_VALUE"""),1.0)</f>
        <v/>
      </c>
      <c r="S5">
        <f>IFERROR(__xludf.DUMMYFUNCTION("""COMPUTED_VALUE"""),500.0)</f>
        <v/>
      </c>
      <c r="T5">
        <f>IFERROR(__xludf.DUMMYFUNCTION("""COMPUTED_VALUE"""),"1.00")</f>
        <v/>
      </c>
      <c r="U5">
        <f>IFERROR(__xludf.DUMMYFUNCTION("""COMPUTED_VALUE"""),"0.50")</f>
        <v/>
      </c>
      <c r="V5">
        <f>IFERROR(__xludf.DUMMYFUNCTION("""COMPUTED_VALUE"""),100.0)</f>
        <v/>
      </c>
      <c r="AB5">
        <f>IFERROR(__xludf.DUMMYFUNCTION("""COMPUTED_VALUE"""),"dageki_1")</f>
        <v/>
      </c>
    </row>
    <row r="6">
      <c r="B6">
        <f>IFERROR(__xludf.DUMMYFUNCTION("""COMPUTED_VALUE"""),"enemy_glo_00001")</f>
        <v/>
      </c>
      <c r="C6">
        <f>IFERROR(__xludf.DUMMYFUNCTION("""COMPUTED_VALUE"""),"_event_spy1_artwork")</f>
        <v/>
      </c>
      <c r="D6">
        <f>IFERROR(__xludf.DUMMYFUNCTION("""COMPUTED_VALUE"""),"e_glo_00001_event_spy1_artwork_Boss_Yellow")</f>
        <v/>
      </c>
      <c r="E6">
        <f>IFERROR(__xludf.DUMMYFUNCTION("""COMPUTED_VALUE"""),"GLOW")</f>
        <v/>
      </c>
      <c r="F6">
        <f>IFERROR(__xludf.DUMMYFUNCTION("""COMPUTED_VALUE"""),"ファントム")</f>
        <v/>
      </c>
      <c r="G6">
        <f>IFERROR(__xludf.DUMMYFUNCTION("""COMPUTED_VALUE"""),"ファントム_event_spy1_artwork")</f>
        <v/>
      </c>
      <c r="H6">
        <f>IFERROR(__xludf.DUMMYFUNCTION("""COMPUTED_VALUE"""),"Boss")</f>
        <v/>
      </c>
      <c r="I6">
        <f>IFERROR(__xludf.DUMMYFUNCTION("""COMPUTED_VALUE"""),"Attack")</f>
        <v/>
      </c>
      <c r="J6">
        <f>IFERROR(__xludf.DUMMYFUNCTION("""COMPUTED_VALUE"""),"Yellow")</f>
        <v/>
      </c>
      <c r="K6">
        <f>IFERROR(__xludf.DUMMYFUNCTION("""COMPUTED_VALUE"""),5000.0)</f>
        <v/>
      </c>
      <c r="L6">
        <f>IFERROR(__xludf.DUMMYFUNCTION("""COMPUTED_VALUE"""),2.0)</f>
        <v/>
      </c>
      <c r="M6">
        <f>IFERROR(__xludf.DUMMYFUNCTION("""COMPUTED_VALUE"""),25.0)</f>
        <v/>
      </c>
      <c r="N6">
        <f>IFERROR(__xludf.DUMMYFUNCTION("""COMPUTED_VALUE"""),0.25)</f>
        <v/>
      </c>
      <c r="O6">
        <f>IFERROR(__xludf.DUMMYFUNCTION("""COMPUTED_VALUE"""),300.0)</f>
        <v/>
      </c>
      <c r="P6">
        <f>IFERROR(__xludf.DUMMYFUNCTION("""COMPUTED_VALUE"""),0.0)</f>
        <v/>
      </c>
      <c r="Q6">
        <f>IFERROR(__xludf.DUMMYFUNCTION("""COMPUTED_VALUE"""),0.26)</f>
        <v/>
      </c>
      <c r="R6">
        <f>IFERROR(__xludf.DUMMYFUNCTION("""COMPUTED_VALUE"""),1.0)</f>
        <v/>
      </c>
      <c r="S6">
        <f>IFERROR(__xludf.DUMMYFUNCTION("""COMPUTED_VALUE"""),500.0)</f>
        <v/>
      </c>
      <c r="T6">
        <f>IFERROR(__xludf.DUMMYFUNCTION("""COMPUTED_VALUE"""),"1.00")</f>
        <v/>
      </c>
      <c r="U6">
        <f>IFERROR(__xludf.DUMMYFUNCTION("""COMPUTED_VALUE"""),"0.50")</f>
        <v/>
      </c>
      <c r="V6">
        <f>IFERROR(__xludf.DUMMYFUNCTION("""COMPUTED_VALUE"""),100.0)</f>
        <v/>
      </c>
      <c r="AB6">
        <f>IFERROR(__xludf.DUMMYFUNCTION("""COMPUTED_VALUE"""),"dageki_1")</f>
        <v/>
      </c>
    </row>
    <row r="7">
      <c r="B7">
        <f>IFERROR(__xludf.DUMMYFUNCTION("""COMPUTED_VALUE"""),"enemy_glo_00001")</f>
        <v/>
      </c>
      <c r="C7">
        <f>IFERROR(__xludf.DUMMYFUNCTION("""COMPUTED_VALUE"""),"_event_spy1_artwork")</f>
        <v/>
      </c>
      <c r="D7">
        <f>IFERROR(__xludf.DUMMYFUNCTION("""COMPUTED_VALUE"""),"e_glo_00001_event_spy1_artwork_Boss_Blue")</f>
        <v/>
      </c>
      <c r="E7">
        <f>IFERROR(__xludf.DUMMYFUNCTION("""COMPUTED_VALUE"""),"GLOW")</f>
        <v/>
      </c>
      <c r="F7">
        <f>IFERROR(__xludf.DUMMYFUNCTION("""COMPUTED_VALUE"""),"ファントム")</f>
        <v/>
      </c>
      <c r="G7">
        <f>IFERROR(__xludf.DUMMYFUNCTION("""COMPUTED_VALUE"""),"ファントム_event_spy1_artwork")</f>
        <v/>
      </c>
      <c r="H7">
        <f>IFERROR(__xludf.DUMMYFUNCTION("""COMPUTED_VALUE"""),"Boss")</f>
        <v/>
      </c>
      <c r="I7">
        <f>IFERROR(__xludf.DUMMYFUNCTION("""COMPUTED_VALUE"""),"Attack")</f>
        <v/>
      </c>
      <c r="J7">
        <f>IFERROR(__xludf.DUMMYFUNCTION("""COMPUTED_VALUE"""),"Blue")</f>
        <v/>
      </c>
      <c r="K7">
        <f>IFERROR(__xludf.DUMMYFUNCTION("""COMPUTED_VALUE"""),5000.0)</f>
        <v/>
      </c>
      <c r="L7">
        <f>IFERROR(__xludf.DUMMYFUNCTION("""COMPUTED_VALUE"""),2.0)</f>
        <v/>
      </c>
      <c r="M7">
        <f>IFERROR(__xludf.DUMMYFUNCTION("""COMPUTED_VALUE"""),25.0)</f>
        <v/>
      </c>
      <c r="N7">
        <f>IFERROR(__xludf.DUMMYFUNCTION("""COMPUTED_VALUE"""),0.25)</f>
        <v/>
      </c>
      <c r="O7">
        <f>IFERROR(__xludf.DUMMYFUNCTION("""COMPUTED_VALUE"""),300.0)</f>
        <v/>
      </c>
      <c r="P7">
        <f>IFERROR(__xludf.DUMMYFUNCTION("""COMPUTED_VALUE"""),0.0)</f>
        <v/>
      </c>
      <c r="Q7">
        <f>IFERROR(__xludf.DUMMYFUNCTION("""COMPUTED_VALUE"""),0.26)</f>
        <v/>
      </c>
      <c r="R7">
        <f>IFERROR(__xludf.DUMMYFUNCTION("""COMPUTED_VALUE"""),1.0)</f>
        <v/>
      </c>
      <c r="S7">
        <f>IFERROR(__xludf.DUMMYFUNCTION("""COMPUTED_VALUE"""),500.0)</f>
        <v/>
      </c>
      <c r="T7">
        <f>IFERROR(__xludf.DUMMYFUNCTION("""COMPUTED_VALUE"""),"1.00")</f>
        <v/>
      </c>
      <c r="U7">
        <f>IFERROR(__xludf.DUMMYFUNCTION("""COMPUTED_VALUE"""),"0.50")</f>
        <v/>
      </c>
      <c r="V7">
        <f>IFERROR(__xludf.DUMMYFUNCTION("""COMPUTED_VALUE"""),100.0)</f>
        <v/>
      </c>
      <c r="AB7">
        <f>IFERROR(__xludf.DUMMYFUNCTION("""COMPUTED_VALUE"""),"dageki_1")</f>
        <v/>
      </c>
    </row>
    <row r="8">
      <c r="B8">
        <f>IFERROR(__xludf.DUMMYFUNCTION("""COMPUTED_VALUE"""),"enemy_glo_00001")</f>
        <v/>
      </c>
      <c r="C8">
        <f>IFERROR(__xludf.DUMMYFUNCTION("""COMPUTED_VALUE"""),"_isaoget")</f>
        <v/>
      </c>
      <c r="D8">
        <f>IFERROR(__xludf.DUMMYFUNCTION("""COMPUTED_VALUE"""),"e_glo_00001_isaoget_Normal_Yellow")</f>
        <v/>
      </c>
      <c r="E8">
        <f>IFERROR(__xludf.DUMMYFUNCTION("""COMPUTED_VALUE"""),"GLOW")</f>
        <v/>
      </c>
      <c r="F8">
        <f>IFERROR(__xludf.DUMMYFUNCTION("""COMPUTED_VALUE"""),"ファントム")</f>
        <v/>
      </c>
      <c r="G8">
        <f>IFERROR(__xludf.DUMMYFUNCTION("""COMPUTED_VALUE"""),"ファントム_isaoget")</f>
        <v/>
      </c>
      <c r="H8">
        <f>IFERROR(__xludf.DUMMYFUNCTION("""COMPUTED_VALUE"""),"Normal")</f>
        <v/>
      </c>
      <c r="I8">
        <f>IFERROR(__xludf.DUMMYFUNCTION("""COMPUTED_VALUE"""),"Attack")</f>
        <v/>
      </c>
      <c r="J8">
        <f>IFERROR(__xludf.DUMMYFUNCTION("""COMPUTED_VALUE"""),"Yellow")</f>
        <v/>
      </c>
      <c r="K8">
        <f>IFERROR(__xludf.DUMMYFUNCTION("""COMPUTED_VALUE"""),5000.0)</f>
        <v/>
      </c>
      <c r="L8">
        <f>IFERROR(__xludf.DUMMYFUNCTION("""COMPUTED_VALUE"""),2.0)</f>
        <v/>
      </c>
      <c r="M8">
        <f>IFERROR(__xludf.DUMMYFUNCTION("""COMPUTED_VALUE"""),31.0)</f>
        <v/>
      </c>
      <c r="N8">
        <f>IFERROR(__xludf.DUMMYFUNCTION("""COMPUTED_VALUE"""),0.2)</f>
        <v/>
      </c>
      <c r="O8">
        <f>IFERROR(__xludf.DUMMYFUNCTION("""COMPUTED_VALUE"""),300.0)</f>
        <v/>
      </c>
      <c r="P8">
        <f>IFERROR(__xludf.DUMMYFUNCTION("""COMPUTED_VALUE"""),0.0)</f>
        <v/>
      </c>
      <c r="Q8">
        <f>IFERROR(__xludf.DUMMYFUNCTION("""COMPUTED_VALUE"""),0.21)</f>
        <v/>
      </c>
      <c r="R8">
        <f>IFERROR(__xludf.DUMMYFUNCTION("""COMPUTED_VALUE"""),1.0)</f>
        <v/>
      </c>
      <c r="S8">
        <f>IFERROR(__xludf.DUMMYFUNCTION("""COMPUTED_VALUE"""),150.0)</f>
        <v/>
      </c>
      <c r="T8">
        <f>IFERROR(__xludf.DUMMYFUNCTION("""COMPUTED_VALUE"""),"1.00")</f>
        <v/>
      </c>
      <c r="U8">
        <f>IFERROR(__xludf.DUMMYFUNCTION("""COMPUTED_VALUE"""),"0.50")</f>
        <v/>
      </c>
      <c r="V8">
        <f>IFERROR(__xludf.DUMMYFUNCTION("""COMPUTED_VALUE"""),100.0)</f>
        <v/>
      </c>
      <c r="AB8">
        <f>IFERROR(__xludf.DUMMYFUNCTION("""COMPUTED_VALUE"""),"dageki_1")</f>
        <v/>
      </c>
    </row>
    <row r="9">
      <c r="F9">
        <f>IFERROR(__xludf.DUMMYFUNCTION("""COMPUTED_VALUE"""),"none")</f>
        <v/>
      </c>
      <c r="AB9">
        <f>IFERROR(__xludf.DUMMYFUNCTION("""COMPUTED_VALUE"""),"none")</f>
        <v/>
      </c>
    </row>
    <row r="10">
      <c r="B10">
        <f>IFERROR(__xludf.DUMMYFUNCTION("""COMPUTED_VALUE"""),"chara_kai_00001")</f>
        <v/>
      </c>
      <c r="C10">
        <f>IFERROR(__xludf.DUMMYFUNCTION("""COMPUTED_VALUE"""),"_1d1c")</f>
        <v/>
      </c>
      <c r="D10">
        <f>IFERROR(__xludf.DUMMYFUNCTION("""COMPUTED_VALUE"""),"c_kai_00001_1d1c_Boss_Colorless")</f>
        <v/>
      </c>
      <c r="E10">
        <f>IFERROR(__xludf.DUMMYFUNCTION("""COMPUTED_VALUE"""),"怪獣８号")</f>
        <v/>
      </c>
      <c r="F10">
        <f>IFERROR(__xludf.DUMMYFUNCTION("""COMPUTED_VALUE"""),"日比野 カフカ")</f>
        <v/>
      </c>
      <c r="G10">
        <f>IFERROR(__xludf.DUMMYFUNCTION("""COMPUTED_VALUE"""),"日比野 カフカ_1d1c")</f>
        <v/>
      </c>
      <c r="H10">
        <f>IFERROR(__xludf.DUMMYFUNCTION("""COMPUTED_VALUE"""),"Boss")</f>
        <v/>
      </c>
      <c r="I10">
        <f>IFERROR(__xludf.DUMMYFUNCTION("""COMPUTED_VALUE"""),"Attack")</f>
        <v/>
      </c>
      <c r="J10">
        <f>IFERROR(__xludf.DUMMYFUNCTION("""COMPUTED_VALUE"""),"Colorless")</f>
        <v/>
      </c>
      <c r="K10">
        <f>IFERROR(__xludf.DUMMYFUNCTION("""COMPUTED_VALUE"""),10000.0)</f>
        <v/>
      </c>
      <c r="L10">
        <f>IFERROR(__xludf.DUMMYFUNCTION("""COMPUTED_VALUE"""),2.0)</f>
        <v/>
      </c>
      <c r="M10">
        <f>IFERROR(__xludf.DUMMYFUNCTION("""COMPUTED_VALUE"""),10.0)</f>
        <v/>
      </c>
      <c r="N10">
        <f>IFERROR(__xludf.DUMMYFUNCTION("""COMPUTED_VALUE"""),0.17)</f>
        <v/>
      </c>
      <c r="O10">
        <f>IFERROR(__xludf.DUMMYFUNCTION("""COMPUTED_VALUE"""),100.0)</f>
        <v/>
      </c>
      <c r="P10">
        <f>IFERROR(__xludf.DUMMYFUNCTION("""COMPUTED_VALUE"""),0.0)</f>
        <v/>
      </c>
      <c r="Q10">
        <f>IFERROR(__xludf.DUMMYFUNCTION("""COMPUTED_VALUE"""),0.23)</f>
        <v/>
      </c>
      <c r="R10">
        <f>IFERROR(__xludf.DUMMYFUNCTION("""COMPUTED_VALUE"""),100.0)</f>
        <v/>
      </c>
      <c r="S10">
        <f>IFERROR(__xludf.DUMMYFUNCTION("""COMPUTED_VALUE"""),1000.0)</f>
        <v/>
      </c>
      <c r="T10">
        <f>IFERROR(__xludf.DUMMYFUNCTION("""COMPUTED_VALUE"""),"1.83")</f>
        <v/>
      </c>
      <c r="U10">
        <f>IFERROR(__xludf.DUMMYFUNCTION("""COMPUTED_VALUE"""),"1.00")</f>
        <v/>
      </c>
      <c r="V10">
        <f>IFERROR(__xludf.DUMMYFUNCTION("""COMPUTED_VALUE"""),75.0)</f>
        <v/>
      </c>
      <c r="W10">
        <f>IFERROR(__xludf.DUMMYFUNCTION("""COMPUTED_VALUE"""),"2.33")</f>
        <v/>
      </c>
      <c r="X10">
        <f>IFERROR(__xludf.DUMMYFUNCTION("""COMPUTED_VALUE"""),"1.33")</f>
        <v/>
      </c>
      <c r="Y10">
        <f>IFERROR(__xludf.DUMMYFUNCTION("""COMPUTED_VALUE"""),"単体に攻撃")</f>
        <v/>
      </c>
      <c r="Z10">
        <f>IFERROR(__xludf.DUMMYFUNCTION("""COMPUTED_VALUE"""),5.0)</f>
        <v/>
      </c>
      <c r="AB10">
        <f>IFERROR(__xludf.DUMMYFUNCTION("""COMPUTED_VALUE"""),"dageki_1")</f>
        <v/>
      </c>
      <c r="AD10">
        <f>IFERROR(__xludf.DUMMYFUNCTION("""COMPUTED_VALUE"""),"アニメーションを見せるだけ")</f>
        <v/>
      </c>
    </row>
    <row r="11">
      <c r="B11">
        <f>IFERROR(__xludf.DUMMYFUNCTION("""COMPUTED_VALUE"""),"chara_kai_00001")</f>
        <v/>
      </c>
      <c r="C11">
        <f>IFERROR(__xludf.DUMMYFUNCTION("""COMPUTED_VALUE"""),"_iharuget")</f>
        <v/>
      </c>
      <c r="D11">
        <f>IFERROR(__xludf.DUMMYFUNCTION("""COMPUTED_VALUE"""),"c_kai_00001_iharuget_Normal_Yellow")</f>
        <v/>
      </c>
      <c r="E11">
        <f>IFERROR(__xludf.DUMMYFUNCTION("""COMPUTED_VALUE"""),"怪獣８号")</f>
        <v/>
      </c>
      <c r="F11">
        <f>IFERROR(__xludf.DUMMYFUNCTION("""COMPUTED_VALUE"""),"日比野 カフカ")</f>
        <v/>
      </c>
      <c r="G11">
        <f>IFERROR(__xludf.DUMMYFUNCTION("""COMPUTED_VALUE"""),"日比野 カフカ_iharuget")</f>
        <v/>
      </c>
      <c r="H11">
        <f>IFERROR(__xludf.DUMMYFUNCTION("""COMPUTED_VALUE"""),"Normal")</f>
        <v/>
      </c>
      <c r="I11">
        <f>IFERROR(__xludf.DUMMYFUNCTION("""COMPUTED_VALUE"""),"Defense")</f>
        <v/>
      </c>
      <c r="J11">
        <f>IFERROR(__xludf.DUMMYFUNCTION("""COMPUTED_VALUE"""),"Yellow")</f>
        <v/>
      </c>
      <c r="K11">
        <f>IFERROR(__xludf.DUMMYFUNCTION("""COMPUTED_VALUE"""),10000.0)</f>
        <v/>
      </c>
      <c r="L11">
        <f>IFERROR(__xludf.DUMMYFUNCTION("""COMPUTED_VALUE"""),2.0)</f>
        <v/>
      </c>
      <c r="M11">
        <f>IFERROR(__xludf.DUMMYFUNCTION("""COMPUTED_VALUE"""),10.0)</f>
        <v/>
      </c>
      <c r="N11">
        <f>IFERROR(__xludf.DUMMYFUNCTION("""COMPUTED_VALUE"""),0.17)</f>
        <v/>
      </c>
      <c r="O11">
        <f>IFERROR(__xludf.DUMMYFUNCTION("""COMPUTED_VALUE"""),100.0)</f>
        <v/>
      </c>
      <c r="P11">
        <f>IFERROR(__xludf.DUMMYFUNCTION("""COMPUTED_VALUE"""),0.0)</f>
        <v/>
      </c>
      <c r="Q11">
        <f>IFERROR(__xludf.DUMMYFUNCTION("""COMPUTED_VALUE"""),0.23)</f>
        <v/>
      </c>
      <c r="R11">
        <f>IFERROR(__xludf.DUMMYFUNCTION("""COMPUTED_VALUE"""),100.0)</f>
        <v/>
      </c>
      <c r="S11">
        <f>IFERROR(__xludf.DUMMYFUNCTION("""COMPUTED_VALUE"""),500.0)</f>
        <v/>
      </c>
      <c r="T11">
        <f>IFERROR(__xludf.DUMMYFUNCTION("""COMPUTED_VALUE"""),"1.83")</f>
        <v/>
      </c>
      <c r="U11">
        <f>IFERROR(__xludf.DUMMYFUNCTION("""COMPUTED_VALUE"""),"1.00")</f>
        <v/>
      </c>
      <c r="V11">
        <f>IFERROR(__xludf.DUMMYFUNCTION("""COMPUTED_VALUE"""),75.0)</f>
        <v/>
      </c>
      <c r="W11">
        <f>IFERROR(__xludf.DUMMYFUNCTION("""COMPUTED_VALUE"""),"2.33")</f>
        <v/>
      </c>
      <c r="X11">
        <f>IFERROR(__xludf.DUMMYFUNCTION("""COMPUTED_VALUE"""),"1.33")</f>
        <v/>
      </c>
      <c r="Y11">
        <f>IFERROR(__xludf.DUMMYFUNCTION("""COMPUTED_VALUE"""),"単体に攻撃")</f>
        <v/>
      </c>
      <c r="Z11">
        <f>IFERROR(__xludf.DUMMYFUNCTION("""COMPUTED_VALUE"""),5.0)</f>
        <v/>
      </c>
      <c r="AB11">
        <f>IFERROR(__xludf.DUMMYFUNCTION("""COMPUTED_VALUE"""),"dageki_1")</f>
        <v/>
      </c>
      <c r="AD11">
        <f>IFERROR(__xludf.DUMMYFUNCTION("""COMPUTED_VALUE"""),"アニメーションを見せるだけ")</f>
        <v/>
      </c>
    </row>
    <row r="12">
      <c r="B12">
        <f>IFERROR(__xludf.DUMMYFUNCTION("""COMPUTED_VALUE"""),"chara_kai_00601")</f>
        <v/>
      </c>
      <c r="C12">
        <f>IFERROR(__xludf.DUMMYFUNCTION("""COMPUTED_VALUE"""),"_iharuget")</f>
        <v/>
      </c>
      <c r="D12">
        <f>IFERROR(__xludf.DUMMYFUNCTION("""COMPUTED_VALUE"""),"c_kai_00601_iharuget_Normal_Yellow")</f>
        <v/>
      </c>
      <c r="E12">
        <f>IFERROR(__xludf.DUMMYFUNCTION("""COMPUTED_VALUE"""),"怪獣８号")</f>
        <v/>
      </c>
      <c r="F12">
        <f>IFERROR(__xludf.DUMMYFUNCTION("""COMPUTED_VALUE"""),"古橋 伊春")</f>
        <v/>
      </c>
      <c r="G12">
        <f>IFERROR(__xludf.DUMMYFUNCTION("""COMPUTED_VALUE"""),"古橋 伊春_iharuget")</f>
        <v/>
      </c>
      <c r="H12">
        <f>IFERROR(__xludf.DUMMYFUNCTION("""COMPUTED_VALUE"""),"Normal")</f>
        <v/>
      </c>
      <c r="I12">
        <f>IFERROR(__xludf.DUMMYFUNCTION("""COMPUTED_VALUE"""),"Attack")</f>
        <v/>
      </c>
      <c r="J12">
        <f>IFERROR(__xludf.DUMMYFUNCTION("""COMPUTED_VALUE"""),"Yellow")</f>
        <v/>
      </c>
      <c r="K12">
        <f>IFERROR(__xludf.DUMMYFUNCTION("""COMPUTED_VALUE"""),10000.0)</f>
        <v/>
      </c>
      <c r="L12">
        <f>IFERROR(__xludf.DUMMYFUNCTION("""COMPUTED_VALUE"""),3.0)</f>
        <v/>
      </c>
      <c r="M12">
        <f>IFERROR(__xludf.DUMMYFUNCTION("""COMPUTED_VALUE"""),25.0)</f>
        <v/>
      </c>
      <c r="N12">
        <f>IFERROR(__xludf.DUMMYFUNCTION("""COMPUTED_VALUE"""),0.3)</f>
        <v/>
      </c>
      <c r="O12">
        <f>IFERROR(__xludf.DUMMYFUNCTION("""COMPUTED_VALUE"""),500.0)</f>
        <v/>
      </c>
      <c r="P12">
        <f>IFERROR(__xludf.DUMMYFUNCTION("""COMPUTED_VALUE"""),0.0)</f>
        <v/>
      </c>
      <c r="Q12">
        <f>IFERROR(__xludf.DUMMYFUNCTION("""COMPUTED_VALUE"""),0.31)</f>
        <v/>
      </c>
      <c r="R12">
        <f>IFERROR(__xludf.DUMMYFUNCTION("""COMPUTED_VALUE"""),1.0)</f>
        <v/>
      </c>
      <c r="S12">
        <f>IFERROR(__xludf.DUMMYFUNCTION("""COMPUTED_VALUE"""),500.0)</f>
        <v/>
      </c>
      <c r="T12">
        <f>IFERROR(__xludf.DUMMYFUNCTION("""COMPUTED_VALUE"""),"1.37")</f>
        <v/>
      </c>
      <c r="U12">
        <f>IFERROR(__xludf.DUMMYFUNCTION("""COMPUTED_VALUE"""),"stop有:1回目 0.71")</f>
        <v/>
      </c>
      <c r="V12">
        <f>IFERROR(__xludf.DUMMYFUNCTION("""COMPUTED_VALUE"""),25.0)</f>
        <v/>
      </c>
      <c r="W12">
        <f>IFERROR(__xludf.DUMMYFUNCTION("""COMPUTED_VALUE"""),"1.83")</f>
        <v/>
      </c>
      <c r="X12">
        <f>IFERROR(__xludf.DUMMYFUNCTION("""COMPUTED_VALUE"""),"stop無:1回目 0.93")</f>
        <v/>
      </c>
      <c r="Y12">
        <f>IFERROR(__xludf.DUMMYFUNCTION("""COMPUTED_VALUE"""),"次回(1回)の攻撃力100%Up")</f>
        <v/>
      </c>
      <c r="Z12">
        <f>IFERROR(__xludf.DUMMYFUNCTION("""COMPUTED_VALUE"""),4.0)</f>
        <v/>
      </c>
      <c r="AB12">
        <f>IFERROR(__xludf.DUMMYFUNCTION("""COMPUTED_VALUE"""),"shageki_1")</f>
        <v/>
      </c>
    </row>
    <row r="13">
      <c r="B13">
        <f>IFERROR(__xludf.DUMMYFUNCTION("""COMPUTED_VALUE"""),"chara_kai_00601")</f>
        <v/>
      </c>
      <c r="C13">
        <f>IFERROR(__xludf.DUMMYFUNCTION("""COMPUTED_VALUE"""),"_iharuget")</f>
        <v/>
      </c>
      <c r="D13">
        <f>IFERROR(__xludf.DUMMYFUNCTION("""COMPUTED_VALUE"""),"c_kai_00601_iharuget_Boss_Red")</f>
        <v/>
      </c>
      <c r="E13">
        <f>IFERROR(__xludf.DUMMYFUNCTION("""COMPUTED_VALUE"""),"怪獣８号")</f>
        <v/>
      </c>
      <c r="F13">
        <f>IFERROR(__xludf.DUMMYFUNCTION("""COMPUTED_VALUE"""),"古橋 伊春")</f>
        <v/>
      </c>
      <c r="G13">
        <f>IFERROR(__xludf.DUMMYFUNCTION("""COMPUTED_VALUE"""),"古橋 伊春_iharuget")</f>
        <v/>
      </c>
      <c r="H13">
        <f>IFERROR(__xludf.DUMMYFUNCTION("""COMPUTED_VALUE"""),"Boss")</f>
        <v/>
      </c>
      <c r="I13">
        <f>IFERROR(__xludf.DUMMYFUNCTION("""COMPUTED_VALUE"""),"Attack")</f>
        <v/>
      </c>
      <c r="J13">
        <f>IFERROR(__xludf.DUMMYFUNCTION("""COMPUTED_VALUE"""),"Red")</f>
        <v/>
      </c>
      <c r="K13">
        <f>IFERROR(__xludf.DUMMYFUNCTION("""COMPUTED_VALUE"""),100000.0)</f>
        <v/>
      </c>
      <c r="L13">
        <f>IFERROR(__xludf.DUMMYFUNCTION("""COMPUTED_VALUE"""),3.0)</f>
        <v/>
      </c>
      <c r="M13">
        <f>IFERROR(__xludf.DUMMYFUNCTION("""COMPUTED_VALUE"""),25.0)</f>
        <v/>
      </c>
      <c r="N13">
        <f>IFERROR(__xludf.DUMMYFUNCTION("""COMPUTED_VALUE"""),0.3)</f>
        <v/>
      </c>
      <c r="O13">
        <f>IFERROR(__xludf.DUMMYFUNCTION("""COMPUTED_VALUE"""),500.0)</f>
        <v/>
      </c>
      <c r="P13">
        <f>IFERROR(__xludf.DUMMYFUNCTION("""COMPUTED_VALUE"""),0.0)</f>
        <v/>
      </c>
      <c r="Q13">
        <f>IFERROR(__xludf.DUMMYFUNCTION("""COMPUTED_VALUE"""),0.31)</f>
        <v/>
      </c>
      <c r="R13">
        <f>IFERROR(__xludf.DUMMYFUNCTION("""COMPUTED_VALUE"""),1.0)</f>
        <v/>
      </c>
      <c r="S13">
        <f>IFERROR(__xludf.DUMMYFUNCTION("""COMPUTED_VALUE"""),500.0)</f>
        <v/>
      </c>
      <c r="T13">
        <f>IFERROR(__xludf.DUMMYFUNCTION("""COMPUTED_VALUE"""),"1.37")</f>
        <v/>
      </c>
      <c r="U13">
        <f>IFERROR(__xludf.DUMMYFUNCTION("""COMPUTED_VALUE"""),"stop有:1回目 0.71")</f>
        <v/>
      </c>
      <c r="V13">
        <f>IFERROR(__xludf.DUMMYFUNCTION("""COMPUTED_VALUE"""),25.0)</f>
        <v/>
      </c>
      <c r="W13">
        <f>IFERROR(__xludf.DUMMYFUNCTION("""COMPUTED_VALUE"""),"1.83")</f>
        <v/>
      </c>
      <c r="X13">
        <f>IFERROR(__xludf.DUMMYFUNCTION("""COMPUTED_VALUE"""),"stop無:1回目 0.93")</f>
        <v/>
      </c>
      <c r="Y13">
        <f>IFERROR(__xludf.DUMMYFUNCTION("""COMPUTED_VALUE"""),"次回(1回)の攻撃力100%Up")</f>
        <v/>
      </c>
      <c r="Z13">
        <f>IFERROR(__xludf.DUMMYFUNCTION("""COMPUTED_VALUE"""),4.0)</f>
        <v/>
      </c>
      <c r="AB13">
        <f>IFERROR(__xludf.DUMMYFUNCTION("""COMPUTED_VALUE"""),"shageki_1")</f>
        <v/>
      </c>
    </row>
    <row r="14">
      <c r="B14">
        <f>IFERROR(__xludf.DUMMYFUNCTION("""COMPUTED_VALUE"""),"chara_kai_00101")</f>
        <v/>
      </c>
      <c r="C14">
        <f>IFERROR(__xludf.DUMMYFUNCTION("""COMPUTED_VALUE"""),"_iharuget")</f>
        <v/>
      </c>
      <c r="D14">
        <f>IFERROR(__xludf.DUMMYFUNCTION("""COMPUTED_VALUE"""),"c_kai_00101_iharuget_Normal_Yellow")</f>
        <v/>
      </c>
      <c r="E14">
        <f>IFERROR(__xludf.DUMMYFUNCTION("""COMPUTED_VALUE"""),"怪獣８号")</f>
        <v/>
      </c>
      <c r="F14">
        <f>IFERROR(__xludf.DUMMYFUNCTION("""COMPUTED_VALUE"""),"市川 レノ")</f>
        <v/>
      </c>
      <c r="G14">
        <f>IFERROR(__xludf.DUMMYFUNCTION("""COMPUTED_VALUE"""),"市川 レノ_iharuget")</f>
        <v/>
      </c>
      <c r="H14">
        <f>IFERROR(__xludf.DUMMYFUNCTION("""COMPUTED_VALUE"""),"Normal")</f>
        <v/>
      </c>
      <c r="I14">
        <f>IFERROR(__xludf.DUMMYFUNCTION("""COMPUTED_VALUE"""),"Technical")</f>
        <v/>
      </c>
      <c r="J14">
        <f>IFERROR(__xludf.DUMMYFUNCTION("""COMPUTED_VALUE"""),"Yellow")</f>
        <v/>
      </c>
      <c r="K14">
        <f>IFERROR(__xludf.DUMMYFUNCTION("""COMPUTED_VALUE"""),10000.0)</f>
        <v/>
      </c>
      <c r="L14">
        <f>IFERROR(__xludf.DUMMYFUNCTION("""COMPUTED_VALUE"""),3.0)</f>
        <v/>
      </c>
      <c r="M14">
        <f>IFERROR(__xludf.DUMMYFUNCTION("""COMPUTED_VALUE"""),36.0)</f>
        <v/>
      </c>
      <c r="N14">
        <f>IFERROR(__xludf.DUMMYFUNCTION("""COMPUTED_VALUE"""),0.4)</f>
        <v/>
      </c>
      <c r="O14">
        <f>IFERROR(__xludf.DUMMYFUNCTION("""COMPUTED_VALUE"""),100.0)</f>
        <v/>
      </c>
      <c r="P14">
        <f>IFERROR(__xludf.DUMMYFUNCTION("""COMPUTED_VALUE"""),0.0)</f>
        <v/>
      </c>
      <c r="Q14">
        <f>IFERROR(__xludf.DUMMYFUNCTION("""COMPUTED_VALUE"""),0.41)</f>
        <v/>
      </c>
      <c r="R14">
        <f>IFERROR(__xludf.DUMMYFUNCTION("""COMPUTED_VALUE"""),1.0)</f>
        <v/>
      </c>
      <c r="S14">
        <f>IFERROR(__xludf.DUMMYFUNCTION("""COMPUTED_VALUE"""),200.0)</f>
        <v/>
      </c>
      <c r="T14">
        <f>IFERROR(__xludf.DUMMYFUNCTION("""COMPUTED_VALUE"""),"1.40")</f>
        <v/>
      </c>
      <c r="U14">
        <f>IFERROR(__xludf.DUMMYFUNCTION("""COMPUTED_VALUE"""),"stop無:1回目 0.91")</f>
        <v/>
      </c>
      <c r="V14">
        <f>IFERROR(__xludf.DUMMYFUNCTION("""COMPUTED_VALUE"""),100.0)</f>
        <v/>
      </c>
      <c r="W14">
        <f>IFERROR(__xludf.DUMMYFUNCTION("""COMPUTED_VALUE"""),"3.17")</f>
        <v/>
      </c>
      <c r="X14">
        <f>IFERROR(__xludf.DUMMYFUNCTION("""COMPUTED_VALUE"""),"stop無:1回目 1.05
stop無:2回目 1.33
stop無:3回目 1.76")</f>
        <v/>
      </c>
      <c r="Y14">
        <f>IFERROR(__xludf.DUMMYFUNCTION("""COMPUTED_VALUE"""),"単体に攻撃＋攻撃力30%DOWN")</f>
        <v/>
      </c>
      <c r="Z14">
        <f>IFERROR(__xludf.DUMMYFUNCTION("""COMPUTED_VALUE"""),4.0)</f>
        <v/>
      </c>
      <c r="AB14">
        <f>IFERROR(__xludf.DUMMYFUNCTION("""COMPUTED_VALUE"""),"shageki_1")</f>
        <v/>
      </c>
    </row>
    <row r="15">
      <c r="B15">
        <f>IFERROR(__xludf.DUMMYFUNCTION("""COMPUTED_VALUE"""),"enemy_kai_00201")</f>
        <v/>
      </c>
      <c r="C15">
        <f>IFERROR(__xludf.DUMMYFUNCTION("""COMPUTED_VALUE"""),"_iharuget")</f>
        <v/>
      </c>
      <c r="D15">
        <f>IFERROR(__xludf.DUMMYFUNCTION("""COMPUTED_VALUE"""),"e_kai_00201_iharuget_Normal_Colorless")</f>
        <v/>
      </c>
      <c r="E15">
        <f>IFERROR(__xludf.DUMMYFUNCTION("""COMPUTED_VALUE"""),"怪獣８号")</f>
        <v/>
      </c>
      <c r="F15">
        <f>IFERROR(__xludf.DUMMYFUNCTION("""COMPUTED_VALUE"""),"怪獣９号")</f>
        <v/>
      </c>
      <c r="G15">
        <f>IFERROR(__xludf.DUMMYFUNCTION("""COMPUTED_VALUE"""),"怪獣９号_iharuget")</f>
        <v/>
      </c>
      <c r="H15">
        <f>IFERROR(__xludf.DUMMYFUNCTION("""COMPUTED_VALUE"""),"Normal")</f>
        <v/>
      </c>
      <c r="I15">
        <f>IFERROR(__xludf.DUMMYFUNCTION("""COMPUTED_VALUE"""),"Attack")</f>
        <v/>
      </c>
      <c r="J15">
        <f>IFERROR(__xludf.DUMMYFUNCTION("""COMPUTED_VALUE"""),"Colorless")</f>
        <v/>
      </c>
      <c r="K15">
        <f>IFERROR(__xludf.DUMMYFUNCTION("""COMPUTED_VALUE"""),100000.0)</f>
        <v/>
      </c>
      <c r="L15">
        <f>IFERROR(__xludf.DUMMYFUNCTION("""COMPUTED_VALUE"""),3.0)</f>
        <v/>
      </c>
      <c r="M15">
        <f>IFERROR(__xludf.DUMMYFUNCTION("""COMPUTED_VALUE"""),40.0)</f>
        <v/>
      </c>
      <c r="N15">
        <f>IFERROR(__xludf.DUMMYFUNCTION("""COMPUTED_VALUE"""),0.35)</f>
        <v/>
      </c>
      <c r="O15">
        <f>IFERROR(__xludf.DUMMYFUNCTION("""COMPUTED_VALUE"""),1000.0)</f>
        <v/>
      </c>
      <c r="P15">
        <f>IFERROR(__xludf.DUMMYFUNCTION("""COMPUTED_VALUE"""),0.0)</f>
        <v/>
      </c>
      <c r="Q15">
        <f>IFERROR(__xludf.DUMMYFUNCTION("""COMPUTED_VALUE"""),0.5)</f>
        <v/>
      </c>
      <c r="R15">
        <f>IFERROR(__xludf.DUMMYFUNCTION("""COMPUTED_VALUE"""),100.0)</f>
        <v/>
      </c>
      <c r="S15">
        <f>IFERROR(__xludf.DUMMYFUNCTION("""COMPUTED_VALUE"""),250.0)</f>
        <v/>
      </c>
      <c r="T15">
        <f>IFERROR(__xludf.DUMMYFUNCTION("""COMPUTED_VALUE"""),"2.47")</f>
        <v/>
      </c>
      <c r="U15">
        <f>IFERROR(__xludf.DUMMYFUNCTION("""COMPUTED_VALUE"""),"stop有:1回目 1.26")</f>
        <v/>
      </c>
      <c r="V15">
        <f>IFERROR(__xludf.DUMMYFUNCTION("""COMPUTED_VALUE"""),75.0)</f>
        <v/>
      </c>
      <c r="W15">
        <f>IFERROR(__xludf.DUMMYFUNCTION("""COMPUTED_VALUE"""),"-")</f>
        <v/>
      </c>
      <c r="X15">
        <f>IFERROR(__xludf.DUMMYFUNCTION("""COMPUTED_VALUE"""),"-")</f>
        <v/>
      </c>
      <c r="Z15">
        <f>IFERROR(__xludf.DUMMYFUNCTION("""COMPUTED_VALUE"""),"-")</f>
        <v/>
      </c>
      <c r="AB15">
        <f>IFERROR(__xludf.DUMMYFUNCTION("""COMPUTED_VALUE"""),"shageki_1")</f>
        <v/>
      </c>
    </row>
    <row r="16">
      <c r="B16">
        <f>IFERROR(__xludf.DUMMYFUNCTION("""COMPUTED_VALUE"""),"enemy_kai_00201")</f>
        <v/>
      </c>
      <c r="C16">
        <f>IFERROR(__xludf.DUMMYFUNCTION("""COMPUTED_VALUE"""),"_iharuget")</f>
        <v/>
      </c>
      <c r="D16">
        <f>IFERROR(__xludf.DUMMYFUNCTION("""COMPUTED_VALUE"""),"e_kai_00201_iharuget_Boss_Blue")</f>
        <v/>
      </c>
      <c r="E16">
        <f>IFERROR(__xludf.DUMMYFUNCTION("""COMPUTED_VALUE"""),"怪獣８号")</f>
        <v/>
      </c>
      <c r="F16">
        <f>IFERROR(__xludf.DUMMYFUNCTION("""COMPUTED_VALUE"""),"怪獣９号")</f>
        <v/>
      </c>
      <c r="G16">
        <f>IFERROR(__xludf.DUMMYFUNCTION("""COMPUTED_VALUE"""),"怪獣９号_iharuget")</f>
        <v/>
      </c>
      <c r="H16">
        <f>IFERROR(__xludf.DUMMYFUNCTION("""COMPUTED_VALUE"""),"Boss")</f>
        <v/>
      </c>
      <c r="I16">
        <f>IFERROR(__xludf.DUMMYFUNCTION("""COMPUTED_VALUE"""),"Attack")</f>
        <v/>
      </c>
      <c r="J16">
        <f>IFERROR(__xludf.DUMMYFUNCTION("""COMPUTED_VALUE"""),"Blue")</f>
        <v/>
      </c>
      <c r="K16">
        <f>IFERROR(__xludf.DUMMYFUNCTION("""COMPUTED_VALUE"""),100000.0)</f>
        <v/>
      </c>
      <c r="L16">
        <f>IFERROR(__xludf.DUMMYFUNCTION("""COMPUTED_VALUE"""),3.0)</f>
        <v/>
      </c>
      <c r="M16">
        <f>IFERROR(__xludf.DUMMYFUNCTION("""COMPUTED_VALUE"""),31.0)</f>
        <v/>
      </c>
      <c r="N16">
        <f>IFERROR(__xludf.DUMMYFUNCTION("""COMPUTED_VALUE"""),0.35)</f>
        <v/>
      </c>
      <c r="O16">
        <f>IFERROR(__xludf.DUMMYFUNCTION("""COMPUTED_VALUE"""),1000.0)</f>
        <v/>
      </c>
      <c r="P16">
        <f>IFERROR(__xludf.DUMMYFUNCTION("""COMPUTED_VALUE"""),0.0)</f>
        <v/>
      </c>
      <c r="Q16">
        <f>IFERROR(__xludf.DUMMYFUNCTION("""COMPUTED_VALUE"""),0.5)</f>
        <v/>
      </c>
      <c r="R16">
        <f>IFERROR(__xludf.DUMMYFUNCTION("""COMPUTED_VALUE"""),100.0)</f>
        <v/>
      </c>
      <c r="S16">
        <f>IFERROR(__xludf.DUMMYFUNCTION("""COMPUTED_VALUE"""),250.0)</f>
        <v/>
      </c>
      <c r="T16">
        <f>IFERROR(__xludf.DUMMYFUNCTION("""COMPUTED_VALUE"""),"2.47")</f>
        <v/>
      </c>
      <c r="U16">
        <f>IFERROR(__xludf.DUMMYFUNCTION("""COMPUTED_VALUE"""),"stop有:1回目 1.26")</f>
        <v/>
      </c>
      <c r="V16">
        <f>IFERROR(__xludf.DUMMYFUNCTION("""COMPUTED_VALUE"""),200.0)</f>
        <v/>
      </c>
      <c r="W16">
        <f>IFERROR(__xludf.DUMMYFUNCTION("""COMPUTED_VALUE"""),"-")</f>
        <v/>
      </c>
      <c r="X16">
        <f>IFERROR(__xludf.DUMMYFUNCTION("""COMPUTED_VALUE"""),"-")</f>
        <v/>
      </c>
      <c r="Z16">
        <f>IFERROR(__xludf.DUMMYFUNCTION("""COMPUTED_VALUE"""),"-")</f>
        <v/>
      </c>
      <c r="AB16">
        <f>IFERROR(__xludf.DUMMYFUNCTION("""COMPUTED_VALUE"""),"shageki_1")</f>
        <v/>
      </c>
    </row>
    <row r="17">
      <c r="B17">
        <f>IFERROR(__xludf.DUMMYFUNCTION("""COMPUTED_VALUE"""),"chara_kai_00401")</f>
        <v/>
      </c>
      <c r="C17">
        <f>IFERROR(__xludf.DUMMYFUNCTION("""COMPUTED_VALUE"""),"_iharuget")</f>
        <v/>
      </c>
      <c r="D17">
        <f>IFERROR(__xludf.DUMMYFUNCTION("""COMPUTED_VALUE"""),"c_kai_00401_iharuget_Normal_Yellow")</f>
        <v/>
      </c>
      <c r="E17">
        <f>IFERROR(__xludf.DUMMYFUNCTION("""COMPUTED_VALUE"""),"怪獣８号")</f>
        <v/>
      </c>
      <c r="F17">
        <f>IFERROR(__xludf.DUMMYFUNCTION("""COMPUTED_VALUE"""),"保科 宗四郎")</f>
        <v/>
      </c>
      <c r="G17">
        <f>IFERROR(__xludf.DUMMYFUNCTION("""COMPUTED_VALUE"""),"保科 宗四郎_iharuget")</f>
        <v/>
      </c>
      <c r="H17">
        <f>IFERROR(__xludf.DUMMYFUNCTION("""COMPUTED_VALUE"""),"Normal")</f>
        <v/>
      </c>
      <c r="I17">
        <f>IFERROR(__xludf.DUMMYFUNCTION("""COMPUTED_VALUE"""),"Attack")</f>
        <v/>
      </c>
      <c r="J17">
        <f>IFERROR(__xludf.DUMMYFUNCTION("""COMPUTED_VALUE"""),"Yellow")</f>
        <v/>
      </c>
      <c r="K17">
        <f>IFERROR(__xludf.DUMMYFUNCTION("""COMPUTED_VALUE"""),10000.0)</f>
        <v/>
      </c>
      <c r="L17">
        <f>IFERROR(__xludf.DUMMYFUNCTION("""COMPUTED_VALUE"""),3.0)</f>
        <v/>
      </c>
      <c r="M17">
        <f>IFERROR(__xludf.DUMMYFUNCTION("""COMPUTED_VALUE"""),35.0)</f>
        <v/>
      </c>
      <c r="N17">
        <f>IFERROR(__xludf.DUMMYFUNCTION("""COMPUTED_VALUE"""),0.24)</f>
        <v/>
      </c>
      <c r="O17">
        <f>IFERROR(__xludf.DUMMYFUNCTION("""COMPUTED_VALUE"""),100.0)</f>
        <v/>
      </c>
      <c r="P17">
        <f>IFERROR(__xludf.DUMMYFUNCTION("""COMPUTED_VALUE"""),0.0)</f>
        <v/>
      </c>
      <c r="Q17">
        <f>IFERROR(__xludf.DUMMYFUNCTION("""COMPUTED_VALUE"""),0.25)</f>
        <v/>
      </c>
      <c r="R17">
        <f>IFERROR(__xludf.DUMMYFUNCTION("""COMPUTED_VALUE"""),1.0)</f>
        <v/>
      </c>
      <c r="S17">
        <f>IFERROR(__xludf.DUMMYFUNCTION("""COMPUTED_VALUE"""),300.0)</f>
        <v/>
      </c>
      <c r="T17">
        <f>IFERROR(__xludf.DUMMYFUNCTION("""COMPUTED_VALUE"""),"1.27")</f>
        <v/>
      </c>
      <c r="U17">
        <f>IFERROR(__xludf.DUMMYFUNCTION("""COMPUTED_VALUE"""),"stop有:1回目 0.43")</f>
        <v/>
      </c>
      <c r="V17">
        <f>IFERROR(__xludf.DUMMYFUNCTION("""COMPUTED_VALUE"""),75.0)</f>
        <v/>
      </c>
      <c r="W17">
        <f>IFERROR(__xludf.DUMMYFUNCTION("""COMPUTED_VALUE"""),"2.67")</f>
        <v/>
      </c>
      <c r="X17">
        <f>IFERROR(__xludf.DUMMYFUNCTION("""COMPUTED_VALUE"""),"stop無:1回目 0.25
stop無:2回目 0.91
stop無:3回目 1.05
stop無:4回目 1.15
stop有:5回目 1.66")</f>
        <v/>
      </c>
      <c r="Y17">
        <f>IFERROR(__xludf.DUMMYFUNCTION("""COMPUTED_VALUE"""),"単体に攻撃")</f>
        <v/>
      </c>
      <c r="Z17">
        <f>IFERROR(__xludf.DUMMYFUNCTION("""COMPUTED_VALUE"""),5.0)</f>
        <v/>
      </c>
      <c r="AB17">
        <f>IFERROR(__xludf.DUMMYFUNCTION("""COMPUTED_VALUE"""),"zangeki_1")</f>
        <v/>
      </c>
    </row>
    <row r="18">
      <c r="F18">
        <f>IFERROR(__xludf.DUMMYFUNCTION("""COMPUTED_VALUE"""),"none")</f>
        <v/>
      </c>
    </row>
    <row r="19">
      <c r="B19">
        <f>IFERROR(__xludf.DUMMYFUNCTION("""COMPUTED_VALUE"""),"chara_kai_00401")</f>
        <v/>
      </c>
      <c r="C19">
        <f>IFERROR(__xludf.DUMMYFUNCTION("""COMPUTED_VALUE"""),"_isaoget")</f>
        <v/>
      </c>
      <c r="D19">
        <f>IFERROR(__xludf.DUMMYFUNCTION("""COMPUTED_VALUE"""),"c_kai_00401_isaoget_Normal_Blue")</f>
        <v/>
      </c>
      <c r="E19">
        <f>IFERROR(__xludf.DUMMYFUNCTION("""COMPUTED_VALUE"""),"怪獣８号")</f>
        <v/>
      </c>
      <c r="F19">
        <f>IFERROR(__xludf.DUMMYFUNCTION("""COMPUTED_VALUE"""),"保科 宗四郎")</f>
        <v/>
      </c>
      <c r="G19">
        <f>IFERROR(__xludf.DUMMYFUNCTION("""COMPUTED_VALUE"""),"保科 宗四郎_isaoget")</f>
        <v/>
      </c>
      <c r="H19">
        <f>IFERROR(__xludf.DUMMYFUNCTION("""COMPUTED_VALUE"""),"Normal")</f>
        <v/>
      </c>
      <c r="I19">
        <f>IFERROR(__xludf.DUMMYFUNCTION("""COMPUTED_VALUE"""),"Attack")</f>
        <v/>
      </c>
      <c r="J19">
        <f>IFERROR(__xludf.DUMMYFUNCTION("""COMPUTED_VALUE"""),"Blue")</f>
        <v/>
      </c>
      <c r="K19">
        <f>IFERROR(__xludf.DUMMYFUNCTION("""COMPUTED_VALUE"""),10000.0)</f>
        <v/>
      </c>
      <c r="L19">
        <f>IFERROR(__xludf.DUMMYFUNCTION("""COMPUTED_VALUE"""),3.0)</f>
        <v/>
      </c>
      <c r="M19">
        <f>IFERROR(__xludf.DUMMYFUNCTION("""COMPUTED_VALUE"""),41.0)</f>
        <v/>
      </c>
      <c r="N19">
        <f>IFERROR(__xludf.DUMMYFUNCTION("""COMPUTED_VALUE"""),0.24)</f>
        <v/>
      </c>
      <c r="O19">
        <f>IFERROR(__xludf.DUMMYFUNCTION("""COMPUTED_VALUE"""),100.0)</f>
        <v/>
      </c>
      <c r="P19">
        <f>IFERROR(__xludf.DUMMYFUNCTION("""COMPUTED_VALUE"""),0.0)</f>
        <v/>
      </c>
      <c r="Q19">
        <f>IFERROR(__xludf.DUMMYFUNCTION("""COMPUTED_VALUE"""),0.25)</f>
        <v/>
      </c>
      <c r="R19">
        <f>IFERROR(__xludf.DUMMYFUNCTION("""COMPUTED_VALUE"""),1.0)</f>
        <v/>
      </c>
      <c r="S19">
        <f>IFERROR(__xludf.DUMMYFUNCTION("""COMPUTED_VALUE"""),300.0)</f>
        <v/>
      </c>
      <c r="T19">
        <f>IFERROR(__xludf.DUMMYFUNCTION("""COMPUTED_VALUE"""),"1.27")</f>
        <v/>
      </c>
      <c r="U19">
        <f>IFERROR(__xludf.DUMMYFUNCTION("""COMPUTED_VALUE"""),"stop有:1回目 0.43")</f>
        <v/>
      </c>
      <c r="V19">
        <f>IFERROR(__xludf.DUMMYFUNCTION("""COMPUTED_VALUE"""),75.0)</f>
        <v/>
      </c>
      <c r="W19">
        <f>IFERROR(__xludf.DUMMYFUNCTION("""COMPUTED_VALUE"""),"2.67")</f>
        <v/>
      </c>
      <c r="X19">
        <f>IFERROR(__xludf.DUMMYFUNCTION("""COMPUTED_VALUE"""),"stop無:1回目 0.25
stop無:2回目 0.91
stop無:3回目 1.05
stop無:4回目 1.15
stop有:5回目 1.66")</f>
        <v/>
      </c>
      <c r="Y19">
        <f>IFERROR(__xludf.DUMMYFUNCTION("""COMPUTED_VALUE"""),"単体に攻撃")</f>
        <v/>
      </c>
      <c r="Z19">
        <f>IFERROR(__xludf.DUMMYFUNCTION("""COMPUTED_VALUE"""),5.0)</f>
        <v/>
      </c>
      <c r="AB19">
        <f>IFERROR(__xludf.DUMMYFUNCTION("""COMPUTED_VALUE"""),"zangeki_1")</f>
        <v/>
      </c>
    </row>
    <row r="20">
      <c r="B20">
        <f>IFERROR(__xludf.DUMMYFUNCTION("""COMPUTED_VALUE"""),"chara_kai_00501")</f>
        <v/>
      </c>
      <c r="C20">
        <f>IFERROR(__xludf.DUMMYFUNCTION("""COMPUTED_VALUE"""),"_isaoget")</f>
        <v/>
      </c>
      <c r="D20">
        <f>IFERROR(__xludf.DUMMYFUNCTION("""COMPUTED_VALUE"""),"c_kai_00501_isaoget_Boss_Yellow")</f>
        <v/>
      </c>
      <c r="E20">
        <f>IFERROR(__xludf.DUMMYFUNCTION("""COMPUTED_VALUE"""),"怪獣８号")</f>
        <v/>
      </c>
      <c r="F20">
        <f>IFERROR(__xludf.DUMMYFUNCTION("""COMPUTED_VALUE"""),"四ノ宮 功")</f>
        <v/>
      </c>
      <c r="G20">
        <f>IFERROR(__xludf.DUMMYFUNCTION("""COMPUTED_VALUE"""),"四ノ宮 功_isaoget")</f>
        <v/>
      </c>
      <c r="H20">
        <f>IFERROR(__xludf.DUMMYFUNCTION("""COMPUTED_VALUE"""),"Boss")</f>
        <v/>
      </c>
      <c r="I20">
        <f>IFERROR(__xludf.DUMMYFUNCTION("""COMPUTED_VALUE"""),"Technical")</f>
        <v/>
      </c>
      <c r="J20">
        <f>IFERROR(__xludf.DUMMYFUNCTION("""COMPUTED_VALUE"""),"Yellow")</f>
        <v/>
      </c>
      <c r="K20">
        <f>IFERROR(__xludf.DUMMYFUNCTION("""COMPUTED_VALUE"""),100000.0)</f>
        <v/>
      </c>
      <c r="L20">
        <f>IFERROR(__xludf.DUMMYFUNCTION("""COMPUTED_VALUE"""),1.0)</f>
        <v/>
      </c>
      <c r="M20">
        <f>IFERROR(__xludf.DUMMYFUNCTION("""COMPUTED_VALUE"""),25.0)</f>
        <v/>
      </c>
      <c r="N20">
        <f>IFERROR(__xludf.DUMMYFUNCTION("""COMPUTED_VALUE"""),0.25)</f>
        <v/>
      </c>
      <c r="O20">
        <f>IFERROR(__xludf.DUMMYFUNCTION("""COMPUTED_VALUE"""),1000.0)</f>
        <v/>
      </c>
      <c r="P20">
        <f>IFERROR(__xludf.DUMMYFUNCTION("""COMPUTED_VALUE"""),0.0)</f>
        <v/>
      </c>
      <c r="Q20">
        <f>IFERROR(__xludf.DUMMYFUNCTION("""COMPUTED_VALUE"""),0.26)</f>
        <v/>
      </c>
      <c r="R20">
        <f>IFERROR(__xludf.DUMMYFUNCTION("""COMPUTED_VALUE"""),1.0)</f>
        <v/>
      </c>
      <c r="S20">
        <f>IFERROR(__xludf.DUMMYFUNCTION("""COMPUTED_VALUE"""),400.0)</f>
        <v/>
      </c>
      <c r="T20">
        <f>IFERROR(__xludf.DUMMYFUNCTION("""COMPUTED_VALUE"""),"1.97")</f>
        <v/>
      </c>
      <c r="U20">
        <f>IFERROR(__xludf.DUMMYFUNCTION("""COMPUTED_VALUE"""),"1.10")</f>
        <v/>
      </c>
      <c r="V20">
        <f>IFERROR(__xludf.DUMMYFUNCTION("""COMPUTED_VALUE"""),75.0)</f>
        <v/>
      </c>
      <c r="W20">
        <f>IFERROR(__xludf.DUMMYFUNCTION("""COMPUTED_VALUE"""),"2.67")</f>
        <v/>
      </c>
      <c r="X20">
        <f>IFERROR(__xludf.DUMMYFUNCTION("""COMPUTED_VALUE"""),"1.62")</f>
        <v/>
      </c>
      <c r="Y20">
        <f>IFERROR(__xludf.DUMMYFUNCTION("""COMPUTED_VALUE"""),"自信の体力を10%回復")</f>
        <v/>
      </c>
      <c r="Z20">
        <f>IFERROR(__xludf.DUMMYFUNCTION("""COMPUTED_VALUE"""),4.0)</f>
        <v/>
      </c>
      <c r="AB20">
        <f>IFERROR(__xludf.DUMMYFUNCTION("""COMPUTED_VALUE"""),"dageki_1")</f>
        <v/>
      </c>
    </row>
    <row r="21">
      <c r="B21">
        <f>IFERROR(__xludf.DUMMYFUNCTION("""COMPUTED_VALUE"""),"chara_kai_00501")</f>
        <v/>
      </c>
      <c r="C21">
        <f>IFERROR(__xludf.DUMMYFUNCTION("""COMPUTED_VALUE"""),"_isaoget")</f>
        <v/>
      </c>
      <c r="D21">
        <f>IFERROR(__xludf.DUMMYFUNCTION("""COMPUTED_VALUE"""),"c_kai_00501_isaoget_Normal_Blue")</f>
        <v/>
      </c>
      <c r="E21">
        <f>IFERROR(__xludf.DUMMYFUNCTION("""COMPUTED_VALUE"""),"怪獣８号")</f>
        <v/>
      </c>
      <c r="F21">
        <f>IFERROR(__xludf.DUMMYFUNCTION("""COMPUTED_VALUE"""),"四ノ宮 功")</f>
        <v/>
      </c>
      <c r="G21">
        <f>IFERROR(__xludf.DUMMYFUNCTION("""COMPUTED_VALUE"""),"四ノ宮 功_isaoget")</f>
        <v/>
      </c>
      <c r="H21">
        <f>IFERROR(__xludf.DUMMYFUNCTION("""COMPUTED_VALUE"""),"Normal")</f>
        <v/>
      </c>
      <c r="I21">
        <f>IFERROR(__xludf.DUMMYFUNCTION("""COMPUTED_VALUE"""),"Technical")</f>
        <v/>
      </c>
      <c r="J21">
        <f>IFERROR(__xludf.DUMMYFUNCTION("""COMPUTED_VALUE"""),"Blue")</f>
        <v/>
      </c>
      <c r="K21">
        <f>IFERROR(__xludf.DUMMYFUNCTION("""COMPUTED_VALUE"""),100000.0)</f>
        <v/>
      </c>
      <c r="L21">
        <f>IFERROR(__xludf.DUMMYFUNCTION("""COMPUTED_VALUE"""),1.0)</f>
        <v/>
      </c>
      <c r="M21">
        <f>IFERROR(__xludf.DUMMYFUNCTION("""COMPUTED_VALUE"""),25.0)</f>
        <v/>
      </c>
      <c r="N21">
        <f>IFERROR(__xludf.DUMMYFUNCTION("""COMPUTED_VALUE"""),0.25)</f>
        <v/>
      </c>
      <c r="O21">
        <f>IFERROR(__xludf.DUMMYFUNCTION("""COMPUTED_VALUE"""),1000.0)</f>
        <v/>
      </c>
      <c r="P21">
        <f>IFERROR(__xludf.DUMMYFUNCTION("""COMPUTED_VALUE"""),0.0)</f>
        <v/>
      </c>
      <c r="Q21">
        <f>IFERROR(__xludf.DUMMYFUNCTION("""COMPUTED_VALUE"""),0.26)</f>
        <v/>
      </c>
      <c r="R21">
        <f>IFERROR(__xludf.DUMMYFUNCTION("""COMPUTED_VALUE"""),1.0)</f>
        <v/>
      </c>
      <c r="S21">
        <f>IFERROR(__xludf.DUMMYFUNCTION("""COMPUTED_VALUE"""),400.0)</f>
        <v/>
      </c>
      <c r="T21">
        <f>IFERROR(__xludf.DUMMYFUNCTION("""COMPUTED_VALUE"""),"1.97")</f>
        <v/>
      </c>
      <c r="U21">
        <f>IFERROR(__xludf.DUMMYFUNCTION("""COMPUTED_VALUE"""),"1.10")</f>
        <v/>
      </c>
      <c r="V21">
        <f>IFERROR(__xludf.DUMMYFUNCTION("""COMPUTED_VALUE"""),75.0)</f>
        <v/>
      </c>
      <c r="W21">
        <f>IFERROR(__xludf.DUMMYFUNCTION("""COMPUTED_VALUE"""),"2.67")</f>
        <v/>
      </c>
      <c r="X21">
        <f>IFERROR(__xludf.DUMMYFUNCTION("""COMPUTED_VALUE"""),"1.62")</f>
        <v/>
      </c>
      <c r="Y21">
        <f>IFERROR(__xludf.DUMMYFUNCTION("""COMPUTED_VALUE"""),"自信の体力を10%回復")</f>
        <v/>
      </c>
      <c r="Z21">
        <f>IFERROR(__xludf.DUMMYFUNCTION("""COMPUTED_VALUE"""),4.0)</f>
        <v/>
      </c>
      <c r="AB21">
        <f>IFERROR(__xludf.DUMMYFUNCTION("""COMPUTED_VALUE"""),"dageki_1")</f>
        <v/>
      </c>
    </row>
    <row r="22">
      <c r="B22">
        <f>IFERROR(__xludf.DUMMYFUNCTION("""COMPUTED_VALUE"""),"chara_kai_00002")</f>
        <v/>
      </c>
      <c r="C22">
        <f>IFERROR(__xludf.DUMMYFUNCTION("""COMPUTED_VALUE"""),"_isaoget")</f>
        <v/>
      </c>
      <c r="D22">
        <f>IFERROR(__xludf.DUMMYFUNCTION("""COMPUTED_VALUE"""),"c_kai_00002_isaoget_Normal_Blue")</f>
        <v/>
      </c>
      <c r="E22">
        <f>IFERROR(__xludf.DUMMYFUNCTION("""COMPUTED_VALUE"""),"怪獣８号")</f>
        <v/>
      </c>
      <c r="F22">
        <f>IFERROR(__xludf.DUMMYFUNCTION("""COMPUTED_VALUE"""),"隠された英雄の姿 怪獣８号")</f>
        <v/>
      </c>
      <c r="G22">
        <f>IFERROR(__xludf.DUMMYFUNCTION("""COMPUTED_VALUE"""),"隠された英雄の姿 怪獣８号_isaoget")</f>
        <v/>
      </c>
      <c r="H22">
        <f>IFERROR(__xludf.DUMMYFUNCTION("""COMPUTED_VALUE"""),"Normal")</f>
        <v/>
      </c>
      <c r="I22">
        <f>IFERROR(__xludf.DUMMYFUNCTION("""COMPUTED_VALUE"""),"Attack")</f>
        <v/>
      </c>
      <c r="J22">
        <f>IFERROR(__xludf.DUMMYFUNCTION("""COMPUTED_VALUE"""),"Blue")</f>
        <v/>
      </c>
      <c r="K22">
        <f>IFERROR(__xludf.DUMMYFUNCTION("""COMPUTED_VALUE"""),100000.0)</f>
        <v/>
      </c>
      <c r="L22">
        <f>IFERROR(__xludf.DUMMYFUNCTION("""COMPUTED_VALUE"""),2.0)</f>
        <v/>
      </c>
      <c r="M22">
        <f>IFERROR(__xludf.DUMMYFUNCTION("""COMPUTED_VALUE"""),35.0)</f>
        <v/>
      </c>
      <c r="N22">
        <f>IFERROR(__xludf.DUMMYFUNCTION("""COMPUTED_VALUE"""),0.21)</f>
        <v/>
      </c>
      <c r="O22">
        <f>IFERROR(__xludf.DUMMYFUNCTION("""COMPUTED_VALUE"""),500.0)</f>
        <v/>
      </c>
      <c r="P22">
        <f>IFERROR(__xludf.DUMMYFUNCTION("""COMPUTED_VALUE"""),0.0)</f>
        <v/>
      </c>
      <c r="Q22">
        <f>IFERROR(__xludf.DUMMYFUNCTION("""COMPUTED_VALUE"""),0.22)</f>
        <v/>
      </c>
      <c r="R22">
        <f>IFERROR(__xludf.DUMMYFUNCTION("""COMPUTED_VALUE"""),1.0)</f>
        <v/>
      </c>
      <c r="S22">
        <f>IFERROR(__xludf.DUMMYFUNCTION("""COMPUTED_VALUE"""),500.0)</f>
        <v/>
      </c>
      <c r="T22">
        <f>IFERROR(__xludf.DUMMYFUNCTION("""COMPUTED_VALUE"""),"1.50")</f>
        <v/>
      </c>
      <c r="U22">
        <f>IFERROR(__xludf.DUMMYFUNCTION("""COMPUTED_VALUE"""),"stop無:1回目 0.54")</f>
        <v/>
      </c>
      <c r="V22">
        <f>IFERROR(__xludf.DUMMYFUNCTION("""COMPUTED_VALUE"""),100.0)</f>
        <v/>
      </c>
      <c r="W22">
        <f>IFERROR(__xludf.DUMMYFUNCTION("""COMPUTED_VALUE"""),"2.40")</f>
        <v/>
      </c>
      <c r="X22">
        <f>IFERROR(__xludf.DUMMYFUNCTION("""COMPUTED_VALUE"""),"stop有:1回目 1.00
stop無:2回目 1.37
stop無:3回目 1.54
stop無:4回目 1.70
stop無:5回目 1.87
stop無:6回目 2.04")</f>
        <v/>
      </c>
      <c r="Y22">
        <f>IFERROR(__xludf.DUMMYFUNCTION("""COMPUTED_VALUE"""),"単体に300%攻撃")</f>
        <v/>
      </c>
      <c r="Z22">
        <f>IFERROR(__xludf.DUMMYFUNCTION("""COMPUTED_VALUE"""),5.0)</f>
        <v/>
      </c>
      <c r="AB22">
        <f>IFERROR(__xludf.DUMMYFUNCTION("""COMPUTED_VALUE"""),"dageki_1")</f>
        <v/>
      </c>
    </row>
    <row r="23">
      <c r="B23">
        <f>IFERROR(__xludf.DUMMYFUNCTION("""COMPUTED_VALUE"""),"chara_kai_00002")</f>
        <v/>
      </c>
      <c r="C23">
        <f>IFERROR(__xludf.DUMMYFUNCTION("""COMPUTED_VALUE"""),"_isaoget")</f>
        <v/>
      </c>
      <c r="D23">
        <f>IFERROR(__xludf.DUMMYFUNCTION("""COMPUTED_VALUE"""),"c_kai_00002_isaoget_Boss_Blue")</f>
        <v/>
      </c>
      <c r="E23">
        <f>IFERROR(__xludf.DUMMYFUNCTION("""COMPUTED_VALUE"""),"怪獣８号")</f>
        <v/>
      </c>
      <c r="F23">
        <f>IFERROR(__xludf.DUMMYFUNCTION("""COMPUTED_VALUE"""),"隠された英雄の姿 怪獣８号")</f>
        <v/>
      </c>
      <c r="G23">
        <f>IFERROR(__xludf.DUMMYFUNCTION("""COMPUTED_VALUE"""),"隠された英雄の姿 怪獣８号_isaoget")</f>
        <v/>
      </c>
      <c r="H23">
        <f>IFERROR(__xludf.DUMMYFUNCTION("""COMPUTED_VALUE"""),"Boss")</f>
        <v/>
      </c>
      <c r="I23">
        <f>IFERROR(__xludf.DUMMYFUNCTION("""COMPUTED_VALUE"""),"Attack")</f>
        <v/>
      </c>
      <c r="J23">
        <f>IFERROR(__xludf.DUMMYFUNCTION("""COMPUTED_VALUE"""),"Blue")</f>
        <v/>
      </c>
      <c r="K23">
        <f>IFERROR(__xludf.DUMMYFUNCTION("""COMPUTED_VALUE"""),100000.0)</f>
        <v/>
      </c>
      <c r="L23">
        <f>IFERROR(__xludf.DUMMYFUNCTION("""COMPUTED_VALUE"""),2.0)</f>
        <v/>
      </c>
      <c r="M23">
        <f>IFERROR(__xludf.DUMMYFUNCTION("""COMPUTED_VALUE"""),40.0)</f>
        <v/>
      </c>
      <c r="N23">
        <f>IFERROR(__xludf.DUMMYFUNCTION("""COMPUTED_VALUE"""),0.21)</f>
        <v/>
      </c>
      <c r="O23">
        <f>IFERROR(__xludf.DUMMYFUNCTION("""COMPUTED_VALUE"""),500.0)</f>
        <v/>
      </c>
      <c r="P23">
        <f>IFERROR(__xludf.DUMMYFUNCTION("""COMPUTED_VALUE"""),0.0)</f>
        <v/>
      </c>
      <c r="Q23">
        <f>IFERROR(__xludf.DUMMYFUNCTION("""COMPUTED_VALUE"""),0.22)</f>
        <v/>
      </c>
      <c r="R23">
        <f>IFERROR(__xludf.DUMMYFUNCTION("""COMPUTED_VALUE"""),1.0)</f>
        <v/>
      </c>
      <c r="S23">
        <f>IFERROR(__xludf.DUMMYFUNCTION("""COMPUTED_VALUE"""),500.0)</f>
        <v/>
      </c>
      <c r="T23">
        <f>IFERROR(__xludf.DUMMYFUNCTION("""COMPUTED_VALUE"""),"1.50")</f>
        <v/>
      </c>
      <c r="U23">
        <f>IFERROR(__xludf.DUMMYFUNCTION("""COMPUTED_VALUE"""),"stop無:1回目 0.54")</f>
        <v/>
      </c>
      <c r="V23">
        <f>IFERROR(__xludf.DUMMYFUNCTION("""COMPUTED_VALUE"""),100.0)</f>
        <v/>
      </c>
      <c r="W23">
        <f>IFERROR(__xludf.DUMMYFUNCTION("""COMPUTED_VALUE"""),"2.40")</f>
        <v/>
      </c>
      <c r="X23">
        <f>IFERROR(__xludf.DUMMYFUNCTION("""COMPUTED_VALUE"""),"stop有:1回目 1.00
stop無:2回目 1.37
stop無:3回目 1.54
stop無:4回目 1.70
stop無:5回目 1.87
stop無:6回目 2.04")</f>
        <v/>
      </c>
      <c r="Y23">
        <f>IFERROR(__xludf.DUMMYFUNCTION("""COMPUTED_VALUE"""),"単体に300%攻撃")</f>
        <v/>
      </c>
      <c r="Z23">
        <f>IFERROR(__xludf.DUMMYFUNCTION("""COMPUTED_VALUE"""),5.0)</f>
        <v/>
      </c>
      <c r="AB23">
        <f>IFERROR(__xludf.DUMMYFUNCTION("""COMPUTED_VALUE"""),"dageki_1")</f>
        <v/>
      </c>
    </row>
    <row r="24">
      <c r="B24">
        <f>IFERROR(__xludf.DUMMYFUNCTION("""COMPUTED_VALUE"""),"enemy_kai_00401")</f>
        <v/>
      </c>
      <c r="C24">
        <f>IFERROR(__xludf.DUMMYFUNCTION("""COMPUTED_VALUE"""),"_isaoget")</f>
        <v/>
      </c>
      <c r="D24">
        <f>IFERROR(__xludf.DUMMYFUNCTION("""COMPUTED_VALUE"""),"e_kai_00401_isaoget_Normal_Yellow")</f>
        <v/>
      </c>
      <c r="E24">
        <f>IFERROR(__xludf.DUMMYFUNCTION("""COMPUTED_VALUE"""),"怪獣８号")</f>
        <v/>
      </c>
      <c r="F24">
        <f>IFERROR(__xludf.DUMMYFUNCTION("""COMPUTED_VALUE"""),"怪獣１０号")</f>
        <v/>
      </c>
      <c r="G24">
        <f>IFERROR(__xludf.DUMMYFUNCTION("""COMPUTED_VALUE"""),"怪獣１０号_isaoget")</f>
        <v/>
      </c>
      <c r="H24">
        <f>IFERROR(__xludf.DUMMYFUNCTION("""COMPUTED_VALUE"""),"Normal")</f>
        <v/>
      </c>
      <c r="I24">
        <f>IFERROR(__xludf.DUMMYFUNCTION("""COMPUTED_VALUE"""),"Attack")</f>
        <v/>
      </c>
      <c r="J24">
        <f>IFERROR(__xludf.DUMMYFUNCTION("""COMPUTED_VALUE"""),"Yellow")</f>
        <v/>
      </c>
      <c r="K24">
        <f>IFERROR(__xludf.DUMMYFUNCTION("""COMPUTED_VALUE"""),100000.0)</f>
        <v/>
      </c>
      <c r="L24">
        <f>IFERROR(__xludf.DUMMYFUNCTION("""COMPUTED_VALUE"""),2.0)</f>
        <v/>
      </c>
      <c r="M24">
        <f>IFERROR(__xludf.DUMMYFUNCTION("""COMPUTED_VALUE"""),45.0)</f>
        <v/>
      </c>
      <c r="N24">
        <f>IFERROR(__xludf.DUMMYFUNCTION("""COMPUTED_VALUE"""),0.3)</f>
        <v/>
      </c>
      <c r="O24">
        <f>IFERROR(__xludf.DUMMYFUNCTION("""COMPUTED_VALUE"""),500.0)</f>
        <v/>
      </c>
      <c r="P24">
        <f>IFERROR(__xludf.DUMMYFUNCTION("""COMPUTED_VALUE"""),0.0)</f>
        <v/>
      </c>
      <c r="Q24">
        <f>IFERROR(__xludf.DUMMYFUNCTION("""COMPUTED_VALUE"""),0.31)</f>
        <v/>
      </c>
      <c r="R24">
        <f>IFERROR(__xludf.DUMMYFUNCTION("""COMPUTED_VALUE"""),1.0)</f>
        <v/>
      </c>
      <c r="S24">
        <f>IFERROR(__xludf.DUMMYFUNCTION("""COMPUTED_VALUE"""),500.0)</f>
        <v/>
      </c>
      <c r="T24">
        <f>IFERROR(__xludf.DUMMYFUNCTION("""COMPUTED_VALUE"""),"1.30")</f>
        <v/>
      </c>
      <c r="U24">
        <f>IFERROR(__xludf.DUMMYFUNCTION("""COMPUTED_VALUE"""),"stop有:1回目 0.55")</f>
        <v/>
      </c>
      <c r="V24">
        <f>IFERROR(__xludf.DUMMYFUNCTION("""COMPUTED_VALUE"""),25.0)</f>
        <v/>
      </c>
      <c r="W24">
        <f>IFERROR(__xludf.DUMMYFUNCTION("""COMPUTED_VALUE"""),"-")</f>
        <v/>
      </c>
      <c r="X24">
        <f>IFERROR(__xludf.DUMMYFUNCTION("""COMPUTED_VALUE"""),"-")</f>
        <v/>
      </c>
      <c r="Z24">
        <f>IFERROR(__xludf.DUMMYFUNCTION("""COMPUTED_VALUE"""),"-")</f>
        <v/>
      </c>
      <c r="AB24">
        <f>IFERROR(__xludf.DUMMYFUNCTION("""COMPUTED_VALUE"""),"dageki_1")</f>
        <v/>
      </c>
    </row>
    <row r="25">
      <c r="B25">
        <f>IFERROR(__xludf.DUMMYFUNCTION("""COMPUTED_VALUE"""),"enemy_kai_00401")</f>
        <v/>
      </c>
      <c r="C25">
        <f>IFERROR(__xludf.DUMMYFUNCTION("""COMPUTED_VALUE"""),"_isaoget")</f>
        <v/>
      </c>
      <c r="D25">
        <f>IFERROR(__xludf.DUMMYFUNCTION("""COMPUTED_VALUE"""),"e_kai_00401_isaoget_Normal_Blue")</f>
        <v/>
      </c>
      <c r="E25">
        <f>IFERROR(__xludf.DUMMYFUNCTION("""COMPUTED_VALUE"""),"怪獣８号")</f>
        <v/>
      </c>
      <c r="F25">
        <f>IFERROR(__xludf.DUMMYFUNCTION("""COMPUTED_VALUE"""),"怪獣１０号")</f>
        <v/>
      </c>
      <c r="G25">
        <f>IFERROR(__xludf.DUMMYFUNCTION("""COMPUTED_VALUE"""),"怪獣１０号_isaoget")</f>
        <v/>
      </c>
      <c r="H25">
        <f>IFERROR(__xludf.DUMMYFUNCTION("""COMPUTED_VALUE"""),"Normal")</f>
        <v/>
      </c>
      <c r="I25">
        <f>IFERROR(__xludf.DUMMYFUNCTION("""COMPUTED_VALUE"""),"Attack")</f>
        <v/>
      </c>
      <c r="J25">
        <f>IFERROR(__xludf.DUMMYFUNCTION("""COMPUTED_VALUE"""),"Blue")</f>
        <v/>
      </c>
      <c r="K25">
        <f>IFERROR(__xludf.DUMMYFUNCTION("""COMPUTED_VALUE"""),100000.0)</f>
        <v/>
      </c>
      <c r="L25">
        <f>IFERROR(__xludf.DUMMYFUNCTION("""COMPUTED_VALUE"""),3.0)</f>
        <v/>
      </c>
      <c r="M25">
        <f>IFERROR(__xludf.DUMMYFUNCTION("""COMPUTED_VALUE"""),40.0)</f>
        <v/>
      </c>
      <c r="N25">
        <f>IFERROR(__xludf.DUMMYFUNCTION("""COMPUTED_VALUE"""),0.3)</f>
        <v/>
      </c>
      <c r="O25">
        <f>IFERROR(__xludf.DUMMYFUNCTION("""COMPUTED_VALUE"""),500.0)</f>
        <v/>
      </c>
      <c r="P25">
        <f>IFERROR(__xludf.DUMMYFUNCTION("""COMPUTED_VALUE"""),0.0)</f>
        <v/>
      </c>
      <c r="Q25">
        <f>IFERROR(__xludf.DUMMYFUNCTION("""COMPUTED_VALUE"""),0.31)</f>
        <v/>
      </c>
      <c r="R25">
        <f>IFERROR(__xludf.DUMMYFUNCTION("""COMPUTED_VALUE"""),1.0)</f>
        <v/>
      </c>
      <c r="S25">
        <f>IFERROR(__xludf.DUMMYFUNCTION("""COMPUTED_VALUE"""),500.0)</f>
        <v/>
      </c>
      <c r="T25">
        <f>IFERROR(__xludf.DUMMYFUNCTION("""COMPUTED_VALUE"""),"1.30")</f>
        <v/>
      </c>
      <c r="U25">
        <f>IFERROR(__xludf.DUMMYFUNCTION("""COMPUTED_VALUE"""),"stop有:1回目 0.55")</f>
        <v/>
      </c>
      <c r="V25">
        <f>IFERROR(__xludf.DUMMYFUNCTION("""COMPUTED_VALUE"""),25.0)</f>
        <v/>
      </c>
      <c r="W25">
        <f>IFERROR(__xludf.DUMMYFUNCTION("""COMPUTED_VALUE"""),"-")</f>
        <v/>
      </c>
      <c r="X25">
        <f>IFERROR(__xludf.DUMMYFUNCTION("""COMPUTED_VALUE"""),"-")</f>
        <v/>
      </c>
      <c r="Z25">
        <f>IFERROR(__xludf.DUMMYFUNCTION("""COMPUTED_VALUE"""),"-")</f>
        <v/>
      </c>
      <c r="AB25">
        <f>IFERROR(__xludf.DUMMYFUNCTION("""COMPUTED_VALUE"""),"dageki_1")</f>
        <v/>
      </c>
    </row>
    <row r="26">
      <c r="D26">
        <f>IFERROR(__xludf.DUMMYFUNCTION("""COMPUTED_VALUE"""),"___")</f>
        <v/>
      </c>
      <c r="E26">
        <f>IFERROR(__xludf.DUMMYFUNCTION("""COMPUTED_VALUE"""),"none")</f>
        <v/>
      </c>
      <c r="F26">
        <f>IFERROR(__xludf.DUMMYFUNCTION("""COMPUTED_VALUE"""),"none")</f>
        <v/>
      </c>
      <c r="G26">
        <f>IFERROR(__xludf.DUMMYFUNCTION("""COMPUTED_VALUE"""),"none")</f>
        <v/>
      </c>
      <c r="I26">
        <f>IFERROR(__xludf.DUMMYFUNCTION("""COMPUTED_VALUE"""),"none")</f>
        <v/>
      </c>
      <c r="T26">
        <f>IFERROR(__xludf.DUMMYFUNCTION("""COMPUTED_VALUE"""),"none")</f>
        <v/>
      </c>
      <c r="U26">
        <f>IFERROR(__xludf.DUMMYFUNCTION("""COMPUTED_VALUE"""),"none")</f>
        <v/>
      </c>
      <c r="W26">
        <f>IFERROR(__xludf.DUMMYFUNCTION("""COMPUTED_VALUE"""),"none")</f>
        <v/>
      </c>
      <c r="X26">
        <f>IFERROR(__xludf.DUMMYFUNCTION("""COMPUTED_VALUE"""),"none")</f>
        <v/>
      </c>
      <c r="Z26">
        <f>IFERROR(__xludf.DUMMYFUNCTION("""COMPUTED_VALUE"""),"-")</f>
        <v/>
      </c>
      <c r="AB26">
        <f>IFERROR(__xludf.DUMMYFUNCTION("""COMPUTED_VALUE"""),"none")</f>
        <v/>
      </c>
    </row>
    <row r="27">
      <c r="B27">
        <f>IFERROR(__xludf.DUMMYFUNCTION("""COMPUTED_VALUE"""),"enemy_kai_00101")</f>
        <v/>
      </c>
      <c r="C27">
        <f>IFERROR(__xludf.DUMMYFUNCTION("""COMPUTED_VALUE"""),"_eventchallenge01")</f>
        <v/>
      </c>
      <c r="D27">
        <f>IFERROR(__xludf.DUMMYFUNCTION("""COMPUTED_VALUE"""),"e_kai_00101_eventchallenge01_Normal_Colorless")</f>
        <v/>
      </c>
      <c r="E27">
        <f>IFERROR(__xludf.DUMMYFUNCTION("""COMPUTED_VALUE"""),"怪獣８号")</f>
        <v/>
      </c>
      <c r="F27">
        <f>IFERROR(__xludf.DUMMYFUNCTION("""COMPUTED_VALUE"""),"怪獣 余獣")</f>
        <v/>
      </c>
      <c r="G27">
        <f>IFERROR(__xludf.DUMMYFUNCTION("""COMPUTED_VALUE"""),"怪獣 余獣_eventchallenge01")</f>
        <v/>
      </c>
      <c r="H27">
        <f>IFERROR(__xludf.DUMMYFUNCTION("""COMPUTED_VALUE"""),"Normal")</f>
        <v/>
      </c>
      <c r="I27">
        <f>IFERROR(__xludf.DUMMYFUNCTION("""COMPUTED_VALUE"""),"Attack")</f>
        <v/>
      </c>
      <c r="J27">
        <f>IFERROR(__xludf.DUMMYFUNCTION("""COMPUTED_VALUE"""),"Colorless")</f>
        <v/>
      </c>
      <c r="K27">
        <f>IFERROR(__xludf.DUMMYFUNCTION("""COMPUTED_VALUE"""),10000.0)</f>
        <v/>
      </c>
      <c r="L27">
        <f>IFERROR(__xludf.DUMMYFUNCTION("""COMPUTED_VALUE"""),3.0)</f>
        <v/>
      </c>
      <c r="M27">
        <f>IFERROR(__xludf.DUMMYFUNCTION("""COMPUTED_VALUE"""),21.0)</f>
        <v/>
      </c>
      <c r="N27">
        <f>IFERROR(__xludf.DUMMYFUNCTION("""COMPUTED_VALUE"""),0.22)</f>
        <v/>
      </c>
      <c r="O27">
        <f>IFERROR(__xludf.DUMMYFUNCTION("""COMPUTED_VALUE"""),500.0)</f>
        <v/>
      </c>
      <c r="P27">
        <f>IFERROR(__xludf.DUMMYFUNCTION("""COMPUTED_VALUE"""),0.0)</f>
        <v/>
      </c>
      <c r="Q27">
        <f>IFERROR(__xludf.DUMMYFUNCTION("""COMPUTED_VALUE"""),0.23)</f>
        <v/>
      </c>
      <c r="R27">
        <f>IFERROR(__xludf.DUMMYFUNCTION("""COMPUTED_VALUE"""),1.0)</f>
        <v/>
      </c>
      <c r="S27">
        <f>IFERROR(__xludf.DUMMYFUNCTION("""COMPUTED_VALUE"""),200.0)</f>
        <v/>
      </c>
      <c r="T27">
        <f>IFERROR(__xludf.DUMMYFUNCTION("""COMPUTED_VALUE"""),"1.23")</f>
        <v/>
      </c>
      <c r="U27">
        <f>IFERROR(__xludf.DUMMYFUNCTION("""COMPUTED_VALUE"""),"stop有:1回目 0.56")</f>
        <v/>
      </c>
      <c r="V27">
        <f>IFERROR(__xludf.DUMMYFUNCTION("""COMPUTED_VALUE"""),50.0)</f>
        <v/>
      </c>
      <c r="W27">
        <f>IFERROR(__xludf.DUMMYFUNCTION("""COMPUTED_VALUE"""),"-")</f>
        <v/>
      </c>
      <c r="X27">
        <f>IFERROR(__xludf.DUMMYFUNCTION("""COMPUTED_VALUE"""),"-")</f>
        <v/>
      </c>
      <c r="Z27">
        <f>IFERROR(__xludf.DUMMYFUNCTION("""COMPUTED_VALUE"""),"-")</f>
        <v/>
      </c>
      <c r="AB27">
        <f>IFERROR(__xludf.DUMMYFUNCTION("""COMPUTED_VALUE"""),"dageki_1")</f>
        <v/>
      </c>
    </row>
    <row r="28">
      <c r="B28">
        <f>IFERROR(__xludf.DUMMYFUNCTION("""COMPUTED_VALUE"""),"enemy_kai_00101")</f>
        <v/>
      </c>
      <c r="C28">
        <f>IFERROR(__xludf.DUMMYFUNCTION("""COMPUTED_VALUE"""),"_eventchallenge01")</f>
        <v/>
      </c>
      <c r="D28">
        <f>IFERROR(__xludf.DUMMYFUNCTION("""COMPUTED_VALUE"""),"e_kai_00101_eventchallenge01_Normal_Blue")</f>
        <v/>
      </c>
      <c r="E28">
        <f>IFERROR(__xludf.DUMMYFUNCTION("""COMPUTED_VALUE"""),"怪獣８号")</f>
        <v/>
      </c>
      <c r="F28">
        <f>IFERROR(__xludf.DUMMYFUNCTION("""COMPUTED_VALUE"""),"怪獣 余獣")</f>
        <v/>
      </c>
      <c r="G28">
        <f>IFERROR(__xludf.DUMMYFUNCTION("""COMPUTED_VALUE"""),"怪獣 余獣_eventchallenge01")</f>
        <v/>
      </c>
      <c r="H28">
        <f>IFERROR(__xludf.DUMMYFUNCTION("""COMPUTED_VALUE"""),"Normal")</f>
        <v/>
      </c>
      <c r="I28">
        <f>IFERROR(__xludf.DUMMYFUNCTION("""COMPUTED_VALUE"""),"Attack")</f>
        <v/>
      </c>
      <c r="J28">
        <f>IFERROR(__xludf.DUMMYFUNCTION("""COMPUTED_VALUE"""),"Blue")</f>
        <v/>
      </c>
      <c r="K28">
        <f>IFERROR(__xludf.DUMMYFUNCTION("""COMPUTED_VALUE"""),10000.0)</f>
        <v/>
      </c>
      <c r="L28">
        <f>IFERROR(__xludf.DUMMYFUNCTION("""COMPUTED_VALUE"""),3.0)</f>
        <v/>
      </c>
      <c r="M28">
        <f>IFERROR(__xludf.DUMMYFUNCTION("""COMPUTED_VALUE"""),23.0)</f>
        <v/>
      </c>
      <c r="N28">
        <f>IFERROR(__xludf.DUMMYFUNCTION("""COMPUTED_VALUE"""),0.25)</f>
        <v/>
      </c>
      <c r="O28">
        <f>IFERROR(__xludf.DUMMYFUNCTION("""COMPUTED_VALUE"""),500.0)</f>
        <v/>
      </c>
      <c r="P28">
        <f>IFERROR(__xludf.DUMMYFUNCTION("""COMPUTED_VALUE"""),0.0)</f>
        <v/>
      </c>
      <c r="Q28">
        <f>IFERROR(__xludf.DUMMYFUNCTION("""COMPUTED_VALUE"""),0.26)</f>
        <v/>
      </c>
      <c r="R28">
        <f>IFERROR(__xludf.DUMMYFUNCTION("""COMPUTED_VALUE"""),1.0)</f>
        <v/>
      </c>
      <c r="S28">
        <f>IFERROR(__xludf.DUMMYFUNCTION("""COMPUTED_VALUE"""),200.0)</f>
        <v/>
      </c>
      <c r="T28">
        <f>IFERROR(__xludf.DUMMYFUNCTION("""COMPUTED_VALUE"""),"1.23")</f>
        <v/>
      </c>
      <c r="U28">
        <f>IFERROR(__xludf.DUMMYFUNCTION("""COMPUTED_VALUE"""),"stop有:1回目 0.56")</f>
        <v/>
      </c>
      <c r="V28">
        <f>IFERROR(__xludf.DUMMYFUNCTION("""COMPUTED_VALUE"""),75.0)</f>
        <v/>
      </c>
      <c r="W28">
        <f>IFERROR(__xludf.DUMMYFUNCTION("""COMPUTED_VALUE"""),"-")</f>
        <v/>
      </c>
      <c r="X28">
        <f>IFERROR(__xludf.DUMMYFUNCTION("""COMPUTED_VALUE"""),"-")</f>
        <v/>
      </c>
      <c r="Z28">
        <f>IFERROR(__xludf.DUMMYFUNCTION("""COMPUTED_VALUE"""),"-")</f>
        <v/>
      </c>
      <c r="AB28">
        <f>IFERROR(__xludf.DUMMYFUNCTION("""COMPUTED_VALUE"""),"dageki_1")</f>
        <v/>
      </c>
    </row>
    <row r="29">
      <c r="B29">
        <f>IFERROR(__xludf.DUMMYFUNCTION("""COMPUTED_VALUE"""),"enemy_kai_00101")</f>
        <v/>
      </c>
      <c r="C29">
        <f>IFERROR(__xludf.DUMMYFUNCTION("""COMPUTED_VALUE"""),"_eventchallenge01")</f>
        <v/>
      </c>
      <c r="D29">
        <f>IFERROR(__xludf.DUMMYFUNCTION("""COMPUTED_VALUE"""),"e_kai_00101_eventchallenge01_Normal_Green")</f>
        <v/>
      </c>
      <c r="E29">
        <f>IFERROR(__xludf.DUMMYFUNCTION("""COMPUTED_VALUE"""),"怪獣８号")</f>
        <v/>
      </c>
      <c r="F29">
        <f>IFERROR(__xludf.DUMMYFUNCTION("""COMPUTED_VALUE"""),"怪獣 余獣")</f>
        <v/>
      </c>
      <c r="G29">
        <f>IFERROR(__xludf.DUMMYFUNCTION("""COMPUTED_VALUE"""),"怪獣 余獣_eventchallenge01")</f>
        <v/>
      </c>
      <c r="H29">
        <f>IFERROR(__xludf.DUMMYFUNCTION("""COMPUTED_VALUE"""),"Normal")</f>
        <v/>
      </c>
      <c r="I29">
        <f>IFERROR(__xludf.DUMMYFUNCTION("""COMPUTED_VALUE"""),"Attack")</f>
        <v/>
      </c>
      <c r="J29">
        <f>IFERROR(__xludf.DUMMYFUNCTION("""COMPUTED_VALUE"""),"Green")</f>
        <v/>
      </c>
      <c r="K29">
        <f>IFERROR(__xludf.DUMMYFUNCTION("""COMPUTED_VALUE"""),10000.0)</f>
        <v/>
      </c>
      <c r="L29">
        <f>IFERROR(__xludf.DUMMYFUNCTION("""COMPUTED_VALUE"""),3.0)</f>
        <v/>
      </c>
      <c r="M29">
        <f>IFERROR(__xludf.DUMMYFUNCTION("""COMPUTED_VALUE"""),35.0)</f>
        <v/>
      </c>
      <c r="N29">
        <f>IFERROR(__xludf.DUMMYFUNCTION("""COMPUTED_VALUE"""),0.24)</f>
        <v/>
      </c>
      <c r="O29">
        <f>IFERROR(__xludf.DUMMYFUNCTION("""COMPUTED_VALUE"""),500.0)</f>
        <v/>
      </c>
      <c r="P29">
        <f>IFERROR(__xludf.DUMMYFUNCTION("""COMPUTED_VALUE"""),0.0)</f>
        <v/>
      </c>
      <c r="Q29">
        <f>IFERROR(__xludf.DUMMYFUNCTION("""COMPUTED_VALUE"""),0.25)</f>
        <v/>
      </c>
      <c r="R29">
        <f>IFERROR(__xludf.DUMMYFUNCTION("""COMPUTED_VALUE"""),1.0)</f>
        <v/>
      </c>
      <c r="S29">
        <f>IFERROR(__xludf.DUMMYFUNCTION("""COMPUTED_VALUE"""),200.0)</f>
        <v/>
      </c>
      <c r="T29">
        <f>IFERROR(__xludf.DUMMYFUNCTION("""COMPUTED_VALUE"""),"1.23")</f>
        <v/>
      </c>
      <c r="U29">
        <f>IFERROR(__xludf.DUMMYFUNCTION("""COMPUTED_VALUE"""),"stop有:1回目 0.56")</f>
        <v/>
      </c>
      <c r="V29">
        <f>IFERROR(__xludf.DUMMYFUNCTION("""COMPUTED_VALUE"""),75.0)</f>
        <v/>
      </c>
      <c r="W29">
        <f>IFERROR(__xludf.DUMMYFUNCTION("""COMPUTED_VALUE"""),"-")</f>
        <v/>
      </c>
      <c r="X29">
        <f>IFERROR(__xludf.DUMMYFUNCTION("""COMPUTED_VALUE"""),"-")</f>
        <v/>
      </c>
      <c r="Z29">
        <f>IFERROR(__xludf.DUMMYFUNCTION("""COMPUTED_VALUE"""),"-")</f>
        <v/>
      </c>
      <c r="AB29">
        <f>IFERROR(__xludf.DUMMYFUNCTION("""COMPUTED_VALUE"""),"dageki_1")</f>
        <v/>
      </c>
    </row>
    <row r="30">
      <c r="B30">
        <f>IFERROR(__xludf.DUMMYFUNCTION("""COMPUTED_VALUE"""),"enemy_kai_00101")</f>
        <v/>
      </c>
      <c r="C30">
        <f>IFERROR(__xludf.DUMMYFUNCTION("""COMPUTED_VALUE"""),"_eventchallenge01")</f>
        <v/>
      </c>
      <c r="D30">
        <f>IFERROR(__xludf.DUMMYFUNCTION("""COMPUTED_VALUE"""),"e_kai_00101_eventchallenge01_Normal_Red")</f>
        <v/>
      </c>
      <c r="E30">
        <f>IFERROR(__xludf.DUMMYFUNCTION("""COMPUTED_VALUE"""),"怪獣８号")</f>
        <v/>
      </c>
      <c r="F30">
        <f>IFERROR(__xludf.DUMMYFUNCTION("""COMPUTED_VALUE"""),"怪獣 余獣")</f>
        <v/>
      </c>
      <c r="G30">
        <f>IFERROR(__xludf.DUMMYFUNCTION("""COMPUTED_VALUE"""),"怪獣 余獣_eventchallenge01")</f>
        <v/>
      </c>
      <c r="H30">
        <f>IFERROR(__xludf.DUMMYFUNCTION("""COMPUTED_VALUE"""),"Normal")</f>
        <v/>
      </c>
      <c r="I30">
        <f>IFERROR(__xludf.DUMMYFUNCTION("""COMPUTED_VALUE"""),"Attack")</f>
        <v/>
      </c>
      <c r="J30">
        <f>IFERROR(__xludf.DUMMYFUNCTION("""COMPUTED_VALUE"""),"Red")</f>
        <v/>
      </c>
      <c r="K30">
        <f>IFERROR(__xludf.DUMMYFUNCTION("""COMPUTED_VALUE"""),10000.0)</f>
        <v/>
      </c>
      <c r="L30">
        <f>IFERROR(__xludf.DUMMYFUNCTION("""COMPUTED_VALUE"""),3.0)</f>
        <v/>
      </c>
      <c r="M30">
        <f>IFERROR(__xludf.DUMMYFUNCTION("""COMPUTED_VALUE"""),20.0)</f>
        <v/>
      </c>
      <c r="N30">
        <f>IFERROR(__xludf.DUMMYFUNCTION("""COMPUTED_VALUE"""),0.19)</f>
        <v/>
      </c>
      <c r="O30">
        <f>IFERROR(__xludf.DUMMYFUNCTION("""COMPUTED_VALUE"""),500.0)</f>
        <v/>
      </c>
      <c r="P30">
        <f>IFERROR(__xludf.DUMMYFUNCTION("""COMPUTED_VALUE"""),0.0)</f>
        <v/>
      </c>
      <c r="Q30">
        <f>IFERROR(__xludf.DUMMYFUNCTION("""COMPUTED_VALUE"""),0.2)</f>
        <v/>
      </c>
      <c r="R30">
        <f>IFERROR(__xludf.DUMMYFUNCTION("""COMPUTED_VALUE"""),1.0)</f>
        <v/>
      </c>
      <c r="S30">
        <f>IFERROR(__xludf.DUMMYFUNCTION("""COMPUTED_VALUE"""),200.0)</f>
        <v/>
      </c>
      <c r="T30">
        <f>IFERROR(__xludf.DUMMYFUNCTION("""COMPUTED_VALUE"""),"1.23")</f>
        <v/>
      </c>
      <c r="U30">
        <f>IFERROR(__xludf.DUMMYFUNCTION("""COMPUTED_VALUE"""),"stop有:1回目 0.56")</f>
        <v/>
      </c>
      <c r="V30">
        <f>IFERROR(__xludf.DUMMYFUNCTION("""COMPUTED_VALUE"""),75.0)</f>
        <v/>
      </c>
      <c r="W30">
        <f>IFERROR(__xludf.DUMMYFUNCTION("""COMPUTED_VALUE"""),"-")</f>
        <v/>
      </c>
      <c r="X30">
        <f>IFERROR(__xludf.DUMMYFUNCTION("""COMPUTED_VALUE"""),"-")</f>
        <v/>
      </c>
      <c r="Z30">
        <f>IFERROR(__xludf.DUMMYFUNCTION("""COMPUTED_VALUE"""),"-")</f>
        <v/>
      </c>
      <c r="AB30">
        <f>IFERROR(__xludf.DUMMYFUNCTION("""COMPUTED_VALUE"""),"dageki_1")</f>
        <v/>
      </c>
    </row>
    <row r="31">
      <c r="B31">
        <f>IFERROR(__xludf.DUMMYFUNCTION("""COMPUTED_VALUE"""),"enemy_kai_00101")</f>
        <v/>
      </c>
      <c r="C31">
        <f>IFERROR(__xludf.DUMMYFUNCTION("""COMPUTED_VALUE"""),"_eventchallenge01")</f>
        <v/>
      </c>
      <c r="D31">
        <f>IFERROR(__xludf.DUMMYFUNCTION("""COMPUTED_VALUE"""),"e_kai_00101_eventchallenge01_Normal_Yellow")</f>
        <v/>
      </c>
      <c r="E31">
        <f>IFERROR(__xludf.DUMMYFUNCTION("""COMPUTED_VALUE"""),"怪獣８号")</f>
        <v/>
      </c>
      <c r="F31">
        <f>IFERROR(__xludf.DUMMYFUNCTION("""COMPUTED_VALUE"""),"怪獣 余獣")</f>
        <v/>
      </c>
      <c r="G31">
        <f>IFERROR(__xludf.DUMMYFUNCTION("""COMPUTED_VALUE"""),"怪獣 余獣_eventchallenge01")</f>
        <v/>
      </c>
      <c r="H31">
        <f>IFERROR(__xludf.DUMMYFUNCTION("""COMPUTED_VALUE"""),"Normal")</f>
        <v/>
      </c>
      <c r="I31">
        <f>IFERROR(__xludf.DUMMYFUNCTION("""COMPUTED_VALUE"""),"Attack")</f>
        <v/>
      </c>
      <c r="J31">
        <f>IFERROR(__xludf.DUMMYFUNCTION("""COMPUTED_VALUE"""),"Yellow")</f>
        <v/>
      </c>
      <c r="K31">
        <f>IFERROR(__xludf.DUMMYFUNCTION("""COMPUTED_VALUE"""),10000.0)</f>
        <v/>
      </c>
      <c r="L31">
        <f>IFERROR(__xludf.DUMMYFUNCTION("""COMPUTED_VALUE"""),3.0)</f>
        <v/>
      </c>
      <c r="M31">
        <f>IFERROR(__xludf.DUMMYFUNCTION("""COMPUTED_VALUE"""),31.0)</f>
        <v/>
      </c>
      <c r="N31">
        <f>IFERROR(__xludf.DUMMYFUNCTION("""COMPUTED_VALUE"""),0.2)</f>
        <v/>
      </c>
      <c r="O31">
        <f>IFERROR(__xludf.DUMMYFUNCTION("""COMPUTED_VALUE"""),500.0)</f>
        <v/>
      </c>
      <c r="P31">
        <f>IFERROR(__xludf.DUMMYFUNCTION("""COMPUTED_VALUE"""),0.0)</f>
        <v/>
      </c>
      <c r="Q31">
        <f>IFERROR(__xludf.DUMMYFUNCTION("""COMPUTED_VALUE"""),0.21)</f>
        <v/>
      </c>
      <c r="R31">
        <f>IFERROR(__xludf.DUMMYFUNCTION("""COMPUTED_VALUE"""),1.0)</f>
        <v/>
      </c>
      <c r="S31">
        <f>IFERROR(__xludf.DUMMYFUNCTION("""COMPUTED_VALUE"""),200.0)</f>
        <v/>
      </c>
      <c r="T31">
        <f>IFERROR(__xludf.DUMMYFUNCTION("""COMPUTED_VALUE"""),"1.23")</f>
        <v/>
      </c>
      <c r="U31">
        <f>IFERROR(__xludf.DUMMYFUNCTION("""COMPUTED_VALUE"""),"stop有:1回目 0.56")</f>
        <v/>
      </c>
      <c r="V31">
        <f>IFERROR(__xludf.DUMMYFUNCTION("""COMPUTED_VALUE"""),75.0)</f>
        <v/>
      </c>
      <c r="W31">
        <f>IFERROR(__xludf.DUMMYFUNCTION("""COMPUTED_VALUE"""),"-")</f>
        <v/>
      </c>
      <c r="X31">
        <f>IFERROR(__xludf.DUMMYFUNCTION("""COMPUTED_VALUE"""),"-")</f>
        <v/>
      </c>
      <c r="Z31">
        <f>IFERROR(__xludf.DUMMYFUNCTION("""COMPUTED_VALUE"""),"-")</f>
        <v/>
      </c>
      <c r="AB31">
        <f>IFERROR(__xludf.DUMMYFUNCTION("""COMPUTED_VALUE"""),"dageki_1")</f>
        <v/>
      </c>
    </row>
    <row r="32">
      <c r="B32">
        <f>IFERROR(__xludf.DUMMYFUNCTION("""COMPUTED_VALUE"""),"enemy_kai_00001")</f>
        <v/>
      </c>
      <c r="C32">
        <f>IFERROR(__xludf.DUMMYFUNCTION("""COMPUTED_VALUE"""),"_eventchallenge01")</f>
        <v/>
      </c>
      <c r="D32">
        <f>IFERROR(__xludf.DUMMYFUNCTION("""COMPUTED_VALUE"""),"e_kai_00001_eventchallenge01_Boss_Blue")</f>
        <v/>
      </c>
      <c r="E32">
        <f>IFERROR(__xludf.DUMMYFUNCTION("""COMPUTED_VALUE"""),"怪獣８号")</f>
        <v/>
      </c>
      <c r="F32">
        <f>IFERROR(__xludf.DUMMYFUNCTION("""COMPUTED_VALUE"""),"怪獣 本獣")</f>
        <v/>
      </c>
      <c r="G32">
        <f>IFERROR(__xludf.DUMMYFUNCTION("""COMPUTED_VALUE"""),"怪獣 本獣_eventchallenge01")</f>
        <v/>
      </c>
      <c r="H32">
        <f>IFERROR(__xludf.DUMMYFUNCTION("""COMPUTED_VALUE"""),"Boss")</f>
        <v/>
      </c>
      <c r="I32">
        <f>IFERROR(__xludf.DUMMYFUNCTION("""COMPUTED_VALUE"""),"Defense")</f>
        <v/>
      </c>
      <c r="J32">
        <f>IFERROR(__xludf.DUMMYFUNCTION("""COMPUTED_VALUE"""),"Blue")</f>
        <v/>
      </c>
      <c r="K32">
        <f>IFERROR(__xludf.DUMMYFUNCTION("""COMPUTED_VALUE"""),10000.0)</f>
        <v/>
      </c>
      <c r="L32">
        <f>IFERROR(__xludf.DUMMYFUNCTION("""COMPUTED_VALUE"""),2.0)</f>
        <v/>
      </c>
      <c r="M32">
        <f>IFERROR(__xludf.DUMMYFUNCTION("""COMPUTED_VALUE"""),30.0)</f>
        <v/>
      </c>
      <c r="N32">
        <f>IFERROR(__xludf.DUMMYFUNCTION("""COMPUTED_VALUE"""),0.18)</f>
        <v/>
      </c>
      <c r="O32">
        <f>IFERROR(__xludf.DUMMYFUNCTION("""COMPUTED_VALUE"""),300.0)</f>
        <v/>
      </c>
      <c r="P32">
        <f>IFERROR(__xludf.DUMMYFUNCTION("""COMPUTED_VALUE"""),0.0)</f>
        <v/>
      </c>
      <c r="Q32">
        <f>IFERROR(__xludf.DUMMYFUNCTION("""COMPUTED_VALUE"""),0.21)</f>
        <v/>
      </c>
      <c r="R32">
        <f>IFERROR(__xludf.DUMMYFUNCTION("""COMPUTED_VALUE"""),100.0)</f>
        <v/>
      </c>
      <c r="S32">
        <f>IFERROR(__xludf.DUMMYFUNCTION("""COMPUTED_VALUE"""),300.0)</f>
        <v/>
      </c>
      <c r="T32">
        <f>IFERROR(__xludf.DUMMYFUNCTION("""COMPUTED_VALUE"""),"2.34")</f>
        <v/>
      </c>
      <c r="U32">
        <f>IFERROR(__xludf.DUMMYFUNCTION("""COMPUTED_VALUE"""),"stop有:1回目 1.00")</f>
        <v/>
      </c>
      <c r="V32">
        <f>IFERROR(__xludf.DUMMYFUNCTION("""COMPUTED_VALUE"""),150.0)</f>
        <v/>
      </c>
      <c r="W32">
        <f>IFERROR(__xludf.DUMMYFUNCTION("""COMPUTED_VALUE"""),"-")</f>
        <v/>
      </c>
      <c r="X32">
        <f>IFERROR(__xludf.DUMMYFUNCTION("""COMPUTED_VALUE"""),"-")</f>
        <v/>
      </c>
      <c r="Z32">
        <f>IFERROR(__xludf.DUMMYFUNCTION("""COMPUTED_VALUE"""),"-")</f>
        <v/>
      </c>
      <c r="AB32">
        <f>IFERROR(__xludf.DUMMYFUNCTION("""COMPUTED_VALUE"""),"dageki_1")</f>
        <v/>
      </c>
    </row>
    <row r="33">
      <c r="B33">
        <f>IFERROR(__xludf.DUMMYFUNCTION("""COMPUTED_VALUE"""),"enemy_kai_00001")</f>
        <v/>
      </c>
      <c r="C33">
        <f>IFERROR(__xludf.DUMMYFUNCTION("""COMPUTED_VALUE"""),"_eventchallenge01")</f>
        <v/>
      </c>
      <c r="D33">
        <f>IFERROR(__xludf.DUMMYFUNCTION("""COMPUTED_VALUE"""),"e_kai_00001_eventchallenge01_Boss_Red")</f>
        <v/>
      </c>
      <c r="E33">
        <f>IFERROR(__xludf.DUMMYFUNCTION("""COMPUTED_VALUE"""),"怪獣８号")</f>
        <v/>
      </c>
      <c r="F33">
        <f>IFERROR(__xludf.DUMMYFUNCTION("""COMPUTED_VALUE"""),"怪獣 本獣")</f>
        <v/>
      </c>
      <c r="G33">
        <f>IFERROR(__xludf.DUMMYFUNCTION("""COMPUTED_VALUE"""),"怪獣 本獣_eventchallenge01")</f>
        <v/>
      </c>
      <c r="H33">
        <f>IFERROR(__xludf.DUMMYFUNCTION("""COMPUTED_VALUE"""),"Boss")</f>
        <v/>
      </c>
      <c r="I33">
        <f>IFERROR(__xludf.DUMMYFUNCTION("""COMPUTED_VALUE"""),"Attack")</f>
        <v/>
      </c>
      <c r="J33">
        <f>IFERROR(__xludf.DUMMYFUNCTION("""COMPUTED_VALUE"""),"Red")</f>
        <v/>
      </c>
      <c r="K33">
        <f>IFERROR(__xludf.DUMMYFUNCTION("""COMPUTED_VALUE"""),10000.0)</f>
        <v/>
      </c>
      <c r="L33">
        <f>IFERROR(__xludf.DUMMYFUNCTION("""COMPUTED_VALUE"""),3.0)</f>
        <v/>
      </c>
      <c r="M33">
        <f>IFERROR(__xludf.DUMMYFUNCTION("""COMPUTED_VALUE"""),30.0)</f>
        <v/>
      </c>
      <c r="N33">
        <f>IFERROR(__xludf.DUMMYFUNCTION("""COMPUTED_VALUE"""),0.2)</f>
        <v/>
      </c>
      <c r="O33">
        <f>IFERROR(__xludf.DUMMYFUNCTION("""COMPUTED_VALUE"""),500.0)</f>
        <v/>
      </c>
      <c r="P33">
        <f>IFERROR(__xludf.DUMMYFUNCTION("""COMPUTED_VALUE"""),0.0)</f>
        <v/>
      </c>
      <c r="Q33">
        <f>IFERROR(__xludf.DUMMYFUNCTION("""COMPUTED_VALUE"""),0.23)</f>
        <v/>
      </c>
      <c r="R33">
        <f>IFERROR(__xludf.DUMMYFUNCTION("""COMPUTED_VALUE"""),100.0)</f>
        <v/>
      </c>
      <c r="S33">
        <f>IFERROR(__xludf.DUMMYFUNCTION("""COMPUTED_VALUE"""),300.0)</f>
        <v/>
      </c>
      <c r="T33">
        <f>IFERROR(__xludf.DUMMYFUNCTION("""COMPUTED_VALUE"""),"2.34")</f>
        <v/>
      </c>
      <c r="U33">
        <f>IFERROR(__xludf.DUMMYFUNCTION("""COMPUTED_VALUE"""),"stop有:1回目 1.00")</f>
        <v/>
      </c>
      <c r="V33">
        <f>IFERROR(__xludf.DUMMYFUNCTION("""COMPUTED_VALUE"""),100.0)</f>
        <v/>
      </c>
      <c r="W33">
        <f>IFERROR(__xludf.DUMMYFUNCTION("""COMPUTED_VALUE"""),"-")</f>
        <v/>
      </c>
      <c r="X33">
        <f>IFERROR(__xludf.DUMMYFUNCTION("""COMPUTED_VALUE"""),"-")</f>
        <v/>
      </c>
      <c r="Z33">
        <f>IFERROR(__xludf.DUMMYFUNCTION("""COMPUTED_VALUE"""),"-")</f>
        <v/>
      </c>
      <c r="AB33">
        <f>IFERROR(__xludf.DUMMYFUNCTION("""COMPUTED_VALUE"""),"dageki_1")</f>
        <v/>
      </c>
    </row>
    <row r="34">
      <c r="B34">
        <f>IFERROR(__xludf.DUMMYFUNCTION("""COMPUTED_VALUE"""),"enemy_kai_00001")</f>
        <v/>
      </c>
      <c r="C34">
        <f>IFERROR(__xludf.DUMMYFUNCTION("""COMPUTED_VALUE"""),"_eventchallenge01")</f>
        <v/>
      </c>
      <c r="D34">
        <f>IFERROR(__xludf.DUMMYFUNCTION("""COMPUTED_VALUE"""),"e_kai_00001_eventchallenge01_Normal_Yellow")</f>
        <v/>
      </c>
      <c r="E34">
        <f>IFERROR(__xludf.DUMMYFUNCTION("""COMPUTED_VALUE"""),"怪獣８号")</f>
        <v/>
      </c>
      <c r="F34">
        <f>IFERROR(__xludf.DUMMYFUNCTION("""COMPUTED_VALUE"""),"怪獣 本獣")</f>
        <v/>
      </c>
      <c r="G34">
        <f>IFERROR(__xludf.DUMMYFUNCTION("""COMPUTED_VALUE"""),"怪獣 本獣_eventchallenge01")</f>
        <v/>
      </c>
      <c r="H34">
        <f>IFERROR(__xludf.DUMMYFUNCTION("""COMPUTED_VALUE"""),"Normal")</f>
        <v/>
      </c>
      <c r="I34">
        <f>IFERROR(__xludf.DUMMYFUNCTION("""COMPUTED_VALUE"""),"Attack")</f>
        <v/>
      </c>
      <c r="J34">
        <f>IFERROR(__xludf.DUMMYFUNCTION("""COMPUTED_VALUE"""),"Yellow")</f>
        <v/>
      </c>
      <c r="K34">
        <f>IFERROR(__xludf.DUMMYFUNCTION("""COMPUTED_VALUE"""),10000.0)</f>
        <v/>
      </c>
      <c r="L34">
        <f>IFERROR(__xludf.DUMMYFUNCTION("""COMPUTED_VALUE"""),3.0)</f>
        <v/>
      </c>
      <c r="M34">
        <f>IFERROR(__xludf.DUMMYFUNCTION("""COMPUTED_VALUE"""),35.0)</f>
        <v/>
      </c>
      <c r="N34">
        <f>IFERROR(__xludf.DUMMYFUNCTION("""COMPUTED_VALUE"""),0.23)</f>
        <v/>
      </c>
      <c r="O34">
        <f>IFERROR(__xludf.DUMMYFUNCTION("""COMPUTED_VALUE"""),500.0)</f>
        <v/>
      </c>
      <c r="P34">
        <f>IFERROR(__xludf.DUMMYFUNCTION("""COMPUTED_VALUE"""),0.0)</f>
        <v/>
      </c>
      <c r="Q34">
        <f>IFERROR(__xludf.DUMMYFUNCTION("""COMPUTED_VALUE"""),0.26)</f>
        <v/>
      </c>
      <c r="R34">
        <f>IFERROR(__xludf.DUMMYFUNCTION("""COMPUTED_VALUE"""),100.0)</f>
        <v/>
      </c>
      <c r="S34">
        <f>IFERROR(__xludf.DUMMYFUNCTION("""COMPUTED_VALUE"""),300.0)</f>
        <v/>
      </c>
      <c r="T34">
        <f>IFERROR(__xludf.DUMMYFUNCTION("""COMPUTED_VALUE"""),"2.34")</f>
        <v/>
      </c>
      <c r="U34">
        <f>IFERROR(__xludf.DUMMYFUNCTION("""COMPUTED_VALUE"""),"stop有:1回目 1.00")</f>
        <v/>
      </c>
      <c r="V34">
        <f>IFERROR(__xludf.DUMMYFUNCTION("""COMPUTED_VALUE"""),100.0)</f>
        <v/>
      </c>
      <c r="W34">
        <f>IFERROR(__xludf.DUMMYFUNCTION("""COMPUTED_VALUE"""),"-")</f>
        <v/>
      </c>
      <c r="X34">
        <f>IFERROR(__xludf.DUMMYFUNCTION("""COMPUTED_VALUE"""),"-")</f>
        <v/>
      </c>
      <c r="Z34">
        <f>IFERROR(__xludf.DUMMYFUNCTION("""COMPUTED_VALUE"""),"-")</f>
        <v/>
      </c>
      <c r="AB34">
        <f>IFERROR(__xludf.DUMMYFUNCTION("""COMPUTED_VALUE"""),"dageki_1")</f>
        <v/>
      </c>
    </row>
    <row r="35">
      <c r="B35">
        <f>IFERROR(__xludf.DUMMYFUNCTION("""COMPUTED_VALUE"""),"chara_kai_00401")</f>
        <v/>
      </c>
      <c r="C35">
        <f>IFERROR(__xludf.DUMMYFUNCTION("""COMPUTED_VALUE"""),"_eventchallenge01")</f>
        <v/>
      </c>
      <c r="D35">
        <f>IFERROR(__xludf.DUMMYFUNCTION("""COMPUTED_VALUE"""),"c_kai_00401_eventchallenge01_Boss_Red")</f>
        <v/>
      </c>
      <c r="E35">
        <f>IFERROR(__xludf.DUMMYFUNCTION("""COMPUTED_VALUE"""),"怪獣８号")</f>
        <v/>
      </c>
      <c r="F35">
        <f>IFERROR(__xludf.DUMMYFUNCTION("""COMPUTED_VALUE"""),"保科 宗四郎")</f>
        <v/>
      </c>
      <c r="G35">
        <f>IFERROR(__xludf.DUMMYFUNCTION("""COMPUTED_VALUE"""),"保科 宗四郎_eventchallenge01")</f>
        <v/>
      </c>
      <c r="H35">
        <f>IFERROR(__xludf.DUMMYFUNCTION("""COMPUTED_VALUE"""),"Boss")</f>
        <v/>
      </c>
      <c r="I35">
        <f>IFERROR(__xludf.DUMMYFUNCTION("""COMPUTED_VALUE"""),"Attack")</f>
        <v/>
      </c>
      <c r="J35">
        <f>IFERROR(__xludf.DUMMYFUNCTION("""COMPUTED_VALUE"""),"Red")</f>
        <v/>
      </c>
      <c r="K35">
        <f>IFERROR(__xludf.DUMMYFUNCTION("""COMPUTED_VALUE"""),10000.0)</f>
        <v/>
      </c>
      <c r="L35">
        <f>IFERROR(__xludf.DUMMYFUNCTION("""COMPUTED_VALUE"""),3.0)</f>
        <v/>
      </c>
      <c r="M35">
        <f>IFERROR(__xludf.DUMMYFUNCTION("""COMPUTED_VALUE"""),41.0)</f>
        <v/>
      </c>
      <c r="N35">
        <f>IFERROR(__xludf.DUMMYFUNCTION("""COMPUTED_VALUE"""),0.24)</f>
        <v/>
      </c>
      <c r="O35">
        <f>IFERROR(__xludf.DUMMYFUNCTION("""COMPUTED_VALUE"""),500.0)</f>
        <v/>
      </c>
      <c r="P35">
        <f>IFERROR(__xludf.DUMMYFUNCTION("""COMPUTED_VALUE"""),0.0)</f>
        <v/>
      </c>
      <c r="Q35">
        <f>IFERROR(__xludf.DUMMYFUNCTION("""COMPUTED_VALUE"""),0.25)</f>
        <v/>
      </c>
      <c r="R35">
        <f>IFERROR(__xludf.DUMMYFUNCTION("""COMPUTED_VALUE"""),1.0)</f>
        <v/>
      </c>
      <c r="S35">
        <f>IFERROR(__xludf.DUMMYFUNCTION("""COMPUTED_VALUE"""),500.0)</f>
        <v/>
      </c>
      <c r="T35">
        <f>IFERROR(__xludf.DUMMYFUNCTION("""COMPUTED_VALUE"""),"1.27")</f>
        <v/>
      </c>
      <c r="U35">
        <f>IFERROR(__xludf.DUMMYFUNCTION("""COMPUTED_VALUE"""),"stop有:1回目 0.43")</f>
        <v/>
      </c>
      <c r="V35">
        <f>IFERROR(__xludf.DUMMYFUNCTION("""COMPUTED_VALUE"""),75.0)</f>
        <v/>
      </c>
      <c r="W35">
        <f>IFERROR(__xludf.DUMMYFUNCTION("""COMPUTED_VALUE"""),"2.67")</f>
        <v/>
      </c>
      <c r="X35">
        <f>IFERROR(__xludf.DUMMYFUNCTION("""COMPUTED_VALUE"""),"stop無:1回目 0.25
stop無:2回目 0.91
stop無:3回目 1.05
stop無:4回目 1.15
stop有:5回目 1.66")</f>
        <v/>
      </c>
      <c r="Y35">
        <f>IFERROR(__xludf.DUMMYFUNCTION("""COMPUTED_VALUE"""),"単体に攻撃+50%の確率で3秒のスタン攻撃")</f>
        <v/>
      </c>
      <c r="Z35">
        <f>IFERROR(__xludf.DUMMYFUNCTION("""COMPUTED_VALUE"""),4.0)</f>
        <v/>
      </c>
      <c r="AB35">
        <f>IFERROR(__xludf.DUMMYFUNCTION("""COMPUTED_VALUE"""),"zangeki_1")</f>
        <v/>
      </c>
    </row>
    <row r="36">
      <c r="B36">
        <f>IFERROR(__xludf.DUMMYFUNCTION("""COMPUTED_VALUE"""),"chara_kai_00201")</f>
        <v/>
      </c>
      <c r="C36">
        <f>IFERROR(__xludf.DUMMYFUNCTION("""COMPUTED_VALUE"""),"_eventchallenge01")</f>
        <v/>
      </c>
      <c r="D36">
        <f>IFERROR(__xludf.DUMMYFUNCTION("""COMPUTED_VALUE"""),"c_kai_00201_eventchallenge01_Boss_Red")</f>
        <v/>
      </c>
      <c r="E36">
        <f>IFERROR(__xludf.DUMMYFUNCTION("""COMPUTED_VALUE"""),"怪獣８号")</f>
        <v/>
      </c>
      <c r="F36">
        <f>IFERROR(__xludf.DUMMYFUNCTION("""COMPUTED_VALUE"""),"第三部隊隊長 亜白 ミナ")</f>
        <v/>
      </c>
      <c r="G36">
        <f>IFERROR(__xludf.DUMMYFUNCTION("""COMPUTED_VALUE"""),"第三部隊隊長 亜白 ミナ_eventchallenge01")</f>
        <v/>
      </c>
      <c r="H36">
        <f>IFERROR(__xludf.DUMMYFUNCTION("""COMPUTED_VALUE"""),"Boss")</f>
        <v/>
      </c>
      <c r="I36">
        <f>IFERROR(__xludf.DUMMYFUNCTION("""COMPUTED_VALUE"""),"Attack")</f>
        <v/>
      </c>
      <c r="J36">
        <f>IFERROR(__xludf.DUMMYFUNCTION("""COMPUTED_VALUE"""),"Red")</f>
        <v/>
      </c>
      <c r="K36">
        <f>IFERROR(__xludf.DUMMYFUNCTION("""COMPUTED_VALUE"""),10000.0)</f>
        <v/>
      </c>
      <c r="L36">
        <f>IFERROR(__xludf.DUMMYFUNCTION("""COMPUTED_VALUE"""),3.0)</f>
        <v/>
      </c>
      <c r="M36">
        <f>IFERROR(__xludf.DUMMYFUNCTION("""COMPUTED_VALUE"""),31.0)</f>
        <v/>
      </c>
      <c r="N36">
        <f>IFERROR(__xludf.DUMMYFUNCTION("""COMPUTED_VALUE"""),0.4)</f>
        <v/>
      </c>
      <c r="O36">
        <f>IFERROR(__xludf.DUMMYFUNCTION("""COMPUTED_VALUE"""),500.0)</f>
        <v/>
      </c>
      <c r="P36">
        <f>IFERROR(__xludf.DUMMYFUNCTION("""COMPUTED_VALUE"""),0.0)</f>
        <v/>
      </c>
      <c r="Q36">
        <f>IFERROR(__xludf.DUMMYFUNCTION("""COMPUTED_VALUE"""),0.6)</f>
        <v/>
      </c>
      <c r="R36">
        <f>IFERROR(__xludf.DUMMYFUNCTION("""COMPUTED_VALUE"""),1.0)</f>
        <v/>
      </c>
      <c r="S36">
        <f>IFERROR(__xludf.DUMMYFUNCTION("""COMPUTED_VALUE"""),500.0)</f>
        <v/>
      </c>
      <c r="T36">
        <f>IFERROR(__xludf.DUMMYFUNCTION("""COMPUTED_VALUE"""),"1.50")</f>
        <v/>
      </c>
      <c r="U36">
        <f>IFERROR(__xludf.DUMMYFUNCTION("""COMPUTED_VALUE"""),"0.75")</f>
        <v/>
      </c>
      <c r="V36">
        <f>IFERROR(__xludf.DUMMYFUNCTION("""COMPUTED_VALUE"""),100.0)</f>
        <v/>
      </c>
      <c r="W36">
        <f>IFERROR(__xludf.DUMMYFUNCTION("""COMPUTED_VALUE"""),"4.41")</f>
        <v/>
      </c>
      <c r="X36">
        <f>IFERROR(__xludf.DUMMYFUNCTION("""COMPUTED_VALUE"""),"stop無:1回目 1.42
stop無:2回目 1.85
stop無:3回目 2.29
stop無:4回目 2.73
stop有:5回目 3.17")</f>
        <v/>
      </c>
      <c r="Y36">
        <f>IFERROR(__xludf.DUMMYFUNCTION("""COMPUTED_VALUE"""),"範囲に攻撃+75%の確率で3秒のスタン攻撃")</f>
        <v/>
      </c>
      <c r="Z36">
        <f>IFERROR(__xludf.DUMMYFUNCTION("""COMPUTED_VALUE"""),4.0)</f>
        <v/>
      </c>
      <c r="AB36">
        <f>IFERROR(__xludf.DUMMYFUNCTION("""COMPUTED_VALUE"""),"shageki_1")</f>
        <v/>
      </c>
    </row>
    <row r="37">
      <c r="D37">
        <f>IFERROR(__xludf.DUMMYFUNCTION("""COMPUTED_VALUE"""),"___")</f>
        <v/>
      </c>
      <c r="E37">
        <f>IFERROR(__xludf.DUMMYFUNCTION("""COMPUTED_VALUE"""),"none")</f>
        <v/>
      </c>
      <c r="F37">
        <f>IFERROR(__xludf.DUMMYFUNCTION("""COMPUTED_VALUE"""),"none")</f>
        <v/>
      </c>
      <c r="G37">
        <f>IFERROR(__xludf.DUMMYFUNCTION("""COMPUTED_VALUE"""),"none")</f>
        <v/>
      </c>
      <c r="I37">
        <f>IFERROR(__xludf.DUMMYFUNCTION("""COMPUTED_VALUE"""),"none")</f>
        <v/>
      </c>
      <c r="T37">
        <f>IFERROR(__xludf.DUMMYFUNCTION("""COMPUTED_VALUE"""),"none")</f>
        <v/>
      </c>
      <c r="U37">
        <f>IFERROR(__xludf.DUMMYFUNCTION("""COMPUTED_VALUE"""),"none")</f>
        <v/>
      </c>
      <c r="W37">
        <f>IFERROR(__xludf.DUMMYFUNCTION("""COMPUTED_VALUE"""),"none")</f>
        <v/>
      </c>
      <c r="X37">
        <f>IFERROR(__xludf.DUMMYFUNCTION("""COMPUTED_VALUE"""),"none")</f>
        <v/>
      </c>
      <c r="Z37">
        <f>IFERROR(__xludf.DUMMYFUNCTION("""COMPUTED_VALUE"""),"-")</f>
        <v/>
      </c>
      <c r="AB37">
        <f>IFERROR(__xludf.DUMMYFUNCTION("""COMPUTED_VALUE"""),"none")</f>
        <v/>
      </c>
    </row>
    <row r="38">
      <c r="B38">
        <f>IFERROR(__xludf.DUMMYFUNCTION("""COMPUTED_VALUE"""),"enemy_kai_00301")</f>
        <v/>
      </c>
      <c r="C38">
        <f>IFERROR(__xludf.DUMMYFUNCTION("""COMPUTED_VALUE"""),"_eventchallenge01")</f>
        <v/>
      </c>
      <c r="D38">
        <f>IFERROR(__xludf.DUMMYFUNCTION("""COMPUTED_VALUE"""),"e_kai_00301_eventchallenge01_Boss_Green")</f>
        <v/>
      </c>
      <c r="E38">
        <f>IFERROR(__xludf.DUMMYFUNCTION("""COMPUTED_VALUE"""),"怪獣８号")</f>
        <v/>
      </c>
      <c r="F38">
        <f>IFERROR(__xludf.DUMMYFUNCTION("""COMPUTED_VALUE"""),"蜘蛛の怪獣")</f>
        <v/>
      </c>
      <c r="G38">
        <f>IFERROR(__xludf.DUMMYFUNCTION("""COMPUTED_VALUE"""),"蜘蛛の怪獣_eventchallenge01")</f>
        <v/>
      </c>
      <c r="H38">
        <f>IFERROR(__xludf.DUMMYFUNCTION("""COMPUTED_VALUE"""),"Boss")</f>
        <v/>
      </c>
      <c r="I38">
        <f>IFERROR(__xludf.DUMMYFUNCTION("""COMPUTED_VALUE"""),"Technical")</f>
        <v/>
      </c>
      <c r="J38">
        <f>IFERROR(__xludf.DUMMYFUNCTION("""COMPUTED_VALUE"""),"Green")</f>
        <v/>
      </c>
      <c r="K38">
        <f>IFERROR(__xludf.DUMMYFUNCTION("""COMPUTED_VALUE"""),10000.0)</f>
        <v/>
      </c>
      <c r="L38">
        <f>IFERROR(__xludf.DUMMYFUNCTION("""COMPUTED_VALUE"""),2.0)</f>
        <v/>
      </c>
      <c r="M38">
        <f>IFERROR(__xludf.DUMMYFUNCTION("""COMPUTED_VALUE"""),50.0)</f>
        <v/>
      </c>
      <c r="N38">
        <f>IFERROR(__xludf.DUMMYFUNCTION("""COMPUTED_VALUE"""),0.3)</f>
        <v/>
      </c>
      <c r="O38">
        <f>IFERROR(__xludf.DUMMYFUNCTION("""COMPUTED_VALUE"""),500.0)</f>
        <v/>
      </c>
      <c r="P38">
        <f>IFERROR(__xludf.DUMMYFUNCTION("""COMPUTED_VALUE"""),0.0)</f>
        <v/>
      </c>
      <c r="Q38">
        <f>IFERROR(__xludf.DUMMYFUNCTION("""COMPUTED_VALUE"""),0.31)</f>
        <v/>
      </c>
      <c r="R38">
        <f>IFERROR(__xludf.DUMMYFUNCTION("""COMPUTED_VALUE"""),1.0)</f>
        <v/>
      </c>
      <c r="S38">
        <f>IFERROR(__xludf.DUMMYFUNCTION("""COMPUTED_VALUE"""),300.0)</f>
        <v/>
      </c>
      <c r="T38">
        <f>IFERROR(__xludf.DUMMYFUNCTION("""COMPUTED_VALUE"""),"1.00")</f>
        <v/>
      </c>
      <c r="U38">
        <f>IFERROR(__xludf.DUMMYFUNCTION("""COMPUTED_VALUE"""),"0.40")</f>
        <v/>
      </c>
      <c r="V38">
        <f>IFERROR(__xludf.DUMMYFUNCTION("""COMPUTED_VALUE"""),20.0)</f>
        <v/>
      </c>
      <c r="W38">
        <f>IFERROR(__xludf.DUMMYFUNCTION("""COMPUTED_VALUE"""),"-")</f>
        <v/>
      </c>
      <c r="X38">
        <f>IFERROR(__xludf.DUMMYFUNCTION("""COMPUTED_VALUE"""),"-")</f>
        <v/>
      </c>
      <c r="Z38">
        <f>IFERROR(__xludf.DUMMYFUNCTION("""COMPUTED_VALUE"""),"-")</f>
        <v/>
      </c>
      <c r="AB38">
        <f>IFERROR(__xludf.DUMMYFUNCTION("""COMPUTED_VALUE"""),"dageki_1")</f>
        <v/>
      </c>
    </row>
    <row r="39">
      <c r="B39">
        <f>IFERROR(__xludf.DUMMYFUNCTION("""COMPUTED_VALUE"""),"enemy_kai_00301")</f>
        <v/>
      </c>
      <c r="C39">
        <f>IFERROR(__xludf.DUMMYFUNCTION("""COMPUTED_VALUE"""),"_eventchallenge01")</f>
        <v/>
      </c>
      <c r="D39">
        <f>IFERROR(__xludf.DUMMYFUNCTION("""COMPUTED_VALUE"""),"e_kai_00301_eventchallenge01_Boss_Yellow")</f>
        <v/>
      </c>
      <c r="E39">
        <f>IFERROR(__xludf.DUMMYFUNCTION("""COMPUTED_VALUE"""),"怪獣８号")</f>
        <v/>
      </c>
      <c r="F39">
        <f>IFERROR(__xludf.DUMMYFUNCTION("""COMPUTED_VALUE"""),"蜘蛛の怪獣")</f>
        <v/>
      </c>
      <c r="G39">
        <f>IFERROR(__xludf.DUMMYFUNCTION("""COMPUTED_VALUE"""),"蜘蛛の怪獣_eventchallenge01")</f>
        <v/>
      </c>
      <c r="H39">
        <f>IFERROR(__xludf.DUMMYFUNCTION("""COMPUTED_VALUE"""),"Boss")</f>
        <v/>
      </c>
      <c r="I39">
        <f>IFERROR(__xludf.DUMMYFUNCTION("""COMPUTED_VALUE"""),"Technical")</f>
        <v/>
      </c>
      <c r="J39">
        <f>IFERROR(__xludf.DUMMYFUNCTION("""COMPUTED_VALUE"""),"Yellow")</f>
        <v/>
      </c>
      <c r="K39">
        <f>IFERROR(__xludf.DUMMYFUNCTION("""COMPUTED_VALUE"""),10000.0)</f>
        <v/>
      </c>
      <c r="L39">
        <f>IFERROR(__xludf.DUMMYFUNCTION("""COMPUTED_VALUE"""),2.0)</f>
        <v/>
      </c>
      <c r="M39">
        <f>IFERROR(__xludf.DUMMYFUNCTION("""COMPUTED_VALUE"""),30.0)</f>
        <v/>
      </c>
      <c r="N39">
        <f>IFERROR(__xludf.DUMMYFUNCTION("""COMPUTED_VALUE"""),0.34)</f>
        <v/>
      </c>
      <c r="O39">
        <f>IFERROR(__xludf.DUMMYFUNCTION("""COMPUTED_VALUE"""),500.0)</f>
        <v/>
      </c>
      <c r="P39">
        <f>IFERROR(__xludf.DUMMYFUNCTION("""COMPUTED_VALUE"""),0.0)</f>
        <v/>
      </c>
      <c r="Q39">
        <f>IFERROR(__xludf.DUMMYFUNCTION("""COMPUTED_VALUE"""),0.35)</f>
        <v/>
      </c>
      <c r="R39">
        <f>IFERROR(__xludf.DUMMYFUNCTION("""COMPUTED_VALUE"""),1.0)</f>
        <v/>
      </c>
      <c r="S39">
        <f>IFERROR(__xludf.DUMMYFUNCTION("""COMPUTED_VALUE"""),300.0)</f>
        <v/>
      </c>
      <c r="T39">
        <f>IFERROR(__xludf.DUMMYFUNCTION("""COMPUTED_VALUE"""),"1.00")</f>
        <v/>
      </c>
      <c r="U39">
        <f>IFERROR(__xludf.DUMMYFUNCTION("""COMPUTED_VALUE"""),"0.40")</f>
        <v/>
      </c>
      <c r="V39">
        <f>IFERROR(__xludf.DUMMYFUNCTION("""COMPUTED_VALUE"""),75.0)</f>
        <v/>
      </c>
      <c r="W39">
        <f>IFERROR(__xludf.DUMMYFUNCTION("""COMPUTED_VALUE"""),"-")</f>
        <v/>
      </c>
      <c r="X39">
        <f>IFERROR(__xludf.DUMMYFUNCTION("""COMPUTED_VALUE"""),"-")</f>
        <v/>
      </c>
      <c r="Z39">
        <f>IFERROR(__xludf.DUMMYFUNCTION("""COMPUTED_VALUE"""),"-")</f>
        <v/>
      </c>
      <c r="AB39">
        <f>IFERROR(__xludf.DUMMYFUNCTION("""COMPUTED_VALUE"""),"dageki_1")</f>
        <v/>
      </c>
    </row>
    <row r="40">
      <c r="D40">
        <f>IFERROR(__xludf.DUMMYFUNCTION("""COMPUTED_VALUE"""),"___")</f>
        <v/>
      </c>
      <c r="E40">
        <f>IFERROR(__xludf.DUMMYFUNCTION("""COMPUTED_VALUE"""),"none")</f>
        <v/>
      </c>
      <c r="F40">
        <f>IFERROR(__xludf.DUMMYFUNCTION("""COMPUTED_VALUE"""),"none")</f>
        <v/>
      </c>
      <c r="G40">
        <f>IFERROR(__xludf.DUMMYFUNCTION("""COMPUTED_VALUE"""),"none")</f>
        <v/>
      </c>
      <c r="I40">
        <f>IFERROR(__xludf.DUMMYFUNCTION("""COMPUTED_VALUE"""),"none")</f>
        <v/>
      </c>
      <c r="T40">
        <f>IFERROR(__xludf.DUMMYFUNCTION("""COMPUTED_VALUE"""),"none")</f>
        <v/>
      </c>
      <c r="U40">
        <f>IFERROR(__xludf.DUMMYFUNCTION("""COMPUTED_VALUE"""),"none")</f>
        <v/>
      </c>
      <c r="W40">
        <f>IFERROR(__xludf.DUMMYFUNCTION("""COMPUTED_VALUE"""),"none")</f>
        <v/>
      </c>
      <c r="X40">
        <f>IFERROR(__xludf.DUMMYFUNCTION("""COMPUTED_VALUE"""),"none")</f>
        <v/>
      </c>
      <c r="Z40">
        <f>IFERROR(__xludf.DUMMYFUNCTION("""COMPUTED_VALUE"""),"-")</f>
        <v/>
      </c>
      <c r="AB40">
        <f>IFERROR(__xludf.DUMMYFUNCTION("""COMPUTED_VALUE"""),"none")</f>
        <v/>
      </c>
    </row>
    <row r="41">
      <c r="B41">
        <f>IFERROR(__xludf.DUMMYFUNCTION("""COMPUTED_VALUE"""),"enemy_kai_00301")</f>
        <v/>
      </c>
      <c r="C41">
        <f>IFERROR(__xludf.DUMMYFUNCTION("""COMPUTED_VALUE"""),"_savage01")</f>
        <v/>
      </c>
      <c r="D41">
        <f>IFERROR(__xludf.DUMMYFUNCTION("""COMPUTED_VALUE"""),"e_kai_00301_savage01_Normal_Yellow")</f>
        <v/>
      </c>
      <c r="E41">
        <f>IFERROR(__xludf.DUMMYFUNCTION("""COMPUTED_VALUE"""),"怪獣８号")</f>
        <v/>
      </c>
      <c r="F41">
        <f>IFERROR(__xludf.DUMMYFUNCTION("""COMPUTED_VALUE"""),"蜘蛛の怪獣")</f>
        <v/>
      </c>
      <c r="G41">
        <f>IFERROR(__xludf.DUMMYFUNCTION("""COMPUTED_VALUE"""),"蜘蛛の怪獣_savage01")</f>
        <v/>
      </c>
      <c r="H41">
        <f>IFERROR(__xludf.DUMMYFUNCTION("""COMPUTED_VALUE"""),"Normal")</f>
        <v/>
      </c>
      <c r="I41">
        <f>IFERROR(__xludf.DUMMYFUNCTION("""COMPUTED_VALUE"""),"Technical")</f>
        <v/>
      </c>
      <c r="J41">
        <f>IFERROR(__xludf.DUMMYFUNCTION("""COMPUTED_VALUE"""),"Yellow")</f>
        <v/>
      </c>
      <c r="K41">
        <f>IFERROR(__xludf.DUMMYFUNCTION("""COMPUTED_VALUE"""),10000.0)</f>
        <v/>
      </c>
      <c r="L41">
        <f>IFERROR(__xludf.DUMMYFUNCTION("""COMPUTED_VALUE"""),2.0)</f>
        <v/>
      </c>
      <c r="M41">
        <f>IFERROR(__xludf.DUMMYFUNCTION("""COMPUTED_VALUE"""),30.0)</f>
        <v/>
      </c>
      <c r="N41">
        <f>IFERROR(__xludf.DUMMYFUNCTION("""COMPUTED_VALUE"""),0.34)</f>
        <v/>
      </c>
      <c r="O41">
        <f>IFERROR(__xludf.DUMMYFUNCTION("""COMPUTED_VALUE"""),500.0)</f>
        <v/>
      </c>
      <c r="P41">
        <f>IFERROR(__xludf.DUMMYFUNCTION("""COMPUTED_VALUE"""),0.0)</f>
        <v/>
      </c>
      <c r="Q41">
        <f>IFERROR(__xludf.DUMMYFUNCTION("""COMPUTED_VALUE"""),0.35)</f>
        <v/>
      </c>
      <c r="R41">
        <f>IFERROR(__xludf.DUMMYFUNCTION("""COMPUTED_VALUE"""),1.0)</f>
        <v/>
      </c>
      <c r="S41">
        <f>IFERROR(__xludf.DUMMYFUNCTION("""COMPUTED_VALUE"""),300.0)</f>
        <v/>
      </c>
      <c r="T41">
        <f>IFERROR(__xludf.DUMMYFUNCTION("""COMPUTED_VALUE"""),"1.00")</f>
        <v/>
      </c>
      <c r="U41">
        <f>IFERROR(__xludf.DUMMYFUNCTION("""COMPUTED_VALUE"""),"0.40")</f>
        <v/>
      </c>
      <c r="V41">
        <f>IFERROR(__xludf.DUMMYFUNCTION("""COMPUTED_VALUE"""),75.0)</f>
        <v/>
      </c>
      <c r="W41">
        <f>IFERROR(__xludf.DUMMYFUNCTION("""COMPUTED_VALUE"""),"-")</f>
        <v/>
      </c>
      <c r="X41">
        <f>IFERROR(__xludf.DUMMYFUNCTION("""COMPUTED_VALUE"""),"-")</f>
        <v/>
      </c>
      <c r="Z41">
        <f>IFERROR(__xludf.DUMMYFUNCTION("""COMPUTED_VALUE"""),"-")</f>
        <v/>
      </c>
      <c r="AB41">
        <f>IFERROR(__xludf.DUMMYFUNCTION("""COMPUTED_VALUE"""),"dageki_1")</f>
        <v/>
      </c>
    </row>
    <row r="42">
      <c r="B42">
        <f>IFERROR(__xludf.DUMMYFUNCTION("""COMPUTED_VALUE"""),"enemy_kai_00201")</f>
        <v/>
      </c>
      <c r="C42">
        <f>IFERROR(__xludf.DUMMYFUNCTION("""COMPUTED_VALUE"""),"_savage01")</f>
        <v/>
      </c>
      <c r="D42">
        <f>IFERROR(__xludf.DUMMYFUNCTION("""COMPUTED_VALUE"""),"e_kai_00201_savage01_Boss_Yellow")</f>
        <v/>
      </c>
      <c r="E42">
        <f>IFERROR(__xludf.DUMMYFUNCTION("""COMPUTED_VALUE"""),"怪獣８号")</f>
        <v/>
      </c>
      <c r="F42">
        <f>IFERROR(__xludf.DUMMYFUNCTION("""COMPUTED_VALUE"""),"怪獣９号")</f>
        <v/>
      </c>
      <c r="G42">
        <f>IFERROR(__xludf.DUMMYFUNCTION("""COMPUTED_VALUE"""),"怪獣９号_savage01")</f>
        <v/>
      </c>
      <c r="H42">
        <f>IFERROR(__xludf.DUMMYFUNCTION("""COMPUTED_VALUE"""),"Boss")</f>
        <v/>
      </c>
      <c r="I42">
        <f>IFERROR(__xludf.DUMMYFUNCTION("""COMPUTED_VALUE"""),"Attack")</f>
        <v/>
      </c>
      <c r="J42">
        <f>IFERROR(__xludf.DUMMYFUNCTION("""COMPUTED_VALUE"""),"Yellow")</f>
        <v/>
      </c>
      <c r="K42">
        <f>IFERROR(__xludf.DUMMYFUNCTION("""COMPUTED_VALUE"""),100000.0)</f>
        <v/>
      </c>
      <c r="L42">
        <f>IFERROR(__xludf.DUMMYFUNCTION("""COMPUTED_VALUE"""),3.0)</f>
        <v/>
      </c>
      <c r="M42">
        <f>IFERROR(__xludf.DUMMYFUNCTION("""COMPUTED_VALUE"""),35.0)</f>
        <v/>
      </c>
      <c r="N42">
        <f>IFERROR(__xludf.DUMMYFUNCTION("""COMPUTED_VALUE"""),0.27)</f>
        <v/>
      </c>
      <c r="O42">
        <f>IFERROR(__xludf.DUMMYFUNCTION("""COMPUTED_VALUE"""),1000.0)</f>
        <v/>
      </c>
      <c r="P42">
        <f>IFERROR(__xludf.DUMMYFUNCTION("""COMPUTED_VALUE"""),0.0)</f>
        <v/>
      </c>
      <c r="Q42">
        <f>IFERROR(__xludf.DUMMYFUNCTION("""COMPUTED_VALUE"""),0.47)</f>
        <v/>
      </c>
      <c r="R42">
        <f>IFERROR(__xludf.DUMMYFUNCTION("""COMPUTED_VALUE"""),100.0)</f>
        <v/>
      </c>
      <c r="S42">
        <f>IFERROR(__xludf.DUMMYFUNCTION("""COMPUTED_VALUE"""),250.0)</f>
        <v/>
      </c>
      <c r="T42">
        <f>IFERROR(__xludf.DUMMYFUNCTION("""COMPUTED_VALUE"""),"2.47")</f>
        <v/>
      </c>
      <c r="U42">
        <f>IFERROR(__xludf.DUMMYFUNCTION("""COMPUTED_VALUE"""),"stop有:1回目 1.26")</f>
        <v/>
      </c>
      <c r="V42">
        <f>IFERROR(__xludf.DUMMYFUNCTION("""COMPUTED_VALUE"""),125.0)</f>
        <v/>
      </c>
      <c r="W42">
        <f>IFERROR(__xludf.DUMMYFUNCTION("""COMPUTED_VALUE"""),"-")</f>
        <v/>
      </c>
      <c r="X42">
        <f>IFERROR(__xludf.DUMMYFUNCTION("""COMPUTED_VALUE"""),"-")</f>
        <v/>
      </c>
      <c r="Z42">
        <f>IFERROR(__xludf.DUMMYFUNCTION("""COMPUTED_VALUE"""),"-")</f>
        <v/>
      </c>
      <c r="AB42">
        <f>IFERROR(__xludf.DUMMYFUNCTION("""COMPUTED_VALUE"""),"shageki_1")</f>
        <v/>
      </c>
    </row>
    <row r="43">
      <c r="B43">
        <f>IFERROR(__xludf.DUMMYFUNCTION("""COMPUTED_VALUE"""),"enemy_kai_00201")</f>
        <v/>
      </c>
      <c r="C43">
        <f>IFERROR(__xludf.DUMMYFUNCTION("""COMPUTED_VALUE"""),"_savage01")</f>
        <v/>
      </c>
      <c r="D43">
        <f>IFERROR(__xludf.DUMMYFUNCTION("""COMPUTED_VALUE"""),"e_kai_00201_savage01_Boss_Red")</f>
        <v/>
      </c>
      <c r="E43">
        <f>IFERROR(__xludf.DUMMYFUNCTION("""COMPUTED_VALUE"""),"怪獣８号")</f>
        <v/>
      </c>
      <c r="F43">
        <f>IFERROR(__xludf.DUMMYFUNCTION("""COMPUTED_VALUE"""),"怪獣９号")</f>
        <v/>
      </c>
      <c r="G43">
        <f>IFERROR(__xludf.DUMMYFUNCTION("""COMPUTED_VALUE"""),"怪獣９号_savage01")</f>
        <v/>
      </c>
      <c r="H43">
        <f>IFERROR(__xludf.DUMMYFUNCTION("""COMPUTED_VALUE"""),"Boss")</f>
        <v/>
      </c>
      <c r="I43">
        <f>IFERROR(__xludf.DUMMYFUNCTION("""COMPUTED_VALUE"""),"Attack")</f>
        <v/>
      </c>
      <c r="J43">
        <f>IFERROR(__xludf.DUMMYFUNCTION("""COMPUTED_VALUE"""),"Red")</f>
        <v/>
      </c>
      <c r="K43">
        <f>IFERROR(__xludf.DUMMYFUNCTION("""COMPUTED_VALUE"""),100000.0)</f>
        <v/>
      </c>
      <c r="L43">
        <f>IFERROR(__xludf.DUMMYFUNCTION("""COMPUTED_VALUE"""),3.0)</f>
        <v/>
      </c>
      <c r="M43">
        <f>IFERROR(__xludf.DUMMYFUNCTION("""COMPUTED_VALUE"""),35.0)</f>
        <v/>
      </c>
      <c r="N43">
        <f>IFERROR(__xludf.DUMMYFUNCTION("""COMPUTED_VALUE"""),0.27)</f>
        <v/>
      </c>
      <c r="O43">
        <f>IFERROR(__xludf.DUMMYFUNCTION("""COMPUTED_VALUE"""),1000.0)</f>
        <v/>
      </c>
      <c r="P43">
        <f>IFERROR(__xludf.DUMMYFUNCTION("""COMPUTED_VALUE"""),0.0)</f>
        <v/>
      </c>
      <c r="Q43">
        <f>IFERROR(__xludf.DUMMYFUNCTION("""COMPUTED_VALUE"""),0.47)</f>
        <v/>
      </c>
      <c r="R43">
        <f>IFERROR(__xludf.DUMMYFUNCTION("""COMPUTED_VALUE"""),100.0)</f>
        <v/>
      </c>
      <c r="S43">
        <f>IFERROR(__xludf.DUMMYFUNCTION("""COMPUTED_VALUE"""),250.0)</f>
        <v/>
      </c>
      <c r="T43">
        <f>IFERROR(__xludf.DUMMYFUNCTION("""COMPUTED_VALUE"""),"2.47")</f>
        <v/>
      </c>
      <c r="U43">
        <f>IFERROR(__xludf.DUMMYFUNCTION("""COMPUTED_VALUE"""),"stop有:1回目 1.26")</f>
        <v/>
      </c>
      <c r="V43">
        <f>IFERROR(__xludf.DUMMYFUNCTION("""COMPUTED_VALUE"""),125.0)</f>
        <v/>
      </c>
      <c r="W43">
        <f>IFERROR(__xludf.DUMMYFUNCTION("""COMPUTED_VALUE"""),"-")</f>
        <v/>
      </c>
      <c r="X43">
        <f>IFERROR(__xludf.DUMMYFUNCTION("""COMPUTED_VALUE"""),"-")</f>
        <v/>
      </c>
      <c r="Z43">
        <f>IFERROR(__xludf.DUMMYFUNCTION("""COMPUTED_VALUE"""),"-")</f>
        <v/>
      </c>
      <c r="AB43">
        <f>IFERROR(__xludf.DUMMYFUNCTION("""COMPUTED_VALUE"""),"shageki_1")</f>
        <v/>
      </c>
    </row>
    <row r="44">
      <c r="B44">
        <f>IFERROR(__xludf.DUMMYFUNCTION("""COMPUTED_VALUE"""),"enemy_kai_00001")</f>
        <v/>
      </c>
      <c r="C44">
        <f>IFERROR(__xludf.DUMMYFUNCTION("""COMPUTED_VALUE"""),"_savage01")</f>
        <v/>
      </c>
      <c r="D44">
        <f>IFERROR(__xludf.DUMMYFUNCTION("""COMPUTED_VALUE"""),"e_kai_00001_savage01_Normal_Red")</f>
        <v/>
      </c>
      <c r="E44">
        <f>IFERROR(__xludf.DUMMYFUNCTION("""COMPUTED_VALUE"""),"怪獣８号")</f>
        <v/>
      </c>
      <c r="F44">
        <f>IFERROR(__xludf.DUMMYFUNCTION("""COMPUTED_VALUE"""),"怪獣 本獣")</f>
        <v/>
      </c>
      <c r="G44">
        <f>IFERROR(__xludf.DUMMYFUNCTION("""COMPUTED_VALUE"""),"怪獣 本獣_savage01")</f>
        <v/>
      </c>
      <c r="H44">
        <f>IFERROR(__xludf.DUMMYFUNCTION("""COMPUTED_VALUE"""),"Normal")</f>
        <v/>
      </c>
      <c r="I44">
        <f>IFERROR(__xludf.DUMMYFUNCTION("""COMPUTED_VALUE"""),"Attack")</f>
        <v/>
      </c>
      <c r="J44">
        <f>IFERROR(__xludf.DUMMYFUNCTION("""COMPUTED_VALUE"""),"Red")</f>
        <v/>
      </c>
      <c r="K44">
        <f>IFERROR(__xludf.DUMMYFUNCTION("""COMPUTED_VALUE"""),10000.0)</f>
        <v/>
      </c>
      <c r="L44">
        <f>IFERROR(__xludf.DUMMYFUNCTION("""COMPUTED_VALUE"""),3.0)</f>
        <v/>
      </c>
      <c r="M44">
        <f>IFERROR(__xludf.DUMMYFUNCTION("""COMPUTED_VALUE"""),8.0)</f>
        <v/>
      </c>
      <c r="N44">
        <f>IFERROR(__xludf.DUMMYFUNCTION("""COMPUTED_VALUE"""),0.2)</f>
        <v/>
      </c>
      <c r="O44">
        <f>IFERROR(__xludf.DUMMYFUNCTION("""COMPUTED_VALUE"""),500.0)</f>
        <v/>
      </c>
      <c r="P44">
        <f>IFERROR(__xludf.DUMMYFUNCTION("""COMPUTED_VALUE"""),0.0)</f>
        <v/>
      </c>
      <c r="Q44">
        <f>IFERROR(__xludf.DUMMYFUNCTION("""COMPUTED_VALUE"""),0.23)</f>
        <v/>
      </c>
      <c r="R44">
        <f>IFERROR(__xludf.DUMMYFUNCTION("""COMPUTED_VALUE"""),100.0)</f>
        <v/>
      </c>
      <c r="S44">
        <f>IFERROR(__xludf.DUMMYFUNCTION("""COMPUTED_VALUE"""),300.0)</f>
        <v/>
      </c>
      <c r="T44">
        <f>IFERROR(__xludf.DUMMYFUNCTION("""COMPUTED_VALUE"""),"2.34")</f>
        <v/>
      </c>
      <c r="U44">
        <f>IFERROR(__xludf.DUMMYFUNCTION("""COMPUTED_VALUE"""),"stop有:1回目 1.00")</f>
        <v/>
      </c>
      <c r="V44">
        <f>IFERROR(__xludf.DUMMYFUNCTION("""COMPUTED_VALUE"""),100.0)</f>
        <v/>
      </c>
      <c r="W44">
        <f>IFERROR(__xludf.DUMMYFUNCTION("""COMPUTED_VALUE"""),"-")</f>
        <v/>
      </c>
      <c r="X44">
        <f>IFERROR(__xludf.DUMMYFUNCTION("""COMPUTED_VALUE"""),"-")</f>
        <v/>
      </c>
      <c r="Z44">
        <f>IFERROR(__xludf.DUMMYFUNCTION("""COMPUTED_VALUE"""),"-")</f>
        <v/>
      </c>
      <c r="AB44">
        <f>IFERROR(__xludf.DUMMYFUNCTION("""COMPUTED_VALUE"""),"dageki_1")</f>
        <v/>
      </c>
    </row>
    <row r="45">
      <c r="B45">
        <f>IFERROR(__xludf.DUMMYFUNCTION("""COMPUTED_VALUE"""),"enemy_kai_00401")</f>
        <v/>
      </c>
      <c r="C45">
        <f>IFERROR(__xludf.DUMMYFUNCTION("""COMPUTED_VALUE"""),"_savage01")</f>
        <v/>
      </c>
      <c r="D45">
        <f>IFERROR(__xludf.DUMMYFUNCTION("""COMPUTED_VALUE"""),"e_kai_00401_savage01_Normal_Red")</f>
        <v/>
      </c>
      <c r="E45">
        <f>IFERROR(__xludf.DUMMYFUNCTION("""COMPUTED_VALUE"""),"怪獣８号")</f>
        <v/>
      </c>
      <c r="F45">
        <f>IFERROR(__xludf.DUMMYFUNCTION("""COMPUTED_VALUE"""),"怪獣１０号")</f>
        <v/>
      </c>
      <c r="G45">
        <f>IFERROR(__xludf.DUMMYFUNCTION("""COMPUTED_VALUE"""),"怪獣１０号_savage01")</f>
        <v/>
      </c>
      <c r="H45">
        <f>IFERROR(__xludf.DUMMYFUNCTION("""COMPUTED_VALUE"""),"Normal")</f>
        <v/>
      </c>
      <c r="I45">
        <f>IFERROR(__xludf.DUMMYFUNCTION("""COMPUTED_VALUE"""),"Attack")</f>
        <v/>
      </c>
      <c r="J45">
        <f>IFERROR(__xludf.DUMMYFUNCTION("""COMPUTED_VALUE"""),"Red")</f>
        <v/>
      </c>
      <c r="K45">
        <f>IFERROR(__xludf.DUMMYFUNCTION("""COMPUTED_VALUE"""),100000.0)</f>
        <v/>
      </c>
      <c r="L45">
        <f>IFERROR(__xludf.DUMMYFUNCTION("""COMPUTED_VALUE"""),2.0)</f>
        <v/>
      </c>
      <c r="M45">
        <f>IFERROR(__xludf.DUMMYFUNCTION("""COMPUTED_VALUE"""),55.0)</f>
        <v/>
      </c>
      <c r="N45">
        <f>IFERROR(__xludf.DUMMYFUNCTION("""COMPUTED_VALUE"""),0.3)</f>
        <v/>
      </c>
      <c r="O45">
        <f>IFERROR(__xludf.DUMMYFUNCTION("""COMPUTED_VALUE"""),2000.0)</f>
        <v/>
      </c>
      <c r="P45">
        <f>IFERROR(__xludf.DUMMYFUNCTION("""COMPUTED_VALUE"""),0.0)</f>
        <v/>
      </c>
      <c r="Q45">
        <f>IFERROR(__xludf.DUMMYFUNCTION("""COMPUTED_VALUE"""),0.31)</f>
        <v/>
      </c>
      <c r="R45">
        <f>IFERROR(__xludf.DUMMYFUNCTION("""COMPUTED_VALUE"""),1.0)</f>
        <v/>
      </c>
      <c r="S45">
        <f>IFERROR(__xludf.DUMMYFUNCTION("""COMPUTED_VALUE"""),500.0)</f>
        <v/>
      </c>
      <c r="T45">
        <f>IFERROR(__xludf.DUMMYFUNCTION("""COMPUTED_VALUE"""),"1.30")</f>
        <v/>
      </c>
      <c r="U45">
        <f>IFERROR(__xludf.DUMMYFUNCTION("""COMPUTED_VALUE"""),"stop有:1回目 0.55")</f>
        <v/>
      </c>
      <c r="V45">
        <f>IFERROR(__xludf.DUMMYFUNCTION("""COMPUTED_VALUE"""),25.0)</f>
        <v/>
      </c>
      <c r="W45">
        <f>IFERROR(__xludf.DUMMYFUNCTION("""COMPUTED_VALUE"""),"-")</f>
        <v/>
      </c>
      <c r="X45">
        <f>IFERROR(__xludf.DUMMYFUNCTION("""COMPUTED_VALUE"""),"-")</f>
        <v/>
      </c>
      <c r="Z45">
        <f>IFERROR(__xludf.DUMMYFUNCTION("""COMPUTED_VALUE"""),"-")</f>
        <v/>
      </c>
      <c r="AB45">
        <f>IFERROR(__xludf.DUMMYFUNCTION("""COMPUTED_VALUE"""),"dageki_1")</f>
        <v/>
      </c>
    </row>
    <row r="46">
      <c r="B46">
        <f>IFERROR(__xludf.DUMMYFUNCTION("""COMPUTED_VALUE"""),"enemy_kai_00401")</f>
        <v/>
      </c>
      <c r="C46">
        <f>IFERROR(__xludf.DUMMYFUNCTION("""COMPUTED_VALUE"""),"_savage01")</f>
        <v/>
      </c>
      <c r="D46">
        <f>IFERROR(__xludf.DUMMYFUNCTION("""COMPUTED_VALUE"""),"e_kai_00401_savage01_Boss_Red")</f>
        <v/>
      </c>
      <c r="E46">
        <f>IFERROR(__xludf.DUMMYFUNCTION("""COMPUTED_VALUE"""),"怪獣８号")</f>
        <v/>
      </c>
      <c r="F46">
        <f>IFERROR(__xludf.DUMMYFUNCTION("""COMPUTED_VALUE"""),"怪獣１０号")</f>
        <v/>
      </c>
      <c r="G46">
        <f>IFERROR(__xludf.DUMMYFUNCTION("""COMPUTED_VALUE"""),"怪獣１０号_savage01")</f>
        <v/>
      </c>
      <c r="H46">
        <f>IFERROR(__xludf.DUMMYFUNCTION("""COMPUTED_VALUE"""),"Boss")</f>
        <v/>
      </c>
      <c r="I46">
        <f>IFERROR(__xludf.DUMMYFUNCTION("""COMPUTED_VALUE"""),"Attack")</f>
        <v/>
      </c>
      <c r="J46">
        <f>IFERROR(__xludf.DUMMYFUNCTION("""COMPUTED_VALUE"""),"Red")</f>
        <v/>
      </c>
      <c r="K46">
        <f>IFERROR(__xludf.DUMMYFUNCTION("""COMPUTED_VALUE"""),100000.0)</f>
        <v/>
      </c>
      <c r="L46">
        <f>IFERROR(__xludf.DUMMYFUNCTION("""COMPUTED_VALUE"""),2.0)</f>
        <v/>
      </c>
      <c r="M46">
        <f>IFERROR(__xludf.DUMMYFUNCTION("""COMPUTED_VALUE"""),55.0)</f>
        <v/>
      </c>
      <c r="N46">
        <f>IFERROR(__xludf.DUMMYFUNCTION("""COMPUTED_VALUE"""),0.3)</f>
        <v/>
      </c>
      <c r="O46">
        <f>IFERROR(__xludf.DUMMYFUNCTION("""COMPUTED_VALUE"""),2000.0)</f>
        <v/>
      </c>
      <c r="P46">
        <f>IFERROR(__xludf.DUMMYFUNCTION("""COMPUTED_VALUE"""),0.0)</f>
        <v/>
      </c>
      <c r="Q46">
        <f>IFERROR(__xludf.DUMMYFUNCTION("""COMPUTED_VALUE"""),0.31)</f>
        <v/>
      </c>
      <c r="R46">
        <f>IFERROR(__xludf.DUMMYFUNCTION("""COMPUTED_VALUE"""),1.0)</f>
        <v/>
      </c>
      <c r="S46">
        <f>IFERROR(__xludf.DUMMYFUNCTION("""COMPUTED_VALUE"""),500.0)</f>
        <v/>
      </c>
      <c r="T46">
        <f>IFERROR(__xludf.DUMMYFUNCTION("""COMPUTED_VALUE"""),"1.30")</f>
        <v/>
      </c>
      <c r="U46">
        <f>IFERROR(__xludf.DUMMYFUNCTION("""COMPUTED_VALUE"""),"stop有:1回目 0.55")</f>
        <v/>
      </c>
      <c r="V46">
        <f>IFERROR(__xludf.DUMMYFUNCTION("""COMPUTED_VALUE"""),25.0)</f>
        <v/>
      </c>
      <c r="W46">
        <f>IFERROR(__xludf.DUMMYFUNCTION("""COMPUTED_VALUE"""),"-")</f>
        <v/>
      </c>
      <c r="X46">
        <f>IFERROR(__xludf.DUMMYFUNCTION("""COMPUTED_VALUE"""),"-")</f>
        <v/>
      </c>
      <c r="Z46">
        <f>IFERROR(__xludf.DUMMYFUNCTION("""COMPUTED_VALUE"""),"-")</f>
        <v/>
      </c>
      <c r="AB46">
        <f>IFERROR(__xludf.DUMMYFUNCTION("""COMPUTED_VALUE"""),"dageki_1")</f>
        <v/>
      </c>
      <c r="AD46">
        <f>IFERROR(__xludf.DUMMYFUNCTION("""COMPUTED_VALUE"""),"45%の確率で2秒間スタン攻撃")</f>
        <v/>
      </c>
    </row>
    <row r="47">
      <c r="D47">
        <f>IFERROR(__xludf.DUMMYFUNCTION("""COMPUTED_VALUE"""),"___")</f>
        <v/>
      </c>
      <c r="E47">
        <f>IFERROR(__xludf.DUMMYFUNCTION("""COMPUTED_VALUE"""),"none")</f>
        <v/>
      </c>
      <c r="F47">
        <f>IFERROR(__xludf.DUMMYFUNCTION("""COMPUTED_VALUE"""),"none")</f>
        <v/>
      </c>
      <c r="G47">
        <f>IFERROR(__xludf.DUMMYFUNCTION("""COMPUTED_VALUE"""),"none")</f>
        <v/>
      </c>
      <c r="I47">
        <f>IFERROR(__xludf.DUMMYFUNCTION("""COMPUTED_VALUE"""),"none")</f>
        <v/>
      </c>
      <c r="T47">
        <f>IFERROR(__xludf.DUMMYFUNCTION("""COMPUTED_VALUE"""),"none")</f>
        <v/>
      </c>
      <c r="U47">
        <f>IFERROR(__xludf.DUMMYFUNCTION("""COMPUTED_VALUE"""),"none")</f>
        <v/>
      </c>
      <c r="W47">
        <f>IFERROR(__xludf.DUMMYFUNCTION("""COMPUTED_VALUE"""),"none")</f>
        <v/>
      </c>
      <c r="X47">
        <f>IFERROR(__xludf.DUMMYFUNCTION("""COMPUTED_VALUE"""),"none")</f>
        <v/>
      </c>
      <c r="Z47">
        <f>IFERROR(__xludf.DUMMYFUNCTION("""COMPUTED_VALUE"""),"-")</f>
        <v/>
      </c>
      <c r="AB47">
        <f>IFERROR(__xludf.DUMMYFUNCTION("""COMPUTED_VALUE"""),"none")</f>
        <v/>
      </c>
    </row>
    <row r="48">
      <c r="B48">
        <f>IFERROR(__xludf.DUMMYFUNCTION("""COMPUTED_VALUE"""),"chara_kai_00001")</f>
        <v/>
      </c>
      <c r="C48">
        <f>IFERROR(__xludf.DUMMYFUNCTION("""COMPUTED_VALUE"""),"_artwork01")</f>
        <v/>
      </c>
      <c r="D48">
        <f>IFERROR(__xludf.DUMMYFUNCTION("""COMPUTED_VALUE"""),"c_kai_00001_artwork01_Boss_Colorless")</f>
        <v/>
      </c>
      <c r="E48">
        <f>IFERROR(__xludf.DUMMYFUNCTION("""COMPUTED_VALUE"""),"怪獣８号")</f>
        <v/>
      </c>
      <c r="F48">
        <f>IFERROR(__xludf.DUMMYFUNCTION("""COMPUTED_VALUE"""),"日比野 カフカ")</f>
        <v/>
      </c>
      <c r="G48">
        <f>IFERROR(__xludf.DUMMYFUNCTION("""COMPUTED_VALUE"""),"日比野 カフカ_artwork01")</f>
        <v/>
      </c>
      <c r="H48">
        <f>IFERROR(__xludf.DUMMYFUNCTION("""COMPUTED_VALUE"""),"Boss")</f>
        <v/>
      </c>
      <c r="I48">
        <f>IFERROR(__xludf.DUMMYFUNCTION("""COMPUTED_VALUE"""),"Attack")</f>
        <v/>
      </c>
      <c r="J48">
        <f>IFERROR(__xludf.DUMMYFUNCTION("""COMPUTED_VALUE"""),"Colorless")</f>
        <v/>
      </c>
      <c r="K48">
        <f>IFERROR(__xludf.DUMMYFUNCTION("""COMPUTED_VALUE"""),10000.0)</f>
        <v/>
      </c>
      <c r="L48">
        <f>IFERROR(__xludf.DUMMYFUNCTION("""COMPUTED_VALUE"""),3.0)</f>
        <v/>
      </c>
      <c r="M48">
        <f>IFERROR(__xludf.DUMMYFUNCTION("""COMPUTED_VALUE"""),25.0)</f>
        <v/>
      </c>
      <c r="N48">
        <f>IFERROR(__xludf.DUMMYFUNCTION("""COMPUTED_VALUE"""),0.2)</f>
        <v/>
      </c>
      <c r="O48">
        <f>IFERROR(__xludf.DUMMYFUNCTION("""COMPUTED_VALUE"""),100.0)</f>
        <v/>
      </c>
      <c r="P48">
        <f>IFERROR(__xludf.DUMMYFUNCTION("""COMPUTED_VALUE"""),0.0)</f>
        <v/>
      </c>
      <c r="Q48">
        <f>IFERROR(__xludf.DUMMYFUNCTION("""COMPUTED_VALUE"""),0.21)</f>
        <v/>
      </c>
      <c r="R48">
        <f>IFERROR(__xludf.DUMMYFUNCTION("""COMPUTED_VALUE"""),1.0)</f>
        <v/>
      </c>
      <c r="S48">
        <f>IFERROR(__xludf.DUMMYFUNCTION("""COMPUTED_VALUE"""),400.0)</f>
        <v/>
      </c>
      <c r="T48">
        <f>IFERROR(__xludf.DUMMYFUNCTION("""COMPUTED_VALUE"""),"1.83")</f>
        <v/>
      </c>
      <c r="U48">
        <f>IFERROR(__xludf.DUMMYFUNCTION("""COMPUTED_VALUE"""),"1.00")</f>
        <v/>
      </c>
      <c r="V48">
        <f>IFERROR(__xludf.DUMMYFUNCTION("""COMPUTED_VALUE"""),100.0)</f>
        <v/>
      </c>
      <c r="W48">
        <f>IFERROR(__xludf.DUMMYFUNCTION("""COMPUTED_VALUE"""),"2.33")</f>
        <v/>
      </c>
      <c r="X48">
        <f>IFERROR(__xludf.DUMMYFUNCTION("""COMPUTED_VALUE"""),"1.33")</f>
        <v/>
      </c>
      <c r="Y48">
        <f>IFERROR(__xludf.DUMMYFUNCTION("""COMPUTED_VALUE"""),"単体に200%ダメージ")</f>
        <v/>
      </c>
      <c r="Z48">
        <f>IFERROR(__xludf.DUMMYFUNCTION("""COMPUTED_VALUE"""),5.0)</f>
        <v/>
      </c>
      <c r="AB48">
        <f>IFERROR(__xludf.DUMMYFUNCTION("""COMPUTED_VALUE"""),"dageki_1")</f>
        <v/>
      </c>
    </row>
    <row r="49">
      <c r="B49">
        <f>IFERROR(__xludf.DUMMYFUNCTION("""COMPUTED_VALUE"""),"chara_kai_00301")</f>
        <v/>
      </c>
      <c r="C49">
        <f>IFERROR(__xludf.DUMMYFUNCTION("""COMPUTED_VALUE"""),"_artwork01")</f>
        <v/>
      </c>
      <c r="D49">
        <f>IFERROR(__xludf.DUMMYFUNCTION("""COMPUTED_VALUE"""),"c_kai_00301_artwork01_Normal_Colorless")</f>
        <v/>
      </c>
      <c r="E49">
        <f>IFERROR(__xludf.DUMMYFUNCTION("""COMPUTED_VALUE"""),"怪獣８号")</f>
        <v/>
      </c>
      <c r="F49">
        <f>IFERROR(__xludf.DUMMYFUNCTION("""COMPUTED_VALUE"""),"四ノ宮 キコル")</f>
        <v/>
      </c>
      <c r="G49">
        <f>IFERROR(__xludf.DUMMYFUNCTION("""COMPUTED_VALUE"""),"四ノ宮 キコル_artwork01")</f>
        <v/>
      </c>
      <c r="H49">
        <f>IFERROR(__xludf.DUMMYFUNCTION("""COMPUTED_VALUE"""),"Normal")</f>
        <v/>
      </c>
      <c r="I49">
        <f>IFERROR(__xludf.DUMMYFUNCTION("""COMPUTED_VALUE"""),"Defense")</f>
        <v/>
      </c>
      <c r="J49">
        <f>IFERROR(__xludf.DUMMYFUNCTION("""COMPUTED_VALUE"""),"Colorless")</f>
        <v/>
      </c>
      <c r="K49">
        <f>IFERROR(__xludf.DUMMYFUNCTION("""COMPUTED_VALUE"""),10000.0)</f>
        <v/>
      </c>
      <c r="L49">
        <f>IFERROR(__xludf.DUMMYFUNCTION("""COMPUTED_VALUE"""),3.0)</f>
        <v/>
      </c>
      <c r="M49">
        <f>IFERROR(__xludf.DUMMYFUNCTION("""COMPUTED_VALUE"""),34.0)</f>
        <v/>
      </c>
      <c r="N49">
        <f>IFERROR(__xludf.DUMMYFUNCTION("""COMPUTED_VALUE"""),0.17)</f>
        <v/>
      </c>
      <c r="O49">
        <f>IFERROR(__xludf.DUMMYFUNCTION("""COMPUTED_VALUE"""),100.0)</f>
        <v/>
      </c>
      <c r="P49">
        <f>IFERROR(__xludf.DUMMYFUNCTION("""COMPUTED_VALUE"""),0.0)</f>
        <v/>
      </c>
      <c r="Q49">
        <f>IFERROR(__xludf.DUMMYFUNCTION("""COMPUTED_VALUE"""),0.27)</f>
        <v/>
      </c>
      <c r="R49">
        <f>IFERROR(__xludf.DUMMYFUNCTION("""COMPUTED_VALUE"""),100.0)</f>
        <v/>
      </c>
      <c r="S49">
        <f>IFERROR(__xludf.DUMMYFUNCTION("""COMPUTED_VALUE"""),400.0)</f>
        <v/>
      </c>
      <c r="T49">
        <f>IFERROR(__xludf.DUMMYFUNCTION("""COMPUTED_VALUE"""),"2.04")</f>
        <v/>
      </c>
      <c r="U49">
        <f>IFERROR(__xludf.DUMMYFUNCTION("""COMPUTED_VALUE"""),"0.70")</f>
        <v/>
      </c>
      <c r="V49">
        <f>IFERROR(__xludf.DUMMYFUNCTION("""COMPUTED_VALUE"""),100.0)</f>
        <v/>
      </c>
      <c r="W49">
        <f>IFERROR(__xludf.DUMMYFUNCTION("""COMPUTED_VALUE"""),"3.34")</f>
        <v/>
      </c>
      <c r="X49">
        <f>IFERROR(__xludf.DUMMYFUNCTION("""COMPUTED_VALUE"""),"1.07")</f>
        <v/>
      </c>
      <c r="Y49">
        <f>IFERROR(__xludf.DUMMYFUNCTION("""COMPUTED_VALUE"""),"広範囲に125%ダメージ")</f>
        <v/>
      </c>
      <c r="Z49">
        <f>IFERROR(__xludf.DUMMYFUNCTION("""COMPUTED_VALUE"""),5.0)</f>
        <v/>
      </c>
      <c r="AB49">
        <f>IFERROR(__xludf.DUMMYFUNCTION("""COMPUTED_VALUE"""),"zangeki_1")</f>
        <v/>
      </c>
    </row>
    <row r="50">
      <c r="B50">
        <f>IFERROR(__xludf.DUMMYFUNCTION("""COMPUTED_VALUE"""),"chara_kai_00301")</f>
        <v/>
      </c>
      <c r="C50">
        <f>IFERROR(__xludf.DUMMYFUNCTION("""COMPUTED_VALUE"""),"_artwork01")</f>
        <v/>
      </c>
      <c r="D50">
        <f>IFERROR(__xludf.DUMMYFUNCTION("""COMPUTED_VALUE"""),"c_kai_00301_artwork01_Boss_Colorless")</f>
        <v/>
      </c>
      <c r="E50">
        <f>IFERROR(__xludf.DUMMYFUNCTION("""COMPUTED_VALUE"""),"怪獣８号")</f>
        <v/>
      </c>
      <c r="F50">
        <f>IFERROR(__xludf.DUMMYFUNCTION("""COMPUTED_VALUE"""),"四ノ宮 キコル")</f>
        <v/>
      </c>
      <c r="G50">
        <f>IFERROR(__xludf.DUMMYFUNCTION("""COMPUTED_VALUE"""),"四ノ宮 キコル_artwork01")</f>
        <v/>
      </c>
      <c r="H50">
        <f>IFERROR(__xludf.DUMMYFUNCTION("""COMPUTED_VALUE"""),"Boss")</f>
        <v/>
      </c>
      <c r="I50">
        <f>IFERROR(__xludf.DUMMYFUNCTION("""COMPUTED_VALUE"""),"Defense")</f>
        <v/>
      </c>
      <c r="J50">
        <f>IFERROR(__xludf.DUMMYFUNCTION("""COMPUTED_VALUE"""),"Colorless")</f>
        <v/>
      </c>
      <c r="K50">
        <f>IFERROR(__xludf.DUMMYFUNCTION("""COMPUTED_VALUE"""),10000.0)</f>
        <v/>
      </c>
      <c r="L50">
        <f>IFERROR(__xludf.DUMMYFUNCTION("""COMPUTED_VALUE"""),3.0)</f>
        <v/>
      </c>
      <c r="M50">
        <f>IFERROR(__xludf.DUMMYFUNCTION("""COMPUTED_VALUE"""),34.0)</f>
        <v/>
      </c>
      <c r="N50">
        <f>IFERROR(__xludf.DUMMYFUNCTION("""COMPUTED_VALUE"""),0.17)</f>
        <v/>
      </c>
      <c r="O50">
        <f>IFERROR(__xludf.DUMMYFUNCTION("""COMPUTED_VALUE"""),100.0)</f>
        <v/>
      </c>
      <c r="P50">
        <f>IFERROR(__xludf.DUMMYFUNCTION("""COMPUTED_VALUE"""),0.0)</f>
        <v/>
      </c>
      <c r="Q50">
        <f>IFERROR(__xludf.DUMMYFUNCTION("""COMPUTED_VALUE"""),0.27)</f>
        <v/>
      </c>
      <c r="R50">
        <f>IFERROR(__xludf.DUMMYFUNCTION("""COMPUTED_VALUE"""),100.0)</f>
        <v/>
      </c>
      <c r="S50">
        <f>IFERROR(__xludf.DUMMYFUNCTION("""COMPUTED_VALUE"""),400.0)</f>
        <v/>
      </c>
      <c r="T50">
        <f>IFERROR(__xludf.DUMMYFUNCTION("""COMPUTED_VALUE"""),"2.04")</f>
        <v/>
      </c>
      <c r="U50">
        <f>IFERROR(__xludf.DUMMYFUNCTION("""COMPUTED_VALUE"""),"0.70")</f>
        <v/>
      </c>
      <c r="V50">
        <f>IFERROR(__xludf.DUMMYFUNCTION("""COMPUTED_VALUE"""),100.0)</f>
        <v/>
      </c>
      <c r="W50">
        <f>IFERROR(__xludf.DUMMYFUNCTION("""COMPUTED_VALUE"""),"3.34")</f>
        <v/>
      </c>
      <c r="X50">
        <f>IFERROR(__xludf.DUMMYFUNCTION("""COMPUTED_VALUE"""),"1.07")</f>
        <v/>
      </c>
      <c r="Y50">
        <f>IFERROR(__xludf.DUMMYFUNCTION("""COMPUTED_VALUE"""),"広範囲に125%ダメージ")</f>
        <v/>
      </c>
      <c r="Z50">
        <f>IFERROR(__xludf.DUMMYFUNCTION("""COMPUTED_VALUE"""),5.0)</f>
        <v/>
      </c>
      <c r="AB50">
        <f>IFERROR(__xludf.DUMMYFUNCTION("""COMPUTED_VALUE"""),"zangeki_1")</f>
        <v/>
      </c>
    </row>
    <row r="51">
      <c r="B51">
        <f>IFERROR(__xludf.DUMMYFUNCTION("""COMPUTED_VALUE"""),"chara_kai_00101")</f>
        <v/>
      </c>
      <c r="C51">
        <f>IFERROR(__xludf.DUMMYFUNCTION("""COMPUTED_VALUE"""),"_artwork01")</f>
        <v/>
      </c>
      <c r="D51">
        <f>IFERROR(__xludf.DUMMYFUNCTION("""COMPUTED_VALUE"""),"c_kai_00101_artwork01_Normal_Colorless")</f>
        <v/>
      </c>
      <c r="E51">
        <f>IFERROR(__xludf.DUMMYFUNCTION("""COMPUTED_VALUE"""),"怪獣８号")</f>
        <v/>
      </c>
      <c r="F51">
        <f>IFERROR(__xludf.DUMMYFUNCTION("""COMPUTED_VALUE"""),"市川 レノ")</f>
        <v/>
      </c>
      <c r="G51">
        <f>IFERROR(__xludf.DUMMYFUNCTION("""COMPUTED_VALUE"""),"市川 レノ_artwork01")</f>
        <v/>
      </c>
      <c r="H51">
        <f>IFERROR(__xludf.DUMMYFUNCTION("""COMPUTED_VALUE"""),"Normal")</f>
        <v/>
      </c>
      <c r="I51">
        <f>IFERROR(__xludf.DUMMYFUNCTION("""COMPUTED_VALUE"""),"Technical")</f>
        <v/>
      </c>
      <c r="J51">
        <f>IFERROR(__xludf.DUMMYFUNCTION("""COMPUTED_VALUE"""),"Colorless")</f>
        <v/>
      </c>
      <c r="K51">
        <f>IFERROR(__xludf.DUMMYFUNCTION("""COMPUTED_VALUE"""),10000.0)</f>
        <v/>
      </c>
      <c r="L51">
        <f>IFERROR(__xludf.DUMMYFUNCTION("""COMPUTED_VALUE"""),3.0)</f>
        <v/>
      </c>
      <c r="M51">
        <f>IFERROR(__xludf.DUMMYFUNCTION("""COMPUTED_VALUE"""),30.0)</f>
        <v/>
      </c>
      <c r="N51">
        <f>IFERROR(__xludf.DUMMYFUNCTION("""COMPUTED_VALUE"""),0.3)</f>
        <v/>
      </c>
      <c r="O51">
        <f>IFERROR(__xludf.DUMMYFUNCTION("""COMPUTED_VALUE"""),100.0)</f>
        <v/>
      </c>
      <c r="P51">
        <f>IFERROR(__xludf.DUMMYFUNCTION("""COMPUTED_VALUE"""),0.0)</f>
        <v/>
      </c>
      <c r="Q51">
        <f>IFERROR(__xludf.DUMMYFUNCTION("""COMPUTED_VALUE"""),0.31)</f>
        <v/>
      </c>
      <c r="R51">
        <f>IFERROR(__xludf.DUMMYFUNCTION("""COMPUTED_VALUE"""),1.0)</f>
        <v/>
      </c>
      <c r="S51">
        <f>IFERROR(__xludf.DUMMYFUNCTION("""COMPUTED_VALUE"""),400.0)</f>
        <v/>
      </c>
      <c r="T51">
        <f>IFERROR(__xludf.DUMMYFUNCTION("""COMPUTED_VALUE"""),"1.40")</f>
        <v/>
      </c>
      <c r="U51">
        <f>IFERROR(__xludf.DUMMYFUNCTION("""COMPUTED_VALUE"""),"stop無:1回目 0.91")</f>
        <v/>
      </c>
      <c r="V51">
        <f>IFERROR(__xludf.DUMMYFUNCTION("""COMPUTED_VALUE"""),100.0)</f>
        <v/>
      </c>
      <c r="W51">
        <f>IFERROR(__xludf.DUMMYFUNCTION("""COMPUTED_VALUE"""),"3.17")</f>
        <v/>
      </c>
      <c r="X51">
        <f>IFERROR(__xludf.DUMMYFUNCTION("""COMPUTED_VALUE"""),"stop無:1回目 1.05
stop無:2回目 1.33
stop無:3回目 1.76")</f>
        <v/>
      </c>
      <c r="Y51">
        <f>IFERROR(__xludf.DUMMYFUNCTION("""COMPUTED_VALUE"""),"単体に100%3秒間氷結")</f>
        <v/>
      </c>
      <c r="Z51">
        <f>IFERROR(__xludf.DUMMYFUNCTION("""COMPUTED_VALUE"""),5.0)</f>
        <v/>
      </c>
      <c r="AB51">
        <f>IFERROR(__xludf.DUMMYFUNCTION("""COMPUTED_VALUE"""),"shageki_1")</f>
        <v/>
      </c>
    </row>
    <row r="52">
      <c r="D52">
        <f>IFERROR(__xludf.DUMMYFUNCTION("""COMPUTED_VALUE"""),"___")</f>
        <v/>
      </c>
      <c r="E52">
        <f>IFERROR(__xludf.DUMMYFUNCTION("""COMPUTED_VALUE"""),"none")</f>
        <v/>
      </c>
      <c r="F52">
        <f>IFERROR(__xludf.DUMMYFUNCTION("""COMPUTED_VALUE"""),"none")</f>
        <v/>
      </c>
      <c r="G52">
        <f>IFERROR(__xludf.DUMMYFUNCTION("""COMPUTED_VALUE"""),"none")</f>
        <v/>
      </c>
      <c r="I52">
        <f>IFERROR(__xludf.DUMMYFUNCTION("""COMPUTED_VALUE"""),"none")</f>
        <v/>
      </c>
      <c r="T52">
        <f>IFERROR(__xludf.DUMMYFUNCTION("""COMPUTED_VALUE"""),"none")</f>
        <v/>
      </c>
      <c r="U52">
        <f>IFERROR(__xludf.DUMMYFUNCTION("""COMPUTED_VALUE"""),"none")</f>
        <v/>
      </c>
      <c r="W52">
        <f>IFERROR(__xludf.DUMMYFUNCTION("""COMPUTED_VALUE"""),"none")</f>
        <v/>
      </c>
      <c r="X52">
        <f>IFERROR(__xludf.DUMMYFUNCTION("""COMPUTED_VALUE"""),"none")</f>
        <v/>
      </c>
      <c r="Z52">
        <f>IFERROR(__xludf.DUMMYFUNCTION("""COMPUTED_VALUE"""),"-")</f>
        <v/>
      </c>
      <c r="AB52">
        <f>IFERROR(__xludf.DUMMYFUNCTION("""COMPUTED_VALUE"""),"none")</f>
        <v/>
      </c>
    </row>
    <row r="53">
      <c r="B53">
        <f>IFERROR(__xludf.DUMMYFUNCTION("""COMPUTED_VALUE"""),"chara_spy_00101")</f>
        <v/>
      </c>
      <c r="C53">
        <f>IFERROR(__xludf.DUMMYFUNCTION("""COMPUTED_VALUE"""),"_1d1c")</f>
        <v/>
      </c>
      <c r="D53">
        <f>IFERROR(__xludf.DUMMYFUNCTION("""COMPUTED_VALUE"""),"c_spy_00101_1d1c_Normal_Colorless")</f>
        <v/>
      </c>
      <c r="E53">
        <f>IFERROR(__xludf.DUMMYFUNCTION("""COMPUTED_VALUE"""),"SPY×FAMILY")</f>
        <v/>
      </c>
      <c r="F53">
        <f>IFERROR(__xludf.DUMMYFUNCTION("""COMPUTED_VALUE"""),"&lt;黄昏&gt; ロイド")</f>
        <v/>
      </c>
      <c r="G53">
        <f>IFERROR(__xludf.DUMMYFUNCTION("""COMPUTED_VALUE"""),"&lt;黄昏&gt; ロイド_1d1c")</f>
        <v/>
      </c>
      <c r="H53">
        <f>IFERROR(__xludf.DUMMYFUNCTION("""COMPUTED_VALUE"""),"Normal")</f>
        <v/>
      </c>
      <c r="I53">
        <f>IFERROR(__xludf.DUMMYFUNCTION("""COMPUTED_VALUE"""),"Attack")</f>
        <v/>
      </c>
      <c r="J53">
        <f>IFERROR(__xludf.DUMMYFUNCTION("""COMPUTED_VALUE"""),"Colorless")</f>
        <v/>
      </c>
      <c r="K53">
        <f>IFERROR(__xludf.DUMMYFUNCTION("""COMPUTED_VALUE"""),20000.0)</f>
        <v/>
      </c>
      <c r="L53">
        <f>IFERROR(__xludf.DUMMYFUNCTION("""COMPUTED_VALUE"""),2.0)</f>
        <v/>
      </c>
      <c r="M53">
        <f>IFERROR(__xludf.DUMMYFUNCTION("""COMPUTED_VALUE"""),25.0)</f>
        <v/>
      </c>
      <c r="N53">
        <f>IFERROR(__xludf.DUMMYFUNCTION("""COMPUTED_VALUE"""),0.35)</f>
        <v/>
      </c>
      <c r="O53">
        <f>IFERROR(__xludf.DUMMYFUNCTION("""COMPUTED_VALUE"""),100.0)</f>
        <v/>
      </c>
      <c r="P53">
        <f>IFERROR(__xludf.DUMMYFUNCTION("""COMPUTED_VALUE"""),0.0)</f>
        <v/>
      </c>
      <c r="Q53">
        <f>IFERROR(__xludf.DUMMYFUNCTION("""COMPUTED_VALUE"""),0.36)</f>
        <v/>
      </c>
      <c r="R53">
        <f>IFERROR(__xludf.DUMMYFUNCTION("""COMPUTED_VALUE"""),1.0)</f>
        <v/>
      </c>
      <c r="S53">
        <f>IFERROR(__xludf.DUMMYFUNCTION("""COMPUTED_VALUE"""),1000.0)</f>
        <v/>
      </c>
      <c r="T53">
        <f>IFERROR(__xludf.DUMMYFUNCTION("""COMPUTED_VALUE"""),"1.64")</f>
        <v/>
      </c>
      <c r="U53">
        <f>IFERROR(__xludf.DUMMYFUNCTION("""COMPUTED_VALUE"""),"0.83")</f>
        <v/>
      </c>
      <c r="V53">
        <f>IFERROR(__xludf.DUMMYFUNCTION("""COMPUTED_VALUE"""),75.0)</f>
        <v/>
      </c>
      <c r="W53">
        <f>IFERROR(__xludf.DUMMYFUNCTION("""COMPUTED_VALUE"""),"2.50")</f>
        <v/>
      </c>
      <c r="X53">
        <f>IFERROR(__xludf.DUMMYFUNCTION("""COMPUTED_VALUE"""),"1.33")</f>
        <v/>
      </c>
      <c r="Y53">
        <f>IFERROR(__xludf.DUMMYFUNCTION("""COMPUTED_VALUE"""),"単体に200%ダメージ")</f>
        <v/>
      </c>
      <c r="Z53">
        <f>IFERROR(__xludf.DUMMYFUNCTION("""COMPUTED_VALUE"""),5.0)</f>
        <v/>
      </c>
      <c r="AB53">
        <f>IFERROR(__xludf.DUMMYFUNCTION("""COMPUTED_VALUE"""),"shageki_1")</f>
        <v/>
      </c>
    </row>
    <row r="54">
      <c r="B54">
        <f>IFERROR(__xludf.DUMMYFUNCTION("""COMPUTED_VALUE"""),"chara_spy_00101")</f>
        <v/>
      </c>
      <c r="C54">
        <f>IFERROR(__xludf.DUMMYFUNCTION("""COMPUTED_VALUE"""),"_damianget")</f>
        <v/>
      </c>
      <c r="D54">
        <f>IFERROR(__xludf.DUMMYFUNCTION("""COMPUTED_VALUE"""),"c_spy_00101_damianget_Boss_Colorless")</f>
        <v/>
      </c>
      <c r="E54">
        <f>IFERROR(__xludf.DUMMYFUNCTION("""COMPUTED_VALUE"""),"SPY×FAMILY")</f>
        <v/>
      </c>
      <c r="F54">
        <f>IFERROR(__xludf.DUMMYFUNCTION("""COMPUTED_VALUE"""),"&lt;黄昏&gt; ロイド")</f>
        <v/>
      </c>
      <c r="G54">
        <f>IFERROR(__xludf.DUMMYFUNCTION("""COMPUTED_VALUE"""),"&lt;黄昏&gt; ロイド_damianget")</f>
        <v/>
      </c>
      <c r="H54">
        <f>IFERROR(__xludf.DUMMYFUNCTION("""COMPUTED_VALUE"""),"Boss")</f>
        <v/>
      </c>
      <c r="I54">
        <f>IFERROR(__xludf.DUMMYFUNCTION("""COMPUTED_VALUE"""),"Attack")</f>
        <v/>
      </c>
      <c r="J54">
        <f>IFERROR(__xludf.DUMMYFUNCTION("""COMPUTED_VALUE"""),"Colorless")</f>
        <v/>
      </c>
      <c r="K54">
        <f>IFERROR(__xludf.DUMMYFUNCTION("""COMPUTED_VALUE"""),25000.0)</f>
        <v/>
      </c>
      <c r="L54">
        <f>IFERROR(__xludf.DUMMYFUNCTION("""COMPUTED_VALUE"""),1.0)</f>
        <v/>
      </c>
      <c r="M54">
        <f>IFERROR(__xludf.DUMMYFUNCTION("""COMPUTED_VALUE"""),30.0)</f>
        <v/>
      </c>
      <c r="N54">
        <f>IFERROR(__xludf.DUMMYFUNCTION("""COMPUTED_VALUE"""),0.35)</f>
        <v/>
      </c>
      <c r="O54">
        <f>IFERROR(__xludf.DUMMYFUNCTION("""COMPUTED_VALUE"""),400.0)</f>
        <v/>
      </c>
      <c r="P54">
        <f>IFERROR(__xludf.DUMMYFUNCTION("""COMPUTED_VALUE"""),0.0)</f>
        <v/>
      </c>
      <c r="Q54">
        <f>IFERROR(__xludf.DUMMYFUNCTION("""COMPUTED_VALUE"""),0.36)</f>
        <v/>
      </c>
      <c r="R54">
        <f>IFERROR(__xludf.DUMMYFUNCTION("""COMPUTED_VALUE"""),1.0)</f>
        <v/>
      </c>
      <c r="S54">
        <f>IFERROR(__xludf.DUMMYFUNCTION("""COMPUTED_VALUE"""),500.0)</f>
        <v/>
      </c>
      <c r="T54">
        <f>IFERROR(__xludf.DUMMYFUNCTION("""COMPUTED_VALUE"""),"1.64")</f>
        <v/>
      </c>
      <c r="U54">
        <f>IFERROR(__xludf.DUMMYFUNCTION("""COMPUTED_VALUE"""),"0.83")</f>
        <v/>
      </c>
      <c r="V54">
        <f>IFERROR(__xludf.DUMMYFUNCTION("""COMPUTED_VALUE"""),90.0)</f>
        <v/>
      </c>
      <c r="W54">
        <f>IFERROR(__xludf.DUMMYFUNCTION("""COMPUTED_VALUE"""),"2.50")</f>
        <v/>
      </c>
      <c r="X54">
        <f>IFERROR(__xludf.DUMMYFUNCTION("""COMPUTED_VALUE"""),"1.33")</f>
        <v/>
      </c>
      <c r="Y54">
        <f>IFERROR(__xludf.DUMMYFUNCTION("""COMPUTED_VALUE"""),"単体に200%ダメージ")</f>
        <v/>
      </c>
      <c r="Z54">
        <f>IFERROR(__xludf.DUMMYFUNCTION("""COMPUTED_VALUE"""),5.0)</f>
        <v/>
      </c>
      <c r="AB54">
        <f>IFERROR(__xludf.DUMMYFUNCTION("""COMPUTED_VALUE"""),"shageki_1")</f>
        <v/>
      </c>
    </row>
    <row r="55">
      <c r="B55">
        <f>IFERROR(__xludf.DUMMYFUNCTION("""COMPUTED_VALUE"""),"chara_spy_00101")</f>
        <v/>
      </c>
      <c r="C55">
        <f>IFERROR(__xludf.DUMMYFUNCTION("""COMPUTED_VALUE"""),"_damianget")</f>
        <v/>
      </c>
      <c r="D55">
        <f>IFERROR(__xludf.DUMMYFUNCTION("""COMPUTED_VALUE"""),"c_spy_00101_damianget_Boss_Red")</f>
        <v/>
      </c>
      <c r="E55">
        <f>IFERROR(__xludf.DUMMYFUNCTION("""COMPUTED_VALUE"""),"SPY×FAMILY")</f>
        <v/>
      </c>
      <c r="F55">
        <f>IFERROR(__xludf.DUMMYFUNCTION("""COMPUTED_VALUE"""),"&lt;黄昏&gt; ロイド")</f>
        <v/>
      </c>
      <c r="G55">
        <f>IFERROR(__xludf.DUMMYFUNCTION("""COMPUTED_VALUE"""),"&lt;黄昏&gt; ロイド_damianget")</f>
        <v/>
      </c>
      <c r="H55">
        <f>IFERROR(__xludf.DUMMYFUNCTION("""COMPUTED_VALUE"""),"Boss")</f>
        <v/>
      </c>
      <c r="I55">
        <f>IFERROR(__xludf.DUMMYFUNCTION("""COMPUTED_VALUE"""),"Attack")</f>
        <v/>
      </c>
      <c r="J55">
        <f>IFERROR(__xludf.DUMMYFUNCTION("""COMPUTED_VALUE"""),"Red")</f>
        <v/>
      </c>
      <c r="K55">
        <f>IFERROR(__xludf.DUMMYFUNCTION("""COMPUTED_VALUE"""),25000.0)</f>
        <v/>
      </c>
      <c r="L55">
        <f>IFERROR(__xludf.DUMMYFUNCTION("""COMPUTED_VALUE"""),1.0)</f>
        <v/>
      </c>
      <c r="M55">
        <f>IFERROR(__xludf.DUMMYFUNCTION("""COMPUTED_VALUE"""),30.0)</f>
        <v/>
      </c>
      <c r="N55">
        <f>IFERROR(__xludf.DUMMYFUNCTION("""COMPUTED_VALUE"""),0.35)</f>
        <v/>
      </c>
      <c r="O55">
        <f>IFERROR(__xludf.DUMMYFUNCTION("""COMPUTED_VALUE"""),400.0)</f>
        <v/>
      </c>
      <c r="P55">
        <f>IFERROR(__xludf.DUMMYFUNCTION("""COMPUTED_VALUE"""),0.0)</f>
        <v/>
      </c>
      <c r="Q55">
        <f>IFERROR(__xludf.DUMMYFUNCTION("""COMPUTED_VALUE"""),0.36)</f>
        <v/>
      </c>
      <c r="R55">
        <f>IFERROR(__xludf.DUMMYFUNCTION("""COMPUTED_VALUE"""),1.0)</f>
        <v/>
      </c>
      <c r="S55">
        <f>IFERROR(__xludf.DUMMYFUNCTION("""COMPUTED_VALUE"""),500.0)</f>
        <v/>
      </c>
      <c r="T55">
        <f>IFERROR(__xludf.DUMMYFUNCTION("""COMPUTED_VALUE"""),"1.64")</f>
        <v/>
      </c>
      <c r="U55">
        <f>IFERROR(__xludf.DUMMYFUNCTION("""COMPUTED_VALUE"""),"0.83")</f>
        <v/>
      </c>
      <c r="V55">
        <f>IFERROR(__xludf.DUMMYFUNCTION("""COMPUTED_VALUE"""),80.0)</f>
        <v/>
      </c>
      <c r="W55">
        <f>IFERROR(__xludf.DUMMYFUNCTION("""COMPUTED_VALUE"""),"2.50")</f>
        <v/>
      </c>
      <c r="X55">
        <f>IFERROR(__xludf.DUMMYFUNCTION("""COMPUTED_VALUE"""),"1.33")</f>
        <v/>
      </c>
      <c r="Y55">
        <f>IFERROR(__xludf.DUMMYFUNCTION("""COMPUTED_VALUE"""),"単体に200%ダメージ")</f>
        <v/>
      </c>
      <c r="Z55">
        <f>IFERROR(__xludf.DUMMYFUNCTION("""COMPUTED_VALUE"""),5.0)</f>
        <v/>
      </c>
      <c r="AB55">
        <f>IFERROR(__xludf.DUMMYFUNCTION("""COMPUTED_VALUE"""),"shageki_1")</f>
        <v/>
      </c>
    </row>
    <row r="56">
      <c r="B56">
        <f>IFERROR(__xludf.DUMMYFUNCTION("""COMPUTED_VALUE"""),"chara_spy_00101")</f>
        <v/>
      </c>
      <c r="C56">
        <f>IFERROR(__xludf.DUMMYFUNCTION("""COMPUTED_VALUE"""),"_spy1savage")</f>
        <v/>
      </c>
      <c r="D56">
        <f>IFERROR(__xludf.DUMMYFUNCTION("""COMPUTED_VALUE"""),"c_spy_00101_spy1savage_Boss_Blue")</f>
        <v/>
      </c>
      <c r="E56">
        <f>IFERROR(__xludf.DUMMYFUNCTION("""COMPUTED_VALUE"""),"SPY×FAMILY")</f>
        <v/>
      </c>
      <c r="F56">
        <f>IFERROR(__xludf.DUMMYFUNCTION("""COMPUTED_VALUE"""),"&lt;黄昏&gt; ロイド")</f>
        <v/>
      </c>
      <c r="G56">
        <f>IFERROR(__xludf.DUMMYFUNCTION("""COMPUTED_VALUE"""),"&lt;黄昏&gt; ロイド_spy1savage")</f>
        <v/>
      </c>
      <c r="H56">
        <f>IFERROR(__xludf.DUMMYFUNCTION("""COMPUTED_VALUE"""),"Boss")</f>
        <v/>
      </c>
      <c r="I56">
        <f>IFERROR(__xludf.DUMMYFUNCTION("""COMPUTED_VALUE"""),"Attack")</f>
        <v/>
      </c>
      <c r="J56">
        <f>IFERROR(__xludf.DUMMYFUNCTION("""COMPUTED_VALUE"""),"Blue")</f>
        <v/>
      </c>
      <c r="K56">
        <f>IFERROR(__xludf.DUMMYFUNCTION("""COMPUTED_VALUE"""),25000.0)</f>
        <v/>
      </c>
      <c r="L56">
        <f>IFERROR(__xludf.DUMMYFUNCTION("""COMPUTED_VALUE"""),1.0)</f>
        <v/>
      </c>
      <c r="M56">
        <f>IFERROR(__xludf.DUMMYFUNCTION("""COMPUTED_VALUE"""),30.0)</f>
        <v/>
      </c>
      <c r="N56">
        <f>IFERROR(__xludf.DUMMYFUNCTION("""COMPUTED_VALUE"""),0.35)</f>
        <v/>
      </c>
      <c r="O56">
        <f>IFERROR(__xludf.DUMMYFUNCTION("""COMPUTED_VALUE"""),400.0)</f>
        <v/>
      </c>
      <c r="P56">
        <f>IFERROR(__xludf.DUMMYFUNCTION("""COMPUTED_VALUE"""),0.0)</f>
        <v/>
      </c>
      <c r="Q56">
        <f>IFERROR(__xludf.DUMMYFUNCTION("""COMPUTED_VALUE"""),0.36)</f>
        <v/>
      </c>
      <c r="R56">
        <f>IFERROR(__xludf.DUMMYFUNCTION("""COMPUTED_VALUE"""),1.0)</f>
        <v/>
      </c>
      <c r="S56">
        <f>IFERROR(__xludf.DUMMYFUNCTION("""COMPUTED_VALUE"""),100.0)</f>
        <v/>
      </c>
      <c r="T56">
        <f>IFERROR(__xludf.DUMMYFUNCTION("""COMPUTED_VALUE"""),"1.64")</f>
        <v/>
      </c>
      <c r="U56">
        <f>IFERROR(__xludf.DUMMYFUNCTION("""COMPUTED_VALUE"""),"0.83")</f>
        <v/>
      </c>
      <c r="V56">
        <f>IFERROR(__xludf.DUMMYFUNCTION("""COMPUTED_VALUE"""),80.0)</f>
        <v/>
      </c>
      <c r="W56">
        <f>IFERROR(__xludf.DUMMYFUNCTION("""COMPUTED_VALUE"""),"2.50")</f>
        <v/>
      </c>
      <c r="X56">
        <f>IFERROR(__xludf.DUMMYFUNCTION("""COMPUTED_VALUE"""),"1.33")</f>
        <v/>
      </c>
      <c r="Y56">
        <f>IFERROR(__xludf.DUMMYFUNCTION("""COMPUTED_VALUE"""),"単体に200%ダメージ")</f>
        <v/>
      </c>
      <c r="Z56">
        <f>IFERROR(__xludf.DUMMYFUNCTION("""COMPUTED_VALUE"""),5.0)</f>
        <v/>
      </c>
      <c r="AB56">
        <f>IFERROR(__xludf.DUMMYFUNCTION("""COMPUTED_VALUE"""),"shageki_1")</f>
        <v/>
      </c>
    </row>
    <row r="57">
      <c r="B57">
        <f>IFERROR(__xludf.DUMMYFUNCTION("""COMPUTED_VALUE"""),"chara_spy_00101")</f>
        <v/>
      </c>
      <c r="C57">
        <f>IFERROR(__xludf.DUMMYFUNCTION("""COMPUTED_VALUE"""),"_frankyget")</f>
        <v/>
      </c>
      <c r="D57">
        <f>IFERROR(__xludf.DUMMYFUNCTION("""COMPUTED_VALUE"""),"c_spy_00101_frankyget_Boss_Yellow")</f>
        <v/>
      </c>
      <c r="E57">
        <f>IFERROR(__xludf.DUMMYFUNCTION("""COMPUTED_VALUE"""),"SPY×FAMILY")</f>
        <v/>
      </c>
      <c r="F57">
        <f>IFERROR(__xludf.DUMMYFUNCTION("""COMPUTED_VALUE"""),"&lt;黄昏&gt; ロイド")</f>
        <v/>
      </c>
      <c r="G57">
        <f>IFERROR(__xludf.DUMMYFUNCTION("""COMPUTED_VALUE"""),"&lt;黄昏&gt; ロイド_frankyget")</f>
        <v/>
      </c>
      <c r="H57">
        <f>IFERROR(__xludf.DUMMYFUNCTION("""COMPUTED_VALUE"""),"Boss")</f>
        <v/>
      </c>
      <c r="I57">
        <f>IFERROR(__xludf.DUMMYFUNCTION("""COMPUTED_VALUE"""),"Attack")</f>
        <v/>
      </c>
      <c r="J57">
        <f>IFERROR(__xludf.DUMMYFUNCTION("""COMPUTED_VALUE"""),"Yellow")</f>
        <v/>
      </c>
      <c r="K57">
        <f>IFERROR(__xludf.DUMMYFUNCTION("""COMPUTED_VALUE"""),25000.0)</f>
        <v/>
      </c>
      <c r="L57">
        <f>IFERROR(__xludf.DUMMYFUNCTION("""COMPUTED_VALUE"""),1.0)</f>
        <v/>
      </c>
      <c r="M57">
        <f>IFERROR(__xludf.DUMMYFUNCTION("""COMPUTED_VALUE"""),30.0)</f>
        <v/>
      </c>
      <c r="N57">
        <f>IFERROR(__xludf.DUMMYFUNCTION("""COMPUTED_VALUE"""),0.35)</f>
        <v/>
      </c>
      <c r="O57">
        <f>IFERROR(__xludf.DUMMYFUNCTION("""COMPUTED_VALUE"""),400.0)</f>
        <v/>
      </c>
      <c r="P57">
        <f>IFERROR(__xludf.DUMMYFUNCTION("""COMPUTED_VALUE"""),0.0)</f>
        <v/>
      </c>
      <c r="Q57">
        <f>IFERROR(__xludf.DUMMYFUNCTION("""COMPUTED_VALUE"""),0.36)</f>
        <v/>
      </c>
      <c r="R57">
        <f>IFERROR(__xludf.DUMMYFUNCTION("""COMPUTED_VALUE"""),1.0)</f>
        <v/>
      </c>
      <c r="S57">
        <f>IFERROR(__xludf.DUMMYFUNCTION("""COMPUTED_VALUE"""),500.0)</f>
        <v/>
      </c>
      <c r="T57">
        <f>IFERROR(__xludf.DUMMYFUNCTION("""COMPUTED_VALUE"""),"1.64")</f>
        <v/>
      </c>
      <c r="U57">
        <f>IFERROR(__xludf.DUMMYFUNCTION("""COMPUTED_VALUE"""),"0.83")</f>
        <v/>
      </c>
      <c r="V57">
        <f>IFERROR(__xludf.DUMMYFUNCTION("""COMPUTED_VALUE"""),100.0)</f>
        <v/>
      </c>
      <c r="W57">
        <f>IFERROR(__xludf.DUMMYFUNCTION("""COMPUTED_VALUE"""),"2.50")</f>
        <v/>
      </c>
      <c r="X57">
        <f>IFERROR(__xludf.DUMMYFUNCTION("""COMPUTED_VALUE"""),"1.33")</f>
        <v/>
      </c>
      <c r="Y57">
        <f>IFERROR(__xludf.DUMMYFUNCTION("""COMPUTED_VALUE"""),"単体に200%ダメージ")</f>
        <v/>
      </c>
      <c r="Z57">
        <f>IFERROR(__xludf.DUMMYFUNCTION("""COMPUTED_VALUE"""),5.0)</f>
        <v/>
      </c>
      <c r="AB57">
        <f>IFERROR(__xludf.DUMMYFUNCTION("""COMPUTED_VALUE"""),"shageki_1")</f>
        <v/>
      </c>
    </row>
    <row r="58">
      <c r="B58">
        <f>IFERROR(__xludf.DUMMYFUNCTION("""COMPUTED_VALUE"""),"chara_spy_00201")</f>
        <v/>
      </c>
      <c r="C58">
        <f>IFERROR(__xludf.DUMMYFUNCTION("""COMPUTED_VALUE"""),"_damianget")</f>
        <v/>
      </c>
      <c r="D58">
        <f>IFERROR(__xludf.DUMMYFUNCTION("""COMPUTED_VALUE"""),"c_spy_00201_damianget_Boss_Red")</f>
        <v/>
      </c>
      <c r="E58">
        <f>IFERROR(__xludf.DUMMYFUNCTION("""COMPUTED_VALUE"""),"SPY×FAMILY")</f>
        <v/>
      </c>
      <c r="F58">
        <f>IFERROR(__xludf.DUMMYFUNCTION("""COMPUTED_VALUE"""),"&lt;いばら姫&gt; ヨル")</f>
        <v/>
      </c>
      <c r="G58">
        <f>IFERROR(__xludf.DUMMYFUNCTION("""COMPUTED_VALUE"""),"&lt;いばら姫&gt; ヨル_damianget")</f>
        <v/>
      </c>
      <c r="H58">
        <f>IFERROR(__xludf.DUMMYFUNCTION("""COMPUTED_VALUE"""),"Boss")</f>
        <v/>
      </c>
      <c r="I58">
        <f>IFERROR(__xludf.DUMMYFUNCTION("""COMPUTED_VALUE"""),"Attack")</f>
        <v/>
      </c>
      <c r="J58">
        <f>IFERROR(__xludf.DUMMYFUNCTION("""COMPUTED_VALUE"""),"Red")</f>
        <v/>
      </c>
      <c r="K58">
        <f>IFERROR(__xludf.DUMMYFUNCTION("""COMPUTED_VALUE"""),40000.0)</f>
        <v/>
      </c>
      <c r="L58">
        <f>IFERROR(__xludf.DUMMYFUNCTION("""COMPUTED_VALUE"""),2.0)</f>
        <v/>
      </c>
      <c r="M58">
        <f>IFERROR(__xludf.DUMMYFUNCTION("""COMPUTED_VALUE"""),40.0)</f>
        <v/>
      </c>
      <c r="N58">
        <f>IFERROR(__xludf.DUMMYFUNCTION("""COMPUTED_VALUE"""),0.22)</f>
        <v/>
      </c>
      <c r="O58">
        <f>IFERROR(__xludf.DUMMYFUNCTION("""COMPUTED_VALUE"""),500.0)</f>
        <v/>
      </c>
      <c r="P58">
        <f>IFERROR(__xludf.DUMMYFUNCTION("""COMPUTED_VALUE"""),0.0)</f>
        <v/>
      </c>
      <c r="Q58">
        <f>IFERROR(__xludf.DUMMYFUNCTION("""COMPUTED_VALUE"""),0.28)</f>
        <v/>
      </c>
      <c r="R58">
        <f>IFERROR(__xludf.DUMMYFUNCTION("""COMPUTED_VALUE"""),1.0)</f>
        <v/>
      </c>
      <c r="S58">
        <f>IFERROR(__xludf.DUMMYFUNCTION("""COMPUTED_VALUE"""),500.0)</f>
        <v/>
      </c>
      <c r="T58">
        <f>IFERROR(__xludf.DUMMYFUNCTION("""COMPUTED_VALUE"""),"1.42")</f>
        <v/>
      </c>
      <c r="U58">
        <f>IFERROR(__xludf.DUMMYFUNCTION("""COMPUTED_VALUE"""),"stop無:1回目 0.61")</f>
        <v/>
      </c>
      <c r="V58">
        <f>IFERROR(__xludf.DUMMYFUNCTION("""COMPUTED_VALUE"""),85.0)</f>
        <v/>
      </c>
      <c r="W58">
        <f>IFERROR(__xludf.DUMMYFUNCTION("""COMPUTED_VALUE"""),"2.50")</f>
        <v/>
      </c>
      <c r="X58">
        <f>IFERROR(__xludf.DUMMYFUNCTION("""COMPUTED_VALUE"""),"stop有:1回目 0.73")</f>
        <v/>
      </c>
      <c r="Y58">
        <f>IFERROR(__xludf.DUMMYFUNCTION("""COMPUTED_VALUE"""),"敵複数体に200%ダメージ")</f>
        <v/>
      </c>
      <c r="Z58">
        <f>IFERROR(__xludf.DUMMYFUNCTION("""COMPUTED_VALUE"""),5.0)</f>
        <v/>
      </c>
      <c r="AB58">
        <f>IFERROR(__xludf.DUMMYFUNCTION("""COMPUTED_VALUE"""),"zangeki_1")</f>
        <v/>
      </c>
    </row>
    <row r="59">
      <c r="B59">
        <f>IFERROR(__xludf.DUMMYFUNCTION("""COMPUTED_VALUE"""),"chara_spy_00201")</f>
        <v/>
      </c>
      <c r="C59">
        <f>IFERROR(__xludf.DUMMYFUNCTION("""COMPUTED_VALUE"""),"_spy1savage")</f>
        <v/>
      </c>
      <c r="D59">
        <f>IFERROR(__xludf.DUMMYFUNCTION("""COMPUTED_VALUE"""),"c_spy_00201_spy1savage_Normal_Blue")</f>
        <v/>
      </c>
      <c r="E59">
        <f>IFERROR(__xludf.DUMMYFUNCTION("""COMPUTED_VALUE"""),"SPY×FAMILY")</f>
        <v/>
      </c>
      <c r="F59">
        <f>IFERROR(__xludf.DUMMYFUNCTION("""COMPUTED_VALUE"""),"&lt;いばら姫&gt; ヨル")</f>
        <v/>
      </c>
      <c r="G59">
        <f>IFERROR(__xludf.DUMMYFUNCTION("""COMPUTED_VALUE"""),"&lt;いばら姫&gt; ヨル_spy1savage")</f>
        <v/>
      </c>
      <c r="H59">
        <f>IFERROR(__xludf.DUMMYFUNCTION("""COMPUTED_VALUE"""),"Normal")</f>
        <v/>
      </c>
      <c r="I59">
        <f>IFERROR(__xludf.DUMMYFUNCTION("""COMPUTED_VALUE"""),"Technical")</f>
        <v/>
      </c>
      <c r="J59">
        <f>IFERROR(__xludf.DUMMYFUNCTION("""COMPUTED_VALUE"""),"Blue")</f>
        <v/>
      </c>
      <c r="K59">
        <f>IFERROR(__xludf.DUMMYFUNCTION("""COMPUTED_VALUE"""),100000.0)</f>
        <v/>
      </c>
      <c r="L59">
        <f>IFERROR(__xludf.DUMMYFUNCTION("""COMPUTED_VALUE"""),2.0)</f>
        <v/>
      </c>
      <c r="M59">
        <f>IFERROR(__xludf.DUMMYFUNCTION("""COMPUTED_VALUE"""),40.0)</f>
        <v/>
      </c>
      <c r="N59">
        <f>IFERROR(__xludf.DUMMYFUNCTION("""COMPUTED_VALUE"""),0.21)</f>
        <v/>
      </c>
      <c r="O59">
        <f>IFERROR(__xludf.DUMMYFUNCTION("""COMPUTED_VALUE"""),500.0)</f>
        <v/>
      </c>
      <c r="P59">
        <f>IFERROR(__xludf.DUMMYFUNCTION("""COMPUTED_VALUE"""),0.0)</f>
        <v/>
      </c>
      <c r="Q59">
        <f>IFERROR(__xludf.DUMMYFUNCTION("""COMPUTED_VALUE"""),0.25)</f>
        <v/>
      </c>
      <c r="R59">
        <f>IFERROR(__xludf.DUMMYFUNCTION("""COMPUTED_VALUE"""),1.0)</f>
        <v/>
      </c>
      <c r="S59">
        <f>IFERROR(__xludf.DUMMYFUNCTION("""COMPUTED_VALUE"""),200.0)</f>
        <v/>
      </c>
      <c r="T59">
        <f>IFERROR(__xludf.DUMMYFUNCTION("""COMPUTED_VALUE"""),"1.42")</f>
        <v/>
      </c>
      <c r="U59">
        <f>IFERROR(__xludf.DUMMYFUNCTION("""COMPUTED_VALUE"""),"stop無:1回目 0.61")</f>
        <v/>
      </c>
      <c r="V59">
        <f>IFERROR(__xludf.DUMMYFUNCTION("""COMPUTED_VALUE"""),90.0)</f>
        <v/>
      </c>
      <c r="W59">
        <f>IFERROR(__xludf.DUMMYFUNCTION("""COMPUTED_VALUE"""),"2.50")</f>
        <v/>
      </c>
      <c r="X59">
        <f>IFERROR(__xludf.DUMMYFUNCTION("""COMPUTED_VALUE"""),"stop有:1回目 0.73")</f>
        <v/>
      </c>
      <c r="Y59">
        <f>IFERROR(__xludf.DUMMYFUNCTION("""COMPUTED_VALUE"""),"敵複数体に200%ダメージ+範囲小ノックバック")</f>
        <v/>
      </c>
      <c r="Z59">
        <f>IFERROR(__xludf.DUMMYFUNCTION("""COMPUTED_VALUE"""),5.0)</f>
        <v/>
      </c>
      <c r="AB59">
        <f>IFERROR(__xludf.DUMMYFUNCTION("""COMPUTED_VALUE"""),"zangeki_1")</f>
        <v/>
      </c>
    </row>
    <row r="60">
      <c r="B60">
        <f>IFERROR(__xludf.DUMMYFUNCTION("""COMPUTED_VALUE"""),"chara_spy_00201")</f>
        <v/>
      </c>
      <c r="C60">
        <f>IFERROR(__xludf.DUMMYFUNCTION("""COMPUTED_VALUE"""),"_frankyget")</f>
        <v/>
      </c>
      <c r="D60">
        <f>IFERROR(__xludf.DUMMYFUNCTION("""COMPUTED_VALUE"""),"c_spy_00201_frankyget_Boss_Yellow")</f>
        <v/>
      </c>
      <c r="E60">
        <f>IFERROR(__xludf.DUMMYFUNCTION("""COMPUTED_VALUE"""),"SPY×FAMILY")</f>
        <v/>
      </c>
      <c r="F60">
        <f>IFERROR(__xludf.DUMMYFUNCTION("""COMPUTED_VALUE"""),"&lt;いばら姫&gt; ヨル")</f>
        <v/>
      </c>
      <c r="G60">
        <f>IFERROR(__xludf.DUMMYFUNCTION("""COMPUTED_VALUE"""),"&lt;いばら姫&gt; ヨル_frankyget")</f>
        <v/>
      </c>
      <c r="H60">
        <f>IFERROR(__xludf.DUMMYFUNCTION("""COMPUTED_VALUE"""),"Boss")</f>
        <v/>
      </c>
      <c r="I60">
        <f>IFERROR(__xludf.DUMMYFUNCTION("""COMPUTED_VALUE"""),"Attack")</f>
        <v/>
      </c>
      <c r="J60">
        <f>IFERROR(__xludf.DUMMYFUNCTION("""COMPUTED_VALUE"""),"Yellow")</f>
        <v/>
      </c>
      <c r="K60">
        <f>IFERROR(__xludf.DUMMYFUNCTION("""COMPUTED_VALUE"""),40000.0)</f>
        <v/>
      </c>
      <c r="L60">
        <f>IFERROR(__xludf.DUMMYFUNCTION("""COMPUTED_VALUE"""),2.0)</f>
        <v/>
      </c>
      <c r="M60">
        <f>IFERROR(__xludf.DUMMYFUNCTION("""COMPUTED_VALUE"""),40.0)</f>
        <v/>
      </c>
      <c r="N60">
        <f>IFERROR(__xludf.DUMMYFUNCTION("""COMPUTED_VALUE"""),0.22)</f>
        <v/>
      </c>
      <c r="O60">
        <f>IFERROR(__xludf.DUMMYFUNCTION("""COMPUTED_VALUE"""),500.0)</f>
        <v/>
      </c>
      <c r="P60">
        <f>IFERROR(__xludf.DUMMYFUNCTION("""COMPUTED_VALUE"""),0.0)</f>
        <v/>
      </c>
      <c r="Q60">
        <f>IFERROR(__xludf.DUMMYFUNCTION("""COMPUTED_VALUE"""),0.28)</f>
        <v/>
      </c>
      <c r="R60">
        <f>IFERROR(__xludf.DUMMYFUNCTION("""COMPUTED_VALUE"""),1.0)</f>
        <v/>
      </c>
      <c r="S60">
        <f>IFERROR(__xludf.DUMMYFUNCTION("""COMPUTED_VALUE"""),500.0)</f>
        <v/>
      </c>
      <c r="T60">
        <f>IFERROR(__xludf.DUMMYFUNCTION("""COMPUTED_VALUE"""),"1.42")</f>
        <v/>
      </c>
      <c r="U60">
        <f>IFERROR(__xludf.DUMMYFUNCTION("""COMPUTED_VALUE"""),"stop無:1回目 0.61")</f>
        <v/>
      </c>
      <c r="V60">
        <f>IFERROR(__xludf.DUMMYFUNCTION("""COMPUTED_VALUE"""),80.0)</f>
        <v/>
      </c>
      <c r="W60">
        <f>IFERROR(__xludf.DUMMYFUNCTION("""COMPUTED_VALUE"""),"2.50")</f>
        <v/>
      </c>
      <c r="X60">
        <f>IFERROR(__xludf.DUMMYFUNCTION("""COMPUTED_VALUE"""),"stop有:1回目 0.73")</f>
        <v/>
      </c>
      <c r="Y60">
        <f>IFERROR(__xludf.DUMMYFUNCTION("""COMPUTED_VALUE"""),"敵複数体に200%ダメージ")</f>
        <v/>
      </c>
      <c r="Z60">
        <f>IFERROR(__xludf.DUMMYFUNCTION("""COMPUTED_VALUE"""),5.0)</f>
        <v/>
      </c>
      <c r="AB60">
        <f>IFERROR(__xludf.DUMMYFUNCTION("""COMPUTED_VALUE"""),"zangeki_1")</f>
        <v/>
      </c>
    </row>
    <row r="61">
      <c r="B61">
        <f>IFERROR(__xludf.DUMMYFUNCTION("""COMPUTED_VALUE"""),"chara_spy_00401")</f>
        <v/>
      </c>
      <c r="C61">
        <f>IFERROR(__xludf.DUMMYFUNCTION("""COMPUTED_VALUE"""),"_frankyget")</f>
        <v/>
      </c>
      <c r="D61">
        <f>IFERROR(__xludf.DUMMYFUNCTION("""COMPUTED_VALUE"""),"c_spy_00401_frankyget_Normal_Colorless")</f>
        <v/>
      </c>
      <c r="E61">
        <f>IFERROR(__xludf.DUMMYFUNCTION("""COMPUTED_VALUE"""),"SPY×FAMILY")</f>
        <v/>
      </c>
      <c r="F61">
        <f>IFERROR(__xludf.DUMMYFUNCTION("""COMPUTED_VALUE"""),"フランキー・フランクリン")</f>
        <v/>
      </c>
      <c r="G61">
        <f>IFERROR(__xludf.DUMMYFUNCTION("""COMPUTED_VALUE"""),"フランキー・フランクリン_frankyget")</f>
        <v/>
      </c>
      <c r="H61">
        <f>IFERROR(__xludf.DUMMYFUNCTION("""COMPUTED_VALUE"""),"Normal")</f>
        <v/>
      </c>
      <c r="I61">
        <f>IFERROR(__xludf.DUMMYFUNCTION("""COMPUTED_VALUE"""),"Defense")</f>
        <v/>
      </c>
      <c r="J61">
        <f>IFERROR(__xludf.DUMMYFUNCTION("""COMPUTED_VALUE"""),"Colorless")</f>
        <v/>
      </c>
      <c r="K61">
        <f>IFERROR(__xludf.DUMMYFUNCTION("""COMPUTED_VALUE"""),40000.0)</f>
        <v/>
      </c>
      <c r="L61">
        <f>IFERROR(__xludf.DUMMYFUNCTION("""COMPUTED_VALUE"""),3.0)</f>
        <v/>
      </c>
      <c r="M61">
        <f>IFERROR(__xludf.DUMMYFUNCTION("""COMPUTED_VALUE"""),30.0)</f>
        <v/>
      </c>
      <c r="N61">
        <f>IFERROR(__xludf.DUMMYFUNCTION("""COMPUTED_VALUE"""),0.17)</f>
        <v/>
      </c>
      <c r="O61">
        <f>IFERROR(__xludf.DUMMYFUNCTION("""COMPUTED_VALUE"""),100.0)</f>
        <v/>
      </c>
      <c r="P61">
        <f>IFERROR(__xludf.DUMMYFUNCTION("""COMPUTED_VALUE"""),0.0)</f>
        <v/>
      </c>
      <c r="Q61">
        <f>IFERROR(__xludf.DUMMYFUNCTION("""COMPUTED_VALUE"""),0.18)</f>
        <v/>
      </c>
      <c r="R61">
        <f>IFERROR(__xludf.DUMMYFUNCTION("""COMPUTED_VALUE"""),1.0)</f>
        <v/>
      </c>
      <c r="S61">
        <f>IFERROR(__xludf.DUMMYFUNCTION("""COMPUTED_VALUE"""),500.0)</f>
        <v/>
      </c>
      <c r="T61">
        <f>IFERROR(__xludf.DUMMYFUNCTION("""COMPUTED_VALUE"""),"1.20")</f>
        <v/>
      </c>
      <c r="U61">
        <f>IFERROR(__xludf.DUMMYFUNCTION("""COMPUTED_VALUE"""),"0.50")</f>
        <v/>
      </c>
      <c r="V61">
        <f>IFERROR(__xludf.DUMMYFUNCTION("""COMPUTED_VALUE"""),60.0)</f>
        <v/>
      </c>
      <c r="W61">
        <f>IFERROR(__xludf.DUMMYFUNCTION("""COMPUTED_VALUE"""),"2.75")</f>
        <v/>
      </c>
      <c r="X61">
        <f>IFERROR(__xludf.DUMMYFUNCTION("""COMPUTED_VALUE"""),"1.34")</f>
        <v/>
      </c>
      <c r="Y61">
        <f>IFERROR(__xludf.DUMMYFUNCTION("""COMPUTED_VALUE"""),"単体に150%ダメージ")</f>
        <v/>
      </c>
      <c r="Z61">
        <f>IFERROR(__xludf.DUMMYFUNCTION("""COMPUTED_VALUE"""),7.0)</f>
        <v/>
      </c>
      <c r="AB61">
        <f>IFERROR(__xludf.DUMMYFUNCTION("""COMPUTED_VALUE"""),"dageki_2")</f>
        <v/>
      </c>
    </row>
    <row r="62">
      <c r="B62">
        <f>IFERROR(__xludf.DUMMYFUNCTION("""COMPUTED_VALUE"""),"chara_spy_00401")</f>
        <v/>
      </c>
      <c r="C62">
        <f>IFERROR(__xludf.DUMMYFUNCTION("""COMPUTED_VALUE"""),"_frankyget")</f>
        <v/>
      </c>
      <c r="D62">
        <f>IFERROR(__xludf.DUMMYFUNCTION("""COMPUTED_VALUE"""),"c_spy_00401_frankyget_Boss_Colorless")</f>
        <v/>
      </c>
      <c r="E62">
        <f>IFERROR(__xludf.DUMMYFUNCTION("""COMPUTED_VALUE"""),"SPY×FAMILY")</f>
        <v/>
      </c>
      <c r="F62">
        <f>IFERROR(__xludf.DUMMYFUNCTION("""COMPUTED_VALUE"""),"フランキー・フランクリン")</f>
        <v/>
      </c>
      <c r="G62">
        <f>IFERROR(__xludf.DUMMYFUNCTION("""COMPUTED_VALUE"""),"フランキー・フランクリン_frankyget")</f>
        <v/>
      </c>
      <c r="H62">
        <f>IFERROR(__xludf.DUMMYFUNCTION("""COMPUTED_VALUE"""),"Boss")</f>
        <v/>
      </c>
      <c r="I62">
        <f>IFERROR(__xludf.DUMMYFUNCTION("""COMPUTED_VALUE"""),"Defense")</f>
        <v/>
      </c>
      <c r="J62">
        <f>IFERROR(__xludf.DUMMYFUNCTION("""COMPUTED_VALUE"""),"Colorless")</f>
        <v/>
      </c>
      <c r="K62">
        <f>IFERROR(__xludf.DUMMYFUNCTION("""COMPUTED_VALUE"""),40000.0)</f>
        <v/>
      </c>
      <c r="L62">
        <f>IFERROR(__xludf.DUMMYFUNCTION("""COMPUTED_VALUE"""),3.0)</f>
        <v/>
      </c>
      <c r="M62">
        <f>IFERROR(__xludf.DUMMYFUNCTION("""COMPUTED_VALUE"""),30.0)</f>
        <v/>
      </c>
      <c r="N62">
        <f>IFERROR(__xludf.DUMMYFUNCTION("""COMPUTED_VALUE"""),0.17)</f>
        <v/>
      </c>
      <c r="O62">
        <f>IFERROR(__xludf.DUMMYFUNCTION("""COMPUTED_VALUE"""),100.0)</f>
        <v/>
      </c>
      <c r="P62">
        <f>IFERROR(__xludf.DUMMYFUNCTION("""COMPUTED_VALUE"""),0.0)</f>
        <v/>
      </c>
      <c r="Q62">
        <f>IFERROR(__xludf.DUMMYFUNCTION("""COMPUTED_VALUE"""),0.18)</f>
        <v/>
      </c>
      <c r="R62">
        <f>IFERROR(__xludf.DUMMYFUNCTION("""COMPUTED_VALUE"""),1.0)</f>
        <v/>
      </c>
      <c r="S62">
        <f>IFERROR(__xludf.DUMMYFUNCTION("""COMPUTED_VALUE"""),500.0)</f>
        <v/>
      </c>
      <c r="T62">
        <f>IFERROR(__xludf.DUMMYFUNCTION("""COMPUTED_VALUE"""),"1.20")</f>
        <v/>
      </c>
      <c r="U62">
        <f>IFERROR(__xludf.DUMMYFUNCTION("""COMPUTED_VALUE"""),"0.50")</f>
        <v/>
      </c>
      <c r="V62">
        <f>IFERROR(__xludf.DUMMYFUNCTION("""COMPUTED_VALUE"""),60.0)</f>
        <v/>
      </c>
      <c r="W62">
        <f>IFERROR(__xludf.DUMMYFUNCTION("""COMPUTED_VALUE"""),"2.75")</f>
        <v/>
      </c>
      <c r="X62">
        <f>IFERROR(__xludf.DUMMYFUNCTION("""COMPUTED_VALUE"""),"1.34")</f>
        <v/>
      </c>
      <c r="Y62">
        <f>IFERROR(__xludf.DUMMYFUNCTION("""COMPUTED_VALUE"""),"単体に150%ダメージ")</f>
        <v/>
      </c>
      <c r="Z62">
        <f>IFERROR(__xludf.DUMMYFUNCTION("""COMPUTED_VALUE"""),7.0)</f>
        <v/>
      </c>
      <c r="AB62">
        <f>IFERROR(__xludf.DUMMYFUNCTION("""COMPUTED_VALUE"""),"dageki_2")</f>
        <v/>
      </c>
    </row>
    <row r="63">
      <c r="B63">
        <f>IFERROR(__xludf.DUMMYFUNCTION("""COMPUTED_VALUE"""),"chara_spy_00401")</f>
        <v/>
      </c>
      <c r="C63">
        <f>IFERROR(__xludf.DUMMYFUNCTION("""COMPUTED_VALUE"""),"_frankyget")</f>
        <v/>
      </c>
      <c r="D63">
        <f>IFERROR(__xludf.DUMMYFUNCTION("""COMPUTED_VALUE"""),"c_spy_00401_frankyget_Boss_Red")</f>
        <v/>
      </c>
      <c r="E63">
        <f>IFERROR(__xludf.DUMMYFUNCTION("""COMPUTED_VALUE"""),"SPY×FAMILY")</f>
        <v/>
      </c>
      <c r="F63">
        <f>IFERROR(__xludf.DUMMYFUNCTION("""COMPUTED_VALUE"""),"フランキー・フランクリン")</f>
        <v/>
      </c>
      <c r="G63">
        <f>IFERROR(__xludf.DUMMYFUNCTION("""COMPUTED_VALUE"""),"フランキー・フランクリン_frankyget")</f>
        <v/>
      </c>
      <c r="H63">
        <f>IFERROR(__xludf.DUMMYFUNCTION("""COMPUTED_VALUE"""),"Boss")</f>
        <v/>
      </c>
      <c r="I63">
        <f>IFERROR(__xludf.DUMMYFUNCTION("""COMPUTED_VALUE"""),"Technical")</f>
        <v/>
      </c>
      <c r="J63">
        <f>IFERROR(__xludf.DUMMYFUNCTION("""COMPUTED_VALUE"""),"Red")</f>
        <v/>
      </c>
      <c r="K63">
        <f>IFERROR(__xludf.DUMMYFUNCTION("""COMPUTED_VALUE"""),40000.0)</f>
        <v/>
      </c>
      <c r="L63">
        <f>IFERROR(__xludf.DUMMYFUNCTION("""COMPUTED_VALUE"""),3.0)</f>
        <v/>
      </c>
      <c r="M63">
        <f>IFERROR(__xludf.DUMMYFUNCTION("""COMPUTED_VALUE"""),28.0)</f>
        <v/>
      </c>
      <c r="N63">
        <f>IFERROR(__xludf.DUMMYFUNCTION("""COMPUTED_VALUE"""),0.18)</f>
        <v/>
      </c>
      <c r="O63">
        <f>IFERROR(__xludf.DUMMYFUNCTION("""COMPUTED_VALUE"""),100.0)</f>
        <v/>
      </c>
      <c r="P63">
        <f>IFERROR(__xludf.DUMMYFUNCTION("""COMPUTED_VALUE"""),0.0)</f>
        <v/>
      </c>
      <c r="Q63">
        <f>IFERROR(__xludf.DUMMYFUNCTION("""COMPUTED_VALUE"""),0.19)</f>
        <v/>
      </c>
      <c r="R63">
        <f>IFERROR(__xludf.DUMMYFUNCTION("""COMPUTED_VALUE"""),1.0)</f>
        <v/>
      </c>
      <c r="S63">
        <f>IFERROR(__xludf.DUMMYFUNCTION("""COMPUTED_VALUE"""),500.0)</f>
        <v/>
      </c>
      <c r="T63">
        <f>IFERROR(__xludf.DUMMYFUNCTION("""COMPUTED_VALUE"""),"1.20")</f>
        <v/>
      </c>
      <c r="U63">
        <f>IFERROR(__xludf.DUMMYFUNCTION("""COMPUTED_VALUE"""),"0.50")</f>
        <v/>
      </c>
      <c r="V63">
        <f>IFERROR(__xludf.DUMMYFUNCTION("""COMPUTED_VALUE"""),30.0)</f>
        <v/>
      </c>
      <c r="W63">
        <f>IFERROR(__xludf.DUMMYFUNCTION("""COMPUTED_VALUE"""),"2.75")</f>
        <v/>
      </c>
      <c r="X63">
        <f>IFERROR(__xludf.DUMMYFUNCTION("""COMPUTED_VALUE"""),"1.34")</f>
        <v/>
      </c>
      <c r="Y63">
        <f>IFERROR(__xludf.DUMMYFUNCTION("""COMPUTED_VALUE"""),"単体に100%ダメージ+6秒間、小ノックバック攻撃")</f>
        <v/>
      </c>
      <c r="Z63">
        <f>IFERROR(__xludf.DUMMYFUNCTION("""COMPUTED_VALUE"""),3.0)</f>
        <v/>
      </c>
      <c r="AB63">
        <f>IFERROR(__xludf.DUMMYFUNCTION("""COMPUTED_VALUE"""),"dageki_2")</f>
        <v/>
      </c>
    </row>
    <row r="64">
      <c r="B64">
        <f>IFERROR(__xludf.DUMMYFUNCTION("""COMPUTED_VALUE"""),"chara_spy_00401")</f>
        <v/>
      </c>
      <c r="C64">
        <f>IFERROR(__xludf.DUMMYFUNCTION("""COMPUTED_VALUE"""),"_frankyget")</f>
        <v/>
      </c>
      <c r="D64">
        <f>IFERROR(__xludf.DUMMYFUNCTION("""COMPUTED_VALUE"""),"c_spy_00401_frankyget_Boss_Yellow")</f>
        <v/>
      </c>
      <c r="E64">
        <f>IFERROR(__xludf.DUMMYFUNCTION("""COMPUTED_VALUE"""),"SPY×FAMILY")</f>
        <v/>
      </c>
      <c r="F64">
        <f>IFERROR(__xludf.DUMMYFUNCTION("""COMPUTED_VALUE"""),"フランキー・フランクリン")</f>
        <v/>
      </c>
      <c r="G64">
        <f>IFERROR(__xludf.DUMMYFUNCTION("""COMPUTED_VALUE"""),"フランキー・フランクリン_frankyget")</f>
        <v/>
      </c>
      <c r="H64">
        <f>IFERROR(__xludf.DUMMYFUNCTION("""COMPUTED_VALUE"""),"Boss")</f>
        <v/>
      </c>
      <c r="I64">
        <f>IFERROR(__xludf.DUMMYFUNCTION("""COMPUTED_VALUE"""),"Technical")</f>
        <v/>
      </c>
      <c r="J64">
        <f>IFERROR(__xludf.DUMMYFUNCTION("""COMPUTED_VALUE"""),"Yellow")</f>
        <v/>
      </c>
      <c r="K64">
        <f>IFERROR(__xludf.DUMMYFUNCTION("""COMPUTED_VALUE"""),40000.0)</f>
        <v/>
      </c>
      <c r="L64">
        <f>IFERROR(__xludf.DUMMYFUNCTION("""COMPUTED_VALUE"""),3.0)</f>
        <v/>
      </c>
      <c r="M64">
        <f>IFERROR(__xludf.DUMMYFUNCTION("""COMPUTED_VALUE"""),28.0)</f>
        <v/>
      </c>
      <c r="N64">
        <f>IFERROR(__xludf.DUMMYFUNCTION("""COMPUTED_VALUE"""),0.18)</f>
        <v/>
      </c>
      <c r="O64">
        <f>IFERROR(__xludf.DUMMYFUNCTION("""COMPUTED_VALUE"""),100.0)</f>
        <v/>
      </c>
      <c r="P64">
        <f>IFERROR(__xludf.DUMMYFUNCTION("""COMPUTED_VALUE"""),0.0)</f>
        <v/>
      </c>
      <c r="Q64">
        <f>IFERROR(__xludf.DUMMYFUNCTION("""COMPUTED_VALUE"""),0.19)</f>
        <v/>
      </c>
      <c r="R64">
        <f>IFERROR(__xludf.DUMMYFUNCTION("""COMPUTED_VALUE"""),1.0)</f>
        <v/>
      </c>
      <c r="S64">
        <f>IFERROR(__xludf.DUMMYFUNCTION("""COMPUTED_VALUE"""),500.0)</f>
        <v/>
      </c>
      <c r="T64">
        <f>IFERROR(__xludf.DUMMYFUNCTION("""COMPUTED_VALUE"""),"1.20")</f>
        <v/>
      </c>
      <c r="U64">
        <f>IFERROR(__xludf.DUMMYFUNCTION("""COMPUTED_VALUE"""),"0.50")</f>
        <v/>
      </c>
      <c r="V64">
        <f>IFERROR(__xludf.DUMMYFUNCTION("""COMPUTED_VALUE"""),75.0)</f>
        <v/>
      </c>
      <c r="W64">
        <f>IFERROR(__xludf.DUMMYFUNCTION("""COMPUTED_VALUE"""),"2.75")</f>
        <v/>
      </c>
      <c r="X64">
        <f>IFERROR(__xludf.DUMMYFUNCTION("""COMPUTED_VALUE"""),"1.34")</f>
        <v/>
      </c>
      <c r="Y64">
        <f>IFERROR(__xludf.DUMMYFUNCTION("""COMPUTED_VALUE"""),"単体に100%ダメージ+6秒間、20%攻撃DOWN")</f>
        <v/>
      </c>
      <c r="Z64">
        <f>IFERROR(__xludf.DUMMYFUNCTION("""COMPUTED_VALUE"""),5.0)</f>
        <v/>
      </c>
      <c r="AB64">
        <f>IFERROR(__xludf.DUMMYFUNCTION("""COMPUTED_VALUE"""),"dageki_2")</f>
        <v/>
      </c>
    </row>
    <row r="65">
      <c r="B65">
        <f>IFERROR(__xludf.DUMMYFUNCTION("""COMPUTED_VALUE"""),"chara_spy_00501")</f>
        <v/>
      </c>
      <c r="C65">
        <f>IFERROR(__xludf.DUMMYFUNCTION("""COMPUTED_VALUE"""),"_spy1challenge")</f>
        <v/>
      </c>
      <c r="D65">
        <f>IFERROR(__xludf.DUMMYFUNCTION("""COMPUTED_VALUE"""),"c_spy_00501_spy1challenge_Boss_Blue")</f>
        <v/>
      </c>
      <c r="E65">
        <f>IFERROR(__xludf.DUMMYFUNCTION("""COMPUTED_VALUE"""),"SPY×FAMILY")</f>
        <v/>
      </c>
      <c r="F65">
        <f>IFERROR(__xludf.DUMMYFUNCTION("""COMPUTED_VALUE"""),"姉を想う盲愛 ユーリ・ブライア")</f>
        <v/>
      </c>
      <c r="G65">
        <f>IFERROR(__xludf.DUMMYFUNCTION("""COMPUTED_VALUE"""),"ユーリ・ブライア_spy1challenge")</f>
        <v/>
      </c>
      <c r="H65">
        <f>IFERROR(__xludf.DUMMYFUNCTION("""COMPUTED_VALUE"""),"Boss")</f>
        <v/>
      </c>
      <c r="I65">
        <f>IFERROR(__xludf.DUMMYFUNCTION("""COMPUTED_VALUE"""),"Defense")</f>
        <v/>
      </c>
      <c r="J65">
        <f>IFERROR(__xludf.DUMMYFUNCTION("""COMPUTED_VALUE"""),"Blue")</f>
        <v/>
      </c>
      <c r="K65">
        <f>IFERROR(__xludf.DUMMYFUNCTION("""COMPUTED_VALUE"""),100000.0)</f>
        <v/>
      </c>
      <c r="L65">
        <f>IFERROR(__xludf.DUMMYFUNCTION("""COMPUTED_VALUE"""),2.0)</f>
        <v/>
      </c>
      <c r="M65">
        <f>IFERROR(__xludf.DUMMYFUNCTION("""COMPUTED_VALUE"""),25.0)</f>
        <v/>
      </c>
      <c r="N65">
        <f>IFERROR(__xludf.DUMMYFUNCTION("""COMPUTED_VALUE"""),0.17)</f>
        <v/>
      </c>
      <c r="O65">
        <f>IFERROR(__xludf.DUMMYFUNCTION("""COMPUTED_VALUE"""),100.0)</f>
        <v/>
      </c>
      <c r="P65">
        <f>IFERROR(__xludf.DUMMYFUNCTION("""COMPUTED_VALUE"""),0.0)</f>
        <v/>
      </c>
      <c r="Q65">
        <f>IFERROR(__xludf.DUMMYFUNCTION("""COMPUTED_VALUE"""),0.18)</f>
        <v/>
      </c>
      <c r="R65">
        <f>IFERROR(__xludf.DUMMYFUNCTION("""COMPUTED_VALUE"""),1.0)</f>
        <v/>
      </c>
      <c r="S65">
        <f>IFERROR(__xludf.DUMMYFUNCTION("""COMPUTED_VALUE"""),500.0)</f>
        <v/>
      </c>
      <c r="T65">
        <f>IFERROR(__xludf.DUMMYFUNCTION("""COMPUTED_VALUE"""),"1.13")</f>
        <v/>
      </c>
      <c r="U65">
        <f>IFERROR(__xludf.DUMMYFUNCTION("""COMPUTED_VALUE"""),"stop有:1回目 0.33")</f>
        <v/>
      </c>
      <c r="V65">
        <f>IFERROR(__xludf.DUMMYFUNCTION("""COMPUTED_VALUE"""),80.0)</f>
        <v/>
      </c>
      <c r="W65">
        <f>IFERROR(__xludf.DUMMYFUNCTION("""COMPUTED_VALUE"""),"2.33")</f>
        <v/>
      </c>
      <c r="X65">
        <f>IFERROR(__xludf.DUMMYFUNCTION("""COMPUTED_VALUE"""),"stop無:1回目 1.17")</f>
        <v/>
      </c>
      <c r="Y65">
        <f>IFERROR(__xludf.DUMMYFUNCTION("""COMPUTED_VALUE"""),"20秒間、自身が受けるダメージ20%カット")</f>
        <v/>
      </c>
      <c r="Z65">
        <f>IFERROR(__xludf.DUMMYFUNCTION("""COMPUTED_VALUE"""),6.0)</f>
        <v/>
      </c>
      <c r="AB65">
        <f>IFERROR(__xludf.DUMMYFUNCTION("""COMPUTED_VALUE"""),"dageki_1")</f>
        <v/>
      </c>
    </row>
    <row r="66">
      <c r="B66">
        <f>IFERROR(__xludf.DUMMYFUNCTION("""COMPUTED_VALUE"""),"enemy_spy_00001")</f>
        <v/>
      </c>
      <c r="C66">
        <f>IFERROR(__xludf.DUMMYFUNCTION("""COMPUTED_VALUE"""),"_frankyget")</f>
        <v/>
      </c>
      <c r="D66">
        <f>IFERROR(__xludf.DUMMYFUNCTION("""COMPUTED_VALUE"""),"e_spy_00001_frankyget_Normal_Colorless")</f>
        <v/>
      </c>
      <c r="E66">
        <f>IFERROR(__xludf.DUMMYFUNCTION("""COMPUTED_VALUE"""),"SPY×FAMILY")</f>
        <v/>
      </c>
      <c r="F66">
        <f>IFERROR(__xludf.DUMMYFUNCTION("""COMPUTED_VALUE"""),"密輸組織の残党")</f>
        <v/>
      </c>
      <c r="G66">
        <f>IFERROR(__xludf.DUMMYFUNCTION("""COMPUTED_VALUE"""),"密輸組織の残党_frankyget")</f>
        <v/>
      </c>
      <c r="H66">
        <f>IFERROR(__xludf.DUMMYFUNCTION("""COMPUTED_VALUE"""),"Normal")</f>
        <v/>
      </c>
      <c r="I66">
        <f>IFERROR(__xludf.DUMMYFUNCTION("""COMPUTED_VALUE"""),"Attack")</f>
        <v/>
      </c>
      <c r="J66">
        <f>IFERROR(__xludf.DUMMYFUNCTION("""COMPUTED_VALUE"""),"Colorless")</f>
        <v/>
      </c>
      <c r="K66">
        <f>IFERROR(__xludf.DUMMYFUNCTION("""COMPUTED_VALUE"""),5000.0)</f>
        <v/>
      </c>
      <c r="L66">
        <f>IFERROR(__xludf.DUMMYFUNCTION("""COMPUTED_VALUE"""),3.0)</f>
        <v/>
      </c>
      <c r="M66">
        <f>IFERROR(__xludf.DUMMYFUNCTION("""COMPUTED_VALUE"""),25.0)</f>
        <v/>
      </c>
      <c r="N66">
        <f>IFERROR(__xludf.DUMMYFUNCTION("""COMPUTED_VALUE"""),0.32)</f>
        <v/>
      </c>
      <c r="O66">
        <f>IFERROR(__xludf.DUMMYFUNCTION("""COMPUTED_VALUE"""),300.0)</f>
        <v/>
      </c>
      <c r="P66">
        <f>IFERROR(__xludf.DUMMYFUNCTION("""COMPUTED_VALUE"""),0.0)</f>
        <v/>
      </c>
      <c r="Q66">
        <f>IFERROR(__xludf.DUMMYFUNCTION("""COMPUTED_VALUE"""),0.33)</f>
        <v/>
      </c>
      <c r="R66">
        <f>IFERROR(__xludf.DUMMYFUNCTION("""COMPUTED_VALUE"""),1.0)</f>
        <v/>
      </c>
      <c r="S66">
        <f>IFERROR(__xludf.DUMMYFUNCTION("""COMPUTED_VALUE"""),250.0)</f>
        <v/>
      </c>
      <c r="T66">
        <f>IFERROR(__xludf.DUMMYFUNCTION("""COMPUTED_VALUE"""),"1.00")</f>
        <v/>
      </c>
      <c r="U66">
        <f>IFERROR(__xludf.DUMMYFUNCTION("""COMPUTED_VALUE"""),"0.17")</f>
        <v/>
      </c>
      <c r="V66">
        <f>IFERROR(__xludf.DUMMYFUNCTION("""COMPUTED_VALUE"""),50.0)</f>
        <v/>
      </c>
      <c r="W66">
        <f>IFERROR(__xludf.DUMMYFUNCTION("""COMPUTED_VALUE"""),"-")</f>
        <v/>
      </c>
      <c r="X66">
        <f>IFERROR(__xludf.DUMMYFUNCTION("""COMPUTED_VALUE"""),"-")</f>
        <v/>
      </c>
      <c r="Z66">
        <f>IFERROR(__xludf.DUMMYFUNCTION("""COMPUTED_VALUE"""),"-")</f>
        <v/>
      </c>
      <c r="AB66">
        <f>IFERROR(__xludf.DUMMYFUNCTION("""COMPUTED_VALUE"""),"shageki_1")</f>
        <v/>
      </c>
    </row>
    <row r="67">
      <c r="B67">
        <f>IFERROR(__xludf.DUMMYFUNCTION("""COMPUTED_VALUE"""),"enemy_spy_00001")</f>
        <v/>
      </c>
      <c r="C67">
        <f>IFERROR(__xludf.DUMMYFUNCTION("""COMPUTED_VALUE"""),"_spy1savage")</f>
        <v/>
      </c>
      <c r="D67">
        <f>IFERROR(__xludf.DUMMYFUNCTION("""COMPUTED_VALUE"""),"e_spy_00001_spy1savage_Normal_Colorless")</f>
        <v/>
      </c>
      <c r="E67">
        <f>IFERROR(__xludf.DUMMYFUNCTION("""COMPUTED_VALUE"""),"SPY×FAMILY")</f>
        <v/>
      </c>
      <c r="F67">
        <f>IFERROR(__xludf.DUMMYFUNCTION("""COMPUTED_VALUE"""),"密輸組織の残党")</f>
        <v/>
      </c>
      <c r="G67">
        <f>IFERROR(__xludf.DUMMYFUNCTION("""COMPUTED_VALUE"""),"密輸組織の残党_spy1savage")</f>
        <v/>
      </c>
      <c r="H67">
        <f>IFERROR(__xludf.DUMMYFUNCTION("""COMPUTED_VALUE"""),"Normal")</f>
        <v/>
      </c>
      <c r="I67">
        <f>IFERROR(__xludf.DUMMYFUNCTION("""COMPUTED_VALUE"""),"Attack")</f>
        <v/>
      </c>
      <c r="J67">
        <f>IFERROR(__xludf.DUMMYFUNCTION("""COMPUTED_VALUE"""),"Colorless")</f>
        <v/>
      </c>
      <c r="K67">
        <f>IFERROR(__xludf.DUMMYFUNCTION("""COMPUTED_VALUE"""),5000.0)</f>
        <v/>
      </c>
      <c r="L67">
        <f>IFERROR(__xludf.DUMMYFUNCTION("""COMPUTED_VALUE"""),3.0)</f>
        <v/>
      </c>
      <c r="M67">
        <f>IFERROR(__xludf.DUMMYFUNCTION("""COMPUTED_VALUE"""),70.0)</f>
        <v/>
      </c>
      <c r="N67">
        <f>IFERROR(__xludf.DUMMYFUNCTION("""COMPUTED_VALUE"""),0.32)</f>
        <v/>
      </c>
      <c r="O67">
        <f>IFERROR(__xludf.DUMMYFUNCTION("""COMPUTED_VALUE"""),300.0)</f>
        <v/>
      </c>
      <c r="P67">
        <f>IFERROR(__xludf.DUMMYFUNCTION("""COMPUTED_VALUE"""),0.0)</f>
        <v/>
      </c>
      <c r="Q67">
        <f>IFERROR(__xludf.DUMMYFUNCTION("""COMPUTED_VALUE"""),0.33)</f>
        <v/>
      </c>
      <c r="R67">
        <f>IFERROR(__xludf.DUMMYFUNCTION("""COMPUTED_VALUE"""),1.0)</f>
        <v/>
      </c>
      <c r="S67">
        <f>IFERROR(__xludf.DUMMYFUNCTION("""COMPUTED_VALUE"""),250.0)</f>
        <v/>
      </c>
      <c r="T67">
        <f>IFERROR(__xludf.DUMMYFUNCTION("""COMPUTED_VALUE"""),"1.00")</f>
        <v/>
      </c>
      <c r="U67">
        <f>IFERROR(__xludf.DUMMYFUNCTION("""COMPUTED_VALUE"""),"0.17")</f>
        <v/>
      </c>
      <c r="V67">
        <f>IFERROR(__xludf.DUMMYFUNCTION("""COMPUTED_VALUE"""),50.0)</f>
        <v/>
      </c>
      <c r="W67">
        <f>IFERROR(__xludf.DUMMYFUNCTION("""COMPUTED_VALUE"""),"-")</f>
        <v/>
      </c>
      <c r="X67">
        <f>IFERROR(__xludf.DUMMYFUNCTION("""COMPUTED_VALUE"""),"-")</f>
        <v/>
      </c>
      <c r="Z67">
        <f>IFERROR(__xludf.DUMMYFUNCTION("""COMPUTED_VALUE"""),"-")</f>
        <v/>
      </c>
      <c r="AB67">
        <f>IFERROR(__xludf.DUMMYFUNCTION("""COMPUTED_VALUE"""),"shageki_1")</f>
        <v/>
      </c>
    </row>
    <row r="68">
      <c r="B68">
        <f>IFERROR(__xludf.DUMMYFUNCTION("""COMPUTED_VALUE"""),"enemy_spy_00001")</f>
        <v/>
      </c>
      <c r="C68">
        <f>IFERROR(__xludf.DUMMYFUNCTION("""COMPUTED_VALUE"""),"_damianget")</f>
        <v/>
      </c>
      <c r="D68">
        <f>IFERROR(__xludf.DUMMYFUNCTION("""COMPUTED_VALUE"""),"e_spy_00001_damianget_Normal_Red")</f>
        <v/>
      </c>
      <c r="E68">
        <f>IFERROR(__xludf.DUMMYFUNCTION("""COMPUTED_VALUE"""),"SPY×FAMILY")</f>
        <v/>
      </c>
      <c r="F68">
        <f>IFERROR(__xludf.DUMMYFUNCTION("""COMPUTED_VALUE"""),"密輸組織の残党")</f>
        <v/>
      </c>
      <c r="G68">
        <f>IFERROR(__xludf.DUMMYFUNCTION("""COMPUTED_VALUE"""),"密輸組織の残党_damianget")</f>
        <v/>
      </c>
      <c r="H68">
        <f>IFERROR(__xludf.DUMMYFUNCTION("""COMPUTED_VALUE"""),"Normal")</f>
        <v/>
      </c>
      <c r="I68">
        <f>IFERROR(__xludf.DUMMYFUNCTION("""COMPUTED_VALUE"""),"Attack")</f>
        <v/>
      </c>
      <c r="J68">
        <f>IFERROR(__xludf.DUMMYFUNCTION("""COMPUTED_VALUE"""),"Red")</f>
        <v/>
      </c>
      <c r="K68">
        <f>IFERROR(__xludf.DUMMYFUNCTION("""COMPUTED_VALUE"""),5000.0)</f>
        <v/>
      </c>
      <c r="L68">
        <f>IFERROR(__xludf.DUMMYFUNCTION("""COMPUTED_VALUE"""),3.0)</f>
        <v/>
      </c>
      <c r="M68">
        <f>IFERROR(__xludf.DUMMYFUNCTION("""COMPUTED_VALUE"""),25.0)</f>
        <v/>
      </c>
      <c r="N68">
        <f>IFERROR(__xludf.DUMMYFUNCTION("""COMPUTED_VALUE"""),0.32)</f>
        <v/>
      </c>
      <c r="O68">
        <f>IFERROR(__xludf.DUMMYFUNCTION("""COMPUTED_VALUE"""),300.0)</f>
        <v/>
      </c>
      <c r="P68">
        <f>IFERROR(__xludf.DUMMYFUNCTION("""COMPUTED_VALUE"""),0.0)</f>
        <v/>
      </c>
      <c r="Q68">
        <f>IFERROR(__xludf.DUMMYFUNCTION("""COMPUTED_VALUE"""),0.33)</f>
        <v/>
      </c>
      <c r="R68">
        <f>IFERROR(__xludf.DUMMYFUNCTION("""COMPUTED_VALUE"""),1.0)</f>
        <v/>
      </c>
      <c r="S68">
        <f>IFERROR(__xludf.DUMMYFUNCTION("""COMPUTED_VALUE"""),250.0)</f>
        <v/>
      </c>
      <c r="T68">
        <f>IFERROR(__xludf.DUMMYFUNCTION("""COMPUTED_VALUE"""),"1.00")</f>
        <v/>
      </c>
      <c r="U68">
        <f>IFERROR(__xludf.DUMMYFUNCTION("""COMPUTED_VALUE"""),"0.17")</f>
        <v/>
      </c>
      <c r="V68">
        <f>IFERROR(__xludf.DUMMYFUNCTION("""COMPUTED_VALUE"""),50.0)</f>
        <v/>
      </c>
      <c r="W68">
        <f>IFERROR(__xludf.DUMMYFUNCTION("""COMPUTED_VALUE"""),"-")</f>
        <v/>
      </c>
      <c r="X68">
        <f>IFERROR(__xludf.DUMMYFUNCTION("""COMPUTED_VALUE"""),"-")</f>
        <v/>
      </c>
      <c r="Z68">
        <f>IFERROR(__xludf.DUMMYFUNCTION("""COMPUTED_VALUE"""),"-")</f>
        <v/>
      </c>
      <c r="AB68">
        <f>IFERROR(__xludf.DUMMYFUNCTION("""COMPUTED_VALUE"""),"shageki_1")</f>
        <v/>
      </c>
    </row>
    <row r="69">
      <c r="B69">
        <f>IFERROR(__xludf.DUMMYFUNCTION("""COMPUTED_VALUE"""),"enemy_spy_00001")</f>
        <v/>
      </c>
      <c r="C69">
        <f>IFERROR(__xludf.DUMMYFUNCTION("""COMPUTED_VALUE"""),"_spy1challenge")</f>
        <v/>
      </c>
      <c r="D69">
        <f>IFERROR(__xludf.DUMMYFUNCTION("""COMPUTED_VALUE"""),"e_spy_00001_spy1challenge_Normal_Blue")</f>
        <v/>
      </c>
      <c r="E69">
        <f>IFERROR(__xludf.DUMMYFUNCTION("""COMPUTED_VALUE"""),"SPY×FAMILY")</f>
        <v/>
      </c>
      <c r="F69">
        <f>IFERROR(__xludf.DUMMYFUNCTION("""COMPUTED_VALUE"""),"密輸組織の残党")</f>
        <v/>
      </c>
      <c r="G69">
        <f>IFERROR(__xludf.DUMMYFUNCTION("""COMPUTED_VALUE"""),"密輸組織の残党_spy1challenge")</f>
        <v/>
      </c>
      <c r="H69">
        <f>IFERROR(__xludf.DUMMYFUNCTION("""COMPUTED_VALUE"""),"Normal")</f>
        <v/>
      </c>
      <c r="I69">
        <f>IFERROR(__xludf.DUMMYFUNCTION("""COMPUTED_VALUE"""),"Attack")</f>
        <v/>
      </c>
      <c r="J69">
        <f>IFERROR(__xludf.DUMMYFUNCTION("""COMPUTED_VALUE"""),"Blue")</f>
        <v/>
      </c>
      <c r="K69">
        <f>IFERROR(__xludf.DUMMYFUNCTION("""COMPUTED_VALUE"""),5000.0)</f>
        <v/>
      </c>
      <c r="L69">
        <f>IFERROR(__xludf.DUMMYFUNCTION("""COMPUTED_VALUE"""),3.0)</f>
        <v/>
      </c>
      <c r="M69">
        <f>IFERROR(__xludf.DUMMYFUNCTION("""COMPUTED_VALUE"""),25.0)</f>
        <v/>
      </c>
      <c r="N69">
        <f>IFERROR(__xludf.DUMMYFUNCTION("""COMPUTED_VALUE"""),0.32)</f>
        <v/>
      </c>
      <c r="O69">
        <f>IFERROR(__xludf.DUMMYFUNCTION("""COMPUTED_VALUE"""),300.0)</f>
        <v/>
      </c>
      <c r="P69">
        <f>IFERROR(__xludf.DUMMYFUNCTION("""COMPUTED_VALUE"""),0.0)</f>
        <v/>
      </c>
      <c r="Q69">
        <f>IFERROR(__xludf.DUMMYFUNCTION("""COMPUTED_VALUE"""),0.33)</f>
        <v/>
      </c>
      <c r="R69">
        <f>IFERROR(__xludf.DUMMYFUNCTION("""COMPUTED_VALUE"""),1.0)</f>
        <v/>
      </c>
      <c r="S69">
        <f>IFERROR(__xludf.DUMMYFUNCTION("""COMPUTED_VALUE"""),250.0)</f>
        <v/>
      </c>
      <c r="T69">
        <f>IFERROR(__xludf.DUMMYFUNCTION("""COMPUTED_VALUE"""),"1.00")</f>
        <v/>
      </c>
      <c r="U69">
        <f>IFERROR(__xludf.DUMMYFUNCTION("""COMPUTED_VALUE"""),"0.17")</f>
        <v/>
      </c>
      <c r="V69">
        <f>IFERROR(__xludf.DUMMYFUNCTION("""COMPUTED_VALUE"""),50.0)</f>
        <v/>
      </c>
      <c r="W69">
        <f>IFERROR(__xludf.DUMMYFUNCTION("""COMPUTED_VALUE"""),"-")</f>
        <v/>
      </c>
      <c r="X69">
        <f>IFERROR(__xludf.DUMMYFUNCTION("""COMPUTED_VALUE"""),"-")</f>
        <v/>
      </c>
      <c r="Z69">
        <f>IFERROR(__xludf.DUMMYFUNCTION("""COMPUTED_VALUE"""),"-")</f>
        <v/>
      </c>
      <c r="AB69">
        <f>IFERROR(__xludf.DUMMYFUNCTION("""COMPUTED_VALUE"""),"shageki_1")</f>
        <v/>
      </c>
    </row>
    <row r="70">
      <c r="B70">
        <f>IFERROR(__xludf.DUMMYFUNCTION("""COMPUTED_VALUE"""),"enemy_spy_00001")</f>
        <v/>
      </c>
      <c r="C70">
        <f>IFERROR(__xludf.DUMMYFUNCTION("""COMPUTED_VALUE"""),"_spy1challenge")</f>
        <v/>
      </c>
      <c r="D70">
        <f>IFERROR(__xludf.DUMMYFUNCTION("""COMPUTED_VALUE"""),"e_spy_00001_spy1challenge_Normal_Green")</f>
        <v/>
      </c>
      <c r="E70">
        <f>IFERROR(__xludf.DUMMYFUNCTION("""COMPUTED_VALUE"""),"SPY×FAMILY")</f>
        <v/>
      </c>
      <c r="F70">
        <f>IFERROR(__xludf.DUMMYFUNCTION("""COMPUTED_VALUE"""),"密輸組織の残党")</f>
        <v/>
      </c>
      <c r="G70">
        <f>IFERROR(__xludf.DUMMYFUNCTION("""COMPUTED_VALUE"""),"密輸組織の残党_spy1challenge")</f>
        <v/>
      </c>
      <c r="H70">
        <f>IFERROR(__xludf.DUMMYFUNCTION("""COMPUTED_VALUE"""),"Normal")</f>
        <v/>
      </c>
      <c r="I70">
        <f>IFERROR(__xludf.DUMMYFUNCTION("""COMPUTED_VALUE"""),"Attack")</f>
        <v/>
      </c>
      <c r="J70">
        <f>IFERROR(__xludf.DUMMYFUNCTION("""COMPUTED_VALUE"""),"Green")</f>
        <v/>
      </c>
      <c r="K70">
        <f>IFERROR(__xludf.DUMMYFUNCTION("""COMPUTED_VALUE"""),5000.0)</f>
        <v/>
      </c>
      <c r="L70">
        <f>IFERROR(__xludf.DUMMYFUNCTION("""COMPUTED_VALUE"""),3.0)</f>
        <v/>
      </c>
      <c r="M70">
        <f>IFERROR(__xludf.DUMMYFUNCTION("""COMPUTED_VALUE"""),25.0)</f>
        <v/>
      </c>
      <c r="N70">
        <f>IFERROR(__xludf.DUMMYFUNCTION("""COMPUTED_VALUE"""),0.32)</f>
        <v/>
      </c>
      <c r="O70">
        <f>IFERROR(__xludf.DUMMYFUNCTION("""COMPUTED_VALUE"""),300.0)</f>
        <v/>
      </c>
      <c r="P70">
        <f>IFERROR(__xludf.DUMMYFUNCTION("""COMPUTED_VALUE"""),0.0)</f>
        <v/>
      </c>
      <c r="Q70">
        <f>IFERROR(__xludf.DUMMYFUNCTION("""COMPUTED_VALUE"""),0.33)</f>
        <v/>
      </c>
      <c r="R70">
        <f>IFERROR(__xludf.DUMMYFUNCTION("""COMPUTED_VALUE"""),1.0)</f>
        <v/>
      </c>
      <c r="S70">
        <f>IFERROR(__xludf.DUMMYFUNCTION("""COMPUTED_VALUE"""),250.0)</f>
        <v/>
      </c>
      <c r="T70">
        <f>IFERROR(__xludf.DUMMYFUNCTION("""COMPUTED_VALUE"""),"1.00")</f>
        <v/>
      </c>
      <c r="U70">
        <f>IFERROR(__xludf.DUMMYFUNCTION("""COMPUTED_VALUE"""),"0.17")</f>
        <v/>
      </c>
      <c r="V70">
        <f>IFERROR(__xludf.DUMMYFUNCTION("""COMPUTED_VALUE"""),50.0)</f>
        <v/>
      </c>
      <c r="W70">
        <f>IFERROR(__xludf.DUMMYFUNCTION("""COMPUTED_VALUE"""),"-")</f>
        <v/>
      </c>
      <c r="X70">
        <f>IFERROR(__xludf.DUMMYFUNCTION("""COMPUTED_VALUE"""),"-")</f>
        <v/>
      </c>
      <c r="Z70">
        <f>IFERROR(__xludf.DUMMYFUNCTION("""COMPUTED_VALUE"""),"-")</f>
        <v/>
      </c>
      <c r="AB70">
        <f>IFERROR(__xludf.DUMMYFUNCTION("""COMPUTED_VALUE"""),"shageki_1")</f>
        <v/>
      </c>
    </row>
    <row r="71">
      <c r="B71">
        <f>IFERROR(__xludf.DUMMYFUNCTION("""COMPUTED_VALUE"""),"enemy_spy_00001")</f>
        <v/>
      </c>
      <c r="C71">
        <f>IFERROR(__xludf.DUMMYFUNCTION("""COMPUTED_VALUE"""),"_spy1challenge")</f>
        <v/>
      </c>
      <c r="D71">
        <f>IFERROR(__xludf.DUMMYFUNCTION("""COMPUTED_VALUE"""),"e_spy_00001_spy1challenge_Normal_Yellow")</f>
        <v/>
      </c>
      <c r="E71">
        <f>IFERROR(__xludf.DUMMYFUNCTION("""COMPUTED_VALUE"""),"SPY×FAMILY")</f>
        <v/>
      </c>
      <c r="F71">
        <f>IFERROR(__xludf.DUMMYFUNCTION("""COMPUTED_VALUE"""),"密輸組織の残党")</f>
        <v/>
      </c>
      <c r="G71">
        <f>IFERROR(__xludf.DUMMYFUNCTION("""COMPUTED_VALUE"""),"密輸組織の残党_spy1challenge")</f>
        <v/>
      </c>
      <c r="H71">
        <f>IFERROR(__xludf.DUMMYFUNCTION("""COMPUTED_VALUE"""),"Normal")</f>
        <v/>
      </c>
      <c r="I71">
        <f>IFERROR(__xludf.DUMMYFUNCTION("""COMPUTED_VALUE"""),"Attack")</f>
        <v/>
      </c>
      <c r="J71">
        <f>IFERROR(__xludf.DUMMYFUNCTION("""COMPUTED_VALUE"""),"Yellow")</f>
        <v/>
      </c>
      <c r="K71">
        <f>IFERROR(__xludf.DUMMYFUNCTION("""COMPUTED_VALUE"""),5000.0)</f>
        <v/>
      </c>
      <c r="L71">
        <f>IFERROR(__xludf.DUMMYFUNCTION("""COMPUTED_VALUE"""),3.0)</f>
        <v/>
      </c>
      <c r="M71">
        <f>IFERROR(__xludf.DUMMYFUNCTION("""COMPUTED_VALUE"""),25.0)</f>
        <v/>
      </c>
      <c r="N71">
        <f>IFERROR(__xludf.DUMMYFUNCTION("""COMPUTED_VALUE"""),0.32)</f>
        <v/>
      </c>
      <c r="O71">
        <f>IFERROR(__xludf.DUMMYFUNCTION("""COMPUTED_VALUE"""),300.0)</f>
        <v/>
      </c>
      <c r="P71">
        <f>IFERROR(__xludf.DUMMYFUNCTION("""COMPUTED_VALUE"""),0.0)</f>
        <v/>
      </c>
      <c r="Q71">
        <f>IFERROR(__xludf.DUMMYFUNCTION("""COMPUTED_VALUE"""),0.33)</f>
        <v/>
      </c>
      <c r="R71">
        <f>IFERROR(__xludf.DUMMYFUNCTION("""COMPUTED_VALUE"""),1.0)</f>
        <v/>
      </c>
      <c r="S71">
        <f>IFERROR(__xludf.DUMMYFUNCTION("""COMPUTED_VALUE"""),250.0)</f>
        <v/>
      </c>
      <c r="T71">
        <f>IFERROR(__xludf.DUMMYFUNCTION("""COMPUTED_VALUE"""),"1.00")</f>
        <v/>
      </c>
      <c r="U71">
        <f>IFERROR(__xludf.DUMMYFUNCTION("""COMPUTED_VALUE"""),"0.17")</f>
        <v/>
      </c>
      <c r="V71">
        <f>IFERROR(__xludf.DUMMYFUNCTION("""COMPUTED_VALUE"""),50.0)</f>
        <v/>
      </c>
      <c r="W71">
        <f>IFERROR(__xludf.DUMMYFUNCTION("""COMPUTED_VALUE"""),"-")</f>
        <v/>
      </c>
      <c r="X71">
        <f>IFERROR(__xludf.DUMMYFUNCTION("""COMPUTED_VALUE"""),"-")</f>
        <v/>
      </c>
      <c r="Z71">
        <f>IFERROR(__xludf.DUMMYFUNCTION("""COMPUTED_VALUE"""),"-")</f>
        <v/>
      </c>
      <c r="AB71">
        <f>IFERROR(__xludf.DUMMYFUNCTION("""COMPUTED_VALUE"""),"shageki_1")</f>
        <v/>
      </c>
    </row>
    <row r="72">
      <c r="B72">
        <f>IFERROR(__xludf.DUMMYFUNCTION("""COMPUTED_VALUE"""),"enemy_spy_00101")</f>
        <v/>
      </c>
      <c r="C72">
        <f>IFERROR(__xludf.DUMMYFUNCTION("""COMPUTED_VALUE"""),"_damianget")</f>
        <v/>
      </c>
      <c r="D72">
        <f>IFERROR(__xludf.DUMMYFUNCTION("""COMPUTED_VALUE"""),"e_spy_00101_damianget_Normal_Colorless")</f>
        <v/>
      </c>
      <c r="E72">
        <f>IFERROR(__xludf.DUMMYFUNCTION("""COMPUTED_VALUE"""),"SPY×FAMILY")</f>
        <v/>
      </c>
      <c r="F72">
        <f>IFERROR(__xludf.DUMMYFUNCTION("""COMPUTED_VALUE"""),"グエン")</f>
        <v/>
      </c>
      <c r="G72">
        <f>IFERROR(__xludf.DUMMYFUNCTION("""COMPUTED_VALUE"""),"グエン_damianget")</f>
        <v/>
      </c>
      <c r="H72">
        <f>IFERROR(__xludf.DUMMYFUNCTION("""COMPUTED_VALUE"""),"Normal")</f>
        <v/>
      </c>
      <c r="I72">
        <f>IFERROR(__xludf.DUMMYFUNCTION("""COMPUTED_VALUE"""),"Attack")</f>
        <v/>
      </c>
      <c r="J72">
        <f>IFERROR(__xludf.DUMMYFUNCTION("""COMPUTED_VALUE"""),"Colorless")</f>
        <v/>
      </c>
      <c r="K72">
        <f>IFERROR(__xludf.DUMMYFUNCTION("""COMPUTED_VALUE"""),2500.0)</f>
        <v/>
      </c>
      <c r="L72">
        <f>IFERROR(__xludf.DUMMYFUNCTION("""COMPUTED_VALUE"""),3.0)</f>
        <v/>
      </c>
      <c r="M72">
        <f>IFERROR(__xludf.DUMMYFUNCTION("""COMPUTED_VALUE"""),30.0)</f>
        <v/>
      </c>
      <c r="N72">
        <f>IFERROR(__xludf.DUMMYFUNCTION("""COMPUTED_VALUE"""),0.18)</f>
        <v/>
      </c>
      <c r="O72">
        <f>IFERROR(__xludf.DUMMYFUNCTION("""COMPUTED_VALUE"""),200.0)</f>
        <v/>
      </c>
      <c r="P72">
        <f>IFERROR(__xludf.DUMMYFUNCTION("""COMPUTED_VALUE"""),0.0)</f>
        <v/>
      </c>
      <c r="Q72">
        <f>IFERROR(__xludf.DUMMYFUNCTION("""COMPUTED_VALUE"""),0.19)</f>
        <v/>
      </c>
      <c r="R72">
        <f>IFERROR(__xludf.DUMMYFUNCTION("""COMPUTED_VALUE"""),1.0)</f>
        <v/>
      </c>
      <c r="S72">
        <f>IFERROR(__xludf.DUMMYFUNCTION("""COMPUTED_VALUE"""),250.0)</f>
        <v/>
      </c>
      <c r="T72">
        <f>IFERROR(__xludf.DUMMYFUNCTION("""COMPUTED_VALUE"""),"1.20")</f>
        <v/>
      </c>
      <c r="U72">
        <f>IFERROR(__xludf.DUMMYFUNCTION("""COMPUTED_VALUE"""),"0.50")</f>
        <v/>
      </c>
      <c r="V72">
        <f>IFERROR(__xludf.DUMMYFUNCTION("""COMPUTED_VALUE"""),75.0)</f>
        <v/>
      </c>
      <c r="W72">
        <f>IFERROR(__xludf.DUMMYFUNCTION("""COMPUTED_VALUE"""),"-")</f>
        <v/>
      </c>
      <c r="X72">
        <f>IFERROR(__xludf.DUMMYFUNCTION("""COMPUTED_VALUE"""),"-")</f>
        <v/>
      </c>
      <c r="Z72">
        <f>IFERROR(__xludf.DUMMYFUNCTION("""COMPUTED_VALUE"""),"-")</f>
        <v/>
      </c>
      <c r="AB72">
        <f>IFERROR(__xludf.DUMMYFUNCTION("""COMPUTED_VALUE"""),"dageki_1")</f>
        <v/>
      </c>
    </row>
    <row r="73">
      <c r="B73">
        <f>IFERROR(__xludf.DUMMYFUNCTION("""COMPUTED_VALUE"""),"enemy_spy_00101")</f>
        <v/>
      </c>
      <c r="C73">
        <f>IFERROR(__xludf.DUMMYFUNCTION("""COMPUTED_VALUE"""),"_spy1challenge")</f>
        <v/>
      </c>
      <c r="D73">
        <f>IFERROR(__xludf.DUMMYFUNCTION("""COMPUTED_VALUE"""),"e_spy_00101_spy1challenge_Normal_Red")</f>
        <v/>
      </c>
      <c r="E73">
        <f>IFERROR(__xludf.DUMMYFUNCTION("""COMPUTED_VALUE"""),"SPY×FAMILY")</f>
        <v/>
      </c>
      <c r="F73">
        <f>IFERROR(__xludf.DUMMYFUNCTION("""COMPUTED_VALUE"""),"グエン")</f>
        <v/>
      </c>
      <c r="G73">
        <f>IFERROR(__xludf.DUMMYFUNCTION("""COMPUTED_VALUE"""),"グエン_spy1challenge")</f>
        <v/>
      </c>
      <c r="H73">
        <f>IFERROR(__xludf.DUMMYFUNCTION("""COMPUTED_VALUE"""),"Normal")</f>
        <v/>
      </c>
      <c r="I73">
        <f>IFERROR(__xludf.DUMMYFUNCTION("""COMPUTED_VALUE"""),"Attack")</f>
        <v/>
      </c>
      <c r="J73">
        <f>IFERROR(__xludf.DUMMYFUNCTION("""COMPUTED_VALUE"""),"Red")</f>
        <v/>
      </c>
      <c r="K73">
        <f>IFERROR(__xludf.DUMMYFUNCTION("""COMPUTED_VALUE"""),5000.0)</f>
        <v/>
      </c>
      <c r="L73">
        <f>IFERROR(__xludf.DUMMYFUNCTION("""COMPUTED_VALUE"""),2.0)</f>
        <v/>
      </c>
      <c r="M73">
        <f>IFERROR(__xludf.DUMMYFUNCTION("""COMPUTED_VALUE"""),30.0)</f>
        <v/>
      </c>
      <c r="N73">
        <f>IFERROR(__xludf.DUMMYFUNCTION("""COMPUTED_VALUE"""),0.18)</f>
        <v/>
      </c>
      <c r="O73">
        <f>IFERROR(__xludf.DUMMYFUNCTION("""COMPUTED_VALUE"""),200.0)</f>
        <v/>
      </c>
      <c r="P73">
        <f>IFERROR(__xludf.DUMMYFUNCTION("""COMPUTED_VALUE"""),0.0)</f>
        <v/>
      </c>
      <c r="Q73">
        <f>IFERROR(__xludf.DUMMYFUNCTION("""COMPUTED_VALUE"""),0.19)</f>
        <v/>
      </c>
      <c r="R73">
        <f>IFERROR(__xludf.DUMMYFUNCTION("""COMPUTED_VALUE"""),1.0)</f>
        <v/>
      </c>
      <c r="S73">
        <f>IFERROR(__xludf.DUMMYFUNCTION("""COMPUTED_VALUE"""),250.0)</f>
        <v/>
      </c>
      <c r="T73">
        <f>IFERROR(__xludf.DUMMYFUNCTION("""COMPUTED_VALUE"""),"1.20")</f>
        <v/>
      </c>
      <c r="U73">
        <f>IFERROR(__xludf.DUMMYFUNCTION("""COMPUTED_VALUE"""),"0.50")</f>
        <v/>
      </c>
      <c r="V73">
        <f>IFERROR(__xludf.DUMMYFUNCTION("""COMPUTED_VALUE"""),75.0)</f>
        <v/>
      </c>
      <c r="W73">
        <f>IFERROR(__xludf.DUMMYFUNCTION("""COMPUTED_VALUE"""),"-")</f>
        <v/>
      </c>
      <c r="X73">
        <f>IFERROR(__xludf.DUMMYFUNCTION("""COMPUTED_VALUE"""),"-")</f>
        <v/>
      </c>
      <c r="Z73">
        <f>IFERROR(__xludf.DUMMYFUNCTION("""COMPUTED_VALUE"""),"-")</f>
        <v/>
      </c>
      <c r="AB73">
        <f>IFERROR(__xludf.DUMMYFUNCTION("""COMPUTED_VALUE"""),"dageki_1")</f>
        <v/>
      </c>
    </row>
    <row r="74">
      <c r="B74">
        <f>IFERROR(__xludf.DUMMYFUNCTION("""COMPUTED_VALUE"""),"enemy_spy_00101")</f>
        <v/>
      </c>
      <c r="C74">
        <f>IFERROR(__xludf.DUMMYFUNCTION("""COMPUTED_VALUE"""),"_spy1challenge")</f>
        <v/>
      </c>
      <c r="D74">
        <f>IFERROR(__xludf.DUMMYFUNCTION("""COMPUTED_VALUE"""),"e_spy_00101_spy1challenge_Normal_Blue")</f>
        <v/>
      </c>
      <c r="E74">
        <f>IFERROR(__xludf.DUMMYFUNCTION("""COMPUTED_VALUE"""),"SPY×FAMILY")</f>
        <v/>
      </c>
      <c r="F74">
        <f>IFERROR(__xludf.DUMMYFUNCTION("""COMPUTED_VALUE"""),"グエン")</f>
        <v/>
      </c>
      <c r="G74">
        <f>IFERROR(__xludf.DUMMYFUNCTION("""COMPUTED_VALUE"""),"グエン_spy1challenge")</f>
        <v/>
      </c>
      <c r="H74">
        <f>IFERROR(__xludf.DUMMYFUNCTION("""COMPUTED_VALUE"""),"Normal")</f>
        <v/>
      </c>
      <c r="I74">
        <f>IFERROR(__xludf.DUMMYFUNCTION("""COMPUTED_VALUE"""),"Attack")</f>
        <v/>
      </c>
      <c r="J74">
        <f>IFERROR(__xludf.DUMMYFUNCTION("""COMPUTED_VALUE"""),"Blue")</f>
        <v/>
      </c>
      <c r="K74">
        <f>IFERROR(__xludf.DUMMYFUNCTION("""COMPUTED_VALUE"""),5000.0)</f>
        <v/>
      </c>
      <c r="L74">
        <f>IFERROR(__xludf.DUMMYFUNCTION("""COMPUTED_VALUE"""),2.0)</f>
        <v/>
      </c>
      <c r="M74">
        <f>IFERROR(__xludf.DUMMYFUNCTION("""COMPUTED_VALUE"""),30.0)</f>
        <v/>
      </c>
      <c r="N74">
        <f>IFERROR(__xludf.DUMMYFUNCTION("""COMPUTED_VALUE"""),0.18)</f>
        <v/>
      </c>
      <c r="O74">
        <f>IFERROR(__xludf.DUMMYFUNCTION("""COMPUTED_VALUE"""),200.0)</f>
        <v/>
      </c>
      <c r="P74">
        <f>IFERROR(__xludf.DUMMYFUNCTION("""COMPUTED_VALUE"""),0.0)</f>
        <v/>
      </c>
      <c r="Q74">
        <f>IFERROR(__xludf.DUMMYFUNCTION("""COMPUTED_VALUE"""),0.19)</f>
        <v/>
      </c>
      <c r="R74">
        <f>IFERROR(__xludf.DUMMYFUNCTION("""COMPUTED_VALUE"""),1.0)</f>
        <v/>
      </c>
      <c r="S74">
        <f>IFERROR(__xludf.DUMMYFUNCTION("""COMPUTED_VALUE"""),250.0)</f>
        <v/>
      </c>
      <c r="T74">
        <f>IFERROR(__xludf.DUMMYFUNCTION("""COMPUTED_VALUE"""),"1.20")</f>
        <v/>
      </c>
      <c r="U74">
        <f>IFERROR(__xludf.DUMMYFUNCTION("""COMPUTED_VALUE"""),"0.50")</f>
        <v/>
      </c>
      <c r="V74">
        <f>IFERROR(__xludf.DUMMYFUNCTION("""COMPUTED_VALUE"""),30.0)</f>
        <v/>
      </c>
      <c r="W74">
        <f>IFERROR(__xludf.DUMMYFUNCTION("""COMPUTED_VALUE"""),"-")</f>
        <v/>
      </c>
      <c r="X74">
        <f>IFERROR(__xludf.DUMMYFUNCTION("""COMPUTED_VALUE"""),"-")</f>
        <v/>
      </c>
      <c r="Z74">
        <f>IFERROR(__xludf.DUMMYFUNCTION("""COMPUTED_VALUE"""),"-")</f>
        <v/>
      </c>
      <c r="AB74">
        <f>IFERROR(__xludf.DUMMYFUNCTION("""COMPUTED_VALUE"""),"dageki_1")</f>
        <v/>
      </c>
    </row>
    <row r="75">
      <c r="B75">
        <f>IFERROR(__xludf.DUMMYFUNCTION("""COMPUTED_VALUE"""),"enemy_spy_00101")</f>
        <v/>
      </c>
      <c r="C75">
        <f>IFERROR(__xludf.DUMMYFUNCTION("""COMPUTED_VALUE"""),"_spy1savage")</f>
        <v/>
      </c>
      <c r="D75">
        <f>IFERROR(__xludf.DUMMYFUNCTION("""COMPUTED_VALUE"""),"e_spy_00101_spy1savage_Normal_Blue")</f>
        <v/>
      </c>
      <c r="E75">
        <f>IFERROR(__xludf.DUMMYFUNCTION("""COMPUTED_VALUE"""),"SPY×FAMILY")</f>
        <v/>
      </c>
      <c r="F75">
        <f>IFERROR(__xludf.DUMMYFUNCTION("""COMPUTED_VALUE"""),"グエン")</f>
        <v/>
      </c>
      <c r="G75">
        <f>IFERROR(__xludf.DUMMYFUNCTION("""COMPUTED_VALUE"""),"グエン_spy1savage")</f>
        <v/>
      </c>
      <c r="H75">
        <f>IFERROR(__xludf.DUMMYFUNCTION("""COMPUTED_VALUE"""),"Normal")</f>
        <v/>
      </c>
      <c r="I75">
        <f>IFERROR(__xludf.DUMMYFUNCTION("""COMPUTED_VALUE"""),"Technical")</f>
        <v/>
      </c>
      <c r="J75">
        <f>IFERROR(__xludf.DUMMYFUNCTION("""COMPUTED_VALUE"""),"Blue")</f>
        <v/>
      </c>
      <c r="K75">
        <f>IFERROR(__xludf.DUMMYFUNCTION("""COMPUTED_VALUE"""),10000.0)</f>
        <v/>
      </c>
      <c r="L75">
        <f>IFERROR(__xludf.DUMMYFUNCTION("""COMPUTED_VALUE"""),3.0)</f>
        <v/>
      </c>
      <c r="M75">
        <f>IFERROR(__xludf.DUMMYFUNCTION("""COMPUTED_VALUE"""),32.0)</f>
        <v/>
      </c>
      <c r="N75">
        <f>IFERROR(__xludf.DUMMYFUNCTION("""COMPUTED_VALUE"""),0.19)</f>
        <v/>
      </c>
      <c r="O75">
        <f>IFERROR(__xludf.DUMMYFUNCTION("""COMPUTED_VALUE"""),500.0)</f>
        <v/>
      </c>
      <c r="P75">
        <f>IFERROR(__xludf.DUMMYFUNCTION("""COMPUTED_VALUE"""),0.0)</f>
        <v/>
      </c>
      <c r="Q75">
        <f>IFERROR(__xludf.DUMMYFUNCTION("""COMPUTED_VALUE"""),0.2)</f>
        <v/>
      </c>
      <c r="R75">
        <f>IFERROR(__xludf.DUMMYFUNCTION("""COMPUTED_VALUE"""),1.0)</f>
        <v/>
      </c>
      <c r="S75">
        <f>IFERROR(__xludf.DUMMYFUNCTION("""COMPUTED_VALUE"""),100.0)</f>
        <v/>
      </c>
      <c r="T75">
        <f>IFERROR(__xludf.DUMMYFUNCTION("""COMPUTED_VALUE"""),"1.20")</f>
        <v/>
      </c>
      <c r="U75">
        <f>IFERROR(__xludf.DUMMYFUNCTION("""COMPUTED_VALUE"""),"0.50")</f>
        <v/>
      </c>
      <c r="V75">
        <f>IFERROR(__xludf.DUMMYFUNCTION("""COMPUTED_VALUE"""),50.0)</f>
        <v/>
      </c>
      <c r="W75">
        <f>IFERROR(__xludf.DUMMYFUNCTION("""COMPUTED_VALUE"""),"-")</f>
        <v/>
      </c>
      <c r="X75">
        <f>IFERROR(__xludf.DUMMYFUNCTION("""COMPUTED_VALUE"""),"-")</f>
        <v/>
      </c>
      <c r="Z75">
        <f>IFERROR(__xludf.DUMMYFUNCTION("""COMPUTED_VALUE"""),"-")</f>
        <v/>
      </c>
      <c r="AB75">
        <f>IFERROR(__xludf.DUMMYFUNCTION("""COMPUTED_VALUE"""),"dageki_1")</f>
        <v/>
      </c>
      <c r="AC75">
        <f>IFERROR(__xludf.DUMMYFUNCTION("""COMPUTED_VALUE"""),"小ノックバック")</f>
        <v/>
      </c>
    </row>
    <row r="76">
      <c r="B76">
        <f>IFERROR(__xludf.DUMMYFUNCTION("""COMPUTED_VALUE"""),"enemy_spy_00101")</f>
        <v/>
      </c>
      <c r="C76">
        <f>IFERROR(__xludf.DUMMYFUNCTION("""COMPUTED_VALUE"""),"_spy1challenge")</f>
        <v/>
      </c>
      <c r="D76">
        <f>IFERROR(__xludf.DUMMYFUNCTION("""COMPUTED_VALUE"""),"e_spy_00101_spy1challenge_Normal_Green")</f>
        <v/>
      </c>
      <c r="E76">
        <f>IFERROR(__xludf.DUMMYFUNCTION("""COMPUTED_VALUE"""),"SPY×FAMILY")</f>
        <v/>
      </c>
      <c r="F76">
        <f>IFERROR(__xludf.DUMMYFUNCTION("""COMPUTED_VALUE"""),"グエン")</f>
        <v/>
      </c>
      <c r="G76">
        <f>IFERROR(__xludf.DUMMYFUNCTION("""COMPUTED_VALUE"""),"グエン_spy1challenge")</f>
        <v/>
      </c>
      <c r="H76">
        <f>IFERROR(__xludf.DUMMYFUNCTION("""COMPUTED_VALUE"""),"Normal")</f>
        <v/>
      </c>
      <c r="I76">
        <f>IFERROR(__xludf.DUMMYFUNCTION("""COMPUTED_VALUE"""),"Technical")</f>
        <v/>
      </c>
      <c r="J76">
        <f>IFERROR(__xludf.DUMMYFUNCTION("""COMPUTED_VALUE"""),"Green")</f>
        <v/>
      </c>
      <c r="K76">
        <f>IFERROR(__xludf.DUMMYFUNCTION("""COMPUTED_VALUE"""),5000.0)</f>
        <v/>
      </c>
      <c r="L76">
        <f>IFERROR(__xludf.DUMMYFUNCTION("""COMPUTED_VALUE"""),2.0)</f>
        <v/>
      </c>
      <c r="M76">
        <f>IFERROR(__xludf.DUMMYFUNCTION("""COMPUTED_VALUE"""),30.0)</f>
        <v/>
      </c>
      <c r="N76">
        <f>IFERROR(__xludf.DUMMYFUNCTION("""COMPUTED_VALUE"""),0.18)</f>
        <v/>
      </c>
      <c r="O76">
        <f>IFERROR(__xludf.DUMMYFUNCTION("""COMPUTED_VALUE"""),200.0)</f>
        <v/>
      </c>
      <c r="P76">
        <f>IFERROR(__xludf.DUMMYFUNCTION("""COMPUTED_VALUE"""),0.0)</f>
        <v/>
      </c>
      <c r="Q76">
        <f>IFERROR(__xludf.DUMMYFUNCTION("""COMPUTED_VALUE"""),0.19)</f>
        <v/>
      </c>
      <c r="R76">
        <f>IFERROR(__xludf.DUMMYFUNCTION("""COMPUTED_VALUE"""),1.0)</f>
        <v/>
      </c>
      <c r="S76">
        <f>IFERROR(__xludf.DUMMYFUNCTION("""COMPUTED_VALUE"""),250.0)</f>
        <v/>
      </c>
      <c r="T76">
        <f>IFERROR(__xludf.DUMMYFUNCTION("""COMPUTED_VALUE"""),"1.20")</f>
        <v/>
      </c>
      <c r="U76">
        <f>IFERROR(__xludf.DUMMYFUNCTION("""COMPUTED_VALUE"""),"0.50")</f>
        <v/>
      </c>
      <c r="V76">
        <f>IFERROR(__xludf.DUMMYFUNCTION("""COMPUTED_VALUE"""),100.0)</f>
        <v/>
      </c>
      <c r="W76">
        <f>IFERROR(__xludf.DUMMYFUNCTION("""COMPUTED_VALUE"""),"-")</f>
        <v/>
      </c>
      <c r="X76">
        <f>IFERROR(__xludf.DUMMYFUNCTION("""COMPUTED_VALUE"""),"-")</f>
        <v/>
      </c>
      <c r="Z76">
        <f>IFERROR(__xludf.DUMMYFUNCTION("""COMPUTED_VALUE"""),"-")</f>
        <v/>
      </c>
      <c r="AB76">
        <f>IFERROR(__xludf.DUMMYFUNCTION("""COMPUTED_VALUE"""),"dageki_1")</f>
        <v/>
      </c>
      <c r="AC76">
        <f>IFERROR(__xludf.DUMMYFUNCTION("""COMPUTED_VALUE"""),"小ノックバック")</f>
        <v/>
      </c>
    </row>
    <row r="77">
      <c r="B77">
        <f>IFERROR(__xludf.DUMMYFUNCTION("""COMPUTED_VALUE"""),"enemy_spy_00101")</f>
        <v/>
      </c>
      <c r="C77">
        <f>IFERROR(__xludf.DUMMYFUNCTION("""COMPUTED_VALUE"""),"_frankyget")</f>
        <v/>
      </c>
      <c r="D77">
        <f>IFERROR(__xludf.DUMMYFUNCTION("""COMPUTED_VALUE"""),"e_spy_00101_frankyget_Normal_Yellow")</f>
        <v/>
      </c>
      <c r="E77">
        <f>IFERROR(__xludf.DUMMYFUNCTION("""COMPUTED_VALUE"""),"SPY×FAMILY")</f>
        <v/>
      </c>
      <c r="F77">
        <f>IFERROR(__xludf.DUMMYFUNCTION("""COMPUTED_VALUE"""),"グエン")</f>
        <v/>
      </c>
      <c r="G77">
        <f>IFERROR(__xludf.DUMMYFUNCTION("""COMPUTED_VALUE"""),"グエン_frankyget")</f>
        <v/>
      </c>
      <c r="H77">
        <f>IFERROR(__xludf.DUMMYFUNCTION("""COMPUTED_VALUE"""),"Normal")</f>
        <v/>
      </c>
      <c r="I77">
        <f>IFERROR(__xludf.DUMMYFUNCTION("""COMPUTED_VALUE"""),"Attack")</f>
        <v/>
      </c>
      <c r="J77">
        <f>IFERROR(__xludf.DUMMYFUNCTION("""COMPUTED_VALUE"""),"Yellow")</f>
        <v/>
      </c>
      <c r="K77">
        <f>IFERROR(__xludf.DUMMYFUNCTION("""COMPUTED_VALUE"""),2500.0)</f>
        <v/>
      </c>
      <c r="L77">
        <f>IFERROR(__xludf.DUMMYFUNCTION("""COMPUTED_VALUE"""),3.0)</f>
        <v/>
      </c>
      <c r="M77">
        <f>IFERROR(__xludf.DUMMYFUNCTION("""COMPUTED_VALUE"""),30.0)</f>
        <v/>
      </c>
      <c r="N77">
        <f>IFERROR(__xludf.DUMMYFUNCTION("""COMPUTED_VALUE"""),0.18)</f>
        <v/>
      </c>
      <c r="O77">
        <f>IFERROR(__xludf.DUMMYFUNCTION("""COMPUTED_VALUE"""),200.0)</f>
        <v/>
      </c>
      <c r="P77">
        <f>IFERROR(__xludf.DUMMYFUNCTION("""COMPUTED_VALUE"""),0.0)</f>
        <v/>
      </c>
      <c r="Q77">
        <f>IFERROR(__xludf.DUMMYFUNCTION("""COMPUTED_VALUE"""),0.19)</f>
        <v/>
      </c>
      <c r="R77">
        <f>IFERROR(__xludf.DUMMYFUNCTION("""COMPUTED_VALUE"""),1.0)</f>
        <v/>
      </c>
      <c r="S77">
        <f>IFERROR(__xludf.DUMMYFUNCTION("""COMPUTED_VALUE"""),250.0)</f>
        <v/>
      </c>
      <c r="T77">
        <f>IFERROR(__xludf.DUMMYFUNCTION("""COMPUTED_VALUE"""),"1.20")</f>
        <v/>
      </c>
      <c r="U77">
        <f>IFERROR(__xludf.DUMMYFUNCTION("""COMPUTED_VALUE"""),"0.50")</f>
        <v/>
      </c>
      <c r="V77">
        <f>IFERROR(__xludf.DUMMYFUNCTION("""COMPUTED_VALUE"""),75.0)</f>
        <v/>
      </c>
      <c r="W77">
        <f>IFERROR(__xludf.DUMMYFUNCTION("""COMPUTED_VALUE"""),"-")</f>
        <v/>
      </c>
      <c r="X77">
        <f>IFERROR(__xludf.DUMMYFUNCTION("""COMPUTED_VALUE"""),"-")</f>
        <v/>
      </c>
      <c r="Z77">
        <f>IFERROR(__xludf.DUMMYFUNCTION("""COMPUTED_VALUE"""),"-")</f>
        <v/>
      </c>
      <c r="AB77">
        <f>IFERROR(__xludf.DUMMYFUNCTION("""COMPUTED_VALUE"""),"dageki_1")</f>
        <v/>
      </c>
    </row>
    <row r="78">
      <c r="B78">
        <f>IFERROR(__xludf.DUMMYFUNCTION("""COMPUTED_VALUE"""),"enemy_glo_00001")</f>
        <v/>
      </c>
      <c r="C78">
        <f>IFERROR(__xludf.DUMMYFUNCTION("""COMPUTED_VALUE"""),"_spy1general01")</f>
        <v/>
      </c>
      <c r="D78">
        <f>IFERROR(__xludf.DUMMYFUNCTION("""COMPUTED_VALUE"""),"e_glo_00001_spy1general01_Normal_Colorless")</f>
        <v/>
      </c>
      <c r="E78">
        <f>IFERROR(__xludf.DUMMYFUNCTION("""COMPUTED_VALUE"""),"GLOW")</f>
        <v/>
      </c>
      <c r="F78">
        <f>IFERROR(__xludf.DUMMYFUNCTION("""COMPUTED_VALUE"""),"ファントム")</f>
        <v/>
      </c>
      <c r="G78">
        <f>IFERROR(__xludf.DUMMYFUNCTION("""COMPUTED_VALUE"""),"ファントム_spy1general01")</f>
        <v/>
      </c>
      <c r="H78">
        <f>IFERROR(__xludf.DUMMYFUNCTION("""COMPUTED_VALUE"""),"Normal")</f>
        <v/>
      </c>
      <c r="I78">
        <f>IFERROR(__xludf.DUMMYFUNCTION("""COMPUTED_VALUE"""),"Attack")</f>
        <v/>
      </c>
      <c r="J78">
        <f>IFERROR(__xludf.DUMMYFUNCTION("""COMPUTED_VALUE"""),"Colorless")</f>
        <v/>
      </c>
      <c r="K78">
        <f>IFERROR(__xludf.DUMMYFUNCTION("""COMPUTED_VALUE"""),2500.0)</f>
        <v/>
      </c>
      <c r="L78">
        <f>IFERROR(__xludf.DUMMYFUNCTION("""COMPUTED_VALUE"""),3.0)</f>
        <v/>
      </c>
      <c r="M78">
        <f>IFERROR(__xludf.DUMMYFUNCTION("""COMPUTED_VALUE"""),30.0)</f>
        <v/>
      </c>
      <c r="N78">
        <f>IFERROR(__xludf.DUMMYFUNCTION("""COMPUTED_VALUE"""),0.18)</f>
        <v/>
      </c>
      <c r="O78">
        <f>IFERROR(__xludf.DUMMYFUNCTION("""COMPUTED_VALUE"""),200.0)</f>
        <v/>
      </c>
      <c r="P78">
        <f>IFERROR(__xludf.DUMMYFUNCTION("""COMPUTED_VALUE"""),0.0)</f>
        <v/>
      </c>
      <c r="Q78">
        <f>IFERROR(__xludf.DUMMYFUNCTION("""COMPUTED_VALUE"""),0.19)</f>
        <v/>
      </c>
      <c r="R78">
        <f>IFERROR(__xludf.DUMMYFUNCTION("""COMPUTED_VALUE"""),1.0)</f>
        <v/>
      </c>
      <c r="S78">
        <f>IFERROR(__xludf.DUMMYFUNCTION("""COMPUTED_VALUE"""),250.0)</f>
        <v/>
      </c>
      <c r="T78">
        <f>IFERROR(__xludf.DUMMYFUNCTION("""COMPUTED_VALUE"""),"1.00")</f>
        <v/>
      </c>
      <c r="U78">
        <f>IFERROR(__xludf.DUMMYFUNCTION("""COMPUTED_VALUE"""),"0.50")</f>
        <v/>
      </c>
      <c r="V78">
        <f>IFERROR(__xludf.DUMMYFUNCTION("""COMPUTED_VALUE"""),75.0)</f>
        <v/>
      </c>
      <c r="Z78">
        <f>IFERROR(__xludf.DUMMYFUNCTION("""COMPUTED_VALUE"""),"-")</f>
        <v/>
      </c>
      <c r="AB78">
        <f>IFERROR(__xludf.DUMMYFUNCTION("""COMPUTED_VALUE"""),"dageki_1")</f>
        <v/>
      </c>
      <c r="AD78">
        <f>IFERROR(__xludf.DUMMYFUNCTION("""COMPUTED_VALUE"""),"グエン無属性の代替品")</f>
        <v/>
      </c>
    </row>
    <row r="79">
      <c r="B79">
        <f>IFERROR(__xludf.DUMMYFUNCTION("""COMPUTED_VALUE"""),"enemy_glo_00001")</f>
        <v/>
      </c>
      <c r="C79">
        <f>IFERROR(__xludf.DUMMYFUNCTION("""COMPUTED_VALUE"""),"_spy1general02")</f>
        <v/>
      </c>
      <c r="D79">
        <f>IFERROR(__xludf.DUMMYFUNCTION("""COMPUTED_VALUE"""),"e_glo_00001_spy1general02_Normal_Colorless")</f>
        <v/>
      </c>
      <c r="E79">
        <f>IFERROR(__xludf.DUMMYFUNCTION("""COMPUTED_VALUE"""),"GLOW")</f>
        <v/>
      </c>
      <c r="F79">
        <f>IFERROR(__xludf.DUMMYFUNCTION("""COMPUTED_VALUE"""),"ファントム")</f>
        <v/>
      </c>
      <c r="G79">
        <f>IFERROR(__xludf.DUMMYFUNCTION("""COMPUTED_VALUE"""),"ファントム_spy1general02")</f>
        <v/>
      </c>
      <c r="H79">
        <f>IFERROR(__xludf.DUMMYFUNCTION("""COMPUTED_VALUE"""),"Normal")</f>
        <v/>
      </c>
      <c r="I79">
        <f>IFERROR(__xludf.DUMMYFUNCTION("""COMPUTED_VALUE"""),"Attack")</f>
        <v/>
      </c>
      <c r="J79">
        <f>IFERROR(__xludf.DUMMYFUNCTION("""COMPUTED_VALUE"""),"Colorless")</f>
        <v/>
      </c>
      <c r="K79">
        <f>IFERROR(__xludf.DUMMYFUNCTION("""COMPUTED_VALUE"""),5000.0)</f>
        <v/>
      </c>
      <c r="L79">
        <f>IFERROR(__xludf.DUMMYFUNCTION("""COMPUTED_VALUE"""),3.0)</f>
        <v/>
      </c>
      <c r="M79">
        <f>IFERROR(__xludf.DUMMYFUNCTION("""COMPUTED_VALUE"""),25.0)</f>
        <v/>
      </c>
      <c r="N79">
        <f>IFERROR(__xludf.DUMMYFUNCTION("""COMPUTED_VALUE"""),0.25)</f>
        <v/>
      </c>
      <c r="O79">
        <f>IFERROR(__xludf.DUMMYFUNCTION("""COMPUTED_VALUE"""),300.0)</f>
        <v/>
      </c>
      <c r="P79">
        <f>IFERROR(__xludf.DUMMYFUNCTION("""COMPUTED_VALUE"""),0.0)</f>
        <v/>
      </c>
      <c r="Q79">
        <f>IFERROR(__xludf.DUMMYFUNCTION("""COMPUTED_VALUE"""),0.26)</f>
        <v/>
      </c>
      <c r="R79">
        <f>IFERROR(__xludf.DUMMYFUNCTION("""COMPUTED_VALUE"""),1.0)</f>
        <v/>
      </c>
      <c r="S79">
        <f>IFERROR(__xludf.DUMMYFUNCTION("""COMPUTED_VALUE"""),250.0)</f>
        <v/>
      </c>
      <c r="T79">
        <f>IFERROR(__xludf.DUMMYFUNCTION("""COMPUTED_VALUE"""),"1.00")</f>
        <v/>
      </c>
      <c r="U79">
        <f>IFERROR(__xludf.DUMMYFUNCTION("""COMPUTED_VALUE"""),"0.50")</f>
        <v/>
      </c>
      <c r="V79">
        <f>IFERROR(__xludf.DUMMYFUNCTION("""COMPUTED_VALUE"""),50.0)</f>
        <v/>
      </c>
      <c r="Z79">
        <f>IFERROR(__xludf.DUMMYFUNCTION("""COMPUTED_VALUE"""),"-")</f>
        <v/>
      </c>
      <c r="AB79">
        <f>IFERROR(__xludf.DUMMYFUNCTION("""COMPUTED_VALUE"""),"dageki_1")</f>
        <v/>
      </c>
      <c r="AD79">
        <f>IFERROR(__xludf.DUMMYFUNCTION("""COMPUTED_VALUE"""),"残党無属性の代替品")</f>
        <v/>
      </c>
    </row>
    <row r="80">
      <c r="B80">
        <f>IFERROR(__xludf.DUMMYFUNCTION("""COMPUTED_VALUE"""),"enemy_glo_00001")</f>
        <v/>
      </c>
      <c r="C80">
        <f>IFERROR(__xludf.DUMMYFUNCTION("""COMPUTED_VALUE"""),"_spy1general03")</f>
        <v/>
      </c>
      <c r="D80">
        <f>IFERROR(__xludf.DUMMYFUNCTION("""COMPUTED_VALUE"""),"e_glo_00001_spy1general03_Normal_Red")</f>
        <v/>
      </c>
      <c r="E80">
        <f>IFERROR(__xludf.DUMMYFUNCTION("""COMPUTED_VALUE"""),"GLOW")</f>
        <v/>
      </c>
      <c r="F80">
        <f>IFERROR(__xludf.DUMMYFUNCTION("""COMPUTED_VALUE"""),"ファントム")</f>
        <v/>
      </c>
      <c r="G80">
        <f>IFERROR(__xludf.DUMMYFUNCTION("""COMPUTED_VALUE"""),"ファントム_spy1general03")</f>
        <v/>
      </c>
      <c r="H80">
        <f>IFERROR(__xludf.DUMMYFUNCTION("""COMPUTED_VALUE"""),"Normal")</f>
        <v/>
      </c>
      <c r="I80">
        <f>IFERROR(__xludf.DUMMYFUNCTION("""COMPUTED_VALUE"""),"Attack")</f>
        <v/>
      </c>
      <c r="J80">
        <f>IFERROR(__xludf.DUMMYFUNCTION("""COMPUTED_VALUE"""),"Red")</f>
        <v/>
      </c>
      <c r="K80">
        <f>IFERROR(__xludf.DUMMYFUNCTION("""COMPUTED_VALUE"""),5000.0)</f>
        <v/>
      </c>
      <c r="L80">
        <f>IFERROR(__xludf.DUMMYFUNCTION("""COMPUTED_VALUE"""),3.0)</f>
        <v/>
      </c>
      <c r="M80">
        <f>IFERROR(__xludf.DUMMYFUNCTION("""COMPUTED_VALUE"""),25.0)</f>
        <v/>
      </c>
      <c r="N80">
        <f>IFERROR(__xludf.DUMMYFUNCTION("""COMPUTED_VALUE"""),0.25)</f>
        <v/>
      </c>
      <c r="O80">
        <f>IFERROR(__xludf.DUMMYFUNCTION("""COMPUTED_VALUE"""),300.0)</f>
        <v/>
      </c>
      <c r="P80">
        <f>IFERROR(__xludf.DUMMYFUNCTION("""COMPUTED_VALUE"""),0.0)</f>
        <v/>
      </c>
      <c r="Q80">
        <f>IFERROR(__xludf.DUMMYFUNCTION("""COMPUTED_VALUE"""),0.26)</f>
        <v/>
      </c>
      <c r="R80">
        <f>IFERROR(__xludf.DUMMYFUNCTION("""COMPUTED_VALUE"""),1.0)</f>
        <v/>
      </c>
      <c r="S80">
        <f>IFERROR(__xludf.DUMMYFUNCTION("""COMPUTED_VALUE"""),250.0)</f>
        <v/>
      </c>
      <c r="T80">
        <f>IFERROR(__xludf.DUMMYFUNCTION("""COMPUTED_VALUE"""),"1.00")</f>
        <v/>
      </c>
      <c r="U80">
        <f>IFERROR(__xludf.DUMMYFUNCTION("""COMPUTED_VALUE"""),"0.50")</f>
        <v/>
      </c>
      <c r="V80">
        <f>IFERROR(__xludf.DUMMYFUNCTION("""COMPUTED_VALUE"""),50.0)</f>
        <v/>
      </c>
      <c r="Z80">
        <f>IFERROR(__xludf.DUMMYFUNCTION("""COMPUTED_VALUE"""),"-")</f>
        <v/>
      </c>
      <c r="AB80">
        <f>IFERROR(__xludf.DUMMYFUNCTION("""COMPUTED_VALUE"""),"dageki_1")</f>
        <v/>
      </c>
      <c r="AD80">
        <f>IFERROR(__xludf.DUMMYFUNCTION("""COMPUTED_VALUE"""),"残党赤属性の代替品")</f>
        <v/>
      </c>
    </row>
    <row r="81">
      <c r="D81">
        <f>IFERROR(__xludf.DUMMYFUNCTION("""COMPUTED_VALUE"""),"___")</f>
        <v/>
      </c>
      <c r="E81">
        <f>IFERROR(__xludf.DUMMYFUNCTION("""COMPUTED_VALUE"""),"none")</f>
        <v/>
      </c>
      <c r="F81">
        <f>IFERROR(__xludf.DUMMYFUNCTION("""COMPUTED_VALUE"""),"none")</f>
        <v/>
      </c>
      <c r="G81">
        <f>IFERROR(__xludf.DUMMYFUNCTION("""COMPUTED_VALUE"""),"none")</f>
        <v/>
      </c>
      <c r="I81">
        <f>IFERROR(__xludf.DUMMYFUNCTION("""COMPUTED_VALUE"""),"none")</f>
        <v/>
      </c>
      <c r="T81">
        <f>IFERROR(__xludf.DUMMYFUNCTION("""COMPUTED_VALUE"""),"none")</f>
        <v/>
      </c>
      <c r="U81">
        <f>IFERROR(__xludf.DUMMYFUNCTION("""COMPUTED_VALUE"""),"none")</f>
        <v/>
      </c>
      <c r="W81">
        <f>IFERROR(__xludf.DUMMYFUNCTION("""COMPUTED_VALUE"""),"none")</f>
        <v/>
      </c>
      <c r="X81">
        <f>IFERROR(__xludf.DUMMYFUNCTION("""COMPUTED_VALUE"""),"none")</f>
        <v/>
      </c>
      <c r="Z81">
        <f>IFERROR(__xludf.DUMMYFUNCTION("""COMPUTED_VALUE"""),"-")</f>
        <v/>
      </c>
      <c r="AB81">
        <f>IFERROR(__xludf.DUMMYFUNCTION("""COMPUTED_VALUE"""),"none")</f>
        <v/>
      </c>
    </row>
    <row r="82">
      <c r="B82">
        <f>IFERROR(__xludf.DUMMYFUNCTION("""COMPUTED_VALUE"""),"chara_dan_00001")</f>
        <v/>
      </c>
      <c r="C82">
        <f>IFERROR(__xludf.DUMMYFUNCTION("""COMPUTED_VALUE"""),"_1d1c")</f>
        <v/>
      </c>
      <c r="D82">
        <f>IFERROR(__xludf.DUMMYFUNCTION("""COMPUTED_VALUE"""),"c_dan_00001_1d1c_Normal_Colorless")</f>
        <v/>
      </c>
      <c r="E82">
        <f>IFERROR(__xludf.DUMMYFUNCTION("""COMPUTED_VALUE"""),"ダンダダン")</f>
        <v/>
      </c>
      <c r="F82">
        <f>IFERROR(__xludf.DUMMYFUNCTION("""COMPUTED_VALUE"""),"オカルン")</f>
        <v/>
      </c>
      <c r="G82">
        <f>IFERROR(__xludf.DUMMYFUNCTION("""COMPUTED_VALUE"""),"オカルン_1d1c")</f>
        <v/>
      </c>
      <c r="H82">
        <f>IFERROR(__xludf.DUMMYFUNCTION("""COMPUTED_VALUE"""),"Normal")</f>
        <v/>
      </c>
      <c r="I82">
        <f>IFERROR(__xludf.DUMMYFUNCTION("""COMPUTED_VALUE"""),"Defense")</f>
        <v/>
      </c>
      <c r="J82">
        <f>IFERROR(__xludf.DUMMYFUNCTION("""COMPUTED_VALUE"""),"Colorless")</f>
        <v/>
      </c>
      <c r="K82">
        <f>IFERROR(__xludf.DUMMYFUNCTION("""COMPUTED_VALUE"""),30000.0)</f>
        <v/>
      </c>
      <c r="L82">
        <f>IFERROR(__xludf.DUMMYFUNCTION("""COMPUTED_VALUE"""),1.0)</f>
        <v/>
      </c>
      <c r="M82">
        <f>IFERROR(__xludf.DUMMYFUNCTION("""COMPUTED_VALUE"""),20.0)</f>
        <v/>
      </c>
      <c r="N82">
        <f>IFERROR(__xludf.DUMMYFUNCTION("""COMPUTED_VALUE"""),0.15)</f>
        <v/>
      </c>
      <c r="O82">
        <f>IFERROR(__xludf.DUMMYFUNCTION("""COMPUTED_VALUE"""),100.0)</f>
        <v/>
      </c>
      <c r="P82">
        <f>IFERROR(__xludf.DUMMYFUNCTION("""COMPUTED_VALUE"""),0.0)</f>
        <v/>
      </c>
      <c r="Q82">
        <f>IFERROR(__xludf.DUMMYFUNCTION("""COMPUTED_VALUE"""),0.16)</f>
        <v/>
      </c>
      <c r="R82">
        <f>IFERROR(__xludf.DUMMYFUNCTION("""COMPUTED_VALUE"""),1.0)</f>
        <v/>
      </c>
      <c r="S82">
        <f>IFERROR(__xludf.DUMMYFUNCTION("""COMPUTED_VALUE"""),1000.0)</f>
        <v/>
      </c>
      <c r="T82">
        <f>IFERROR(__xludf.DUMMYFUNCTION("""COMPUTED_VALUE"""),"1.43")</f>
        <v/>
      </c>
      <c r="U82">
        <f>IFERROR(__xludf.DUMMYFUNCTION("""COMPUTED_VALUE"""),"0.53")</f>
        <v/>
      </c>
      <c r="V82">
        <f>IFERROR(__xludf.DUMMYFUNCTION("""COMPUTED_VALUE"""),80.0)</f>
        <v/>
      </c>
      <c r="W82">
        <f>IFERROR(__xludf.DUMMYFUNCTION("""COMPUTED_VALUE"""),"4.00")</f>
        <v/>
      </c>
      <c r="X82">
        <f>IFERROR(__xludf.DUMMYFUNCTION("""COMPUTED_VALUE"""),"1.66")</f>
        <v/>
      </c>
      <c r="Y82">
        <f>IFERROR(__xludf.DUMMYFUNCTION("""COMPUTED_VALUE"""),"20秒間、自身が受けるダメージ10%カット")</f>
        <v/>
      </c>
      <c r="Z82">
        <f>IFERROR(__xludf.DUMMYFUNCTION("""COMPUTED_VALUE"""),4.0)</f>
        <v/>
      </c>
      <c r="AB82">
        <f>IFERROR(__xludf.DUMMYFUNCTION("""COMPUTED_VALUE"""),"dageki_1")</f>
        <v/>
      </c>
    </row>
    <row r="83">
      <c r="B83">
        <f>IFERROR(__xludf.DUMMYFUNCTION("""COMPUTED_VALUE"""),"chara_dan_00001")</f>
        <v/>
      </c>
      <c r="C83">
        <f>IFERROR(__xludf.DUMMYFUNCTION("""COMPUTED_VALUE"""),"_bbaget")</f>
        <v/>
      </c>
      <c r="D83">
        <f>IFERROR(__xludf.DUMMYFUNCTION("""COMPUTED_VALUE"""),"c_dan_00001_bbaget_Boss_Colorless")</f>
        <v/>
      </c>
      <c r="E83">
        <f>IFERROR(__xludf.DUMMYFUNCTION("""COMPUTED_VALUE"""),"ダンダダン")</f>
        <v/>
      </c>
      <c r="F83">
        <f>IFERROR(__xludf.DUMMYFUNCTION("""COMPUTED_VALUE"""),"オカルン")</f>
        <v/>
      </c>
      <c r="G83">
        <f>IFERROR(__xludf.DUMMYFUNCTION("""COMPUTED_VALUE"""),"オカルン_bbaget")</f>
        <v/>
      </c>
      <c r="H83">
        <f>IFERROR(__xludf.DUMMYFUNCTION("""COMPUTED_VALUE"""),"Boss")</f>
        <v/>
      </c>
      <c r="I83">
        <f>IFERROR(__xludf.DUMMYFUNCTION("""COMPUTED_VALUE"""),"Defense")</f>
        <v/>
      </c>
      <c r="J83">
        <f>IFERROR(__xludf.DUMMYFUNCTION("""COMPUTED_VALUE"""),"Colorless")</f>
        <v/>
      </c>
      <c r="K83">
        <f>IFERROR(__xludf.DUMMYFUNCTION("""COMPUTED_VALUE"""),20000.0)</f>
        <v/>
      </c>
      <c r="L83">
        <f>IFERROR(__xludf.DUMMYFUNCTION("""COMPUTED_VALUE"""),2.0)</f>
        <v/>
      </c>
      <c r="M83">
        <f>IFERROR(__xludf.DUMMYFUNCTION("""COMPUTED_VALUE"""),30.0)</f>
        <v/>
      </c>
      <c r="N83">
        <f>IFERROR(__xludf.DUMMYFUNCTION("""COMPUTED_VALUE"""),0.2)</f>
        <v/>
      </c>
      <c r="O83">
        <f>IFERROR(__xludf.DUMMYFUNCTION("""COMPUTED_VALUE"""),100.0)</f>
        <v/>
      </c>
      <c r="P83">
        <f>IFERROR(__xludf.DUMMYFUNCTION("""COMPUTED_VALUE"""),0.0)</f>
        <v/>
      </c>
      <c r="Q83">
        <f>IFERROR(__xludf.DUMMYFUNCTION("""COMPUTED_VALUE"""),0.21)</f>
        <v/>
      </c>
      <c r="R83">
        <f>IFERROR(__xludf.DUMMYFUNCTION("""COMPUTED_VALUE"""),1.0)</f>
        <v/>
      </c>
      <c r="S83">
        <f>IFERROR(__xludf.DUMMYFUNCTION("""COMPUTED_VALUE"""),250.0)</f>
        <v/>
      </c>
      <c r="T83">
        <f>IFERROR(__xludf.DUMMYFUNCTION("""COMPUTED_VALUE"""),"1.43")</f>
        <v/>
      </c>
      <c r="U83">
        <f>IFERROR(__xludf.DUMMYFUNCTION("""COMPUTED_VALUE"""),"0.53")</f>
        <v/>
      </c>
      <c r="V83">
        <f>IFERROR(__xludf.DUMMYFUNCTION("""COMPUTED_VALUE"""),90.0)</f>
        <v/>
      </c>
      <c r="W83">
        <f>IFERROR(__xludf.DUMMYFUNCTION("""COMPUTED_VALUE"""),"4.00")</f>
        <v/>
      </c>
      <c r="X83">
        <f>IFERROR(__xludf.DUMMYFUNCTION("""COMPUTED_VALUE"""),"1.66")</f>
        <v/>
      </c>
      <c r="Y83">
        <f>IFERROR(__xludf.DUMMYFUNCTION("""COMPUTED_VALUE"""),"20秒間、自身が受けるダメージ10%カット")</f>
        <v/>
      </c>
      <c r="Z83">
        <f>IFERROR(__xludf.DUMMYFUNCTION("""COMPUTED_VALUE"""),4.0)</f>
        <v/>
      </c>
      <c r="AB83">
        <f>IFERROR(__xludf.DUMMYFUNCTION("""COMPUTED_VALUE"""),"dageki_1")</f>
        <v/>
      </c>
    </row>
    <row r="84">
      <c r="B84">
        <f>IFERROR(__xludf.DUMMYFUNCTION("""COMPUTED_VALUE"""),"chara_dan_00001")</f>
        <v/>
      </c>
      <c r="C84">
        <f>IFERROR(__xludf.DUMMYFUNCTION("""COMPUTED_VALUE"""),"_airaget")</f>
        <v/>
      </c>
      <c r="D84">
        <f>IFERROR(__xludf.DUMMYFUNCTION("""COMPUTED_VALUE"""),"c_dan_00001_airaget_Normal_Red")</f>
        <v/>
      </c>
      <c r="E84">
        <f>IFERROR(__xludf.DUMMYFUNCTION("""COMPUTED_VALUE"""),"ダンダダン")</f>
        <v/>
      </c>
      <c r="F84">
        <f>IFERROR(__xludf.DUMMYFUNCTION("""COMPUTED_VALUE"""),"オカルン")</f>
        <v/>
      </c>
      <c r="G84">
        <f>IFERROR(__xludf.DUMMYFUNCTION("""COMPUTED_VALUE"""),"オカルン_airaget")</f>
        <v/>
      </c>
      <c r="H84">
        <f>IFERROR(__xludf.DUMMYFUNCTION("""COMPUTED_VALUE"""),"Normal")</f>
        <v/>
      </c>
      <c r="I84">
        <f>IFERROR(__xludf.DUMMYFUNCTION("""COMPUTED_VALUE"""),"Defense")</f>
        <v/>
      </c>
      <c r="J84">
        <f>IFERROR(__xludf.DUMMYFUNCTION("""COMPUTED_VALUE"""),"Red")</f>
        <v/>
      </c>
      <c r="K84">
        <f>IFERROR(__xludf.DUMMYFUNCTION("""COMPUTED_VALUE"""),20000.0)</f>
        <v/>
      </c>
      <c r="L84">
        <f>IFERROR(__xludf.DUMMYFUNCTION("""COMPUTED_VALUE"""),2.0)</f>
        <v/>
      </c>
      <c r="M84">
        <f>IFERROR(__xludf.DUMMYFUNCTION("""COMPUTED_VALUE"""),30.0)</f>
        <v/>
      </c>
      <c r="N84">
        <f>IFERROR(__xludf.DUMMYFUNCTION("""COMPUTED_VALUE"""),0.2)</f>
        <v/>
      </c>
      <c r="O84">
        <f>IFERROR(__xludf.DUMMYFUNCTION("""COMPUTED_VALUE"""),100.0)</f>
        <v/>
      </c>
      <c r="P84">
        <f>IFERROR(__xludf.DUMMYFUNCTION("""COMPUTED_VALUE"""),0.0)</f>
        <v/>
      </c>
      <c r="Q84">
        <f>IFERROR(__xludf.DUMMYFUNCTION("""COMPUTED_VALUE"""),0.21)</f>
        <v/>
      </c>
      <c r="R84">
        <f>IFERROR(__xludf.DUMMYFUNCTION("""COMPUTED_VALUE"""),1.0)</f>
        <v/>
      </c>
      <c r="S84">
        <f>IFERROR(__xludf.DUMMYFUNCTION("""COMPUTED_VALUE"""),250.0)</f>
        <v/>
      </c>
      <c r="T84">
        <f>IFERROR(__xludf.DUMMYFUNCTION("""COMPUTED_VALUE"""),"1.43")</f>
        <v/>
      </c>
      <c r="U84">
        <f>IFERROR(__xludf.DUMMYFUNCTION("""COMPUTED_VALUE"""),"0.53")</f>
        <v/>
      </c>
      <c r="V84">
        <f>IFERROR(__xludf.DUMMYFUNCTION("""COMPUTED_VALUE"""),100.0)</f>
        <v/>
      </c>
      <c r="W84">
        <f>IFERROR(__xludf.DUMMYFUNCTION("""COMPUTED_VALUE"""),"4.00")</f>
        <v/>
      </c>
      <c r="X84">
        <f>IFERROR(__xludf.DUMMYFUNCTION("""COMPUTED_VALUE"""),"1.66")</f>
        <v/>
      </c>
      <c r="Y84">
        <f>IFERROR(__xludf.DUMMYFUNCTION("""COMPUTED_VALUE"""),"20秒間、自身が受けるダメージ10%カット")</f>
        <v/>
      </c>
      <c r="Z84">
        <f>IFERROR(__xludf.DUMMYFUNCTION("""COMPUTED_VALUE"""),4.0)</f>
        <v/>
      </c>
      <c r="AB84">
        <f>IFERROR(__xludf.DUMMYFUNCTION("""COMPUTED_VALUE"""),"dageki_1")</f>
        <v/>
      </c>
    </row>
    <row r="85">
      <c r="B85">
        <f>IFERROR(__xludf.DUMMYFUNCTION("""COMPUTED_VALUE"""),"chara_dan_00001")</f>
        <v/>
      </c>
      <c r="C85">
        <f>IFERROR(__xludf.DUMMYFUNCTION("""COMPUTED_VALUE"""),"_bbaget")</f>
        <v/>
      </c>
      <c r="D85">
        <f>IFERROR(__xludf.DUMMYFUNCTION("""COMPUTED_VALUE"""),"c_dan_00001_bbaget_Normal_Blue")</f>
        <v/>
      </c>
      <c r="E85">
        <f>IFERROR(__xludf.DUMMYFUNCTION("""COMPUTED_VALUE"""),"ダンダダン")</f>
        <v/>
      </c>
      <c r="F85">
        <f>IFERROR(__xludf.DUMMYFUNCTION("""COMPUTED_VALUE"""),"オカルン")</f>
        <v/>
      </c>
      <c r="G85">
        <f>IFERROR(__xludf.DUMMYFUNCTION("""COMPUTED_VALUE"""),"オカルン_bbaget")</f>
        <v/>
      </c>
      <c r="H85">
        <f>IFERROR(__xludf.DUMMYFUNCTION("""COMPUTED_VALUE"""),"Normal")</f>
        <v/>
      </c>
      <c r="I85">
        <f>IFERROR(__xludf.DUMMYFUNCTION("""COMPUTED_VALUE"""),"Defense")</f>
        <v/>
      </c>
      <c r="J85">
        <f>IFERROR(__xludf.DUMMYFUNCTION("""COMPUTED_VALUE"""),"Blue")</f>
        <v/>
      </c>
      <c r="K85">
        <f>IFERROR(__xludf.DUMMYFUNCTION("""COMPUTED_VALUE"""),20000.0)</f>
        <v/>
      </c>
      <c r="L85">
        <f>IFERROR(__xludf.DUMMYFUNCTION("""COMPUTED_VALUE"""),2.0)</f>
        <v/>
      </c>
      <c r="M85">
        <f>IFERROR(__xludf.DUMMYFUNCTION("""COMPUTED_VALUE"""),30.0)</f>
        <v/>
      </c>
      <c r="N85">
        <f>IFERROR(__xludf.DUMMYFUNCTION("""COMPUTED_VALUE"""),0.2)</f>
        <v/>
      </c>
      <c r="O85">
        <f>IFERROR(__xludf.DUMMYFUNCTION("""COMPUTED_VALUE"""),100.0)</f>
        <v/>
      </c>
      <c r="P85">
        <f>IFERROR(__xludf.DUMMYFUNCTION("""COMPUTED_VALUE"""),0.0)</f>
        <v/>
      </c>
      <c r="Q85">
        <f>IFERROR(__xludf.DUMMYFUNCTION("""COMPUTED_VALUE"""),0.21)</f>
        <v/>
      </c>
      <c r="R85">
        <f>IFERROR(__xludf.DUMMYFUNCTION("""COMPUTED_VALUE"""),1.0)</f>
        <v/>
      </c>
      <c r="S85">
        <f>IFERROR(__xludf.DUMMYFUNCTION("""COMPUTED_VALUE"""),250.0)</f>
        <v/>
      </c>
      <c r="T85">
        <f>IFERROR(__xludf.DUMMYFUNCTION("""COMPUTED_VALUE"""),"1.43")</f>
        <v/>
      </c>
      <c r="U85">
        <f>IFERROR(__xludf.DUMMYFUNCTION("""COMPUTED_VALUE"""),"0.53")</f>
        <v/>
      </c>
      <c r="V85">
        <f>IFERROR(__xludf.DUMMYFUNCTION("""COMPUTED_VALUE"""),90.0)</f>
        <v/>
      </c>
      <c r="W85">
        <f>IFERROR(__xludf.DUMMYFUNCTION("""COMPUTED_VALUE"""),"4.00")</f>
        <v/>
      </c>
      <c r="X85">
        <f>IFERROR(__xludf.DUMMYFUNCTION("""COMPUTED_VALUE"""),"1.66")</f>
        <v/>
      </c>
      <c r="Y85">
        <f>IFERROR(__xludf.DUMMYFUNCTION("""COMPUTED_VALUE"""),"20秒間、自身が受けるダメージ10%カット")</f>
        <v/>
      </c>
      <c r="Z85">
        <f>IFERROR(__xludf.DUMMYFUNCTION("""COMPUTED_VALUE"""),4.0)</f>
        <v/>
      </c>
      <c r="AB85">
        <f>IFERROR(__xludf.DUMMYFUNCTION("""COMPUTED_VALUE"""),"dageki_1")</f>
        <v/>
      </c>
    </row>
    <row r="86">
      <c r="B86">
        <f>IFERROR(__xludf.DUMMYFUNCTION("""COMPUTED_VALUE"""),"chara_dan_00001")</f>
        <v/>
      </c>
      <c r="C86">
        <f>IFERROR(__xludf.DUMMYFUNCTION("""COMPUTED_VALUE"""),"_bbaget")</f>
        <v/>
      </c>
      <c r="D86">
        <f>IFERROR(__xludf.DUMMYFUNCTION("""COMPUTED_VALUE"""),"c_dan_00001_bbaget_Boss_Blue")</f>
        <v/>
      </c>
      <c r="E86">
        <f>IFERROR(__xludf.DUMMYFUNCTION("""COMPUTED_VALUE"""),"ダンダダン")</f>
        <v/>
      </c>
      <c r="F86">
        <f>IFERROR(__xludf.DUMMYFUNCTION("""COMPUTED_VALUE"""),"オカルン")</f>
        <v/>
      </c>
      <c r="G86">
        <f>IFERROR(__xludf.DUMMYFUNCTION("""COMPUTED_VALUE"""),"オカルン_bbaget")</f>
        <v/>
      </c>
      <c r="H86">
        <f>IFERROR(__xludf.DUMMYFUNCTION("""COMPUTED_VALUE"""),"Boss")</f>
        <v/>
      </c>
      <c r="I86">
        <f>IFERROR(__xludf.DUMMYFUNCTION("""COMPUTED_VALUE"""),"Defense")</f>
        <v/>
      </c>
      <c r="J86">
        <f>IFERROR(__xludf.DUMMYFUNCTION("""COMPUTED_VALUE"""),"Blue")</f>
        <v/>
      </c>
      <c r="K86">
        <f>IFERROR(__xludf.DUMMYFUNCTION("""COMPUTED_VALUE"""),20000.0)</f>
        <v/>
      </c>
      <c r="L86">
        <f>IFERROR(__xludf.DUMMYFUNCTION("""COMPUTED_VALUE"""),2.0)</f>
        <v/>
      </c>
      <c r="M86">
        <f>IFERROR(__xludf.DUMMYFUNCTION("""COMPUTED_VALUE"""),30.0)</f>
        <v/>
      </c>
      <c r="N86">
        <f>IFERROR(__xludf.DUMMYFUNCTION("""COMPUTED_VALUE"""),0.2)</f>
        <v/>
      </c>
      <c r="O86">
        <f>IFERROR(__xludf.DUMMYFUNCTION("""COMPUTED_VALUE"""),100.0)</f>
        <v/>
      </c>
      <c r="P86">
        <f>IFERROR(__xludf.DUMMYFUNCTION("""COMPUTED_VALUE"""),0.0)</f>
        <v/>
      </c>
      <c r="Q86">
        <f>IFERROR(__xludf.DUMMYFUNCTION("""COMPUTED_VALUE"""),0.21)</f>
        <v/>
      </c>
      <c r="R86">
        <f>IFERROR(__xludf.DUMMYFUNCTION("""COMPUTED_VALUE"""),1.0)</f>
        <v/>
      </c>
      <c r="S86">
        <f>IFERROR(__xludf.DUMMYFUNCTION("""COMPUTED_VALUE"""),250.0)</f>
        <v/>
      </c>
      <c r="T86">
        <f>IFERROR(__xludf.DUMMYFUNCTION("""COMPUTED_VALUE"""),"1.43")</f>
        <v/>
      </c>
      <c r="U86">
        <f>IFERROR(__xludf.DUMMYFUNCTION("""COMPUTED_VALUE"""),"0.53")</f>
        <v/>
      </c>
      <c r="V86">
        <f>IFERROR(__xludf.DUMMYFUNCTION("""COMPUTED_VALUE"""),90.0)</f>
        <v/>
      </c>
      <c r="W86">
        <f>IFERROR(__xludf.DUMMYFUNCTION("""COMPUTED_VALUE"""),"4.00")</f>
        <v/>
      </c>
      <c r="X86">
        <f>IFERROR(__xludf.DUMMYFUNCTION("""COMPUTED_VALUE"""),"1.66")</f>
        <v/>
      </c>
      <c r="Y86">
        <f>IFERROR(__xludf.DUMMYFUNCTION("""COMPUTED_VALUE"""),"20秒間、自身が受けるダメージ10%カット")</f>
        <v/>
      </c>
      <c r="Z86">
        <f>IFERROR(__xludf.DUMMYFUNCTION("""COMPUTED_VALUE"""),4.0)</f>
        <v/>
      </c>
      <c r="AB86">
        <f>IFERROR(__xludf.DUMMYFUNCTION("""COMPUTED_VALUE"""),"dageki_1")</f>
        <v/>
      </c>
    </row>
    <row r="87">
      <c r="B87">
        <f>IFERROR(__xludf.DUMMYFUNCTION("""COMPUTED_VALUE"""),"chara_dan_00001")</f>
        <v/>
      </c>
      <c r="C87">
        <f>IFERROR(__xludf.DUMMYFUNCTION("""COMPUTED_VALUE"""),"_savage")</f>
        <v/>
      </c>
      <c r="D87">
        <f>IFERROR(__xludf.DUMMYFUNCTION("""COMPUTED_VALUE"""),"c_dan_00001_savage_Normal_Yellow")</f>
        <v/>
      </c>
      <c r="E87">
        <f>IFERROR(__xludf.DUMMYFUNCTION("""COMPUTED_VALUE"""),"ダンダダン")</f>
        <v/>
      </c>
      <c r="F87">
        <f>IFERROR(__xludf.DUMMYFUNCTION("""COMPUTED_VALUE"""),"オカルン")</f>
        <v/>
      </c>
      <c r="G87">
        <f>IFERROR(__xludf.DUMMYFUNCTION("""COMPUTED_VALUE"""),"オカルン_savage")</f>
        <v/>
      </c>
      <c r="H87">
        <f>IFERROR(__xludf.DUMMYFUNCTION("""COMPUTED_VALUE"""),"Normal")</f>
        <v/>
      </c>
      <c r="I87">
        <f>IFERROR(__xludf.DUMMYFUNCTION("""COMPUTED_VALUE"""),"Defense")</f>
        <v/>
      </c>
      <c r="J87">
        <f>IFERROR(__xludf.DUMMYFUNCTION("""COMPUTED_VALUE"""),"Yellow")</f>
        <v/>
      </c>
      <c r="K87">
        <f>IFERROR(__xludf.DUMMYFUNCTION("""COMPUTED_VALUE"""),20000.0)</f>
        <v/>
      </c>
      <c r="L87">
        <f>IFERROR(__xludf.DUMMYFUNCTION("""COMPUTED_VALUE"""),2.0)</f>
        <v/>
      </c>
      <c r="M87">
        <f>IFERROR(__xludf.DUMMYFUNCTION("""COMPUTED_VALUE"""),40.0)</f>
        <v/>
      </c>
      <c r="N87">
        <f>IFERROR(__xludf.DUMMYFUNCTION("""COMPUTED_VALUE"""),0.2)</f>
        <v/>
      </c>
      <c r="O87">
        <f>IFERROR(__xludf.DUMMYFUNCTION("""COMPUTED_VALUE"""),100.0)</f>
        <v/>
      </c>
      <c r="P87">
        <f>IFERROR(__xludf.DUMMYFUNCTION("""COMPUTED_VALUE"""),0.0)</f>
        <v/>
      </c>
      <c r="Q87">
        <f>IFERROR(__xludf.DUMMYFUNCTION("""COMPUTED_VALUE"""),0.21)</f>
        <v/>
      </c>
      <c r="R87">
        <f>IFERROR(__xludf.DUMMYFUNCTION("""COMPUTED_VALUE"""),1.0)</f>
        <v/>
      </c>
      <c r="S87">
        <f>IFERROR(__xludf.DUMMYFUNCTION("""COMPUTED_VALUE"""),250.0)</f>
        <v/>
      </c>
      <c r="T87">
        <f>IFERROR(__xludf.DUMMYFUNCTION("""COMPUTED_VALUE"""),"1.43")</f>
        <v/>
      </c>
      <c r="U87">
        <f>IFERROR(__xludf.DUMMYFUNCTION("""COMPUTED_VALUE"""),"0.53")</f>
        <v/>
      </c>
      <c r="V87">
        <f>IFERROR(__xludf.DUMMYFUNCTION("""COMPUTED_VALUE"""),90.0)</f>
        <v/>
      </c>
      <c r="W87">
        <f>IFERROR(__xludf.DUMMYFUNCTION("""COMPUTED_VALUE"""),"4.00")</f>
        <v/>
      </c>
      <c r="X87">
        <f>IFERROR(__xludf.DUMMYFUNCTION("""COMPUTED_VALUE"""),"1.66")</f>
        <v/>
      </c>
      <c r="Y87">
        <f>IFERROR(__xludf.DUMMYFUNCTION("""COMPUTED_VALUE"""),"20秒間、自身が受けるダメージ10%カット")</f>
        <v/>
      </c>
      <c r="Z87">
        <f>IFERROR(__xludf.DUMMYFUNCTION("""COMPUTED_VALUE"""),4.0)</f>
        <v/>
      </c>
      <c r="AB87">
        <f>IFERROR(__xludf.DUMMYFUNCTION("""COMPUTED_VALUE"""),"dageki_1")</f>
        <v/>
      </c>
    </row>
    <row r="88">
      <c r="B88">
        <f>IFERROR(__xludf.DUMMYFUNCTION("""COMPUTED_VALUE"""),"chara_dan_00002")</f>
        <v/>
      </c>
      <c r="C88">
        <f>IFERROR(__xludf.DUMMYFUNCTION("""COMPUTED_VALUE"""),"_bbaget")</f>
        <v/>
      </c>
      <c r="D88">
        <f>IFERROR(__xludf.DUMMYFUNCTION("""COMPUTED_VALUE"""),"c_dan_00002_bbaget_Boss_Blue")</f>
        <v/>
      </c>
      <c r="E88">
        <f>IFERROR(__xludf.DUMMYFUNCTION("""COMPUTED_VALUE"""),"ダンダダン")</f>
        <v/>
      </c>
      <c r="F88">
        <f>IFERROR(__xludf.DUMMYFUNCTION("""COMPUTED_VALUE"""),"ターボババアの霊力 オカルン")</f>
        <v/>
      </c>
      <c r="G88">
        <f>IFERROR(__xludf.DUMMYFUNCTION("""COMPUTED_VALUE"""),"ターボババアの霊力 オカルン_bbaget")</f>
        <v/>
      </c>
      <c r="H88">
        <f>IFERROR(__xludf.DUMMYFUNCTION("""COMPUTED_VALUE"""),"Boss")</f>
        <v/>
      </c>
      <c r="I88">
        <f>IFERROR(__xludf.DUMMYFUNCTION("""COMPUTED_VALUE"""),"Attack")</f>
        <v/>
      </c>
      <c r="J88">
        <f>IFERROR(__xludf.DUMMYFUNCTION("""COMPUTED_VALUE"""),"Blue")</f>
        <v/>
      </c>
      <c r="K88">
        <f>IFERROR(__xludf.DUMMYFUNCTION("""COMPUTED_VALUE"""),50000.0)</f>
        <v/>
      </c>
      <c r="L88">
        <f>IFERROR(__xludf.DUMMYFUNCTION("""COMPUTED_VALUE"""),3.0)</f>
        <v/>
      </c>
      <c r="M88">
        <f>IFERROR(__xludf.DUMMYFUNCTION("""COMPUTED_VALUE"""),55.0)</f>
        <v/>
      </c>
      <c r="N88">
        <f>IFERROR(__xludf.DUMMYFUNCTION("""COMPUTED_VALUE"""),0.22)</f>
        <v/>
      </c>
      <c r="O88">
        <f>IFERROR(__xludf.DUMMYFUNCTION("""COMPUTED_VALUE"""),300.0)</f>
        <v/>
      </c>
      <c r="P88">
        <f>IFERROR(__xludf.DUMMYFUNCTION("""COMPUTED_VALUE"""),0.0)</f>
        <v/>
      </c>
      <c r="Q88">
        <f>IFERROR(__xludf.DUMMYFUNCTION("""COMPUTED_VALUE"""),0.23)</f>
        <v/>
      </c>
      <c r="R88">
        <f>IFERROR(__xludf.DUMMYFUNCTION("""COMPUTED_VALUE"""),1.0)</f>
        <v/>
      </c>
      <c r="S88">
        <f>IFERROR(__xludf.DUMMYFUNCTION("""COMPUTED_VALUE"""),250.0)</f>
        <v/>
      </c>
      <c r="T88">
        <f>IFERROR(__xludf.DUMMYFUNCTION("""COMPUTED_VALUE"""),"1.84")</f>
        <v/>
      </c>
      <c r="U88">
        <f>IFERROR(__xludf.DUMMYFUNCTION("""COMPUTED_VALUE"""),"stop有:1回目 0.66
stop有:2回目 1.27")</f>
        <v/>
      </c>
      <c r="V88">
        <f>IFERROR(__xludf.DUMMYFUNCTION("""COMPUTED_VALUE"""),80.0)</f>
        <v/>
      </c>
      <c r="W88">
        <f>IFERROR(__xludf.DUMMYFUNCTION("""COMPUTED_VALUE"""),"5.21")</f>
        <v/>
      </c>
      <c r="X88">
        <f>IFERROR(__xludf.DUMMYFUNCTION("""COMPUTED_VALUE"""),"stop有:1回目：1.78
stop有:2回目：3.34
stop無:3回目 3.76
stop無:4回目 3.92
stop無:5回目 4.09
stop無:6回目 4.26
stop無:7回目 4.42")</f>
        <v/>
      </c>
      <c r="Y88">
        <f>IFERROR(__xludf.DUMMYFUNCTION("""COMPUTED_VALUE"""),"複数体に合計300%の連続攻撃")</f>
        <v/>
      </c>
      <c r="Z88">
        <f>IFERROR(__xludf.DUMMYFUNCTION("""COMPUTED_VALUE"""),7.0)</f>
        <v/>
      </c>
      <c r="AB88">
        <f>IFERROR(__xludf.DUMMYFUNCTION("""COMPUTED_VALUE"""),"dageki_1")</f>
        <v/>
      </c>
    </row>
    <row r="89">
      <c r="B89">
        <f>IFERROR(__xludf.DUMMYFUNCTION("""COMPUTED_VALUE"""),"chara_dan_00002")</f>
        <v/>
      </c>
      <c r="C89">
        <f>IFERROR(__xludf.DUMMYFUNCTION("""COMPUTED_VALUE"""),"_dan1challenge")</f>
        <v/>
      </c>
      <c r="D89">
        <f>IFERROR(__xludf.DUMMYFUNCTION("""COMPUTED_VALUE"""),"c_dan_00002_dan1challenge_Boss_Yellow")</f>
        <v/>
      </c>
      <c r="E89">
        <f>IFERROR(__xludf.DUMMYFUNCTION("""COMPUTED_VALUE"""),"ダンダダン")</f>
        <v/>
      </c>
      <c r="F89">
        <f>IFERROR(__xludf.DUMMYFUNCTION("""COMPUTED_VALUE"""),"ターボババアの霊力 オカルン")</f>
        <v/>
      </c>
      <c r="G89">
        <f>IFERROR(__xludf.DUMMYFUNCTION("""COMPUTED_VALUE"""),"ターボババアの霊力 オカルン_dan1challenge")</f>
        <v/>
      </c>
      <c r="H89">
        <f>IFERROR(__xludf.DUMMYFUNCTION("""COMPUTED_VALUE"""),"Boss")</f>
        <v/>
      </c>
      <c r="I89">
        <f>IFERROR(__xludf.DUMMYFUNCTION("""COMPUTED_VALUE"""),"Attack")</f>
        <v/>
      </c>
      <c r="J89">
        <f>IFERROR(__xludf.DUMMYFUNCTION("""COMPUTED_VALUE"""),"Yellow")</f>
        <v/>
      </c>
      <c r="K89">
        <f>IFERROR(__xludf.DUMMYFUNCTION("""COMPUTED_VALUE"""),50000.0)</f>
        <v/>
      </c>
      <c r="L89">
        <f>IFERROR(__xludf.DUMMYFUNCTION("""COMPUTED_VALUE"""),3.0)</f>
        <v/>
      </c>
      <c r="M89">
        <f>IFERROR(__xludf.DUMMYFUNCTION("""COMPUTED_VALUE"""),55.0)</f>
        <v/>
      </c>
      <c r="N89">
        <f>IFERROR(__xludf.DUMMYFUNCTION("""COMPUTED_VALUE"""),0.22)</f>
        <v/>
      </c>
      <c r="O89">
        <f>IFERROR(__xludf.DUMMYFUNCTION("""COMPUTED_VALUE"""),300.0)</f>
        <v/>
      </c>
      <c r="P89">
        <f>IFERROR(__xludf.DUMMYFUNCTION("""COMPUTED_VALUE"""),0.0)</f>
        <v/>
      </c>
      <c r="Q89">
        <f>IFERROR(__xludf.DUMMYFUNCTION("""COMPUTED_VALUE"""),0.25)</f>
        <v/>
      </c>
      <c r="R89">
        <f>IFERROR(__xludf.DUMMYFUNCTION("""COMPUTED_VALUE"""),100.0)</f>
        <v/>
      </c>
      <c r="S89">
        <f>IFERROR(__xludf.DUMMYFUNCTION("""COMPUTED_VALUE"""),250.0)</f>
        <v/>
      </c>
      <c r="T89">
        <f>IFERROR(__xludf.DUMMYFUNCTION("""COMPUTED_VALUE"""),"1.84")</f>
        <v/>
      </c>
      <c r="U89">
        <f>IFERROR(__xludf.DUMMYFUNCTION("""COMPUTED_VALUE"""),"stop有:1回目 0.66
stop有:2回目 1.27")</f>
        <v/>
      </c>
      <c r="V89">
        <f>IFERROR(__xludf.DUMMYFUNCTION("""COMPUTED_VALUE"""),80.0)</f>
        <v/>
      </c>
      <c r="W89">
        <f>IFERROR(__xludf.DUMMYFUNCTION("""COMPUTED_VALUE"""),"5.21")</f>
        <v/>
      </c>
      <c r="X89">
        <f>IFERROR(__xludf.DUMMYFUNCTION("""COMPUTED_VALUE"""),"stop有:1回目：1.78
stop有:2回目：3.34
stop無:3回目 3.76
stop無:4回目 3.92
stop無:5回目 4.09
stop無:6回目 4.26
stop無:7回目 4.42")</f>
        <v/>
      </c>
      <c r="Y89">
        <f>IFERROR(__xludf.DUMMYFUNCTION("""COMPUTED_VALUE"""),"複数体に合計300%の連続攻撃")</f>
        <v/>
      </c>
      <c r="Z89">
        <f>IFERROR(__xludf.DUMMYFUNCTION("""COMPUTED_VALUE"""),7.0)</f>
        <v/>
      </c>
      <c r="AB89">
        <f>IFERROR(__xludf.DUMMYFUNCTION("""COMPUTED_VALUE"""),"dageki_1")</f>
        <v/>
      </c>
    </row>
    <row r="90">
      <c r="B90">
        <f>IFERROR(__xludf.DUMMYFUNCTION("""COMPUTED_VALUE"""),"chara_dan_00101")</f>
        <v/>
      </c>
      <c r="C90">
        <f>IFERROR(__xludf.DUMMYFUNCTION("""COMPUTED_VALUE"""),"_airaget")</f>
        <v/>
      </c>
      <c r="D90">
        <f>IFERROR(__xludf.DUMMYFUNCTION("""COMPUTED_VALUE"""),"c_dan_00101_airaget_Normal_Red")</f>
        <v/>
      </c>
      <c r="E90">
        <f>IFERROR(__xludf.DUMMYFUNCTION("""COMPUTED_VALUE"""),"ダンダダン")</f>
        <v/>
      </c>
      <c r="F90">
        <f>IFERROR(__xludf.DUMMYFUNCTION("""COMPUTED_VALUE"""),"モモ")</f>
        <v/>
      </c>
      <c r="G90">
        <f>IFERROR(__xludf.DUMMYFUNCTION("""COMPUTED_VALUE"""),"モモ_airaget")</f>
        <v/>
      </c>
      <c r="H90">
        <f>IFERROR(__xludf.DUMMYFUNCTION("""COMPUTED_VALUE"""),"Normal")</f>
        <v/>
      </c>
      <c r="I90">
        <f>IFERROR(__xludf.DUMMYFUNCTION("""COMPUTED_VALUE"""),"Attack")</f>
        <v/>
      </c>
      <c r="J90">
        <f>IFERROR(__xludf.DUMMYFUNCTION("""COMPUTED_VALUE"""),"Red")</f>
        <v/>
      </c>
      <c r="K90">
        <f>IFERROR(__xludf.DUMMYFUNCTION("""COMPUTED_VALUE"""),20000.0)</f>
        <v/>
      </c>
      <c r="L90">
        <f>IFERROR(__xludf.DUMMYFUNCTION("""COMPUTED_VALUE"""),2.0)</f>
        <v/>
      </c>
      <c r="M90">
        <f>IFERROR(__xludf.DUMMYFUNCTION("""COMPUTED_VALUE"""),34.0)</f>
        <v/>
      </c>
      <c r="N90">
        <f>IFERROR(__xludf.DUMMYFUNCTION("""COMPUTED_VALUE"""),0.3)</f>
        <v/>
      </c>
      <c r="O90">
        <f>IFERROR(__xludf.DUMMYFUNCTION("""COMPUTED_VALUE"""),200.0)</f>
        <v/>
      </c>
      <c r="P90">
        <f>IFERROR(__xludf.DUMMYFUNCTION("""COMPUTED_VALUE"""),0.0)</f>
        <v/>
      </c>
      <c r="Q90">
        <f>IFERROR(__xludf.DUMMYFUNCTION("""COMPUTED_VALUE"""),0.35)</f>
        <v/>
      </c>
      <c r="R90">
        <f>IFERROR(__xludf.DUMMYFUNCTION("""COMPUTED_VALUE"""),100.0)</f>
        <v/>
      </c>
      <c r="S90">
        <f>IFERROR(__xludf.DUMMYFUNCTION("""COMPUTED_VALUE"""),250.0)</f>
        <v/>
      </c>
      <c r="T90">
        <f>IFERROR(__xludf.DUMMYFUNCTION("""COMPUTED_VALUE"""),"1.00")</f>
        <v/>
      </c>
      <c r="U90">
        <f>IFERROR(__xludf.DUMMYFUNCTION("""COMPUTED_VALUE"""),"0.50")</f>
        <v/>
      </c>
      <c r="V90">
        <f>IFERROR(__xludf.DUMMYFUNCTION("""COMPUTED_VALUE"""),100.0)</f>
        <v/>
      </c>
      <c r="W90">
        <f>IFERROR(__xludf.DUMMYFUNCTION("""COMPUTED_VALUE"""),"2.00")</f>
        <v/>
      </c>
      <c r="X90">
        <f>IFERROR(__xludf.DUMMYFUNCTION("""COMPUTED_VALUE"""),"1.00")</f>
        <v/>
      </c>
      <c r="Y90">
        <f>IFERROR(__xludf.DUMMYFUNCTION("""COMPUTED_VALUE"""),"複数体に200%の攻撃")</f>
        <v/>
      </c>
      <c r="Z90">
        <f>IFERROR(__xludf.DUMMYFUNCTION("""COMPUTED_VALUE"""),5.0)</f>
        <v/>
      </c>
      <c r="AB90">
        <f>IFERROR(__xludf.DUMMYFUNCTION("""COMPUTED_VALUE"""),"dageki_1")</f>
        <v/>
      </c>
    </row>
    <row r="91">
      <c r="B91">
        <f>IFERROR(__xludf.DUMMYFUNCTION("""COMPUTED_VALUE"""),"chara_dan_00101")</f>
        <v/>
      </c>
      <c r="C91">
        <f>IFERROR(__xludf.DUMMYFUNCTION("""COMPUTED_VALUE"""),"_airaget")</f>
        <v/>
      </c>
      <c r="D91">
        <f>IFERROR(__xludf.DUMMYFUNCTION("""COMPUTED_VALUE"""),"c_dan_00101_airaget_Boss_Red")</f>
        <v/>
      </c>
      <c r="E91">
        <f>IFERROR(__xludf.DUMMYFUNCTION("""COMPUTED_VALUE"""),"ダンダダン")</f>
        <v/>
      </c>
      <c r="F91">
        <f>IFERROR(__xludf.DUMMYFUNCTION("""COMPUTED_VALUE"""),"モモ")</f>
        <v/>
      </c>
      <c r="G91">
        <f>IFERROR(__xludf.DUMMYFUNCTION("""COMPUTED_VALUE"""),"モモ_airaget")</f>
        <v/>
      </c>
      <c r="H91">
        <f>IFERROR(__xludf.DUMMYFUNCTION("""COMPUTED_VALUE"""),"Boss")</f>
        <v/>
      </c>
      <c r="I91">
        <f>IFERROR(__xludf.DUMMYFUNCTION("""COMPUTED_VALUE"""),"Attack")</f>
        <v/>
      </c>
      <c r="J91">
        <f>IFERROR(__xludf.DUMMYFUNCTION("""COMPUTED_VALUE"""),"Red")</f>
        <v/>
      </c>
      <c r="K91">
        <f>IFERROR(__xludf.DUMMYFUNCTION("""COMPUTED_VALUE"""),20000.0)</f>
        <v/>
      </c>
      <c r="L91">
        <f>IFERROR(__xludf.DUMMYFUNCTION("""COMPUTED_VALUE"""),2.0)</f>
        <v/>
      </c>
      <c r="M91">
        <f>IFERROR(__xludf.DUMMYFUNCTION("""COMPUTED_VALUE"""),34.0)</f>
        <v/>
      </c>
      <c r="N91">
        <f>IFERROR(__xludf.DUMMYFUNCTION("""COMPUTED_VALUE"""),0.3)</f>
        <v/>
      </c>
      <c r="O91">
        <f>IFERROR(__xludf.DUMMYFUNCTION("""COMPUTED_VALUE"""),200.0)</f>
        <v/>
      </c>
      <c r="P91">
        <f>IFERROR(__xludf.DUMMYFUNCTION("""COMPUTED_VALUE"""),0.0)</f>
        <v/>
      </c>
      <c r="Q91">
        <f>IFERROR(__xludf.DUMMYFUNCTION("""COMPUTED_VALUE"""),0.35)</f>
        <v/>
      </c>
      <c r="R91">
        <f>IFERROR(__xludf.DUMMYFUNCTION("""COMPUTED_VALUE"""),100.0)</f>
        <v/>
      </c>
      <c r="S91">
        <f>IFERROR(__xludf.DUMMYFUNCTION("""COMPUTED_VALUE"""),250.0)</f>
        <v/>
      </c>
      <c r="T91">
        <f>IFERROR(__xludf.DUMMYFUNCTION("""COMPUTED_VALUE"""),"1.00")</f>
        <v/>
      </c>
      <c r="U91">
        <f>IFERROR(__xludf.DUMMYFUNCTION("""COMPUTED_VALUE"""),"0.50")</f>
        <v/>
      </c>
      <c r="V91">
        <f>IFERROR(__xludf.DUMMYFUNCTION("""COMPUTED_VALUE"""),100.0)</f>
        <v/>
      </c>
      <c r="W91">
        <f>IFERROR(__xludf.DUMMYFUNCTION("""COMPUTED_VALUE"""),"2.00")</f>
        <v/>
      </c>
      <c r="X91">
        <f>IFERROR(__xludf.DUMMYFUNCTION("""COMPUTED_VALUE"""),"1.00")</f>
        <v/>
      </c>
      <c r="Y91">
        <f>IFERROR(__xludf.DUMMYFUNCTION("""COMPUTED_VALUE"""),"複数体に200%の攻撃")</f>
        <v/>
      </c>
      <c r="Z91">
        <f>IFERROR(__xludf.DUMMYFUNCTION("""COMPUTED_VALUE"""),5.0)</f>
        <v/>
      </c>
      <c r="AB91">
        <f>IFERROR(__xludf.DUMMYFUNCTION("""COMPUTED_VALUE"""),"dageki_1")</f>
        <v/>
      </c>
    </row>
    <row r="92">
      <c r="B92">
        <f>IFERROR(__xludf.DUMMYFUNCTION("""COMPUTED_VALUE"""),"chara_dan_00101")</f>
        <v/>
      </c>
      <c r="C92">
        <f>IFERROR(__xludf.DUMMYFUNCTION("""COMPUTED_VALUE"""),"_bbaget")</f>
        <v/>
      </c>
      <c r="D92">
        <f>IFERROR(__xludf.DUMMYFUNCTION("""COMPUTED_VALUE"""),"c_dan_00101_bbaget_Normal_Blue")</f>
        <v/>
      </c>
      <c r="E92">
        <f>IFERROR(__xludf.DUMMYFUNCTION("""COMPUTED_VALUE"""),"ダンダダン")</f>
        <v/>
      </c>
      <c r="F92">
        <f>IFERROR(__xludf.DUMMYFUNCTION("""COMPUTED_VALUE"""),"モモ")</f>
        <v/>
      </c>
      <c r="G92">
        <f>IFERROR(__xludf.DUMMYFUNCTION("""COMPUTED_VALUE"""),"モモ_bbaget")</f>
        <v/>
      </c>
      <c r="H92">
        <f>IFERROR(__xludf.DUMMYFUNCTION("""COMPUTED_VALUE"""),"Normal")</f>
        <v/>
      </c>
      <c r="I92">
        <f>IFERROR(__xludf.DUMMYFUNCTION("""COMPUTED_VALUE"""),"Attack")</f>
        <v/>
      </c>
      <c r="J92">
        <f>IFERROR(__xludf.DUMMYFUNCTION("""COMPUTED_VALUE"""),"Blue")</f>
        <v/>
      </c>
      <c r="K92">
        <f>IFERROR(__xludf.DUMMYFUNCTION("""COMPUTED_VALUE"""),20000.0)</f>
        <v/>
      </c>
      <c r="L92">
        <f>IFERROR(__xludf.DUMMYFUNCTION("""COMPUTED_VALUE"""),2.0)</f>
        <v/>
      </c>
      <c r="M92">
        <f>IFERROR(__xludf.DUMMYFUNCTION("""COMPUTED_VALUE"""),34.0)</f>
        <v/>
      </c>
      <c r="N92">
        <f>IFERROR(__xludf.DUMMYFUNCTION("""COMPUTED_VALUE"""),0.3)</f>
        <v/>
      </c>
      <c r="O92">
        <f>IFERROR(__xludf.DUMMYFUNCTION("""COMPUTED_VALUE"""),200.0)</f>
        <v/>
      </c>
      <c r="P92">
        <f>IFERROR(__xludf.DUMMYFUNCTION("""COMPUTED_VALUE"""),0.0)</f>
        <v/>
      </c>
      <c r="Q92">
        <f>IFERROR(__xludf.DUMMYFUNCTION("""COMPUTED_VALUE"""),0.35)</f>
        <v/>
      </c>
      <c r="R92">
        <f>IFERROR(__xludf.DUMMYFUNCTION("""COMPUTED_VALUE"""),100.0)</f>
        <v/>
      </c>
      <c r="S92">
        <f>IFERROR(__xludf.DUMMYFUNCTION("""COMPUTED_VALUE"""),250.0)</f>
        <v/>
      </c>
      <c r="T92">
        <f>IFERROR(__xludf.DUMMYFUNCTION("""COMPUTED_VALUE"""),"1.00")</f>
        <v/>
      </c>
      <c r="U92">
        <f>IFERROR(__xludf.DUMMYFUNCTION("""COMPUTED_VALUE"""),"0.50")</f>
        <v/>
      </c>
      <c r="V92">
        <f>IFERROR(__xludf.DUMMYFUNCTION("""COMPUTED_VALUE"""),100.0)</f>
        <v/>
      </c>
      <c r="W92">
        <f>IFERROR(__xludf.DUMMYFUNCTION("""COMPUTED_VALUE"""),"2.00")</f>
        <v/>
      </c>
      <c r="X92">
        <f>IFERROR(__xludf.DUMMYFUNCTION("""COMPUTED_VALUE"""),"1.00")</f>
        <v/>
      </c>
      <c r="Y92">
        <f>IFERROR(__xludf.DUMMYFUNCTION("""COMPUTED_VALUE"""),"複数体に200%の攻撃")</f>
        <v/>
      </c>
      <c r="Z92">
        <f>IFERROR(__xludf.DUMMYFUNCTION("""COMPUTED_VALUE"""),5.0)</f>
        <v/>
      </c>
      <c r="AB92">
        <f>IFERROR(__xludf.DUMMYFUNCTION("""COMPUTED_VALUE"""),"dageki_1")</f>
        <v/>
      </c>
    </row>
    <row r="93">
      <c r="B93">
        <f>IFERROR(__xludf.DUMMYFUNCTION("""COMPUTED_VALUE"""),"chara_dan_00101")</f>
        <v/>
      </c>
      <c r="C93">
        <f>IFERROR(__xludf.DUMMYFUNCTION("""COMPUTED_VALUE"""),"_bbaget")</f>
        <v/>
      </c>
      <c r="D93">
        <f>IFERROR(__xludf.DUMMYFUNCTION("""COMPUTED_VALUE"""),"c_dan_00101_bbaget_Boss_Blue")</f>
        <v/>
      </c>
      <c r="E93">
        <f>IFERROR(__xludf.DUMMYFUNCTION("""COMPUTED_VALUE"""),"ダンダダン")</f>
        <v/>
      </c>
      <c r="F93">
        <f>IFERROR(__xludf.DUMMYFUNCTION("""COMPUTED_VALUE"""),"モモ")</f>
        <v/>
      </c>
      <c r="G93">
        <f>IFERROR(__xludf.DUMMYFUNCTION("""COMPUTED_VALUE"""),"モモ_bbaget")</f>
        <v/>
      </c>
      <c r="H93">
        <f>IFERROR(__xludf.DUMMYFUNCTION("""COMPUTED_VALUE"""),"Boss")</f>
        <v/>
      </c>
      <c r="I93">
        <f>IFERROR(__xludf.DUMMYFUNCTION("""COMPUTED_VALUE"""),"Attack")</f>
        <v/>
      </c>
      <c r="J93">
        <f>IFERROR(__xludf.DUMMYFUNCTION("""COMPUTED_VALUE"""),"Blue")</f>
        <v/>
      </c>
      <c r="K93">
        <f>IFERROR(__xludf.DUMMYFUNCTION("""COMPUTED_VALUE"""),20000.0)</f>
        <v/>
      </c>
      <c r="L93">
        <f>IFERROR(__xludf.DUMMYFUNCTION("""COMPUTED_VALUE"""),2.0)</f>
        <v/>
      </c>
      <c r="M93">
        <f>IFERROR(__xludf.DUMMYFUNCTION("""COMPUTED_VALUE"""),34.0)</f>
        <v/>
      </c>
      <c r="N93">
        <f>IFERROR(__xludf.DUMMYFUNCTION("""COMPUTED_VALUE"""),0.3)</f>
        <v/>
      </c>
      <c r="O93">
        <f>IFERROR(__xludf.DUMMYFUNCTION("""COMPUTED_VALUE"""),200.0)</f>
        <v/>
      </c>
      <c r="P93">
        <f>IFERROR(__xludf.DUMMYFUNCTION("""COMPUTED_VALUE"""),0.0)</f>
        <v/>
      </c>
      <c r="Q93">
        <f>IFERROR(__xludf.DUMMYFUNCTION("""COMPUTED_VALUE"""),0.35)</f>
        <v/>
      </c>
      <c r="R93">
        <f>IFERROR(__xludf.DUMMYFUNCTION("""COMPUTED_VALUE"""),100.0)</f>
        <v/>
      </c>
      <c r="S93">
        <f>IFERROR(__xludf.DUMMYFUNCTION("""COMPUTED_VALUE"""),250.0)</f>
        <v/>
      </c>
      <c r="T93">
        <f>IFERROR(__xludf.DUMMYFUNCTION("""COMPUTED_VALUE"""),"1.00")</f>
        <v/>
      </c>
      <c r="U93">
        <f>IFERROR(__xludf.DUMMYFUNCTION("""COMPUTED_VALUE"""),"0.50")</f>
        <v/>
      </c>
      <c r="V93">
        <f>IFERROR(__xludf.DUMMYFUNCTION("""COMPUTED_VALUE"""),100.0)</f>
        <v/>
      </c>
      <c r="W93">
        <f>IFERROR(__xludf.DUMMYFUNCTION("""COMPUTED_VALUE"""),"2.00")</f>
        <v/>
      </c>
      <c r="X93">
        <f>IFERROR(__xludf.DUMMYFUNCTION("""COMPUTED_VALUE"""),"1.00")</f>
        <v/>
      </c>
      <c r="Y93">
        <f>IFERROR(__xludf.DUMMYFUNCTION("""COMPUTED_VALUE"""),"複数体に200%の攻撃")</f>
        <v/>
      </c>
      <c r="Z93">
        <f>IFERROR(__xludf.DUMMYFUNCTION("""COMPUTED_VALUE"""),5.0)</f>
        <v/>
      </c>
      <c r="AB93">
        <f>IFERROR(__xludf.DUMMYFUNCTION("""COMPUTED_VALUE"""),"dageki_1")</f>
        <v/>
      </c>
    </row>
    <row r="94">
      <c r="B94">
        <f>IFERROR(__xludf.DUMMYFUNCTION("""COMPUTED_VALUE"""),"chara_dan_00101")</f>
        <v/>
      </c>
      <c r="C94">
        <f>IFERROR(__xludf.DUMMYFUNCTION("""COMPUTED_VALUE"""),"_dan1challenge")</f>
        <v/>
      </c>
      <c r="D94">
        <f>IFERROR(__xludf.DUMMYFUNCTION("""COMPUTED_VALUE"""),"c_dan_00101_dan1challenge_Boss_Green")</f>
        <v/>
      </c>
      <c r="E94">
        <f>IFERROR(__xludf.DUMMYFUNCTION("""COMPUTED_VALUE"""),"ダンダダン")</f>
        <v/>
      </c>
      <c r="F94">
        <f>IFERROR(__xludf.DUMMYFUNCTION("""COMPUTED_VALUE"""),"モモ")</f>
        <v/>
      </c>
      <c r="G94">
        <f>IFERROR(__xludf.DUMMYFUNCTION("""COMPUTED_VALUE"""),"モモ_dan1challenge")</f>
        <v/>
      </c>
      <c r="H94">
        <f>IFERROR(__xludf.DUMMYFUNCTION("""COMPUTED_VALUE"""),"Boss")</f>
        <v/>
      </c>
      <c r="I94">
        <f>IFERROR(__xludf.DUMMYFUNCTION("""COMPUTED_VALUE"""),"Attack")</f>
        <v/>
      </c>
      <c r="J94">
        <f>IFERROR(__xludf.DUMMYFUNCTION("""COMPUTED_VALUE"""),"Green")</f>
        <v/>
      </c>
      <c r="K94">
        <f>IFERROR(__xludf.DUMMYFUNCTION("""COMPUTED_VALUE"""),20000.0)</f>
        <v/>
      </c>
      <c r="L94">
        <f>IFERROR(__xludf.DUMMYFUNCTION("""COMPUTED_VALUE"""),2.0)</f>
        <v/>
      </c>
      <c r="M94">
        <f>IFERROR(__xludf.DUMMYFUNCTION("""COMPUTED_VALUE"""),34.0)</f>
        <v/>
      </c>
      <c r="N94">
        <f>IFERROR(__xludf.DUMMYFUNCTION("""COMPUTED_VALUE"""),0.3)</f>
        <v/>
      </c>
      <c r="O94">
        <f>IFERROR(__xludf.DUMMYFUNCTION("""COMPUTED_VALUE"""),200.0)</f>
        <v/>
      </c>
      <c r="P94">
        <f>IFERROR(__xludf.DUMMYFUNCTION("""COMPUTED_VALUE"""),0.0)</f>
        <v/>
      </c>
      <c r="Q94">
        <f>IFERROR(__xludf.DUMMYFUNCTION("""COMPUTED_VALUE"""),0.35)</f>
        <v/>
      </c>
      <c r="R94">
        <f>IFERROR(__xludf.DUMMYFUNCTION("""COMPUTED_VALUE"""),100.0)</f>
        <v/>
      </c>
      <c r="S94">
        <f>IFERROR(__xludf.DUMMYFUNCTION("""COMPUTED_VALUE"""),250.0)</f>
        <v/>
      </c>
      <c r="T94">
        <f>IFERROR(__xludf.DUMMYFUNCTION("""COMPUTED_VALUE"""),"1.00")</f>
        <v/>
      </c>
      <c r="U94">
        <f>IFERROR(__xludf.DUMMYFUNCTION("""COMPUTED_VALUE"""),"0.50")</f>
        <v/>
      </c>
      <c r="V94">
        <f>IFERROR(__xludf.DUMMYFUNCTION("""COMPUTED_VALUE"""),100.0)</f>
        <v/>
      </c>
      <c r="W94">
        <f>IFERROR(__xludf.DUMMYFUNCTION("""COMPUTED_VALUE"""),"2.00")</f>
        <v/>
      </c>
      <c r="X94">
        <f>IFERROR(__xludf.DUMMYFUNCTION("""COMPUTED_VALUE"""),"1.00")</f>
        <v/>
      </c>
      <c r="Y94">
        <f>IFERROR(__xludf.DUMMYFUNCTION("""COMPUTED_VALUE"""),"複数体に200%の攻撃")</f>
        <v/>
      </c>
      <c r="Z94">
        <f>IFERROR(__xludf.DUMMYFUNCTION("""COMPUTED_VALUE"""),5.0)</f>
        <v/>
      </c>
      <c r="AB94">
        <f>IFERROR(__xludf.DUMMYFUNCTION("""COMPUTED_VALUE"""),"dageki_1")</f>
        <v/>
      </c>
    </row>
    <row r="95">
      <c r="B95">
        <f>IFERROR(__xludf.DUMMYFUNCTION("""COMPUTED_VALUE"""),"chara_dan_00201")</f>
        <v/>
      </c>
      <c r="C95">
        <f>IFERROR(__xludf.DUMMYFUNCTION("""COMPUTED_VALUE"""),"_airaget")</f>
        <v/>
      </c>
      <c r="D95">
        <f>IFERROR(__xludf.DUMMYFUNCTION("""COMPUTED_VALUE"""),"c_dan_00201_airaget_Boss_Colorless")</f>
        <v/>
      </c>
      <c r="E95">
        <f>IFERROR(__xludf.DUMMYFUNCTION("""COMPUTED_VALUE"""),"ダンダダン")</f>
        <v/>
      </c>
      <c r="F95">
        <f>IFERROR(__xludf.DUMMYFUNCTION("""COMPUTED_VALUE"""),"アイラ")</f>
        <v/>
      </c>
      <c r="G95">
        <f>IFERROR(__xludf.DUMMYFUNCTION("""COMPUTED_VALUE"""),"アイラ_airaget")</f>
        <v/>
      </c>
      <c r="H95">
        <f>IFERROR(__xludf.DUMMYFUNCTION("""COMPUTED_VALUE"""),"Boss")</f>
        <v/>
      </c>
      <c r="I95">
        <f>IFERROR(__xludf.DUMMYFUNCTION("""COMPUTED_VALUE"""),"Attack")</f>
        <v/>
      </c>
      <c r="J95">
        <f>IFERROR(__xludf.DUMMYFUNCTION("""COMPUTED_VALUE"""),"Colorless")</f>
        <v/>
      </c>
      <c r="K95">
        <f>IFERROR(__xludf.DUMMYFUNCTION("""COMPUTED_VALUE"""),20000.0)</f>
        <v/>
      </c>
      <c r="L95">
        <f>IFERROR(__xludf.DUMMYFUNCTION("""COMPUTED_VALUE"""),3.0)</f>
        <v/>
      </c>
      <c r="M95">
        <f>IFERROR(__xludf.DUMMYFUNCTION("""COMPUTED_VALUE"""),25.0)</f>
        <v/>
      </c>
      <c r="N95">
        <f>IFERROR(__xludf.DUMMYFUNCTION("""COMPUTED_VALUE"""),0.27)</f>
        <v/>
      </c>
      <c r="O95">
        <f>IFERROR(__xludf.DUMMYFUNCTION("""COMPUTED_VALUE"""),200.0)</f>
        <v/>
      </c>
      <c r="P95">
        <f>IFERROR(__xludf.DUMMYFUNCTION("""COMPUTED_VALUE"""),0.0)</f>
        <v/>
      </c>
      <c r="Q95">
        <f>IFERROR(__xludf.DUMMYFUNCTION("""COMPUTED_VALUE"""),0.28)</f>
        <v/>
      </c>
      <c r="R95">
        <f>IFERROR(__xludf.DUMMYFUNCTION("""COMPUTED_VALUE"""),1.0)</f>
        <v/>
      </c>
      <c r="S95">
        <f>IFERROR(__xludf.DUMMYFUNCTION("""COMPUTED_VALUE"""),250.0)</f>
        <v/>
      </c>
      <c r="T95">
        <f>IFERROR(__xludf.DUMMYFUNCTION("""COMPUTED_VALUE"""),"1.5")</f>
        <v/>
      </c>
      <c r="U95">
        <f>IFERROR(__xludf.DUMMYFUNCTION("""COMPUTED_VALUE"""),"stop有:1回目 0.43")</f>
        <v/>
      </c>
      <c r="V95">
        <f>IFERROR(__xludf.DUMMYFUNCTION("""COMPUTED_VALUE"""),75.0)</f>
        <v/>
      </c>
      <c r="W95">
        <f>IFERROR(__xludf.DUMMYFUNCTION("""COMPUTED_VALUE"""),"2.50")</f>
        <v/>
      </c>
      <c r="X95">
        <f>IFERROR(__xludf.DUMMYFUNCTION("""COMPUTED_VALUE"""),"stop無:1回目：1.33")</f>
        <v/>
      </c>
      <c r="Y95">
        <f>IFERROR(__xludf.DUMMYFUNCTION("""COMPUTED_VALUE"""),"次回(1回)自身の攻撃力100%Up")</f>
        <v/>
      </c>
      <c r="Z95">
        <f>IFERROR(__xludf.DUMMYFUNCTION("""COMPUTED_VALUE"""),4.0)</f>
        <v/>
      </c>
      <c r="AB95">
        <f>IFERROR(__xludf.DUMMYFUNCTION("""COMPUTED_VALUE"""),"dageki_2")</f>
        <v/>
      </c>
    </row>
    <row r="96">
      <c r="B96">
        <f>IFERROR(__xludf.DUMMYFUNCTION("""COMPUTED_VALUE"""),"chara_dan_00201")</f>
        <v/>
      </c>
      <c r="C96">
        <f>IFERROR(__xludf.DUMMYFUNCTION("""COMPUTED_VALUE"""),"_savage")</f>
        <v/>
      </c>
      <c r="D96">
        <f>IFERROR(__xludf.DUMMYFUNCTION("""COMPUTED_VALUE"""),"c_dan_00201_savage_Normal_Red")</f>
        <v/>
      </c>
      <c r="E96">
        <f>IFERROR(__xludf.DUMMYFUNCTION("""COMPUTED_VALUE"""),"ダンダダン")</f>
        <v/>
      </c>
      <c r="F96">
        <f>IFERROR(__xludf.DUMMYFUNCTION("""COMPUTED_VALUE"""),"アイラ")</f>
        <v/>
      </c>
      <c r="G96">
        <f>IFERROR(__xludf.DUMMYFUNCTION("""COMPUTED_VALUE"""),"アイラ_savage")</f>
        <v/>
      </c>
      <c r="H96">
        <f>IFERROR(__xludf.DUMMYFUNCTION("""COMPUTED_VALUE"""),"Normal")</f>
        <v/>
      </c>
      <c r="I96">
        <f>IFERROR(__xludf.DUMMYFUNCTION("""COMPUTED_VALUE"""),"Attack")</f>
        <v/>
      </c>
      <c r="J96">
        <f>IFERROR(__xludf.DUMMYFUNCTION("""COMPUTED_VALUE"""),"Red")</f>
        <v/>
      </c>
      <c r="K96">
        <f>IFERROR(__xludf.DUMMYFUNCTION("""COMPUTED_VALUE"""),20000.0)</f>
        <v/>
      </c>
      <c r="L96">
        <f>IFERROR(__xludf.DUMMYFUNCTION("""COMPUTED_VALUE"""),3.0)</f>
        <v/>
      </c>
      <c r="M96">
        <f>IFERROR(__xludf.DUMMYFUNCTION("""COMPUTED_VALUE"""),25.0)</f>
        <v/>
      </c>
      <c r="N96">
        <f>IFERROR(__xludf.DUMMYFUNCTION("""COMPUTED_VALUE"""),0.27)</f>
        <v/>
      </c>
      <c r="O96">
        <f>IFERROR(__xludf.DUMMYFUNCTION("""COMPUTED_VALUE"""),200.0)</f>
        <v/>
      </c>
      <c r="P96">
        <f>IFERROR(__xludf.DUMMYFUNCTION("""COMPUTED_VALUE"""),0.0)</f>
        <v/>
      </c>
      <c r="Q96">
        <f>IFERROR(__xludf.DUMMYFUNCTION("""COMPUTED_VALUE"""),0.28)</f>
        <v/>
      </c>
      <c r="R96">
        <f>IFERROR(__xludf.DUMMYFUNCTION("""COMPUTED_VALUE"""),1.0)</f>
        <v/>
      </c>
      <c r="S96">
        <f>IFERROR(__xludf.DUMMYFUNCTION("""COMPUTED_VALUE"""),250.0)</f>
        <v/>
      </c>
      <c r="T96">
        <f>IFERROR(__xludf.DUMMYFUNCTION("""COMPUTED_VALUE"""),"1.5")</f>
        <v/>
      </c>
      <c r="U96">
        <f>IFERROR(__xludf.DUMMYFUNCTION("""COMPUTED_VALUE"""),"stop有:1回目 0.43")</f>
        <v/>
      </c>
      <c r="V96">
        <f>IFERROR(__xludf.DUMMYFUNCTION("""COMPUTED_VALUE"""),75.0)</f>
        <v/>
      </c>
      <c r="W96">
        <f>IFERROR(__xludf.DUMMYFUNCTION("""COMPUTED_VALUE"""),"2.50")</f>
        <v/>
      </c>
      <c r="X96">
        <f>IFERROR(__xludf.DUMMYFUNCTION("""COMPUTED_VALUE"""),"stop無:1回目：1.33")</f>
        <v/>
      </c>
      <c r="Y96">
        <f>IFERROR(__xludf.DUMMYFUNCTION("""COMPUTED_VALUE"""),"次回(1回)自身の攻撃力100%Up")</f>
        <v/>
      </c>
      <c r="Z96">
        <f>IFERROR(__xludf.DUMMYFUNCTION("""COMPUTED_VALUE"""),4.0)</f>
        <v/>
      </c>
      <c r="AB96">
        <f>IFERROR(__xludf.DUMMYFUNCTION("""COMPUTED_VALUE"""),"dageki_2")</f>
        <v/>
      </c>
    </row>
    <row r="97">
      <c r="B97">
        <f>IFERROR(__xludf.DUMMYFUNCTION("""COMPUTED_VALUE"""),"chara_dan_00201")</f>
        <v/>
      </c>
      <c r="C97">
        <f>IFERROR(__xludf.DUMMYFUNCTION("""COMPUTED_VALUE"""),"_airaget")</f>
        <v/>
      </c>
      <c r="D97">
        <f>IFERROR(__xludf.DUMMYFUNCTION("""COMPUTED_VALUE"""),"c_dan_00201_airaget_Boss_Red")</f>
        <v/>
      </c>
      <c r="E97">
        <f>IFERROR(__xludf.DUMMYFUNCTION("""COMPUTED_VALUE"""),"ダンダダン")</f>
        <v/>
      </c>
      <c r="F97">
        <f>IFERROR(__xludf.DUMMYFUNCTION("""COMPUTED_VALUE"""),"アイラ")</f>
        <v/>
      </c>
      <c r="G97">
        <f>IFERROR(__xludf.DUMMYFUNCTION("""COMPUTED_VALUE"""),"アイラ_airaget")</f>
        <v/>
      </c>
      <c r="H97">
        <f>IFERROR(__xludf.DUMMYFUNCTION("""COMPUTED_VALUE"""),"Boss")</f>
        <v/>
      </c>
      <c r="I97">
        <f>IFERROR(__xludf.DUMMYFUNCTION("""COMPUTED_VALUE"""),"Attack")</f>
        <v/>
      </c>
      <c r="J97">
        <f>IFERROR(__xludf.DUMMYFUNCTION("""COMPUTED_VALUE"""),"Red")</f>
        <v/>
      </c>
      <c r="K97">
        <f>IFERROR(__xludf.DUMMYFUNCTION("""COMPUTED_VALUE"""),20000.0)</f>
        <v/>
      </c>
      <c r="L97">
        <f>IFERROR(__xludf.DUMMYFUNCTION("""COMPUTED_VALUE"""),3.0)</f>
        <v/>
      </c>
      <c r="M97">
        <f>IFERROR(__xludf.DUMMYFUNCTION("""COMPUTED_VALUE"""),25.0)</f>
        <v/>
      </c>
      <c r="N97">
        <f>IFERROR(__xludf.DUMMYFUNCTION("""COMPUTED_VALUE"""),0.27)</f>
        <v/>
      </c>
      <c r="O97">
        <f>IFERROR(__xludf.DUMMYFUNCTION("""COMPUTED_VALUE"""),200.0)</f>
        <v/>
      </c>
      <c r="P97">
        <f>IFERROR(__xludf.DUMMYFUNCTION("""COMPUTED_VALUE"""),0.0)</f>
        <v/>
      </c>
      <c r="Q97">
        <f>IFERROR(__xludf.DUMMYFUNCTION("""COMPUTED_VALUE"""),0.28)</f>
        <v/>
      </c>
      <c r="R97">
        <f>IFERROR(__xludf.DUMMYFUNCTION("""COMPUTED_VALUE"""),1.0)</f>
        <v/>
      </c>
      <c r="S97">
        <f>IFERROR(__xludf.DUMMYFUNCTION("""COMPUTED_VALUE"""),250.0)</f>
        <v/>
      </c>
      <c r="T97">
        <f>IFERROR(__xludf.DUMMYFUNCTION("""COMPUTED_VALUE"""),"1.5")</f>
        <v/>
      </c>
      <c r="U97">
        <f>IFERROR(__xludf.DUMMYFUNCTION("""COMPUTED_VALUE"""),"stop有:1回目 0.43")</f>
        <v/>
      </c>
      <c r="V97">
        <f>IFERROR(__xludf.DUMMYFUNCTION("""COMPUTED_VALUE"""),75.0)</f>
        <v/>
      </c>
      <c r="W97">
        <f>IFERROR(__xludf.DUMMYFUNCTION("""COMPUTED_VALUE"""),"2.50")</f>
        <v/>
      </c>
      <c r="X97">
        <f>IFERROR(__xludf.DUMMYFUNCTION("""COMPUTED_VALUE"""),"stop無:1回目：1.33")</f>
        <v/>
      </c>
      <c r="Y97">
        <f>IFERROR(__xludf.DUMMYFUNCTION("""COMPUTED_VALUE"""),"次回(1回)自身の攻撃力100%Up")</f>
        <v/>
      </c>
      <c r="Z97">
        <f>IFERROR(__xludf.DUMMYFUNCTION("""COMPUTED_VALUE"""),4.0)</f>
        <v/>
      </c>
      <c r="AB97">
        <f>IFERROR(__xludf.DUMMYFUNCTION("""COMPUTED_VALUE"""),"dageki_2")</f>
        <v/>
      </c>
    </row>
    <row r="98">
      <c r="B98">
        <f>IFERROR(__xludf.DUMMYFUNCTION("""COMPUTED_VALUE"""),"chara_dan_00202")</f>
        <v/>
      </c>
      <c r="C98">
        <f>IFERROR(__xludf.DUMMYFUNCTION("""COMPUTED_VALUE"""),"_dan1challenge")</f>
        <v/>
      </c>
      <c r="D98">
        <f>IFERROR(__xludf.DUMMYFUNCTION("""COMPUTED_VALUE"""),"c_dan_00202_dan1challenge_Boss_Red")</f>
        <v/>
      </c>
      <c r="E98">
        <f>IFERROR(__xludf.DUMMYFUNCTION("""COMPUTED_VALUE"""),"ダンダダン")</f>
        <v/>
      </c>
      <c r="F98">
        <f>IFERROR(__xludf.DUMMYFUNCTION("""COMPUTED_VALUE"""),"アクさらの愛 アイラ")</f>
        <v/>
      </c>
      <c r="G98">
        <f>IFERROR(__xludf.DUMMYFUNCTION("""COMPUTED_VALUE"""),"アクさらの愛 アイラ_dan1challenge")</f>
        <v/>
      </c>
      <c r="H98">
        <f>IFERROR(__xludf.DUMMYFUNCTION("""COMPUTED_VALUE"""),"Boss")</f>
        <v/>
      </c>
      <c r="I98">
        <f>IFERROR(__xludf.DUMMYFUNCTION("""COMPUTED_VALUE"""),"Attack")</f>
        <v/>
      </c>
      <c r="J98">
        <f>IFERROR(__xludf.DUMMYFUNCTION("""COMPUTED_VALUE"""),"Red")</f>
        <v/>
      </c>
      <c r="K98">
        <f>IFERROR(__xludf.DUMMYFUNCTION("""COMPUTED_VALUE"""),50000.0)</f>
        <v/>
      </c>
      <c r="L98">
        <f>IFERROR(__xludf.DUMMYFUNCTION("""COMPUTED_VALUE"""),2.0)</f>
        <v/>
      </c>
      <c r="M98">
        <f>IFERROR(__xludf.DUMMYFUNCTION("""COMPUTED_VALUE"""),33.0)</f>
        <v/>
      </c>
      <c r="N98">
        <f>IFERROR(__xludf.DUMMYFUNCTION("""COMPUTED_VALUE"""),0.25)</f>
        <v/>
      </c>
      <c r="O98">
        <f>IFERROR(__xludf.DUMMYFUNCTION("""COMPUTED_VALUE"""),500.0)</f>
        <v/>
      </c>
      <c r="P98">
        <f>IFERROR(__xludf.DUMMYFUNCTION("""COMPUTED_VALUE"""),0.0)</f>
        <v/>
      </c>
      <c r="Q98">
        <f>IFERROR(__xludf.DUMMYFUNCTION("""COMPUTED_VALUE"""),0.26)</f>
        <v/>
      </c>
      <c r="R98">
        <f>IFERROR(__xludf.DUMMYFUNCTION("""COMPUTED_VALUE"""),1.0)</f>
        <v/>
      </c>
      <c r="S98">
        <f>IFERROR(__xludf.DUMMYFUNCTION("""COMPUTED_VALUE"""),300.0)</f>
        <v/>
      </c>
      <c r="T98">
        <f>IFERROR(__xludf.DUMMYFUNCTION("""COMPUTED_VALUE"""),"1.37")</f>
        <v/>
      </c>
      <c r="U98">
        <f>IFERROR(__xludf.DUMMYFUNCTION("""COMPUTED_VALUE"""),"0.45")</f>
        <v/>
      </c>
      <c r="V98">
        <f>IFERROR(__xludf.DUMMYFUNCTION("""COMPUTED_VALUE"""),75.0)</f>
        <v/>
      </c>
      <c r="W98">
        <f>IFERROR(__xludf.DUMMYFUNCTION("""COMPUTED_VALUE"""),"2.44")</f>
        <v/>
      </c>
      <c r="X98">
        <f>IFERROR(__xludf.DUMMYFUNCTION("""COMPUTED_VALUE"""),"stop無:1回目:0.30
stop無:2回目:0.65
stop有:3回目:1.05")</f>
        <v/>
      </c>
      <c r="Y98">
        <f>IFERROR(__xludf.DUMMYFUNCTION("""COMPUTED_VALUE"""),"単体に200%の攻撃")</f>
        <v/>
      </c>
      <c r="Z98">
        <f>IFERROR(__xludf.DUMMYFUNCTION("""COMPUTED_VALUE"""),4.0)</f>
        <v/>
      </c>
      <c r="AB98">
        <f>IFERROR(__xludf.DUMMYFUNCTION("""COMPUTED_VALUE"""),"dageki_1")</f>
        <v/>
      </c>
    </row>
    <row r="99">
      <c r="B99">
        <f>IFERROR(__xludf.DUMMYFUNCTION("""COMPUTED_VALUE"""),"chara_dan_00301")</f>
        <v/>
      </c>
      <c r="C99">
        <f>IFERROR(__xludf.DUMMYFUNCTION("""COMPUTED_VALUE"""),"_bbaget_atk")</f>
        <v/>
      </c>
      <c r="D99">
        <f>IFERROR(__xludf.DUMMYFUNCTION("""COMPUTED_VALUE"""),"c_dan_00301_bbaget_atk_Boss_Blue")</f>
        <v/>
      </c>
      <c r="E99">
        <f>IFERROR(__xludf.DUMMYFUNCTION("""COMPUTED_VALUE"""),"ダンダダン")</f>
        <v/>
      </c>
      <c r="F99">
        <f>IFERROR(__xludf.DUMMYFUNCTION("""COMPUTED_VALUE"""),"招き猫 ターボババア")</f>
        <v/>
      </c>
      <c r="G99">
        <f>IFERROR(__xludf.DUMMYFUNCTION("""COMPUTED_VALUE"""),"招き猫 ターボババア_bbaget_atk")</f>
        <v/>
      </c>
      <c r="H99">
        <f>IFERROR(__xludf.DUMMYFUNCTION("""COMPUTED_VALUE"""),"Boss")</f>
        <v/>
      </c>
      <c r="I99">
        <f>IFERROR(__xludf.DUMMYFUNCTION("""COMPUTED_VALUE"""),"Attack")</f>
        <v/>
      </c>
      <c r="J99">
        <f>IFERROR(__xludf.DUMMYFUNCTION("""COMPUTED_VALUE"""),"Blue")</f>
        <v/>
      </c>
      <c r="K99">
        <f>IFERROR(__xludf.DUMMYFUNCTION("""COMPUTED_VALUE"""),50000.0)</f>
        <v/>
      </c>
      <c r="L99">
        <f>IFERROR(__xludf.DUMMYFUNCTION("""COMPUTED_VALUE"""),3.0)</f>
        <v/>
      </c>
      <c r="M99">
        <f>IFERROR(__xludf.DUMMYFUNCTION("""COMPUTED_VALUE"""),30.0)</f>
        <v/>
      </c>
      <c r="N99">
        <f>IFERROR(__xludf.DUMMYFUNCTION("""COMPUTED_VALUE"""),0.25)</f>
        <v/>
      </c>
      <c r="O99">
        <f>IFERROR(__xludf.DUMMYFUNCTION("""COMPUTED_VALUE"""),300.0)</f>
        <v/>
      </c>
      <c r="P99">
        <f>IFERROR(__xludf.DUMMYFUNCTION("""COMPUTED_VALUE"""),0.0)</f>
        <v/>
      </c>
      <c r="Q99">
        <f>IFERROR(__xludf.DUMMYFUNCTION("""COMPUTED_VALUE"""),0.26)</f>
        <v/>
      </c>
      <c r="R99">
        <f>IFERROR(__xludf.DUMMYFUNCTION("""COMPUTED_VALUE"""),1.0)</f>
        <v/>
      </c>
      <c r="S99">
        <f>IFERROR(__xludf.DUMMYFUNCTION("""COMPUTED_VALUE"""),200.0)</f>
        <v/>
      </c>
      <c r="T99">
        <f>IFERROR(__xludf.DUMMYFUNCTION("""COMPUTED_VALUE"""),"1.60")</f>
        <v/>
      </c>
      <c r="U99">
        <f>IFERROR(__xludf.DUMMYFUNCTION("""COMPUTED_VALUE"""),"stop無:1回目 0.38
stop無:2回目 0.83
stop無:3回目 1.16")</f>
        <v/>
      </c>
      <c r="V99">
        <f>IFERROR(__xludf.DUMMYFUNCTION("""COMPUTED_VALUE"""),75.0)</f>
        <v/>
      </c>
      <c r="W99">
        <f>IFERROR(__xludf.DUMMYFUNCTION("""COMPUTED_VALUE"""),"1.83")</f>
        <v/>
      </c>
      <c r="X99">
        <f>IFERROR(__xludf.DUMMYFUNCTION("""COMPUTED_VALUE"""),"stop無:1回目：0.30")</f>
        <v/>
      </c>
      <c r="Y99">
        <f>IFERROR(__xludf.DUMMYFUNCTION("""COMPUTED_VALUE"""),"単体に200%の攻撃")</f>
        <v/>
      </c>
      <c r="Z99">
        <f>IFERROR(__xludf.DUMMYFUNCTION("""COMPUTED_VALUE"""),4.0)</f>
        <v/>
      </c>
      <c r="AB99">
        <f>IFERROR(__xludf.DUMMYFUNCTION("""COMPUTED_VALUE"""),"dageki_1")</f>
        <v/>
      </c>
    </row>
    <row r="100">
      <c r="B100">
        <f>IFERROR(__xludf.DUMMYFUNCTION("""COMPUTED_VALUE"""),"chara_dan_00301")</f>
        <v/>
      </c>
      <c r="C100">
        <f>IFERROR(__xludf.DUMMYFUNCTION("""COMPUTED_VALUE"""),"_bbaget_tec")</f>
        <v/>
      </c>
      <c r="D100">
        <f>IFERROR(__xludf.DUMMYFUNCTION("""COMPUTED_VALUE"""),"c_dan_00301_bbaget_tec_Boss_Blue")</f>
        <v/>
      </c>
      <c r="E100">
        <f>IFERROR(__xludf.DUMMYFUNCTION("""COMPUTED_VALUE"""),"ダンダダン")</f>
        <v/>
      </c>
      <c r="F100">
        <f>IFERROR(__xludf.DUMMYFUNCTION("""COMPUTED_VALUE"""),"招き猫 ターボババア")</f>
        <v/>
      </c>
      <c r="G100">
        <f>IFERROR(__xludf.DUMMYFUNCTION("""COMPUTED_VALUE"""),"招き猫 ターボババア_bbaget_tec")</f>
        <v/>
      </c>
      <c r="H100">
        <f>IFERROR(__xludf.DUMMYFUNCTION("""COMPUTED_VALUE"""),"Boss")</f>
        <v/>
      </c>
      <c r="I100">
        <f>IFERROR(__xludf.DUMMYFUNCTION("""COMPUTED_VALUE"""),"Technical")</f>
        <v/>
      </c>
      <c r="J100">
        <f>IFERROR(__xludf.DUMMYFUNCTION("""COMPUTED_VALUE"""),"Blue")</f>
        <v/>
      </c>
      <c r="K100">
        <f>IFERROR(__xludf.DUMMYFUNCTION("""COMPUTED_VALUE"""),50000.0)</f>
        <v/>
      </c>
      <c r="L100">
        <f>IFERROR(__xludf.DUMMYFUNCTION("""COMPUTED_VALUE"""),3.0)</f>
        <v/>
      </c>
      <c r="M100">
        <f>IFERROR(__xludf.DUMMYFUNCTION("""COMPUTED_VALUE"""),30.0)</f>
        <v/>
      </c>
      <c r="N100">
        <f>IFERROR(__xludf.DUMMYFUNCTION("""COMPUTED_VALUE"""),0.25)</f>
        <v/>
      </c>
      <c r="O100">
        <f>IFERROR(__xludf.DUMMYFUNCTION("""COMPUTED_VALUE"""),300.0)</f>
        <v/>
      </c>
      <c r="P100">
        <f>IFERROR(__xludf.DUMMYFUNCTION("""COMPUTED_VALUE"""),0.0)</f>
        <v/>
      </c>
      <c r="Q100">
        <f>IFERROR(__xludf.DUMMYFUNCTION("""COMPUTED_VALUE"""),0.26)</f>
        <v/>
      </c>
      <c r="R100">
        <f>IFERROR(__xludf.DUMMYFUNCTION("""COMPUTED_VALUE"""),1.0)</f>
        <v/>
      </c>
      <c r="S100">
        <f>IFERROR(__xludf.DUMMYFUNCTION("""COMPUTED_VALUE"""),200.0)</f>
        <v/>
      </c>
      <c r="T100">
        <f>IFERROR(__xludf.DUMMYFUNCTION("""COMPUTED_VALUE"""),"1.60")</f>
        <v/>
      </c>
      <c r="U100">
        <f>IFERROR(__xludf.DUMMYFUNCTION("""COMPUTED_VALUE"""),"stop無:1回目 0.38
stop無:2回目 0.83
stop無:3回目 1.16")</f>
        <v/>
      </c>
      <c r="V100">
        <f>IFERROR(__xludf.DUMMYFUNCTION("""COMPUTED_VALUE"""),90.0)</f>
        <v/>
      </c>
      <c r="W100">
        <f>IFERROR(__xludf.DUMMYFUNCTION("""COMPUTED_VALUE"""),"1.83")</f>
        <v/>
      </c>
      <c r="X100">
        <f>IFERROR(__xludf.DUMMYFUNCTION("""COMPUTED_VALUE"""),"stop無:1回目：0.30")</f>
        <v/>
      </c>
      <c r="Y100">
        <f>IFERROR(__xludf.DUMMYFUNCTION("""COMPUTED_VALUE"""),"単体に200%の攻撃+40%の確率で単体に5秒間の氷結")</f>
        <v/>
      </c>
      <c r="Z100">
        <f>IFERROR(__xludf.DUMMYFUNCTION("""COMPUTED_VALUE"""),4.0)</f>
        <v/>
      </c>
      <c r="AB100">
        <f>IFERROR(__xludf.DUMMYFUNCTION("""COMPUTED_VALUE"""),"dageki_1")</f>
        <v/>
      </c>
    </row>
    <row r="101">
      <c r="B101">
        <f>IFERROR(__xludf.DUMMYFUNCTION("""COMPUTED_VALUE"""),"chara_dan_00301")</f>
        <v/>
      </c>
      <c r="C101">
        <f>IFERROR(__xludf.DUMMYFUNCTION("""COMPUTED_VALUE"""),"_dan1challenge")</f>
        <v/>
      </c>
      <c r="D101">
        <f>IFERROR(__xludf.DUMMYFUNCTION("""COMPUTED_VALUE"""),"c_dan_00301_dan1challenge_Normal_Yellow")</f>
        <v/>
      </c>
      <c r="E101">
        <f>IFERROR(__xludf.DUMMYFUNCTION("""COMPUTED_VALUE"""),"ダンダダン")</f>
        <v/>
      </c>
      <c r="F101">
        <f>IFERROR(__xludf.DUMMYFUNCTION("""COMPUTED_VALUE"""),"招き猫 ターボババア")</f>
        <v/>
      </c>
      <c r="G101">
        <f>IFERROR(__xludf.DUMMYFUNCTION("""COMPUTED_VALUE"""),"招き猫 ターボババア_dan1challenge")</f>
        <v/>
      </c>
      <c r="H101">
        <f>IFERROR(__xludf.DUMMYFUNCTION("""COMPUTED_VALUE"""),"Normal")</f>
        <v/>
      </c>
      <c r="I101">
        <f>IFERROR(__xludf.DUMMYFUNCTION("""COMPUTED_VALUE"""),"Defense")</f>
        <v/>
      </c>
      <c r="J101">
        <f>IFERROR(__xludf.DUMMYFUNCTION("""COMPUTED_VALUE"""),"Yellow")</f>
        <v/>
      </c>
      <c r="K101">
        <f>IFERROR(__xludf.DUMMYFUNCTION("""COMPUTED_VALUE"""),50000.0)</f>
        <v/>
      </c>
      <c r="L101">
        <f>IFERROR(__xludf.DUMMYFUNCTION("""COMPUTED_VALUE"""),3.0)</f>
        <v/>
      </c>
      <c r="M101">
        <f>IFERROR(__xludf.DUMMYFUNCTION("""COMPUTED_VALUE"""),30.0)</f>
        <v/>
      </c>
      <c r="N101">
        <f>IFERROR(__xludf.DUMMYFUNCTION("""COMPUTED_VALUE"""),0.21)</f>
        <v/>
      </c>
      <c r="O101">
        <f>IFERROR(__xludf.DUMMYFUNCTION("""COMPUTED_VALUE"""),300.0)</f>
        <v/>
      </c>
      <c r="P101">
        <f>IFERROR(__xludf.DUMMYFUNCTION("""COMPUTED_VALUE"""),0.0)</f>
        <v/>
      </c>
      <c r="Q101">
        <f>IFERROR(__xludf.DUMMYFUNCTION("""COMPUTED_VALUE"""),0.22)</f>
        <v/>
      </c>
      <c r="R101">
        <f>IFERROR(__xludf.DUMMYFUNCTION("""COMPUTED_VALUE"""),1.0)</f>
        <v/>
      </c>
      <c r="S101">
        <f>IFERROR(__xludf.DUMMYFUNCTION("""COMPUTED_VALUE"""),200.0)</f>
        <v/>
      </c>
      <c r="T101">
        <f>IFERROR(__xludf.DUMMYFUNCTION("""COMPUTED_VALUE"""),"1.60")</f>
        <v/>
      </c>
      <c r="U101">
        <f>IFERROR(__xludf.DUMMYFUNCTION("""COMPUTED_VALUE"""),"stop無:1回目 0.38
stop無:2回目 0.83
stop無:3回目 1.16")</f>
        <v/>
      </c>
      <c r="V101">
        <f>IFERROR(__xludf.DUMMYFUNCTION("""COMPUTED_VALUE"""),80.0)</f>
        <v/>
      </c>
      <c r="W101">
        <f>IFERROR(__xludf.DUMMYFUNCTION("""COMPUTED_VALUE"""),"1.83")</f>
        <v/>
      </c>
      <c r="X101">
        <f>IFERROR(__xludf.DUMMYFUNCTION("""COMPUTED_VALUE"""),"stop無:1回目：0.30")</f>
        <v/>
      </c>
      <c r="Y101">
        <f>IFERROR(__xludf.DUMMYFUNCTION("""COMPUTED_VALUE"""),"単体に200%の攻撃+20秒間、自身が受けるダメージ10%カット")</f>
        <v/>
      </c>
      <c r="Z101">
        <f>IFERROR(__xludf.DUMMYFUNCTION("""COMPUTED_VALUE"""),5.0)</f>
        <v/>
      </c>
      <c r="AB101">
        <f>IFERROR(__xludf.DUMMYFUNCTION("""COMPUTED_VALUE"""),"dageki_1")</f>
        <v/>
      </c>
    </row>
    <row r="102">
      <c r="B102">
        <f>IFERROR(__xludf.DUMMYFUNCTION("""COMPUTED_VALUE"""),"enemy_dan_00001")</f>
        <v/>
      </c>
      <c r="C102">
        <f>IFERROR(__xludf.DUMMYFUNCTION("""COMPUTED_VALUE"""),"_dan1challenge")</f>
        <v/>
      </c>
      <c r="D102">
        <f>IFERROR(__xludf.DUMMYFUNCTION("""COMPUTED_VALUE"""),"e_dan_00001_dan1challenge_Normal_Blue")</f>
        <v/>
      </c>
      <c r="E102">
        <f>IFERROR(__xludf.DUMMYFUNCTION("""COMPUTED_VALUE"""),"ダンダダン")</f>
        <v/>
      </c>
      <c r="F102">
        <f>IFERROR(__xludf.DUMMYFUNCTION("""COMPUTED_VALUE"""),"セルポ星人")</f>
        <v/>
      </c>
      <c r="G102">
        <f>IFERROR(__xludf.DUMMYFUNCTION("""COMPUTED_VALUE"""),"セルポ星人_dan1challenge")</f>
        <v/>
      </c>
      <c r="H102">
        <f>IFERROR(__xludf.DUMMYFUNCTION("""COMPUTED_VALUE"""),"Normal")</f>
        <v/>
      </c>
      <c r="I102">
        <f>IFERROR(__xludf.DUMMYFUNCTION("""COMPUTED_VALUE"""),"Attack")</f>
        <v/>
      </c>
      <c r="J102">
        <f>IFERROR(__xludf.DUMMYFUNCTION("""COMPUTED_VALUE"""),"Blue")</f>
        <v/>
      </c>
      <c r="K102">
        <f>IFERROR(__xludf.DUMMYFUNCTION("""COMPUTED_VALUE"""),10000.0)</f>
        <v/>
      </c>
      <c r="L102">
        <f>IFERROR(__xludf.DUMMYFUNCTION("""COMPUTED_VALUE"""),3.0)</f>
        <v/>
      </c>
      <c r="M102">
        <f>IFERROR(__xludf.DUMMYFUNCTION("""COMPUTED_VALUE"""),28.0)</f>
        <v/>
      </c>
      <c r="N102">
        <f>IFERROR(__xludf.DUMMYFUNCTION("""COMPUTED_VALUE"""),0.23)</f>
        <v/>
      </c>
      <c r="O102">
        <f>IFERROR(__xludf.DUMMYFUNCTION("""COMPUTED_VALUE"""),100.0)</f>
        <v/>
      </c>
      <c r="P102">
        <f>IFERROR(__xludf.DUMMYFUNCTION("""COMPUTED_VALUE"""),0.0)</f>
        <v/>
      </c>
      <c r="Q102">
        <f>IFERROR(__xludf.DUMMYFUNCTION("""COMPUTED_VALUE"""),0.24)</f>
        <v/>
      </c>
      <c r="R102">
        <f>IFERROR(__xludf.DUMMYFUNCTION("""COMPUTED_VALUE"""),1.0)</f>
        <v/>
      </c>
      <c r="S102">
        <f>IFERROR(__xludf.DUMMYFUNCTION("""COMPUTED_VALUE"""),100.0)</f>
        <v/>
      </c>
      <c r="T102">
        <f>IFERROR(__xludf.DUMMYFUNCTION("""COMPUTED_VALUE"""),"1.16")</f>
        <v/>
      </c>
      <c r="U102">
        <f>IFERROR(__xludf.DUMMYFUNCTION("""COMPUTED_VALUE"""),"0.50")</f>
        <v/>
      </c>
      <c r="V102">
        <f>IFERROR(__xludf.DUMMYFUNCTION("""COMPUTED_VALUE"""),65.0)</f>
        <v/>
      </c>
      <c r="W102">
        <f>IFERROR(__xludf.DUMMYFUNCTION("""COMPUTED_VALUE"""),"-")</f>
        <v/>
      </c>
      <c r="X102">
        <f>IFERROR(__xludf.DUMMYFUNCTION("""COMPUTED_VALUE"""),"-")</f>
        <v/>
      </c>
      <c r="Z102">
        <f>IFERROR(__xludf.DUMMYFUNCTION("""COMPUTED_VALUE"""),"-")</f>
        <v/>
      </c>
      <c r="AB102">
        <f>IFERROR(__xludf.DUMMYFUNCTION("""COMPUTED_VALUE"""),"dageki_1")</f>
        <v/>
      </c>
    </row>
    <row r="103">
      <c r="B103">
        <f>IFERROR(__xludf.DUMMYFUNCTION("""COMPUTED_VALUE"""),"enemy_dan_00001")</f>
        <v/>
      </c>
      <c r="C103">
        <f>IFERROR(__xludf.DUMMYFUNCTION("""COMPUTED_VALUE"""),"_dan1challenge")</f>
        <v/>
      </c>
      <c r="D103">
        <f>IFERROR(__xludf.DUMMYFUNCTION("""COMPUTED_VALUE"""),"e_dan_00001_dan1challenge_Normal_Green")</f>
        <v/>
      </c>
      <c r="E103">
        <f>IFERROR(__xludf.DUMMYFUNCTION("""COMPUTED_VALUE"""),"ダンダダン")</f>
        <v/>
      </c>
      <c r="F103">
        <f>IFERROR(__xludf.DUMMYFUNCTION("""COMPUTED_VALUE"""),"セルポ星人")</f>
        <v/>
      </c>
      <c r="G103">
        <f>IFERROR(__xludf.DUMMYFUNCTION("""COMPUTED_VALUE"""),"セルポ星人_dan1challenge")</f>
        <v/>
      </c>
      <c r="H103">
        <f>IFERROR(__xludf.DUMMYFUNCTION("""COMPUTED_VALUE"""),"Normal")</f>
        <v/>
      </c>
      <c r="I103">
        <f>IFERROR(__xludf.DUMMYFUNCTION("""COMPUTED_VALUE"""),"Attack")</f>
        <v/>
      </c>
      <c r="J103">
        <f>IFERROR(__xludf.DUMMYFUNCTION("""COMPUTED_VALUE"""),"Green")</f>
        <v/>
      </c>
      <c r="K103">
        <f>IFERROR(__xludf.DUMMYFUNCTION("""COMPUTED_VALUE"""),10000.0)</f>
        <v/>
      </c>
      <c r="L103">
        <f>IFERROR(__xludf.DUMMYFUNCTION("""COMPUTED_VALUE"""),3.0)</f>
        <v/>
      </c>
      <c r="M103">
        <f>IFERROR(__xludf.DUMMYFUNCTION("""COMPUTED_VALUE"""),40.0)</f>
        <v/>
      </c>
      <c r="N103">
        <f>IFERROR(__xludf.DUMMYFUNCTION("""COMPUTED_VALUE"""),0.23)</f>
        <v/>
      </c>
      <c r="O103">
        <f>IFERROR(__xludf.DUMMYFUNCTION("""COMPUTED_VALUE"""),100.0)</f>
        <v/>
      </c>
      <c r="P103">
        <f>IFERROR(__xludf.DUMMYFUNCTION("""COMPUTED_VALUE"""),0.0)</f>
        <v/>
      </c>
      <c r="Q103">
        <f>IFERROR(__xludf.DUMMYFUNCTION("""COMPUTED_VALUE"""),0.24)</f>
        <v/>
      </c>
      <c r="R103">
        <f>IFERROR(__xludf.DUMMYFUNCTION("""COMPUTED_VALUE"""),1.0)</f>
        <v/>
      </c>
      <c r="S103">
        <f>IFERROR(__xludf.DUMMYFUNCTION("""COMPUTED_VALUE"""),100.0)</f>
        <v/>
      </c>
      <c r="T103">
        <f>IFERROR(__xludf.DUMMYFUNCTION("""COMPUTED_VALUE"""),"1.16")</f>
        <v/>
      </c>
      <c r="U103">
        <f>IFERROR(__xludf.DUMMYFUNCTION("""COMPUTED_VALUE"""),"0.50")</f>
        <v/>
      </c>
      <c r="V103">
        <f>IFERROR(__xludf.DUMMYFUNCTION("""COMPUTED_VALUE"""),65.0)</f>
        <v/>
      </c>
      <c r="W103">
        <f>IFERROR(__xludf.DUMMYFUNCTION("""COMPUTED_VALUE"""),"-")</f>
        <v/>
      </c>
      <c r="X103">
        <f>IFERROR(__xludf.DUMMYFUNCTION("""COMPUTED_VALUE"""),"-")</f>
        <v/>
      </c>
      <c r="Z103">
        <f>IFERROR(__xludf.DUMMYFUNCTION("""COMPUTED_VALUE"""),"-")</f>
        <v/>
      </c>
      <c r="AB103">
        <f>IFERROR(__xludf.DUMMYFUNCTION("""COMPUTED_VALUE"""),"dageki_1")</f>
        <v/>
      </c>
    </row>
    <row r="104">
      <c r="B104">
        <f>IFERROR(__xludf.DUMMYFUNCTION("""COMPUTED_VALUE"""),"enemy_dan_00201")</f>
        <v/>
      </c>
      <c r="C104">
        <f>IFERROR(__xludf.DUMMYFUNCTION("""COMPUTED_VALUE"""),"_dan1challenge")</f>
        <v/>
      </c>
      <c r="D104">
        <f>IFERROR(__xludf.DUMMYFUNCTION("""COMPUTED_VALUE"""),"e_dan_00201_dan1challenge_Boss_Blue")</f>
        <v/>
      </c>
      <c r="E104">
        <f>IFERROR(__xludf.DUMMYFUNCTION("""COMPUTED_VALUE"""),"ダンダダン")</f>
        <v/>
      </c>
      <c r="F104">
        <f>IFERROR(__xludf.DUMMYFUNCTION("""COMPUTED_VALUE"""),"ターボババア")</f>
        <v/>
      </c>
      <c r="G104">
        <f>IFERROR(__xludf.DUMMYFUNCTION("""COMPUTED_VALUE"""),"ターボババア_dan1challenge")</f>
        <v/>
      </c>
      <c r="H104">
        <f>IFERROR(__xludf.DUMMYFUNCTION("""COMPUTED_VALUE"""),"Boss")</f>
        <v/>
      </c>
      <c r="I104">
        <f>IFERROR(__xludf.DUMMYFUNCTION("""COMPUTED_VALUE"""),"Attack")</f>
        <v/>
      </c>
      <c r="J104">
        <f>IFERROR(__xludf.DUMMYFUNCTION("""COMPUTED_VALUE"""),"Blue")</f>
        <v/>
      </c>
      <c r="K104">
        <f>IFERROR(__xludf.DUMMYFUNCTION("""COMPUTED_VALUE"""),10000.0)</f>
        <v/>
      </c>
      <c r="L104">
        <f>IFERROR(__xludf.DUMMYFUNCTION("""COMPUTED_VALUE"""),2.0)</f>
        <v/>
      </c>
      <c r="M104">
        <f>IFERROR(__xludf.DUMMYFUNCTION("""COMPUTED_VALUE"""),55.0)</f>
        <v/>
      </c>
      <c r="N104">
        <f>IFERROR(__xludf.DUMMYFUNCTION("""COMPUTED_VALUE"""),0.25)</f>
        <v/>
      </c>
      <c r="O104">
        <f>IFERROR(__xludf.DUMMYFUNCTION("""COMPUTED_VALUE"""),100.0)</f>
        <v/>
      </c>
      <c r="P104">
        <f>IFERROR(__xludf.DUMMYFUNCTION("""COMPUTED_VALUE"""),0.0)</f>
        <v/>
      </c>
      <c r="Q104">
        <f>IFERROR(__xludf.DUMMYFUNCTION("""COMPUTED_VALUE"""),0.26)</f>
        <v/>
      </c>
      <c r="R104">
        <f>IFERROR(__xludf.DUMMYFUNCTION("""COMPUTED_VALUE"""),1.0)</f>
        <v/>
      </c>
      <c r="S104">
        <f>IFERROR(__xludf.DUMMYFUNCTION("""COMPUTED_VALUE"""),200.0)</f>
        <v/>
      </c>
      <c r="T104">
        <f>IFERROR(__xludf.DUMMYFUNCTION("""COMPUTED_VALUE"""),"1.50")</f>
        <v/>
      </c>
      <c r="U104">
        <f>IFERROR(__xludf.DUMMYFUNCTION("""COMPUTED_VALUE"""),"0.40")</f>
        <v/>
      </c>
      <c r="V104">
        <f>IFERROR(__xludf.DUMMYFUNCTION("""COMPUTED_VALUE"""),40.0)</f>
        <v/>
      </c>
      <c r="W104">
        <f>IFERROR(__xludf.DUMMYFUNCTION("""COMPUTED_VALUE"""),"-")</f>
        <v/>
      </c>
      <c r="X104">
        <f>IFERROR(__xludf.DUMMYFUNCTION("""COMPUTED_VALUE"""),"-")</f>
        <v/>
      </c>
      <c r="Z104">
        <f>IFERROR(__xludf.DUMMYFUNCTION("""COMPUTED_VALUE"""),"-")</f>
        <v/>
      </c>
      <c r="AB104">
        <f>IFERROR(__xludf.DUMMYFUNCTION("""COMPUTED_VALUE"""),"dageki_1")</f>
        <v/>
      </c>
    </row>
    <row r="105">
      <c r="B105">
        <f>IFERROR(__xludf.DUMMYFUNCTION("""COMPUTED_VALUE"""),"enemy_dan_00301")</f>
        <v/>
      </c>
      <c r="C105">
        <f>IFERROR(__xludf.DUMMYFUNCTION("""COMPUTED_VALUE"""),"_airaget")</f>
        <v/>
      </c>
      <c r="D105">
        <f>IFERROR(__xludf.DUMMYFUNCTION("""COMPUTED_VALUE"""),"e_dan_00301_airaget_Boss_Colorless")</f>
        <v/>
      </c>
      <c r="E105">
        <f>IFERROR(__xludf.DUMMYFUNCTION("""COMPUTED_VALUE"""),"ダンダダン")</f>
        <v/>
      </c>
      <c r="F105">
        <f>IFERROR(__xludf.DUMMYFUNCTION("""COMPUTED_VALUE"""),"アクロバティックさらさら")</f>
        <v/>
      </c>
      <c r="G105">
        <f>IFERROR(__xludf.DUMMYFUNCTION("""COMPUTED_VALUE"""),"アクロバティックさらさら_airaget")</f>
        <v/>
      </c>
      <c r="H105">
        <f>IFERROR(__xludf.DUMMYFUNCTION("""COMPUTED_VALUE"""),"Boss")</f>
        <v/>
      </c>
      <c r="I105">
        <f>IFERROR(__xludf.DUMMYFUNCTION("""COMPUTED_VALUE"""),"Attack")</f>
        <v/>
      </c>
      <c r="J105">
        <f>IFERROR(__xludf.DUMMYFUNCTION("""COMPUTED_VALUE"""),"Colorless")</f>
        <v/>
      </c>
      <c r="K105">
        <f>IFERROR(__xludf.DUMMYFUNCTION("""COMPUTED_VALUE"""),40000.0)</f>
        <v/>
      </c>
      <c r="L105">
        <f>IFERROR(__xludf.DUMMYFUNCTION("""COMPUTED_VALUE"""),2.0)</f>
        <v/>
      </c>
      <c r="M105">
        <f>IFERROR(__xludf.DUMMYFUNCTION("""COMPUTED_VALUE"""),35.0)</f>
        <v/>
      </c>
      <c r="N105">
        <f>IFERROR(__xludf.DUMMYFUNCTION("""COMPUTED_VALUE"""),0.24)</f>
        <v/>
      </c>
      <c r="O105">
        <f>IFERROR(__xludf.DUMMYFUNCTION("""COMPUTED_VALUE"""),300.0)</f>
        <v/>
      </c>
      <c r="P105">
        <f>IFERROR(__xludf.DUMMYFUNCTION("""COMPUTED_VALUE"""),0.0)</f>
        <v/>
      </c>
      <c r="Q105">
        <f>IFERROR(__xludf.DUMMYFUNCTION("""COMPUTED_VALUE"""),0.3)</f>
        <v/>
      </c>
      <c r="R105">
        <f>IFERROR(__xludf.DUMMYFUNCTION("""COMPUTED_VALUE"""),100.0)</f>
        <v/>
      </c>
      <c r="S105">
        <f>IFERROR(__xludf.DUMMYFUNCTION("""COMPUTED_VALUE"""),200.0)</f>
        <v/>
      </c>
      <c r="T105">
        <f>IFERROR(__xludf.DUMMYFUNCTION("""COMPUTED_VALUE"""),"1.20")</f>
        <v/>
      </c>
      <c r="U105">
        <f>IFERROR(__xludf.DUMMYFUNCTION("""COMPUTED_VALUE"""),"0.27")</f>
        <v/>
      </c>
      <c r="V105">
        <f>IFERROR(__xludf.DUMMYFUNCTION("""COMPUTED_VALUE"""),50.0)</f>
        <v/>
      </c>
      <c r="W105">
        <f>IFERROR(__xludf.DUMMYFUNCTION("""COMPUTED_VALUE"""),"-")</f>
        <v/>
      </c>
      <c r="X105">
        <f>IFERROR(__xludf.DUMMYFUNCTION("""COMPUTED_VALUE"""),"-")</f>
        <v/>
      </c>
      <c r="Z105">
        <f>IFERROR(__xludf.DUMMYFUNCTION("""COMPUTED_VALUE"""),"-")</f>
        <v/>
      </c>
      <c r="AB105">
        <f>IFERROR(__xludf.DUMMYFUNCTION("""COMPUTED_VALUE"""),"dageki_1")</f>
        <v/>
      </c>
    </row>
    <row r="106">
      <c r="B106">
        <f>IFERROR(__xludf.DUMMYFUNCTION("""COMPUTED_VALUE"""),"enemy_dan_00301")</f>
        <v/>
      </c>
      <c r="C106">
        <f>IFERROR(__xludf.DUMMYFUNCTION("""COMPUTED_VALUE"""),"_airaget_atk")</f>
        <v/>
      </c>
      <c r="D106">
        <f>IFERROR(__xludf.DUMMYFUNCTION("""COMPUTED_VALUE"""),"e_dan_00301_airaget_atk_Boss_Blue")</f>
        <v/>
      </c>
      <c r="E106">
        <f>IFERROR(__xludf.DUMMYFUNCTION("""COMPUTED_VALUE"""),"ダンダダン")</f>
        <v/>
      </c>
      <c r="F106">
        <f>IFERROR(__xludf.DUMMYFUNCTION("""COMPUTED_VALUE"""),"アクロバティックさらさら")</f>
        <v/>
      </c>
      <c r="G106">
        <f>IFERROR(__xludf.DUMMYFUNCTION("""COMPUTED_VALUE"""),"アクロバティックさらさら_airaget_atk")</f>
        <v/>
      </c>
      <c r="H106">
        <f>IFERROR(__xludf.DUMMYFUNCTION("""COMPUTED_VALUE"""),"Boss")</f>
        <v/>
      </c>
      <c r="I106">
        <f>IFERROR(__xludf.DUMMYFUNCTION("""COMPUTED_VALUE"""),"Attack")</f>
        <v/>
      </c>
      <c r="J106">
        <f>IFERROR(__xludf.DUMMYFUNCTION("""COMPUTED_VALUE"""),"Blue")</f>
        <v/>
      </c>
      <c r="K106">
        <f>IFERROR(__xludf.DUMMYFUNCTION("""COMPUTED_VALUE"""),40000.0)</f>
        <v/>
      </c>
      <c r="L106">
        <f>IFERROR(__xludf.DUMMYFUNCTION("""COMPUTED_VALUE"""),2.0)</f>
        <v/>
      </c>
      <c r="M106">
        <f>IFERROR(__xludf.DUMMYFUNCTION("""COMPUTED_VALUE"""),35.0)</f>
        <v/>
      </c>
      <c r="N106">
        <f>IFERROR(__xludf.DUMMYFUNCTION("""COMPUTED_VALUE"""),0.24)</f>
        <v/>
      </c>
      <c r="O106">
        <f>IFERROR(__xludf.DUMMYFUNCTION("""COMPUTED_VALUE"""),300.0)</f>
        <v/>
      </c>
      <c r="P106">
        <f>IFERROR(__xludf.DUMMYFUNCTION("""COMPUTED_VALUE"""),0.0)</f>
        <v/>
      </c>
      <c r="Q106">
        <f>IFERROR(__xludf.DUMMYFUNCTION("""COMPUTED_VALUE"""),0.3)</f>
        <v/>
      </c>
      <c r="R106">
        <f>IFERROR(__xludf.DUMMYFUNCTION("""COMPUTED_VALUE"""),100.0)</f>
        <v/>
      </c>
      <c r="S106">
        <f>IFERROR(__xludf.DUMMYFUNCTION("""COMPUTED_VALUE"""),200.0)</f>
        <v/>
      </c>
      <c r="T106">
        <f>IFERROR(__xludf.DUMMYFUNCTION("""COMPUTED_VALUE"""),"1.20")</f>
        <v/>
      </c>
      <c r="U106">
        <f>IFERROR(__xludf.DUMMYFUNCTION("""COMPUTED_VALUE"""),"0.27")</f>
        <v/>
      </c>
      <c r="V106">
        <f>IFERROR(__xludf.DUMMYFUNCTION("""COMPUTED_VALUE"""),50.0)</f>
        <v/>
      </c>
      <c r="W106">
        <f>IFERROR(__xludf.DUMMYFUNCTION("""COMPUTED_VALUE"""),"-")</f>
        <v/>
      </c>
      <c r="X106">
        <f>IFERROR(__xludf.DUMMYFUNCTION("""COMPUTED_VALUE"""),"-")</f>
        <v/>
      </c>
      <c r="Z106">
        <f>IFERROR(__xludf.DUMMYFUNCTION("""COMPUTED_VALUE"""),"-")</f>
        <v/>
      </c>
      <c r="AB106">
        <f>IFERROR(__xludf.DUMMYFUNCTION("""COMPUTED_VALUE"""),"dageki_1")</f>
        <v/>
      </c>
    </row>
    <row r="107">
      <c r="B107">
        <f>IFERROR(__xludf.DUMMYFUNCTION("""COMPUTED_VALUE"""),"enemy_dan_00301")</f>
        <v/>
      </c>
      <c r="C107">
        <f>IFERROR(__xludf.DUMMYFUNCTION("""COMPUTED_VALUE"""),"_airaget_tec")</f>
        <v/>
      </c>
      <c r="D107">
        <f>IFERROR(__xludf.DUMMYFUNCTION("""COMPUTED_VALUE"""),"e_dan_00301_airaget_tec_Boss_Blue")</f>
        <v/>
      </c>
      <c r="E107">
        <f>IFERROR(__xludf.DUMMYFUNCTION("""COMPUTED_VALUE"""),"ダンダダン")</f>
        <v/>
      </c>
      <c r="F107">
        <f>IFERROR(__xludf.DUMMYFUNCTION("""COMPUTED_VALUE"""),"アクロバティックさらさら")</f>
        <v/>
      </c>
      <c r="G107">
        <f>IFERROR(__xludf.DUMMYFUNCTION("""COMPUTED_VALUE"""),"アクロバティックさらさら_airaget_tec")</f>
        <v/>
      </c>
      <c r="H107">
        <f>IFERROR(__xludf.DUMMYFUNCTION("""COMPUTED_VALUE"""),"Boss")</f>
        <v/>
      </c>
      <c r="I107">
        <f>IFERROR(__xludf.DUMMYFUNCTION("""COMPUTED_VALUE"""),"Technical")</f>
        <v/>
      </c>
      <c r="J107">
        <f>IFERROR(__xludf.DUMMYFUNCTION("""COMPUTED_VALUE"""),"Blue")</f>
        <v/>
      </c>
      <c r="K107">
        <f>IFERROR(__xludf.DUMMYFUNCTION("""COMPUTED_VALUE"""),40000.0)</f>
        <v/>
      </c>
      <c r="L107">
        <f>IFERROR(__xludf.DUMMYFUNCTION("""COMPUTED_VALUE"""),2.0)</f>
        <v/>
      </c>
      <c r="M107">
        <f>IFERROR(__xludf.DUMMYFUNCTION("""COMPUTED_VALUE"""),35.0)</f>
        <v/>
      </c>
      <c r="N107">
        <f>IFERROR(__xludf.DUMMYFUNCTION("""COMPUTED_VALUE"""),0.24)</f>
        <v/>
      </c>
      <c r="O107">
        <f>IFERROR(__xludf.DUMMYFUNCTION("""COMPUTED_VALUE"""),300.0)</f>
        <v/>
      </c>
      <c r="P107">
        <f>IFERROR(__xludf.DUMMYFUNCTION("""COMPUTED_VALUE"""),0.0)</f>
        <v/>
      </c>
      <c r="Q107">
        <f>IFERROR(__xludf.DUMMYFUNCTION("""COMPUTED_VALUE"""),0.3)</f>
        <v/>
      </c>
      <c r="R107">
        <f>IFERROR(__xludf.DUMMYFUNCTION("""COMPUTED_VALUE"""),100.0)</f>
        <v/>
      </c>
      <c r="S107">
        <f>IFERROR(__xludf.DUMMYFUNCTION("""COMPUTED_VALUE"""),200.0)</f>
        <v/>
      </c>
      <c r="T107">
        <f>IFERROR(__xludf.DUMMYFUNCTION("""COMPUTED_VALUE"""),"1.20")</f>
        <v/>
      </c>
      <c r="U107">
        <f>IFERROR(__xludf.DUMMYFUNCTION("""COMPUTED_VALUE"""),"0.27")</f>
        <v/>
      </c>
      <c r="V107">
        <f>IFERROR(__xludf.DUMMYFUNCTION("""COMPUTED_VALUE"""),75.0)</f>
        <v/>
      </c>
      <c r="W107">
        <f>IFERROR(__xludf.DUMMYFUNCTION("""COMPUTED_VALUE"""),"-")</f>
        <v/>
      </c>
      <c r="X107">
        <f>IFERROR(__xludf.DUMMYFUNCTION("""COMPUTED_VALUE"""),"-")</f>
        <v/>
      </c>
      <c r="Z107">
        <f>IFERROR(__xludf.DUMMYFUNCTION("""COMPUTED_VALUE"""),"-")</f>
        <v/>
      </c>
      <c r="AB107">
        <f>IFERROR(__xludf.DUMMYFUNCTION("""COMPUTED_VALUE"""),"dageki_1")</f>
        <v/>
      </c>
      <c r="AC107">
        <f>IFERROR(__xludf.DUMMYFUNCTION("""COMPUTED_VALUE"""),"小ノックバック")</f>
        <v/>
      </c>
    </row>
    <row r="108">
      <c r="B108">
        <f>IFERROR(__xludf.DUMMYFUNCTION("""COMPUTED_VALUE"""),"enemy_glo_00001")</f>
        <v/>
      </c>
      <c r="C108">
        <f>IFERROR(__xludf.DUMMYFUNCTION("""COMPUTED_VALUE"""),"_savage")</f>
        <v/>
      </c>
      <c r="D108">
        <f>IFERROR(__xludf.DUMMYFUNCTION("""COMPUTED_VALUE"""),"e_glo_00001_savage_Normal_Red")</f>
        <v/>
      </c>
      <c r="E108">
        <f>IFERROR(__xludf.DUMMYFUNCTION("""COMPUTED_VALUE"""),"GLOW")</f>
        <v/>
      </c>
      <c r="F108">
        <f>IFERROR(__xludf.DUMMYFUNCTION("""COMPUTED_VALUE"""),"ファントム")</f>
        <v/>
      </c>
      <c r="G108">
        <f>IFERROR(__xludf.DUMMYFUNCTION("""COMPUTED_VALUE"""),"ファントム_savage")</f>
        <v/>
      </c>
      <c r="H108">
        <f>IFERROR(__xludf.DUMMYFUNCTION("""COMPUTED_VALUE"""),"Normal")</f>
        <v/>
      </c>
      <c r="I108">
        <f>IFERROR(__xludf.DUMMYFUNCTION("""COMPUTED_VALUE"""),"Attack")</f>
        <v/>
      </c>
      <c r="J108">
        <f>IFERROR(__xludf.DUMMYFUNCTION("""COMPUTED_VALUE"""),"Red")</f>
        <v/>
      </c>
      <c r="K108">
        <f>IFERROR(__xludf.DUMMYFUNCTION("""COMPUTED_VALUE"""),10000.0)</f>
        <v/>
      </c>
      <c r="L108">
        <f>IFERROR(__xludf.DUMMYFUNCTION("""COMPUTED_VALUE"""),2.0)</f>
        <v/>
      </c>
      <c r="M108">
        <f>IFERROR(__xludf.DUMMYFUNCTION("""COMPUTED_VALUE"""),45.0)</f>
        <v/>
      </c>
      <c r="N108">
        <f>IFERROR(__xludf.DUMMYFUNCTION("""COMPUTED_VALUE"""),0.22)</f>
        <v/>
      </c>
      <c r="O108">
        <f>IFERROR(__xludf.DUMMYFUNCTION("""COMPUTED_VALUE"""),500.0)</f>
        <v/>
      </c>
      <c r="P108">
        <f>IFERROR(__xludf.DUMMYFUNCTION("""COMPUTED_VALUE"""),0.0)</f>
        <v/>
      </c>
      <c r="Q108">
        <f>IFERROR(__xludf.DUMMYFUNCTION("""COMPUTED_VALUE"""),0.23)</f>
        <v/>
      </c>
      <c r="R108">
        <f>IFERROR(__xludf.DUMMYFUNCTION("""COMPUTED_VALUE"""),1.0)</f>
        <v/>
      </c>
      <c r="S108">
        <f>IFERROR(__xludf.DUMMYFUNCTION("""COMPUTED_VALUE"""),50.0)</f>
        <v/>
      </c>
      <c r="T108">
        <f>IFERROR(__xludf.DUMMYFUNCTION("""COMPUTED_VALUE"""),"1.00")</f>
        <v/>
      </c>
      <c r="U108">
        <f>IFERROR(__xludf.DUMMYFUNCTION("""COMPUTED_VALUE"""),"0.50")</f>
        <v/>
      </c>
      <c r="V108">
        <f>IFERROR(__xludf.DUMMYFUNCTION("""COMPUTED_VALUE"""),50.0)</f>
        <v/>
      </c>
      <c r="Z108">
        <f>IFERROR(__xludf.DUMMYFUNCTION("""COMPUTED_VALUE"""),"-")</f>
        <v/>
      </c>
      <c r="AB108">
        <f>IFERROR(__xludf.DUMMYFUNCTION("""COMPUTED_VALUE"""),"dageki_1")</f>
        <v/>
      </c>
    </row>
    <row r="109">
      <c r="B109">
        <f>IFERROR(__xludf.DUMMYFUNCTION("""COMPUTED_VALUE"""),"enemy_glo_00001")</f>
        <v/>
      </c>
      <c r="C109">
        <f>IFERROR(__xludf.DUMMYFUNCTION("""COMPUTED_VALUE"""),"_savage")</f>
        <v/>
      </c>
      <c r="D109">
        <f>IFERROR(__xludf.DUMMYFUNCTION("""COMPUTED_VALUE"""),"e_glo_00001_savage_Normal_Yellow")</f>
        <v/>
      </c>
      <c r="E109">
        <f>IFERROR(__xludf.DUMMYFUNCTION("""COMPUTED_VALUE"""),"GLOW")</f>
        <v/>
      </c>
      <c r="F109">
        <f>IFERROR(__xludf.DUMMYFUNCTION("""COMPUTED_VALUE"""),"ファントム")</f>
        <v/>
      </c>
      <c r="G109">
        <f>IFERROR(__xludf.DUMMYFUNCTION("""COMPUTED_VALUE"""),"ファントム_savage")</f>
        <v/>
      </c>
      <c r="H109">
        <f>IFERROR(__xludf.DUMMYFUNCTION("""COMPUTED_VALUE"""),"Normal")</f>
        <v/>
      </c>
      <c r="I109">
        <f>IFERROR(__xludf.DUMMYFUNCTION("""COMPUTED_VALUE"""),"Attack")</f>
        <v/>
      </c>
      <c r="J109">
        <f>IFERROR(__xludf.DUMMYFUNCTION("""COMPUTED_VALUE"""),"Yellow")</f>
        <v/>
      </c>
      <c r="K109">
        <f>IFERROR(__xludf.DUMMYFUNCTION("""COMPUTED_VALUE"""),10000.0)</f>
        <v/>
      </c>
      <c r="L109">
        <f>IFERROR(__xludf.DUMMYFUNCTION("""COMPUTED_VALUE"""),2.0)</f>
        <v/>
      </c>
      <c r="M109">
        <f>IFERROR(__xludf.DUMMYFUNCTION("""COMPUTED_VALUE"""),30.0)</f>
        <v/>
      </c>
      <c r="N109">
        <f>IFERROR(__xludf.DUMMYFUNCTION("""COMPUTED_VALUE"""),0.22)</f>
        <v/>
      </c>
      <c r="O109">
        <f>IFERROR(__xludf.DUMMYFUNCTION("""COMPUTED_VALUE"""),500.0)</f>
        <v/>
      </c>
      <c r="P109">
        <f>IFERROR(__xludf.DUMMYFUNCTION("""COMPUTED_VALUE"""),0.0)</f>
        <v/>
      </c>
      <c r="Q109">
        <f>IFERROR(__xludf.DUMMYFUNCTION("""COMPUTED_VALUE"""),0.23)</f>
        <v/>
      </c>
      <c r="R109">
        <f>IFERROR(__xludf.DUMMYFUNCTION("""COMPUTED_VALUE"""),1.0)</f>
        <v/>
      </c>
      <c r="S109">
        <f>IFERROR(__xludf.DUMMYFUNCTION("""COMPUTED_VALUE"""),50.0)</f>
        <v/>
      </c>
      <c r="T109">
        <f>IFERROR(__xludf.DUMMYFUNCTION("""COMPUTED_VALUE"""),"1.00")</f>
        <v/>
      </c>
      <c r="U109">
        <f>IFERROR(__xludf.DUMMYFUNCTION("""COMPUTED_VALUE"""),"0.50")</f>
        <v/>
      </c>
      <c r="V109">
        <f>IFERROR(__xludf.DUMMYFUNCTION("""COMPUTED_VALUE"""),50.0)</f>
        <v/>
      </c>
      <c r="Z109">
        <f>IFERROR(__xludf.DUMMYFUNCTION("""COMPUTED_VALUE"""),"-")</f>
        <v/>
      </c>
      <c r="AB109">
        <f>IFERROR(__xludf.DUMMYFUNCTION("""COMPUTED_VALUE"""),"dageki_1")</f>
        <v/>
      </c>
    </row>
    <row r="110">
      <c r="D110">
        <f>IFERROR(__xludf.DUMMYFUNCTION("""COMPUTED_VALUE"""),"___")</f>
        <v/>
      </c>
      <c r="E110">
        <f>IFERROR(__xludf.DUMMYFUNCTION("""COMPUTED_VALUE"""),"none")</f>
        <v/>
      </c>
      <c r="F110">
        <f>IFERROR(__xludf.DUMMYFUNCTION("""COMPUTED_VALUE"""),"none")</f>
        <v/>
      </c>
      <c r="G110">
        <f>IFERROR(__xludf.DUMMYFUNCTION("""COMPUTED_VALUE"""),"none")</f>
        <v/>
      </c>
      <c r="I110">
        <f>IFERROR(__xludf.DUMMYFUNCTION("""COMPUTED_VALUE"""),"none")</f>
        <v/>
      </c>
      <c r="T110">
        <f>IFERROR(__xludf.DUMMYFUNCTION("""COMPUTED_VALUE"""),"none")</f>
        <v/>
      </c>
      <c r="U110">
        <f>IFERROR(__xludf.DUMMYFUNCTION("""COMPUTED_VALUE"""),"none")</f>
        <v/>
      </c>
      <c r="W110">
        <f>IFERROR(__xludf.DUMMYFUNCTION("""COMPUTED_VALUE"""),"none")</f>
        <v/>
      </c>
      <c r="X110">
        <f>IFERROR(__xludf.DUMMYFUNCTION("""COMPUTED_VALUE"""),"none")</f>
        <v/>
      </c>
      <c r="Z110">
        <f>IFERROR(__xludf.DUMMYFUNCTION("""COMPUTED_VALUE"""),"-")</f>
        <v/>
      </c>
      <c r="AB110">
        <f>IFERROR(__xludf.DUMMYFUNCTION("""COMPUTED_VALUE"""),"none")</f>
        <v/>
      </c>
    </row>
    <row r="111">
      <c r="B111">
        <f>IFERROR(__xludf.DUMMYFUNCTION("""COMPUTED_VALUE"""),"chara_mag_00001")</f>
        <v/>
      </c>
      <c r="C111">
        <f>IFERROR(__xludf.DUMMYFUNCTION("""COMPUTED_VALUE"""),"_challange")</f>
        <v/>
      </c>
      <c r="D111">
        <f>IFERROR(__xludf.DUMMYFUNCTION("""COMPUTED_VALUE"""),"c_mag_00001_challange_Boss_Yellow")</f>
        <v/>
      </c>
      <c r="E111">
        <f>IFERROR(__xludf.DUMMYFUNCTION("""COMPUTED_VALUE"""),"株式会社マジルミエ")</f>
        <v/>
      </c>
      <c r="F111">
        <f>IFERROR(__xludf.DUMMYFUNCTION("""COMPUTED_VALUE"""),"新人魔法少女 桜木 カナ")</f>
        <v/>
      </c>
      <c r="G111">
        <f>IFERROR(__xludf.DUMMYFUNCTION("""COMPUTED_VALUE"""),"新人魔法少女 桜木 カナ_challange")</f>
        <v/>
      </c>
      <c r="H111">
        <f>IFERROR(__xludf.DUMMYFUNCTION("""COMPUTED_VALUE"""),"Boss")</f>
        <v/>
      </c>
      <c r="I111">
        <f>IFERROR(__xludf.DUMMYFUNCTION("""COMPUTED_VALUE"""),"Attack")</f>
        <v/>
      </c>
      <c r="J111">
        <f>IFERROR(__xludf.DUMMYFUNCTION("""COMPUTED_VALUE"""),"Yellow")</f>
        <v/>
      </c>
      <c r="K111">
        <f>IFERROR(__xludf.DUMMYFUNCTION("""COMPUTED_VALUE"""),100000.0)</f>
        <v/>
      </c>
      <c r="L111">
        <f>IFERROR(__xludf.DUMMYFUNCTION("""COMPUTED_VALUE"""),2.0)</f>
        <v/>
      </c>
      <c r="M111">
        <f>IFERROR(__xludf.DUMMYFUNCTION("""COMPUTED_VALUE"""),35.0)</f>
        <v/>
      </c>
      <c r="N111">
        <f>IFERROR(__xludf.DUMMYFUNCTION("""COMPUTED_VALUE"""),0.24)</f>
        <v/>
      </c>
      <c r="O111">
        <f>IFERROR(__xludf.DUMMYFUNCTION("""COMPUTED_VALUE"""),500.0)</f>
        <v/>
      </c>
      <c r="P111">
        <f>IFERROR(__xludf.DUMMYFUNCTION("""COMPUTED_VALUE"""),0.0)</f>
        <v/>
      </c>
      <c r="Q111">
        <f>IFERROR(__xludf.DUMMYFUNCTION("""COMPUTED_VALUE"""),0.3)</f>
        <v/>
      </c>
      <c r="R111">
        <f>IFERROR(__xludf.DUMMYFUNCTION("""COMPUTED_VALUE"""),1.0)</f>
        <v/>
      </c>
      <c r="S111">
        <f>IFERROR(__xludf.DUMMYFUNCTION("""COMPUTED_VALUE"""),300.0)</f>
        <v/>
      </c>
      <c r="T111">
        <f>IFERROR(__xludf.DUMMYFUNCTION("""COMPUTED_VALUE"""),"1.77")</f>
        <v/>
      </c>
      <c r="U111">
        <f>IFERROR(__xludf.DUMMYFUNCTION("""COMPUTED_VALUE"""),"stop有:1回目 0.92")</f>
        <v/>
      </c>
      <c r="V111">
        <f>IFERROR(__xludf.DUMMYFUNCTION("""COMPUTED_VALUE"""),80.0)</f>
        <v/>
      </c>
      <c r="W111">
        <f>IFERROR(__xludf.DUMMYFUNCTION("""COMPUTED_VALUE"""),"2.33")</f>
        <v/>
      </c>
      <c r="X111">
        <f>IFERROR(__xludf.DUMMYFUNCTION("""COMPUTED_VALUE"""),"stop無:1回目 0.75
stop無:2回目 0.92
stop無:3回目 1.08
stop無:4回目 1.25
stop無:5回目 1.42
stop無:6回目 1.58")</f>
        <v/>
      </c>
      <c r="Y111">
        <f>IFERROR(__xludf.DUMMYFUNCTION("""COMPUTED_VALUE"""),"敵複数に合計400%の攻撃(6回連続攻撃)")</f>
        <v/>
      </c>
      <c r="Z111">
        <f>IFERROR(__xludf.DUMMYFUNCTION("""COMPUTED_VALUE"""),4.0)</f>
        <v/>
      </c>
      <c r="AB111">
        <f>IFERROR(__xludf.DUMMYFUNCTION("""COMPUTED_VALUE"""),"shageki_1")</f>
        <v/>
      </c>
    </row>
    <row r="112">
      <c r="B112">
        <f>IFERROR(__xludf.DUMMYFUNCTION("""COMPUTED_VALUE"""),"chara_mag_00201")</f>
        <v/>
      </c>
      <c r="C112">
        <f>IFERROR(__xludf.DUMMYFUNCTION("""COMPUTED_VALUE"""),"_challange")</f>
        <v/>
      </c>
      <c r="D112">
        <f>IFERROR(__xludf.DUMMYFUNCTION("""COMPUTED_VALUE"""),"c_mag_00201_challange_Boss_Green")</f>
        <v/>
      </c>
      <c r="E112">
        <f>IFERROR(__xludf.DUMMYFUNCTION("""COMPUTED_VALUE"""),"株式会社マジルミエ")</f>
        <v/>
      </c>
      <c r="F112">
        <f>IFERROR(__xludf.DUMMYFUNCTION("""COMPUTED_VALUE"""),"絶対効率の体現者 土刃 メイ")</f>
        <v/>
      </c>
      <c r="G112">
        <f>IFERROR(__xludf.DUMMYFUNCTION("""COMPUTED_VALUE"""),"土刃 メイ_challange")</f>
        <v/>
      </c>
      <c r="H112">
        <f>IFERROR(__xludf.DUMMYFUNCTION("""COMPUTED_VALUE"""),"Boss")</f>
        <v/>
      </c>
      <c r="I112">
        <f>IFERROR(__xludf.DUMMYFUNCTION("""COMPUTED_VALUE"""),"Attack")</f>
        <v/>
      </c>
      <c r="J112">
        <f>IFERROR(__xludf.DUMMYFUNCTION("""COMPUTED_VALUE"""),"Green")</f>
        <v/>
      </c>
      <c r="K112">
        <f>IFERROR(__xludf.DUMMYFUNCTION("""COMPUTED_VALUE"""),100000.0)</f>
        <v/>
      </c>
      <c r="L112">
        <f>IFERROR(__xludf.DUMMYFUNCTION("""COMPUTED_VALUE"""),3.0)</f>
        <v/>
      </c>
      <c r="M112">
        <f>IFERROR(__xludf.DUMMYFUNCTION("""COMPUTED_VALUE"""),40.0)</f>
        <v/>
      </c>
      <c r="N112">
        <f>IFERROR(__xludf.DUMMYFUNCTION("""COMPUTED_VALUE"""),0.25)</f>
        <v/>
      </c>
      <c r="O112">
        <f>IFERROR(__xludf.DUMMYFUNCTION("""COMPUTED_VALUE"""),500.0)</f>
        <v/>
      </c>
      <c r="P112">
        <f>IFERROR(__xludf.DUMMYFUNCTION("""COMPUTED_VALUE"""),0.0)</f>
        <v/>
      </c>
      <c r="Q112">
        <f>IFERROR(__xludf.DUMMYFUNCTION("""COMPUTED_VALUE"""),0.3)</f>
        <v/>
      </c>
      <c r="R112">
        <f>IFERROR(__xludf.DUMMYFUNCTION("""COMPUTED_VALUE"""),1.0)</f>
        <v/>
      </c>
      <c r="S112">
        <f>IFERROR(__xludf.DUMMYFUNCTION("""COMPUTED_VALUE"""),100.0)</f>
        <v/>
      </c>
      <c r="T112">
        <f>IFERROR(__xludf.DUMMYFUNCTION("""COMPUTED_VALUE"""),"1.17")</f>
        <v/>
      </c>
      <c r="U112">
        <f>IFERROR(__xludf.DUMMYFUNCTION("""COMPUTED_VALUE"""),"stop有:1回目 0.42")</f>
        <v/>
      </c>
      <c r="V112">
        <f>IFERROR(__xludf.DUMMYFUNCTION("""COMPUTED_VALUE"""),50.0)</f>
        <v/>
      </c>
      <c r="W112">
        <f>IFERROR(__xludf.DUMMYFUNCTION("""COMPUTED_VALUE"""),"2.71")</f>
        <v/>
      </c>
      <c r="X112">
        <f>IFERROR(__xludf.DUMMYFUNCTION("""COMPUTED_VALUE"""),"stop有:1回目 0.38
stop無:2回目 1.55
stop無:3回目 1.8
stop無:4回目 2.1")</f>
        <v/>
      </c>
      <c r="Y112">
        <f>IFERROR(__xludf.DUMMYFUNCTION("""COMPUTED_VALUE"""),"敵複数体に合計250%攻撃(4回攻撃)+10秒間、自身の攻撃30%up")</f>
        <v/>
      </c>
      <c r="Z112">
        <f>IFERROR(__xludf.DUMMYFUNCTION("""COMPUTED_VALUE"""),5.0)</f>
        <v/>
      </c>
      <c r="AB112">
        <f>IFERROR(__xludf.DUMMYFUNCTION("""COMPUTED_VALUE"""),"shageki_1")</f>
        <v/>
      </c>
    </row>
    <row r="113">
      <c r="B113">
        <f>IFERROR(__xludf.DUMMYFUNCTION("""COMPUTED_VALUE"""),"chara_mag_00301")</f>
        <v/>
      </c>
      <c r="C113">
        <f>IFERROR(__xludf.DUMMYFUNCTION("""COMPUTED_VALUE"""),"_challange")</f>
        <v/>
      </c>
      <c r="D113">
        <f>IFERROR(__xludf.DUMMYFUNCTION("""COMPUTED_VALUE"""),"c_mag_00301_challange_Boss_Red")</f>
        <v/>
      </c>
      <c r="E113">
        <f>IFERROR(__xludf.DUMMYFUNCTION("""COMPUTED_VALUE"""),"株式会社マジルミエ")</f>
        <v/>
      </c>
      <c r="F113">
        <f>IFERROR(__xludf.DUMMYFUNCTION("""COMPUTED_VALUE"""),"葵 リリー")</f>
        <v/>
      </c>
      <c r="G113">
        <f>IFERROR(__xludf.DUMMYFUNCTION("""COMPUTED_VALUE"""),"葵 リリー_challange")</f>
        <v/>
      </c>
      <c r="H113">
        <f>IFERROR(__xludf.DUMMYFUNCTION("""COMPUTED_VALUE"""),"Boss")</f>
        <v/>
      </c>
      <c r="I113">
        <f>IFERROR(__xludf.DUMMYFUNCTION("""COMPUTED_VALUE"""),"Defense")</f>
        <v/>
      </c>
      <c r="J113">
        <f>IFERROR(__xludf.DUMMYFUNCTION("""COMPUTED_VALUE"""),"Red")</f>
        <v/>
      </c>
      <c r="K113">
        <f>IFERROR(__xludf.DUMMYFUNCTION("""COMPUTED_VALUE"""),50000.0)</f>
        <v/>
      </c>
      <c r="L113">
        <f>IFERROR(__xludf.DUMMYFUNCTION("""COMPUTED_VALUE"""),2.0)</f>
        <v/>
      </c>
      <c r="M113">
        <f>IFERROR(__xludf.DUMMYFUNCTION("""COMPUTED_VALUE"""),35.0)</f>
        <v/>
      </c>
      <c r="N113">
        <f>IFERROR(__xludf.DUMMYFUNCTION("""COMPUTED_VALUE"""),0.22)</f>
        <v/>
      </c>
      <c r="O113">
        <f>IFERROR(__xludf.DUMMYFUNCTION("""COMPUTED_VALUE"""),400.0)</f>
        <v/>
      </c>
      <c r="P113">
        <f>IFERROR(__xludf.DUMMYFUNCTION("""COMPUTED_VALUE"""),0.0)</f>
        <v/>
      </c>
      <c r="Q113">
        <f>IFERROR(__xludf.DUMMYFUNCTION("""COMPUTED_VALUE"""),0.23)</f>
        <v/>
      </c>
      <c r="R113">
        <f>IFERROR(__xludf.DUMMYFUNCTION("""COMPUTED_VALUE"""),1.0)</f>
        <v/>
      </c>
      <c r="S113">
        <f>IFERROR(__xludf.DUMMYFUNCTION("""COMPUTED_VALUE"""),300.0)</f>
        <v/>
      </c>
      <c r="T113">
        <f>IFERROR(__xludf.DUMMYFUNCTION("""COMPUTED_VALUE"""),"1.6")</f>
        <v/>
      </c>
      <c r="U113">
        <f>IFERROR(__xludf.DUMMYFUNCTION("""COMPUTED_VALUE"""),"stop有:0.6")</f>
        <v/>
      </c>
      <c r="V113">
        <f>IFERROR(__xludf.DUMMYFUNCTION("""COMPUTED_VALUE"""),50.0)</f>
        <v/>
      </c>
      <c r="W113">
        <f>IFERROR(__xludf.DUMMYFUNCTION("""COMPUTED_VALUE"""),"2.5")</f>
        <v/>
      </c>
      <c r="X113">
        <f>IFERROR(__xludf.DUMMYFUNCTION("""COMPUTED_VALUE"""),"stop無 1")</f>
        <v/>
      </c>
      <c r="Y113">
        <f>IFERROR(__xludf.DUMMYFUNCTION("""COMPUTED_VALUE"""),"20秒間、自身が受けるダメージ30%カット")</f>
        <v/>
      </c>
      <c r="Z113">
        <f>IFERROR(__xludf.DUMMYFUNCTION("""COMPUTED_VALUE"""),6.0)</f>
        <v/>
      </c>
      <c r="AB113">
        <f>IFERROR(__xludf.DUMMYFUNCTION("""COMPUTED_VALUE"""),"dageki_1")</f>
        <v/>
      </c>
    </row>
    <row r="114">
      <c r="B114">
        <f>IFERROR(__xludf.DUMMYFUNCTION("""COMPUTED_VALUE"""),"chara_mag_00301")</f>
        <v/>
      </c>
      <c r="C114">
        <f>IFERROR(__xludf.DUMMYFUNCTION("""COMPUTED_VALUE"""),"_siget")</f>
        <v/>
      </c>
      <c r="D114">
        <f>IFERROR(__xludf.DUMMYFUNCTION("""COMPUTED_VALUE"""),"c_mag_00301_siget_Boss_Yellow")</f>
        <v/>
      </c>
      <c r="E114">
        <f>IFERROR(__xludf.DUMMYFUNCTION("""COMPUTED_VALUE"""),"株式会社マジルミエ")</f>
        <v/>
      </c>
      <c r="F114">
        <f>IFERROR(__xludf.DUMMYFUNCTION("""COMPUTED_VALUE"""),"葵 リリー")</f>
        <v/>
      </c>
      <c r="G114">
        <f>IFERROR(__xludf.DUMMYFUNCTION("""COMPUTED_VALUE"""),"葵 リリー_siget")</f>
        <v/>
      </c>
      <c r="H114">
        <f>IFERROR(__xludf.DUMMYFUNCTION("""COMPUTED_VALUE"""),"Boss")</f>
        <v/>
      </c>
      <c r="I114">
        <f>IFERROR(__xludf.DUMMYFUNCTION("""COMPUTED_VALUE"""),"Defense")</f>
        <v/>
      </c>
      <c r="J114">
        <f>IFERROR(__xludf.DUMMYFUNCTION("""COMPUTED_VALUE"""),"Yellow")</f>
        <v/>
      </c>
      <c r="K114">
        <f>IFERROR(__xludf.DUMMYFUNCTION("""COMPUTED_VALUE"""),50000.0)</f>
        <v/>
      </c>
      <c r="L114">
        <f>IFERROR(__xludf.DUMMYFUNCTION("""COMPUTED_VALUE"""),2.0)</f>
        <v/>
      </c>
      <c r="M114">
        <f>IFERROR(__xludf.DUMMYFUNCTION("""COMPUTED_VALUE"""),40.0)</f>
        <v/>
      </c>
      <c r="N114">
        <f>IFERROR(__xludf.DUMMYFUNCTION("""COMPUTED_VALUE"""),0.3)</f>
        <v/>
      </c>
      <c r="O114">
        <f>IFERROR(__xludf.DUMMYFUNCTION("""COMPUTED_VALUE"""),400.0)</f>
        <v/>
      </c>
      <c r="P114">
        <f>IFERROR(__xludf.DUMMYFUNCTION("""COMPUTED_VALUE"""),0.0)</f>
        <v/>
      </c>
      <c r="Q114">
        <f>IFERROR(__xludf.DUMMYFUNCTION("""COMPUTED_VALUE"""),0.31)</f>
        <v/>
      </c>
      <c r="R114">
        <f>IFERROR(__xludf.DUMMYFUNCTION("""COMPUTED_VALUE"""),1.0)</f>
        <v/>
      </c>
      <c r="S114">
        <f>IFERROR(__xludf.DUMMYFUNCTION("""COMPUTED_VALUE"""),300.0)</f>
        <v/>
      </c>
      <c r="T114">
        <f>IFERROR(__xludf.DUMMYFUNCTION("""COMPUTED_VALUE"""),"1.6")</f>
        <v/>
      </c>
      <c r="U114">
        <f>IFERROR(__xludf.DUMMYFUNCTION("""COMPUTED_VALUE"""),"stop有:0.6")</f>
        <v/>
      </c>
      <c r="V114">
        <f>IFERROR(__xludf.DUMMYFUNCTION("""COMPUTED_VALUE"""),60.0)</f>
        <v/>
      </c>
      <c r="W114">
        <f>IFERROR(__xludf.DUMMYFUNCTION("""COMPUTED_VALUE"""),"2.5")</f>
        <v/>
      </c>
      <c r="X114">
        <f>IFERROR(__xludf.DUMMYFUNCTION("""COMPUTED_VALUE"""),"stop無 1")</f>
        <v/>
      </c>
      <c r="Y114">
        <f>IFERROR(__xludf.DUMMYFUNCTION("""COMPUTED_VALUE"""),"20秒間、自身が受けるダメージ20%カット")</f>
        <v/>
      </c>
      <c r="Z114">
        <f>IFERROR(__xludf.DUMMYFUNCTION("""COMPUTED_VALUE"""),6.0)</f>
        <v/>
      </c>
      <c r="AB114">
        <f>IFERROR(__xludf.DUMMYFUNCTION("""COMPUTED_VALUE"""),"dageki_1")</f>
        <v/>
      </c>
    </row>
    <row r="115">
      <c r="B115">
        <f>IFERROR(__xludf.DUMMYFUNCTION("""COMPUTED_VALUE"""),"chara_mag_00401")</f>
        <v/>
      </c>
      <c r="C115">
        <f>IFERROR(__xludf.DUMMYFUNCTION("""COMPUTED_VALUE"""),"_aknget")</f>
        <v/>
      </c>
      <c r="D115">
        <f>IFERROR(__xludf.DUMMYFUNCTION("""COMPUTED_VALUE"""),"c_mag_00401_aknget_Boss_Green")</f>
        <v/>
      </c>
      <c r="E115">
        <f>IFERROR(__xludf.DUMMYFUNCTION("""COMPUTED_VALUE"""),"株式会社マジルミエ")</f>
        <v/>
      </c>
      <c r="F115">
        <f>IFERROR(__xludf.DUMMYFUNCTION("""COMPUTED_VALUE"""),"槇野 あかね")</f>
        <v/>
      </c>
      <c r="G115">
        <f>IFERROR(__xludf.DUMMYFUNCTION("""COMPUTED_VALUE"""),"槇野 あかね_aknget")</f>
        <v/>
      </c>
      <c r="H115">
        <f>IFERROR(__xludf.DUMMYFUNCTION("""COMPUTED_VALUE"""),"Boss")</f>
        <v/>
      </c>
      <c r="I115">
        <f>IFERROR(__xludf.DUMMYFUNCTION("""COMPUTED_VALUE"""),"Technical")</f>
        <v/>
      </c>
      <c r="J115">
        <f>IFERROR(__xludf.DUMMYFUNCTION("""COMPUTED_VALUE"""),"Green")</f>
        <v/>
      </c>
      <c r="K115">
        <f>IFERROR(__xludf.DUMMYFUNCTION("""COMPUTED_VALUE"""),50000.0)</f>
        <v/>
      </c>
      <c r="L115">
        <f>IFERROR(__xludf.DUMMYFUNCTION("""COMPUTED_VALUE"""),2.0)</f>
        <v/>
      </c>
      <c r="M115">
        <f>IFERROR(__xludf.DUMMYFUNCTION("""COMPUTED_VALUE"""),45.0)</f>
        <v/>
      </c>
      <c r="N115">
        <f>IFERROR(__xludf.DUMMYFUNCTION("""COMPUTED_VALUE"""),0.24)</f>
        <v/>
      </c>
      <c r="O115">
        <f>IFERROR(__xludf.DUMMYFUNCTION("""COMPUTED_VALUE"""),400.0)</f>
        <v/>
      </c>
      <c r="P115">
        <f>IFERROR(__xludf.DUMMYFUNCTION("""COMPUTED_VALUE"""),0.0)</f>
        <v/>
      </c>
      <c r="Q115">
        <f>IFERROR(__xludf.DUMMYFUNCTION("""COMPUTED_VALUE"""),0.25)</f>
        <v/>
      </c>
      <c r="R115">
        <f>IFERROR(__xludf.DUMMYFUNCTION("""COMPUTED_VALUE"""),1.0)</f>
        <v/>
      </c>
      <c r="S115">
        <f>IFERROR(__xludf.DUMMYFUNCTION("""COMPUTED_VALUE"""),300.0)</f>
        <v/>
      </c>
      <c r="T115">
        <f>IFERROR(__xludf.DUMMYFUNCTION("""COMPUTED_VALUE"""),"1.31")</f>
        <v/>
      </c>
      <c r="U115">
        <f>IFERROR(__xludf.DUMMYFUNCTION("""COMPUTED_VALUE"""),"stop有 :1回目 0.6")</f>
        <v/>
      </c>
      <c r="V115">
        <f>IFERROR(__xludf.DUMMYFUNCTION("""COMPUTED_VALUE"""),50.0)</f>
        <v/>
      </c>
      <c r="W115">
        <f>IFERROR(__xludf.DUMMYFUNCTION("""COMPUTED_VALUE"""),"1.87")</f>
        <v/>
      </c>
      <c r="X115">
        <f>IFERROR(__xludf.DUMMYFUNCTION("""COMPUTED_VALUE"""),"stop有 :1回目 0.62")</f>
        <v/>
      </c>
      <c r="Y115">
        <f>IFERROR(__xludf.DUMMYFUNCTION("""COMPUTED_VALUE"""),"単体に200%の攻撃+小ノックバック攻撃")</f>
        <v/>
      </c>
      <c r="Z115">
        <f>IFERROR(__xludf.DUMMYFUNCTION("""COMPUTED_VALUE"""),5.0)</f>
        <v/>
      </c>
      <c r="AB115">
        <f>IFERROR(__xludf.DUMMYFUNCTION("""COMPUTED_VALUE"""),"zangeki_1")</f>
        <v/>
      </c>
    </row>
    <row r="116">
      <c r="B116">
        <f>IFERROR(__xludf.DUMMYFUNCTION("""COMPUTED_VALUE"""),"chara_mag_00401")</f>
        <v/>
      </c>
      <c r="C116">
        <f>IFERROR(__xludf.DUMMYFUNCTION("""COMPUTED_VALUE"""),"_challange")</f>
        <v/>
      </c>
      <c r="D116">
        <f>IFERROR(__xludf.DUMMYFUNCTION("""COMPUTED_VALUE"""),"c_mag_00401_challange_Boss_Blue")</f>
        <v/>
      </c>
      <c r="E116">
        <f>IFERROR(__xludf.DUMMYFUNCTION("""COMPUTED_VALUE"""),"株式会社マジルミエ")</f>
        <v/>
      </c>
      <c r="F116">
        <f>IFERROR(__xludf.DUMMYFUNCTION("""COMPUTED_VALUE"""),"槇野 あかね")</f>
        <v/>
      </c>
      <c r="G116">
        <f>IFERROR(__xludf.DUMMYFUNCTION("""COMPUTED_VALUE"""),"槇野 あかね_challange")</f>
        <v/>
      </c>
      <c r="H116">
        <f>IFERROR(__xludf.DUMMYFUNCTION("""COMPUTED_VALUE"""),"Boss")</f>
        <v/>
      </c>
      <c r="I116">
        <f>IFERROR(__xludf.DUMMYFUNCTION("""COMPUTED_VALUE"""),"Attack")</f>
        <v/>
      </c>
      <c r="J116">
        <f>IFERROR(__xludf.DUMMYFUNCTION("""COMPUTED_VALUE"""),"Blue")</f>
        <v/>
      </c>
      <c r="K116">
        <f>IFERROR(__xludf.DUMMYFUNCTION("""COMPUTED_VALUE"""),100000.0)</f>
        <v/>
      </c>
      <c r="L116">
        <f>IFERROR(__xludf.DUMMYFUNCTION("""COMPUTED_VALUE"""),3.0)</f>
        <v/>
      </c>
      <c r="M116">
        <f>IFERROR(__xludf.DUMMYFUNCTION("""COMPUTED_VALUE"""),37.0)</f>
        <v/>
      </c>
      <c r="N116">
        <f>IFERROR(__xludf.DUMMYFUNCTION("""COMPUTED_VALUE"""),0.25)</f>
        <v/>
      </c>
      <c r="O116">
        <f>IFERROR(__xludf.DUMMYFUNCTION("""COMPUTED_VALUE"""),500.0)</f>
        <v/>
      </c>
      <c r="P116">
        <f>IFERROR(__xludf.DUMMYFUNCTION("""COMPUTED_VALUE"""),0.0)</f>
        <v/>
      </c>
      <c r="Q116">
        <f>IFERROR(__xludf.DUMMYFUNCTION("""COMPUTED_VALUE"""),0.26)</f>
        <v/>
      </c>
      <c r="R116">
        <f>IFERROR(__xludf.DUMMYFUNCTION("""COMPUTED_VALUE"""),1.0)</f>
        <v/>
      </c>
      <c r="S116">
        <f>IFERROR(__xludf.DUMMYFUNCTION("""COMPUTED_VALUE"""),200.0)</f>
        <v/>
      </c>
      <c r="T116">
        <f>IFERROR(__xludf.DUMMYFUNCTION("""COMPUTED_VALUE"""),"1.31")</f>
        <v/>
      </c>
      <c r="U116">
        <f>IFERROR(__xludf.DUMMYFUNCTION("""COMPUTED_VALUE"""),"stop有 :1回目 0.6")</f>
        <v/>
      </c>
      <c r="V116">
        <f>IFERROR(__xludf.DUMMYFUNCTION("""COMPUTED_VALUE"""),100.0)</f>
        <v/>
      </c>
      <c r="W116">
        <f>IFERROR(__xludf.DUMMYFUNCTION("""COMPUTED_VALUE"""),"1.87")</f>
        <v/>
      </c>
      <c r="X116">
        <f>IFERROR(__xludf.DUMMYFUNCTION("""COMPUTED_VALUE"""),"stop有 :1回目 0.62")</f>
        <v/>
      </c>
      <c r="Y116">
        <f>IFERROR(__xludf.DUMMYFUNCTION("""COMPUTED_VALUE"""),"単体に300%の攻撃+小ノックバック攻撃")</f>
        <v/>
      </c>
      <c r="Z116">
        <f>IFERROR(__xludf.DUMMYFUNCTION("""COMPUTED_VALUE"""),5.0)</f>
        <v/>
      </c>
      <c r="AB116">
        <f>IFERROR(__xludf.DUMMYFUNCTION("""COMPUTED_VALUE"""),"zangeki_1")</f>
        <v/>
      </c>
    </row>
    <row r="117">
      <c r="B117">
        <f>IFERROR(__xludf.DUMMYFUNCTION("""COMPUTED_VALUE"""),"enemy_mag_00001")</f>
        <v/>
      </c>
      <c r="C117">
        <f>IFERROR(__xludf.DUMMYFUNCTION("""COMPUTED_VALUE"""),"_challange")</f>
        <v/>
      </c>
      <c r="D117">
        <f>IFERROR(__xludf.DUMMYFUNCTION("""COMPUTED_VALUE"""),"e_mag_00001_challange_Normal_Yellow")</f>
        <v/>
      </c>
      <c r="E117">
        <f>IFERROR(__xludf.DUMMYFUNCTION("""COMPUTED_VALUE"""),"株式会社マジルミエ")</f>
        <v/>
      </c>
      <c r="F117">
        <f>IFERROR(__xludf.DUMMYFUNCTION("""COMPUTED_VALUE"""),"冷却系怪異")</f>
        <v/>
      </c>
      <c r="G117">
        <f>IFERROR(__xludf.DUMMYFUNCTION("""COMPUTED_VALUE"""),"冷却系の怪異_challange")</f>
        <v/>
      </c>
      <c r="H117">
        <f>IFERROR(__xludf.DUMMYFUNCTION("""COMPUTED_VALUE"""),"Normal")</f>
        <v/>
      </c>
      <c r="I117">
        <f>IFERROR(__xludf.DUMMYFUNCTION("""COMPUTED_VALUE"""),"Technical")</f>
        <v/>
      </c>
      <c r="J117">
        <f>IFERROR(__xludf.DUMMYFUNCTION("""COMPUTED_VALUE"""),"Yellow")</f>
        <v/>
      </c>
      <c r="K117">
        <f>IFERROR(__xludf.DUMMYFUNCTION("""COMPUTED_VALUE"""),100000.0)</f>
        <v/>
      </c>
      <c r="L117">
        <f>IFERROR(__xludf.DUMMYFUNCTION("""COMPUTED_VALUE"""),2.0)</f>
        <v/>
      </c>
      <c r="M117">
        <f>IFERROR(__xludf.DUMMYFUNCTION("""COMPUTED_VALUE"""),25.0)</f>
        <v/>
      </c>
      <c r="N117">
        <f>IFERROR(__xludf.DUMMYFUNCTION("""COMPUTED_VALUE"""),0.2)</f>
        <v/>
      </c>
      <c r="O117">
        <f>IFERROR(__xludf.DUMMYFUNCTION("""COMPUTED_VALUE"""),300.0)</f>
        <v/>
      </c>
      <c r="P117">
        <f>IFERROR(__xludf.DUMMYFUNCTION("""COMPUTED_VALUE"""),0.0)</f>
        <v/>
      </c>
      <c r="Q117">
        <f>IFERROR(__xludf.DUMMYFUNCTION("""COMPUTED_VALUE"""),0.25)</f>
        <v/>
      </c>
      <c r="R117">
        <f>IFERROR(__xludf.DUMMYFUNCTION("""COMPUTED_VALUE"""),1.0)</f>
        <v/>
      </c>
      <c r="S117">
        <f>IFERROR(__xludf.DUMMYFUNCTION("""COMPUTED_VALUE"""),200.0)</f>
        <v/>
      </c>
      <c r="T117">
        <f>IFERROR(__xludf.DUMMYFUNCTION("""COMPUTED_VALUE"""),"1.50")</f>
        <v/>
      </c>
      <c r="U117">
        <f>IFERROR(__xludf.DUMMYFUNCTION("""COMPUTED_VALUE"""),"0.80")</f>
        <v/>
      </c>
      <c r="V117">
        <f>IFERROR(__xludf.DUMMYFUNCTION("""COMPUTED_VALUE"""),200.0)</f>
        <v/>
      </c>
      <c r="W117">
        <f>IFERROR(__xludf.DUMMYFUNCTION("""COMPUTED_VALUE"""),"-")</f>
        <v/>
      </c>
      <c r="X117">
        <f>IFERROR(__xludf.DUMMYFUNCTION("""COMPUTED_VALUE"""),"-")</f>
        <v/>
      </c>
      <c r="Z117">
        <f>IFERROR(__xludf.DUMMYFUNCTION("""COMPUTED_VALUE"""),"-")</f>
        <v/>
      </c>
      <c r="AB117">
        <f>IFERROR(__xludf.DUMMYFUNCTION("""COMPUTED_VALUE"""),"shageki_1")</f>
        <v/>
      </c>
      <c r="AC117">
        <f>IFERROR(__xludf.DUMMYFUNCTION("""COMPUTED_VALUE"""),"80%の確率で、3秒間氷結状態を付与")</f>
        <v/>
      </c>
    </row>
    <row r="118">
      <c r="B118">
        <f>IFERROR(__xludf.DUMMYFUNCTION("""COMPUTED_VALUE"""),"enemy_mag_00101")</f>
        <v/>
      </c>
      <c r="C118">
        <f>IFERROR(__xludf.DUMMYFUNCTION("""COMPUTED_VALUE"""),"_challange")</f>
        <v/>
      </c>
      <c r="D118">
        <f>IFERROR(__xludf.DUMMYFUNCTION("""COMPUTED_VALUE"""),"e_mag_00101_challange_Normal_Blue")</f>
        <v/>
      </c>
      <c r="E118">
        <f>IFERROR(__xludf.DUMMYFUNCTION("""COMPUTED_VALUE"""),"株式会社マジルミエ")</f>
        <v/>
      </c>
      <c r="F118">
        <f>IFERROR(__xludf.DUMMYFUNCTION("""COMPUTED_VALUE"""),"つらら")</f>
        <v/>
      </c>
      <c r="G118">
        <f>IFERROR(__xludf.DUMMYFUNCTION("""COMPUTED_VALUE"""),"つらら_challange")</f>
        <v/>
      </c>
      <c r="H118">
        <f>IFERROR(__xludf.DUMMYFUNCTION("""COMPUTED_VALUE"""),"Normal")</f>
        <v/>
      </c>
      <c r="I118">
        <f>IFERROR(__xludf.DUMMYFUNCTION("""COMPUTED_VALUE"""),"Technical")</f>
        <v/>
      </c>
      <c r="J118">
        <f>IFERROR(__xludf.DUMMYFUNCTION("""COMPUTED_VALUE"""),"Blue")</f>
        <v/>
      </c>
      <c r="K118">
        <f>IFERROR(__xludf.DUMMYFUNCTION("""COMPUTED_VALUE"""),1000.0)</f>
        <v/>
      </c>
      <c r="L118">
        <f>IFERROR(__xludf.DUMMYFUNCTION("""COMPUTED_VALUE"""),1.0)</f>
        <v/>
      </c>
      <c r="M118">
        <f>IFERROR(__xludf.DUMMYFUNCTION("""COMPUTED_VALUE"""),80.0)</f>
        <v/>
      </c>
      <c r="N118">
        <f>IFERROR(__xludf.DUMMYFUNCTION("""COMPUTED_VALUE"""),0.11)</f>
        <v/>
      </c>
      <c r="O118">
        <f>IFERROR(__xludf.DUMMYFUNCTION("""COMPUTED_VALUE"""),400.0)</f>
        <v/>
      </c>
      <c r="P118">
        <f>IFERROR(__xludf.DUMMYFUNCTION("""COMPUTED_VALUE"""),0.0)</f>
        <v/>
      </c>
      <c r="Q118">
        <f>IFERROR(__xludf.DUMMYFUNCTION("""COMPUTED_VALUE"""),0.25)</f>
        <v/>
      </c>
      <c r="R118">
        <f>IFERROR(__xludf.DUMMYFUNCTION("""COMPUTED_VALUE"""),1.0)</f>
        <v/>
      </c>
      <c r="S118">
        <f>IFERROR(__xludf.DUMMYFUNCTION("""COMPUTED_VALUE"""),0.0)</f>
        <v/>
      </c>
      <c r="T118">
        <f>IFERROR(__xludf.DUMMYFUNCTION("""COMPUTED_VALUE"""),"0.37")</f>
        <v/>
      </c>
      <c r="U118">
        <f>IFERROR(__xludf.DUMMYFUNCTION("""COMPUTED_VALUE"""),"stop有:1回目 0.20")</f>
        <v/>
      </c>
      <c r="V118">
        <f>IFERROR(__xludf.DUMMYFUNCTION("""COMPUTED_VALUE"""),50.0)</f>
        <v/>
      </c>
      <c r="W118">
        <f>IFERROR(__xludf.DUMMYFUNCTION("""COMPUTED_VALUE"""),"-")</f>
        <v/>
      </c>
      <c r="X118">
        <f>IFERROR(__xludf.DUMMYFUNCTION("""COMPUTED_VALUE"""),"-")</f>
        <v/>
      </c>
      <c r="Z118">
        <f>IFERROR(__xludf.DUMMYFUNCTION("""COMPUTED_VALUE"""),"-")</f>
        <v/>
      </c>
      <c r="AB118">
        <f>IFERROR(__xludf.DUMMYFUNCTION("""COMPUTED_VALUE"""),"zangeki_1")</f>
        <v/>
      </c>
      <c r="AC118">
        <f>IFERROR(__xludf.DUMMYFUNCTION("""COMPUTED_VALUE"""),"100%の確率で、2秒間氷結状態を付与+自身に即死ダメージ")</f>
        <v/>
      </c>
    </row>
    <row r="119">
      <c r="B119">
        <f>IFERROR(__xludf.DUMMYFUNCTION("""COMPUTED_VALUE"""),"enemy_mag_00201")</f>
        <v/>
      </c>
      <c r="C119">
        <f>IFERROR(__xludf.DUMMYFUNCTION("""COMPUTED_VALUE"""),"_siget")</f>
        <v/>
      </c>
      <c r="D119">
        <f>IFERROR(__xludf.DUMMYFUNCTION("""COMPUTED_VALUE"""),"e_mag_00201_siget_Boss_Colorless")</f>
        <v/>
      </c>
      <c r="E119">
        <f>IFERROR(__xludf.DUMMYFUNCTION("""COMPUTED_VALUE"""),"株式会社マジルミエ")</f>
        <v/>
      </c>
      <c r="F119">
        <f>IFERROR(__xludf.DUMMYFUNCTION("""COMPUTED_VALUE"""),"建造物寄生型の怪異 (大)")</f>
        <v/>
      </c>
      <c r="G119">
        <f>IFERROR(__xludf.DUMMYFUNCTION("""COMPUTED_VALUE"""),"建造物寄生型の怪異（大）_siget")</f>
        <v/>
      </c>
      <c r="H119">
        <f>IFERROR(__xludf.DUMMYFUNCTION("""COMPUTED_VALUE"""),"Boss")</f>
        <v/>
      </c>
      <c r="I119">
        <f>IFERROR(__xludf.DUMMYFUNCTION("""COMPUTED_VALUE"""),"Defense")</f>
        <v/>
      </c>
      <c r="J119">
        <f>IFERROR(__xludf.DUMMYFUNCTION("""COMPUTED_VALUE"""),"Colorless")</f>
        <v/>
      </c>
      <c r="K119">
        <f>IFERROR(__xludf.DUMMYFUNCTION("""COMPUTED_VALUE"""),30000.0)</f>
        <v/>
      </c>
      <c r="L119">
        <f>IFERROR(__xludf.DUMMYFUNCTION("""COMPUTED_VALUE"""),2.0)</f>
        <v/>
      </c>
      <c r="M119">
        <f>IFERROR(__xludf.DUMMYFUNCTION("""COMPUTED_VALUE"""),25.0)</f>
        <v/>
      </c>
      <c r="N119">
        <f>IFERROR(__xludf.DUMMYFUNCTION("""COMPUTED_VALUE"""),0.18)</f>
        <v/>
      </c>
      <c r="O119">
        <f>IFERROR(__xludf.DUMMYFUNCTION("""COMPUTED_VALUE"""),100.0)</f>
        <v/>
      </c>
      <c r="P119">
        <f>IFERROR(__xludf.DUMMYFUNCTION("""COMPUTED_VALUE"""),0.0)</f>
        <v/>
      </c>
      <c r="Q119">
        <f>IFERROR(__xludf.DUMMYFUNCTION("""COMPUTED_VALUE"""),0.3)</f>
        <v/>
      </c>
      <c r="R119">
        <f>IFERROR(__xludf.DUMMYFUNCTION("""COMPUTED_VALUE"""),100.0)</f>
        <v/>
      </c>
      <c r="S119">
        <f>IFERROR(__xludf.DUMMYFUNCTION("""COMPUTED_VALUE"""),300.0)</f>
        <v/>
      </c>
      <c r="T119">
        <f>IFERROR(__xludf.DUMMYFUNCTION("""COMPUTED_VALUE"""),"1.50")</f>
        <v/>
      </c>
      <c r="U119">
        <f>IFERROR(__xludf.DUMMYFUNCTION("""COMPUTED_VALUE"""),"0.74")</f>
        <v/>
      </c>
      <c r="V119">
        <f>IFERROR(__xludf.DUMMYFUNCTION("""COMPUTED_VALUE"""),90.0)</f>
        <v/>
      </c>
      <c r="W119">
        <f>IFERROR(__xludf.DUMMYFUNCTION("""COMPUTED_VALUE"""),"-")</f>
        <v/>
      </c>
      <c r="X119">
        <f>IFERROR(__xludf.DUMMYFUNCTION("""COMPUTED_VALUE"""),"-")</f>
        <v/>
      </c>
      <c r="Z119">
        <f>IFERROR(__xludf.DUMMYFUNCTION("""COMPUTED_VALUE"""),"-")</f>
        <v/>
      </c>
      <c r="AB119">
        <f>IFERROR(__xludf.DUMMYFUNCTION("""COMPUTED_VALUE"""),"dageki_1")</f>
        <v/>
      </c>
    </row>
    <row r="120">
      <c r="B120">
        <f>IFERROR(__xludf.DUMMYFUNCTION("""COMPUTED_VALUE"""),"enemy_mag_00201")</f>
        <v/>
      </c>
      <c r="C120">
        <f>IFERROR(__xludf.DUMMYFUNCTION("""COMPUTED_VALUE"""),"_challange")</f>
        <v/>
      </c>
      <c r="D120">
        <f>IFERROR(__xludf.DUMMYFUNCTION("""COMPUTED_VALUE"""),"e_mag_00201_challange_Normal_Green")</f>
        <v/>
      </c>
      <c r="E120">
        <f>IFERROR(__xludf.DUMMYFUNCTION("""COMPUTED_VALUE"""),"株式会社マジルミエ")</f>
        <v/>
      </c>
      <c r="F120">
        <f>IFERROR(__xludf.DUMMYFUNCTION("""COMPUTED_VALUE"""),"建造物寄生型の怪異 (大)")</f>
        <v/>
      </c>
      <c r="G120">
        <f>IFERROR(__xludf.DUMMYFUNCTION("""COMPUTED_VALUE"""),"建造物寄生型の怪異（大）_challange")</f>
        <v/>
      </c>
      <c r="H120">
        <f>IFERROR(__xludf.DUMMYFUNCTION("""COMPUTED_VALUE"""),"Normal")</f>
        <v/>
      </c>
      <c r="I120">
        <f>IFERROR(__xludf.DUMMYFUNCTION("""COMPUTED_VALUE"""),"Defense")</f>
        <v/>
      </c>
      <c r="J120">
        <f>IFERROR(__xludf.DUMMYFUNCTION("""COMPUTED_VALUE"""),"Green")</f>
        <v/>
      </c>
      <c r="K120">
        <f>IFERROR(__xludf.DUMMYFUNCTION("""COMPUTED_VALUE"""),100000.0)</f>
        <v/>
      </c>
      <c r="L120">
        <f>IFERROR(__xludf.DUMMYFUNCTION("""COMPUTED_VALUE"""),2.0)</f>
        <v/>
      </c>
      <c r="M120">
        <f>IFERROR(__xludf.DUMMYFUNCTION("""COMPUTED_VALUE"""),30.0)</f>
        <v/>
      </c>
      <c r="N120">
        <f>IFERROR(__xludf.DUMMYFUNCTION("""COMPUTED_VALUE"""),0.17)</f>
        <v/>
      </c>
      <c r="O120">
        <f>IFERROR(__xludf.DUMMYFUNCTION("""COMPUTED_VALUE"""),500.0)</f>
        <v/>
      </c>
      <c r="P120">
        <f>IFERROR(__xludf.DUMMYFUNCTION("""COMPUTED_VALUE"""),0.0)</f>
        <v/>
      </c>
      <c r="Q120">
        <f>IFERROR(__xludf.DUMMYFUNCTION("""COMPUTED_VALUE"""),0.27)</f>
        <v/>
      </c>
      <c r="R120">
        <f>IFERROR(__xludf.DUMMYFUNCTION("""COMPUTED_VALUE"""),100.0)</f>
        <v/>
      </c>
      <c r="S120">
        <f>IFERROR(__xludf.DUMMYFUNCTION("""COMPUTED_VALUE"""),100.0)</f>
        <v/>
      </c>
      <c r="T120">
        <f>IFERROR(__xludf.DUMMYFUNCTION("""COMPUTED_VALUE"""),"1.50")</f>
        <v/>
      </c>
      <c r="U120">
        <f>IFERROR(__xludf.DUMMYFUNCTION("""COMPUTED_VALUE"""),"0.74")</f>
        <v/>
      </c>
      <c r="V120">
        <f>IFERROR(__xludf.DUMMYFUNCTION("""COMPUTED_VALUE"""),100.0)</f>
        <v/>
      </c>
      <c r="W120">
        <f>IFERROR(__xludf.DUMMYFUNCTION("""COMPUTED_VALUE"""),"-")</f>
        <v/>
      </c>
      <c r="X120">
        <f>IFERROR(__xludf.DUMMYFUNCTION("""COMPUTED_VALUE"""),"-")</f>
        <v/>
      </c>
      <c r="Z120">
        <f>IFERROR(__xludf.DUMMYFUNCTION("""COMPUTED_VALUE"""),"-")</f>
        <v/>
      </c>
      <c r="AA120">
        <f>IFERROR(__xludf.DUMMYFUNCTION("""COMPUTED_VALUE"""),"ノックバック無効")</f>
        <v/>
      </c>
      <c r="AB120">
        <f>IFERROR(__xludf.DUMMYFUNCTION("""COMPUTED_VALUE"""),"dageki_1")</f>
        <v/>
      </c>
    </row>
    <row r="121">
      <c r="B121">
        <f>IFERROR(__xludf.DUMMYFUNCTION("""COMPUTED_VALUE"""),"enemy_mag_00201")</f>
        <v/>
      </c>
      <c r="C121">
        <f>IFERROR(__xludf.DUMMYFUNCTION("""COMPUTED_VALUE"""),"_aknget")</f>
        <v/>
      </c>
      <c r="D121">
        <f>IFERROR(__xludf.DUMMYFUNCTION("""COMPUTED_VALUE"""),"e_mag_00201_aknget_Boss_Green")</f>
        <v/>
      </c>
      <c r="E121">
        <f>IFERROR(__xludf.DUMMYFUNCTION("""COMPUTED_VALUE"""),"株式会社マジルミエ")</f>
        <v/>
      </c>
      <c r="F121">
        <f>IFERROR(__xludf.DUMMYFUNCTION("""COMPUTED_VALUE"""),"建造物寄生型の怪異 (大)")</f>
        <v/>
      </c>
      <c r="G121">
        <f>IFERROR(__xludf.DUMMYFUNCTION("""COMPUTED_VALUE"""),"建造物寄生型の怪異（大）_aknget")</f>
        <v/>
      </c>
      <c r="H121">
        <f>IFERROR(__xludf.DUMMYFUNCTION("""COMPUTED_VALUE"""),"Boss")</f>
        <v/>
      </c>
      <c r="I121">
        <f>IFERROR(__xludf.DUMMYFUNCTION("""COMPUTED_VALUE"""),"Defense")</f>
        <v/>
      </c>
      <c r="J121">
        <f>IFERROR(__xludf.DUMMYFUNCTION("""COMPUTED_VALUE"""),"Green")</f>
        <v/>
      </c>
      <c r="K121">
        <f>IFERROR(__xludf.DUMMYFUNCTION("""COMPUTED_VALUE"""),30000.0)</f>
        <v/>
      </c>
      <c r="L121">
        <f>IFERROR(__xludf.DUMMYFUNCTION("""COMPUTED_VALUE"""),2.0)</f>
        <v/>
      </c>
      <c r="M121">
        <f>IFERROR(__xludf.DUMMYFUNCTION("""COMPUTED_VALUE"""),25.0)</f>
        <v/>
      </c>
      <c r="N121">
        <f>IFERROR(__xludf.DUMMYFUNCTION("""COMPUTED_VALUE"""),0.18)</f>
        <v/>
      </c>
      <c r="O121">
        <f>IFERROR(__xludf.DUMMYFUNCTION("""COMPUTED_VALUE"""),100.0)</f>
        <v/>
      </c>
      <c r="P121">
        <f>IFERROR(__xludf.DUMMYFUNCTION("""COMPUTED_VALUE"""),0.0)</f>
        <v/>
      </c>
      <c r="Q121">
        <f>IFERROR(__xludf.DUMMYFUNCTION("""COMPUTED_VALUE"""),0.3)</f>
        <v/>
      </c>
      <c r="R121">
        <f>IFERROR(__xludf.DUMMYFUNCTION("""COMPUTED_VALUE"""),100.0)</f>
        <v/>
      </c>
      <c r="S121">
        <f>IFERROR(__xludf.DUMMYFUNCTION("""COMPUTED_VALUE"""),300.0)</f>
        <v/>
      </c>
      <c r="T121">
        <f>IFERROR(__xludf.DUMMYFUNCTION("""COMPUTED_VALUE"""),"1.50")</f>
        <v/>
      </c>
      <c r="U121">
        <f>IFERROR(__xludf.DUMMYFUNCTION("""COMPUTED_VALUE"""),"0.74")</f>
        <v/>
      </c>
      <c r="V121">
        <f>IFERROR(__xludf.DUMMYFUNCTION("""COMPUTED_VALUE"""),100.0)</f>
        <v/>
      </c>
      <c r="W121">
        <f>IFERROR(__xludf.DUMMYFUNCTION("""COMPUTED_VALUE"""),"-")</f>
        <v/>
      </c>
      <c r="X121">
        <f>IFERROR(__xludf.DUMMYFUNCTION("""COMPUTED_VALUE"""),"-")</f>
        <v/>
      </c>
      <c r="Z121">
        <f>IFERROR(__xludf.DUMMYFUNCTION("""COMPUTED_VALUE"""),"-")</f>
        <v/>
      </c>
      <c r="AB121">
        <f>IFERROR(__xludf.DUMMYFUNCTION("""COMPUTED_VALUE"""),"dageki_1")</f>
        <v/>
      </c>
      <c r="AC121">
        <f>IFERROR(__xludf.DUMMYFUNCTION("""COMPUTED_VALUE"""),"40%の確率で2秒間スタン")</f>
        <v/>
      </c>
    </row>
    <row r="122">
      <c r="B122">
        <f>IFERROR(__xludf.DUMMYFUNCTION("""COMPUTED_VALUE"""),"enemy_mag_00201")</f>
        <v/>
      </c>
      <c r="C122">
        <f>IFERROR(__xludf.DUMMYFUNCTION("""COMPUTED_VALUE"""),"_savage")</f>
        <v/>
      </c>
      <c r="D122">
        <f>IFERROR(__xludf.DUMMYFUNCTION("""COMPUTED_VALUE"""),"e_mag_00201_savage_Boss_Yellow")</f>
        <v/>
      </c>
      <c r="E122">
        <f>IFERROR(__xludf.DUMMYFUNCTION("""COMPUTED_VALUE"""),"株式会社マジルミエ")</f>
        <v/>
      </c>
      <c r="F122">
        <f>IFERROR(__xludf.DUMMYFUNCTION("""COMPUTED_VALUE"""),"建造物寄生型の怪異 (大)")</f>
        <v/>
      </c>
      <c r="G122">
        <f>IFERROR(__xludf.DUMMYFUNCTION("""COMPUTED_VALUE"""),"建造物寄生型の怪異（大）_savage")</f>
        <v/>
      </c>
      <c r="H122">
        <f>IFERROR(__xludf.DUMMYFUNCTION("""COMPUTED_VALUE"""),"Boss")</f>
        <v/>
      </c>
      <c r="I122">
        <f>IFERROR(__xludf.DUMMYFUNCTION("""COMPUTED_VALUE"""),"Defense")</f>
        <v/>
      </c>
      <c r="J122">
        <f>IFERROR(__xludf.DUMMYFUNCTION("""COMPUTED_VALUE"""),"Yellow")</f>
        <v/>
      </c>
      <c r="K122">
        <f>IFERROR(__xludf.DUMMYFUNCTION("""COMPUTED_VALUE"""),300000.0)</f>
        <v/>
      </c>
      <c r="L122">
        <f>IFERROR(__xludf.DUMMYFUNCTION("""COMPUTED_VALUE"""),3.0)</f>
        <v/>
      </c>
      <c r="M122">
        <f>IFERROR(__xludf.DUMMYFUNCTION("""COMPUTED_VALUE"""),25.0)</f>
        <v/>
      </c>
      <c r="N122">
        <f>IFERROR(__xludf.DUMMYFUNCTION("""COMPUTED_VALUE"""),0.17)</f>
        <v/>
      </c>
      <c r="O122">
        <f>IFERROR(__xludf.DUMMYFUNCTION("""COMPUTED_VALUE"""),500.0)</f>
        <v/>
      </c>
      <c r="P122">
        <f>IFERROR(__xludf.DUMMYFUNCTION("""COMPUTED_VALUE"""),0.0)</f>
        <v/>
      </c>
      <c r="Q122">
        <f>IFERROR(__xludf.DUMMYFUNCTION("""COMPUTED_VALUE"""),0.22)</f>
        <v/>
      </c>
      <c r="R122">
        <f>IFERROR(__xludf.DUMMYFUNCTION("""COMPUTED_VALUE"""),100.0)</f>
        <v/>
      </c>
      <c r="S122">
        <f>IFERROR(__xludf.DUMMYFUNCTION("""COMPUTED_VALUE"""),100.0)</f>
        <v/>
      </c>
      <c r="T122">
        <f>IFERROR(__xludf.DUMMYFUNCTION("""COMPUTED_VALUE"""),"1.50")</f>
        <v/>
      </c>
      <c r="U122">
        <f>IFERROR(__xludf.DUMMYFUNCTION("""COMPUTED_VALUE"""),"0.74")</f>
        <v/>
      </c>
      <c r="V122">
        <f>IFERROR(__xludf.DUMMYFUNCTION("""COMPUTED_VALUE"""),80.0)</f>
        <v/>
      </c>
      <c r="W122">
        <f>IFERROR(__xludf.DUMMYFUNCTION("""COMPUTED_VALUE"""),"-")</f>
        <v/>
      </c>
      <c r="X122">
        <f>IFERROR(__xludf.DUMMYFUNCTION("""COMPUTED_VALUE"""),"-")</f>
        <v/>
      </c>
      <c r="Z122">
        <f>IFERROR(__xludf.DUMMYFUNCTION("""COMPUTED_VALUE"""),"-")</f>
        <v/>
      </c>
      <c r="AA122">
        <f>IFERROR(__xludf.DUMMYFUNCTION("""COMPUTED_VALUE"""),"ノックバック無効")</f>
        <v/>
      </c>
      <c r="AB122">
        <f>IFERROR(__xludf.DUMMYFUNCTION("""COMPUTED_VALUE"""),"dageki_1")</f>
        <v/>
      </c>
    </row>
    <row r="123">
      <c r="B123">
        <f>IFERROR(__xludf.DUMMYFUNCTION("""COMPUTED_VALUE"""),"enemy_mag_00301")</f>
        <v/>
      </c>
      <c r="C123">
        <f>IFERROR(__xludf.DUMMYFUNCTION("""COMPUTED_VALUE"""),"_1d1c")</f>
        <v/>
      </c>
      <c r="D123">
        <f>IFERROR(__xludf.DUMMYFUNCTION("""COMPUTED_VALUE"""),"e_mag_00301_1d1c_Normal_Colorless")</f>
        <v/>
      </c>
      <c r="E123">
        <f>IFERROR(__xludf.DUMMYFUNCTION("""COMPUTED_VALUE"""),"株式会社マジルミエ")</f>
        <v/>
      </c>
      <c r="F123">
        <f>IFERROR(__xludf.DUMMYFUNCTION("""COMPUTED_VALUE"""),"建造物寄生型の怪異")</f>
        <v/>
      </c>
      <c r="G123">
        <f>IFERROR(__xludf.DUMMYFUNCTION("""COMPUTED_VALUE"""),"建造物寄生型の怪異（小）_1d1c")</f>
        <v/>
      </c>
      <c r="H123">
        <f>IFERROR(__xludf.DUMMYFUNCTION("""COMPUTED_VALUE"""),"Normal")</f>
        <v/>
      </c>
      <c r="I123">
        <f>IFERROR(__xludf.DUMMYFUNCTION("""COMPUTED_VALUE"""),"Attack")</f>
        <v/>
      </c>
      <c r="J123">
        <f>IFERROR(__xludf.DUMMYFUNCTION("""COMPUTED_VALUE"""),"Colorless")</f>
        <v/>
      </c>
      <c r="K123">
        <f>IFERROR(__xludf.DUMMYFUNCTION("""COMPUTED_VALUE"""),10000.0)</f>
        <v/>
      </c>
      <c r="L123">
        <f>IFERROR(__xludf.DUMMYFUNCTION("""COMPUTED_VALUE"""),3.0)</f>
        <v/>
      </c>
      <c r="M123">
        <f>IFERROR(__xludf.DUMMYFUNCTION("""COMPUTED_VALUE"""),30.0)</f>
        <v/>
      </c>
      <c r="N123">
        <f>IFERROR(__xludf.DUMMYFUNCTION("""COMPUTED_VALUE"""),0.2)</f>
        <v/>
      </c>
      <c r="O123">
        <f>IFERROR(__xludf.DUMMYFUNCTION("""COMPUTED_VALUE"""),300.0)</f>
        <v/>
      </c>
      <c r="P123">
        <f>IFERROR(__xludf.DUMMYFUNCTION("""COMPUTED_VALUE"""),0.0)</f>
        <v/>
      </c>
      <c r="Q123">
        <f>IFERROR(__xludf.DUMMYFUNCTION("""COMPUTED_VALUE"""),0.21)</f>
        <v/>
      </c>
      <c r="R123">
        <f>IFERROR(__xludf.DUMMYFUNCTION("""COMPUTED_VALUE"""),1.0)</f>
        <v/>
      </c>
      <c r="S123">
        <f>IFERROR(__xludf.DUMMYFUNCTION("""COMPUTED_VALUE"""),1000.0)</f>
        <v/>
      </c>
      <c r="T123">
        <f>IFERROR(__xludf.DUMMYFUNCTION("""COMPUTED_VALUE"""),"1.50")</f>
        <v/>
      </c>
      <c r="U123">
        <f>IFERROR(__xludf.DUMMYFUNCTION("""COMPUTED_VALUE"""),"0.74")</f>
        <v/>
      </c>
      <c r="V123">
        <f>IFERROR(__xludf.DUMMYFUNCTION("""COMPUTED_VALUE"""),100.0)</f>
        <v/>
      </c>
      <c r="W123">
        <f>IFERROR(__xludf.DUMMYFUNCTION("""COMPUTED_VALUE"""),"-")</f>
        <v/>
      </c>
      <c r="X123">
        <f>IFERROR(__xludf.DUMMYFUNCTION("""COMPUTED_VALUE"""),"-")</f>
        <v/>
      </c>
      <c r="Z123">
        <f>IFERROR(__xludf.DUMMYFUNCTION("""COMPUTED_VALUE"""),"-")</f>
        <v/>
      </c>
      <c r="AB123">
        <f>IFERROR(__xludf.DUMMYFUNCTION("""COMPUTED_VALUE"""),"dageki_2")</f>
        <v/>
      </c>
    </row>
    <row r="124">
      <c r="B124">
        <f>IFERROR(__xludf.DUMMYFUNCTION("""COMPUTED_VALUE"""),"enemy_mag_00301")</f>
        <v/>
      </c>
      <c r="C124">
        <f>IFERROR(__xludf.DUMMYFUNCTION("""COMPUTED_VALUE"""),"_siget")</f>
        <v/>
      </c>
      <c r="D124">
        <f>IFERROR(__xludf.DUMMYFUNCTION("""COMPUTED_VALUE"""),"e_mag_00301_siget_Normal_Colorless")</f>
        <v/>
      </c>
      <c r="E124">
        <f>IFERROR(__xludf.DUMMYFUNCTION("""COMPUTED_VALUE"""),"株式会社マジルミエ")</f>
        <v/>
      </c>
      <c r="F124">
        <f>IFERROR(__xludf.DUMMYFUNCTION("""COMPUTED_VALUE"""),"建造物寄生型の怪異")</f>
        <v/>
      </c>
      <c r="G124">
        <f>IFERROR(__xludf.DUMMYFUNCTION("""COMPUTED_VALUE"""),"建造物寄生型の怪異（小）_siget")</f>
        <v/>
      </c>
      <c r="H124">
        <f>IFERROR(__xludf.DUMMYFUNCTION("""COMPUTED_VALUE"""),"Normal")</f>
        <v/>
      </c>
      <c r="I124">
        <f>IFERROR(__xludf.DUMMYFUNCTION("""COMPUTED_VALUE"""),"Attack")</f>
        <v/>
      </c>
      <c r="J124">
        <f>IFERROR(__xludf.DUMMYFUNCTION("""COMPUTED_VALUE"""),"Colorless")</f>
        <v/>
      </c>
      <c r="K124">
        <f>IFERROR(__xludf.DUMMYFUNCTION("""COMPUTED_VALUE"""),10000.0)</f>
        <v/>
      </c>
      <c r="L124">
        <f>IFERROR(__xludf.DUMMYFUNCTION("""COMPUTED_VALUE"""),3.0)</f>
        <v/>
      </c>
      <c r="M124">
        <f>IFERROR(__xludf.DUMMYFUNCTION("""COMPUTED_VALUE"""),30.0)</f>
        <v/>
      </c>
      <c r="N124">
        <f>IFERROR(__xludf.DUMMYFUNCTION("""COMPUTED_VALUE"""),0.2)</f>
        <v/>
      </c>
      <c r="O124">
        <f>IFERROR(__xludf.DUMMYFUNCTION("""COMPUTED_VALUE"""),300.0)</f>
        <v/>
      </c>
      <c r="P124">
        <f>IFERROR(__xludf.DUMMYFUNCTION("""COMPUTED_VALUE"""),0.0)</f>
        <v/>
      </c>
      <c r="Q124">
        <f>IFERROR(__xludf.DUMMYFUNCTION("""COMPUTED_VALUE"""),0.21)</f>
        <v/>
      </c>
      <c r="R124">
        <f>IFERROR(__xludf.DUMMYFUNCTION("""COMPUTED_VALUE"""),1.0)</f>
        <v/>
      </c>
      <c r="S124">
        <f>IFERROR(__xludf.DUMMYFUNCTION("""COMPUTED_VALUE"""),100.0)</f>
        <v/>
      </c>
      <c r="T124">
        <f>IFERROR(__xludf.DUMMYFUNCTION("""COMPUTED_VALUE"""),"1.50")</f>
        <v/>
      </c>
      <c r="U124">
        <f>IFERROR(__xludf.DUMMYFUNCTION("""COMPUTED_VALUE"""),"0.74")</f>
        <v/>
      </c>
      <c r="V124">
        <f>IFERROR(__xludf.DUMMYFUNCTION("""COMPUTED_VALUE"""),75.0)</f>
        <v/>
      </c>
      <c r="W124">
        <f>IFERROR(__xludf.DUMMYFUNCTION("""COMPUTED_VALUE"""),"-")</f>
        <v/>
      </c>
      <c r="X124">
        <f>IFERROR(__xludf.DUMMYFUNCTION("""COMPUTED_VALUE"""),"-")</f>
        <v/>
      </c>
      <c r="Z124">
        <f>IFERROR(__xludf.DUMMYFUNCTION("""COMPUTED_VALUE"""),"-")</f>
        <v/>
      </c>
      <c r="AB124">
        <f>IFERROR(__xludf.DUMMYFUNCTION("""COMPUTED_VALUE"""),"dageki_2")</f>
        <v/>
      </c>
    </row>
    <row r="125">
      <c r="B125">
        <f>IFERROR(__xludf.DUMMYFUNCTION("""COMPUTED_VALUE"""),"enemy_mag_00301")</f>
        <v/>
      </c>
      <c r="C125">
        <f>IFERROR(__xludf.DUMMYFUNCTION("""COMPUTED_VALUE"""),"_challange")</f>
        <v/>
      </c>
      <c r="D125">
        <f>IFERROR(__xludf.DUMMYFUNCTION("""COMPUTED_VALUE"""),"e_mag_00301_challange_Normal_Red")</f>
        <v/>
      </c>
      <c r="E125">
        <f>IFERROR(__xludf.DUMMYFUNCTION("""COMPUTED_VALUE"""),"株式会社マジルミエ")</f>
        <v/>
      </c>
      <c r="F125">
        <f>IFERROR(__xludf.DUMMYFUNCTION("""COMPUTED_VALUE"""),"建造物寄生型の怪異")</f>
        <v/>
      </c>
      <c r="G125">
        <f>IFERROR(__xludf.DUMMYFUNCTION("""COMPUTED_VALUE"""),"建造物寄生型の怪異（小）_challange")</f>
        <v/>
      </c>
      <c r="H125">
        <f>IFERROR(__xludf.DUMMYFUNCTION("""COMPUTED_VALUE"""),"Normal")</f>
        <v/>
      </c>
      <c r="I125">
        <f>IFERROR(__xludf.DUMMYFUNCTION("""COMPUTED_VALUE"""),"Attack")</f>
        <v/>
      </c>
      <c r="J125">
        <f>IFERROR(__xludf.DUMMYFUNCTION("""COMPUTED_VALUE"""),"Red")</f>
        <v/>
      </c>
      <c r="K125">
        <f>IFERROR(__xludf.DUMMYFUNCTION("""COMPUTED_VALUE"""),10000.0)</f>
        <v/>
      </c>
      <c r="L125">
        <f>IFERROR(__xludf.DUMMYFUNCTION("""COMPUTED_VALUE"""),3.0)</f>
        <v/>
      </c>
      <c r="M125">
        <f>IFERROR(__xludf.DUMMYFUNCTION("""COMPUTED_VALUE"""),30.0)</f>
        <v/>
      </c>
      <c r="N125">
        <f>IFERROR(__xludf.DUMMYFUNCTION("""COMPUTED_VALUE"""),0.2)</f>
        <v/>
      </c>
      <c r="O125">
        <f>IFERROR(__xludf.DUMMYFUNCTION("""COMPUTED_VALUE"""),300.0)</f>
        <v/>
      </c>
      <c r="P125">
        <f>IFERROR(__xludf.DUMMYFUNCTION("""COMPUTED_VALUE"""),0.0)</f>
        <v/>
      </c>
      <c r="Q125">
        <f>IFERROR(__xludf.DUMMYFUNCTION("""COMPUTED_VALUE"""),0.21)</f>
        <v/>
      </c>
      <c r="R125">
        <f>IFERROR(__xludf.DUMMYFUNCTION("""COMPUTED_VALUE"""),1.0)</f>
        <v/>
      </c>
      <c r="S125">
        <f>IFERROR(__xludf.DUMMYFUNCTION("""COMPUTED_VALUE"""),100.0)</f>
        <v/>
      </c>
      <c r="T125">
        <f>IFERROR(__xludf.DUMMYFUNCTION("""COMPUTED_VALUE"""),"1.50")</f>
        <v/>
      </c>
      <c r="U125">
        <f>IFERROR(__xludf.DUMMYFUNCTION("""COMPUTED_VALUE"""),"0.74")</f>
        <v/>
      </c>
      <c r="V125">
        <f>IFERROR(__xludf.DUMMYFUNCTION("""COMPUTED_VALUE"""),75.0)</f>
        <v/>
      </c>
      <c r="W125">
        <f>IFERROR(__xludf.DUMMYFUNCTION("""COMPUTED_VALUE"""),"-")</f>
        <v/>
      </c>
      <c r="X125">
        <f>IFERROR(__xludf.DUMMYFUNCTION("""COMPUTED_VALUE"""),"-")</f>
        <v/>
      </c>
      <c r="Z125">
        <f>IFERROR(__xludf.DUMMYFUNCTION("""COMPUTED_VALUE"""),"-")</f>
        <v/>
      </c>
      <c r="AB125">
        <f>IFERROR(__xludf.DUMMYFUNCTION("""COMPUTED_VALUE"""),"dageki_2")</f>
        <v/>
      </c>
    </row>
    <row r="126">
      <c r="B126">
        <f>IFERROR(__xludf.DUMMYFUNCTION("""COMPUTED_VALUE"""),"enemy_mag_00301")</f>
        <v/>
      </c>
      <c r="C126">
        <f>IFERROR(__xludf.DUMMYFUNCTION("""COMPUTED_VALUE"""),"_aknget")</f>
        <v/>
      </c>
      <c r="D126">
        <f>IFERROR(__xludf.DUMMYFUNCTION("""COMPUTED_VALUE"""),"e_mag_00301_aknget_Normal_Green")</f>
        <v/>
      </c>
      <c r="E126">
        <f>IFERROR(__xludf.DUMMYFUNCTION("""COMPUTED_VALUE"""),"株式会社マジルミエ")</f>
        <v/>
      </c>
      <c r="F126">
        <f>IFERROR(__xludf.DUMMYFUNCTION("""COMPUTED_VALUE"""),"建造物寄生型の怪異")</f>
        <v/>
      </c>
      <c r="G126">
        <f>IFERROR(__xludf.DUMMYFUNCTION("""COMPUTED_VALUE"""),"建造物寄生型の怪異（小）_aknget")</f>
        <v/>
      </c>
      <c r="H126">
        <f>IFERROR(__xludf.DUMMYFUNCTION("""COMPUTED_VALUE"""),"Normal")</f>
        <v/>
      </c>
      <c r="I126">
        <f>IFERROR(__xludf.DUMMYFUNCTION("""COMPUTED_VALUE"""),"Attack")</f>
        <v/>
      </c>
      <c r="J126">
        <f>IFERROR(__xludf.DUMMYFUNCTION("""COMPUTED_VALUE"""),"Green")</f>
        <v/>
      </c>
      <c r="K126">
        <f>IFERROR(__xludf.DUMMYFUNCTION("""COMPUTED_VALUE"""),10000.0)</f>
        <v/>
      </c>
      <c r="L126">
        <f>IFERROR(__xludf.DUMMYFUNCTION("""COMPUTED_VALUE"""),3.0)</f>
        <v/>
      </c>
      <c r="M126">
        <f>IFERROR(__xludf.DUMMYFUNCTION("""COMPUTED_VALUE"""),30.0)</f>
        <v/>
      </c>
      <c r="N126">
        <f>IFERROR(__xludf.DUMMYFUNCTION("""COMPUTED_VALUE"""),0.2)</f>
        <v/>
      </c>
      <c r="O126">
        <f>IFERROR(__xludf.DUMMYFUNCTION("""COMPUTED_VALUE"""),300.0)</f>
        <v/>
      </c>
      <c r="P126">
        <f>IFERROR(__xludf.DUMMYFUNCTION("""COMPUTED_VALUE"""),0.0)</f>
        <v/>
      </c>
      <c r="Q126">
        <f>IFERROR(__xludf.DUMMYFUNCTION("""COMPUTED_VALUE"""),0.21)</f>
        <v/>
      </c>
      <c r="R126">
        <f>IFERROR(__xludf.DUMMYFUNCTION("""COMPUTED_VALUE"""),1.0)</f>
        <v/>
      </c>
      <c r="S126">
        <f>IFERROR(__xludf.DUMMYFUNCTION("""COMPUTED_VALUE"""),100.0)</f>
        <v/>
      </c>
      <c r="T126">
        <f>IFERROR(__xludf.DUMMYFUNCTION("""COMPUTED_VALUE"""),"1.50")</f>
        <v/>
      </c>
      <c r="U126">
        <f>IFERROR(__xludf.DUMMYFUNCTION("""COMPUTED_VALUE"""),"0.74")</f>
        <v/>
      </c>
      <c r="V126">
        <f>IFERROR(__xludf.DUMMYFUNCTION("""COMPUTED_VALUE"""),50.0)</f>
        <v/>
      </c>
      <c r="W126">
        <f>IFERROR(__xludf.DUMMYFUNCTION("""COMPUTED_VALUE"""),"-")</f>
        <v/>
      </c>
      <c r="X126">
        <f>IFERROR(__xludf.DUMMYFUNCTION("""COMPUTED_VALUE"""),"-")</f>
        <v/>
      </c>
      <c r="Z126">
        <f>IFERROR(__xludf.DUMMYFUNCTION("""COMPUTED_VALUE"""),"-")</f>
        <v/>
      </c>
      <c r="AB126">
        <f>IFERROR(__xludf.DUMMYFUNCTION("""COMPUTED_VALUE"""),"dageki_2")</f>
        <v/>
      </c>
    </row>
    <row r="127">
      <c r="B127">
        <f>IFERROR(__xludf.DUMMYFUNCTION("""COMPUTED_VALUE"""),"enemy_mag_00301")</f>
        <v/>
      </c>
      <c r="C127">
        <f>IFERROR(__xludf.DUMMYFUNCTION("""COMPUTED_VALUE"""),"_siget")</f>
        <v/>
      </c>
      <c r="D127">
        <f>IFERROR(__xludf.DUMMYFUNCTION("""COMPUTED_VALUE"""),"e_mag_00301_siget_Normal_Yellow")</f>
        <v/>
      </c>
      <c r="E127">
        <f>IFERROR(__xludf.DUMMYFUNCTION("""COMPUTED_VALUE"""),"株式会社マジルミエ")</f>
        <v/>
      </c>
      <c r="F127">
        <f>IFERROR(__xludf.DUMMYFUNCTION("""COMPUTED_VALUE"""),"建造物寄生型の怪異")</f>
        <v/>
      </c>
      <c r="G127">
        <f>IFERROR(__xludf.DUMMYFUNCTION("""COMPUTED_VALUE"""),"建造物寄生型の怪異（小）_siget")</f>
        <v/>
      </c>
      <c r="H127">
        <f>IFERROR(__xludf.DUMMYFUNCTION("""COMPUTED_VALUE"""),"Normal")</f>
        <v/>
      </c>
      <c r="I127">
        <f>IFERROR(__xludf.DUMMYFUNCTION("""COMPUTED_VALUE"""),"Attack")</f>
        <v/>
      </c>
      <c r="J127">
        <f>IFERROR(__xludf.DUMMYFUNCTION("""COMPUTED_VALUE"""),"Yellow")</f>
        <v/>
      </c>
      <c r="K127">
        <f>IFERROR(__xludf.DUMMYFUNCTION("""COMPUTED_VALUE"""),10000.0)</f>
        <v/>
      </c>
      <c r="L127">
        <f>IFERROR(__xludf.DUMMYFUNCTION("""COMPUTED_VALUE"""),3.0)</f>
        <v/>
      </c>
      <c r="M127">
        <f>IFERROR(__xludf.DUMMYFUNCTION("""COMPUTED_VALUE"""),30.0)</f>
        <v/>
      </c>
      <c r="N127">
        <f>IFERROR(__xludf.DUMMYFUNCTION("""COMPUTED_VALUE"""),0.2)</f>
        <v/>
      </c>
      <c r="O127">
        <f>IFERROR(__xludf.DUMMYFUNCTION("""COMPUTED_VALUE"""),300.0)</f>
        <v/>
      </c>
      <c r="P127">
        <f>IFERROR(__xludf.DUMMYFUNCTION("""COMPUTED_VALUE"""),0.0)</f>
        <v/>
      </c>
      <c r="Q127">
        <f>IFERROR(__xludf.DUMMYFUNCTION("""COMPUTED_VALUE"""),0.21)</f>
        <v/>
      </c>
      <c r="R127">
        <f>IFERROR(__xludf.DUMMYFUNCTION("""COMPUTED_VALUE"""),1.0)</f>
        <v/>
      </c>
      <c r="S127">
        <f>IFERROR(__xludf.DUMMYFUNCTION("""COMPUTED_VALUE"""),100.0)</f>
        <v/>
      </c>
      <c r="T127">
        <f>IFERROR(__xludf.DUMMYFUNCTION("""COMPUTED_VALUE"""),"1.50")</f>
        <v/>
      </c>
      <c r="U127">
        <f>IFERROR(__xludf.DUMMYFUNCTION("""COMPUTED_VALUE"""),"0.74")</f>
        <v/>
      </c>
      <c r="V127">
        <f>IFERROR(__xludf.DUMMYFUNCTION("""COMPUTED_VALUE"""),50.0)</f>
        <v/>
      </c>
      <c r="W127">
        <f>IFERROR(__xludf.DUMMYFUNCTION("""COMPUTED_VALUE"""),"-")</f>
        <v/>
      </c>
      <c r="X127">
        <f>IFERROR(__xludf.DUMMYFUNCTION("""COMPUTED_VALUE"""),"-")</f>
        <v/>
      </c>
      <c r="Z127">
        <f>IFERROR(__xludf.DUMMYFUNCTION("""COMPUTED_VALUE"""),"-")</f>
        <v/>
      </c>
      <c r="AB127">
        <f>IFERROR(__xludf.DUMMYFUNCTION("""COMPUTED_VALUE"""),"dageki_2")</f>
        <v/>
      </c>
    </row>
    <row r="128">
      <c r="B128">
        <f>IFERROR(__xludf.DUMMYFUNCTION("""COMPUTED_VALUE"""),"enemy_mag_00401")</f>
        <v/>
      </c>
      <c r="C128">
        <f>IFERROR(__xludf.DUMMYFUNCTION("""COMPUTED_VALUE"""),"_siget")</f>
        <v/>
      </c>
      <c r="D128">
        <f>IFERROR(__xludf.DUMMYFUNCTION("""COMPUTED_VALUE"""),"e_mag_00401_siget_Boss_Yellow")</f>
        <v/>
      </c>
      <c r="E128">
        <f>IFERROR(__xludf.DUMMYFUNCTION("""COMPUTED_VALUE"""),"株式会社マジルミエ")</f>
        <v/>
      </c>
      <c r="F128">
        <f>IFERROR(__xludf.DUMMYFUNCTION("""COMPUTED_VALUE"""),"工事現場の怪異")</f>
        <v/>
      </c>
      <c r="G128">
        <f>IFERROR(__xludf.DUMMYFUNCTION("""COMPUTED_VALUE"""),"工事現場の怪異_siget")</f>
        <v/>
      </c>
      <c r="H128">
        <f>IFERROR(__xludf.DUMMYFUNCTION("""COMPUTED_VALUE"""),"Boss")</f>
        <v/>
      </c>
      <c r="I128">
        <f>IFERROR(__xludf.DUMMYFUNCTION("""COMPUTED_VALUE"""),"Defense")</f>
        <v/>
      </c>
      <c r="J128">
        <f>IFERROR(__xludf.DUMMYFUNCTION("""COMPUTED_VALUE"""),"Yellow")</f>
        <v/>
      </c>
      <c r="K128">
        <f>IFERROR(__xludf.DUMMYFUNCTION("""COMPUTED_VALUE"""),60000.0)</f>
        <v/>
      </c>
      <c r="L128">
        <f>IFERROR(__xludf.DUMMYFUNCTION("""COMPUTED_VALUE"""),3.0)</f>
        <v/>
      </c>
      <c r="M128">
        <f>IFERROR(__xludf.DUMMYFUNCTION("""COMPUTED_VALUE"""),30.0)</f>
        <v/>
      </c>
      <c r="N128">
        <f>IFERROR(__xludf.DUMMYFUNCTION("""COMPUTED_VALUE"""),0.17)</f>
        <v/>
      </c>
      <c r="O128">
        <f>IFERROR(__xludf.DUMMYFUNCTION("""COMPUTED_VALUE"""),400.0)</f>
        <v/>
      </c>
      <c r="P128">
        <f>IFERROR(__xludf.DUMMYFUNCTION("""COMPUTED_VALUE"""),0.0)</f>
        <v/>
      </c>
      <c r="Q128">
        <f>IFERROR(__xludf.DUMMYFUNCTION("""COMPUTED_VALUE"""),0.19)</f>
        <v/>
      </c>
      <c r="R128">
        <f>IFERROR(__xludf.DUMMYFUNCTION("""COMPUTED_VALUE"""),1.0)</f>
        <v/>
      </c>
      <c r="S128">
        <f>IFERROR(__xludf.DUMMYFUNCTION("""COMPUTED_VALUE"""),400.0)</f>
        <v/>
      </c>
      <c r="T128">
        <f>IFERROR(__xludf.DUMMYFUNCTION("""COMPUTED_VALUE"""),"1.67")</f>
        <v/>
      </c>
      <c r="U128">
        <f>IFERROR(__xludf.DUMMYFUNCTION("""COMPUTED_VALUE"""),"stop有:0.84")</f>
        <v/>
      </c>
      <c r="V128">
        <f>IFERROR(__xludf.DUMMYFUNCTION("""COMPUTED_VALUE"""),25.0)</f>
        <v/>
      </c>
      <c r="W128">
        <f>IFERROR(__xludf.DUMMYFUNCTION("""COMPUTED_VALUE"""),"-")</f>
        <v/>
      </c>
      <c r="X128">
        <f>IFERROR(__xludf.DUMMYFUNCTION("""COMPUTED_VALUE"""),"-")</f>
        <v/>
      </c>
      <c r="Z128">
        <f>IFERROR(__xludf.DUMMYFUNCTION("""COMPUTED_VALUE"""),"-")</f>
        <v/>
      </c>
    </row>
    <row r="129">
      <c r="B129">
        <f>IFERROR(__xludf.DUMMYFUNCTION("""COMPUTED_VALUE"""),"enemy_mag_00401")</f>
        <v/>
      </c>
      <c r="C129">
        <f>IFERROR(__xludf.DUMMYFUNCTION("""COMPUTED_VALUE"""),"_savage")</f>
        <v/>
      </c>
      <c r="D129">
        <f>IFERROR(__xludf.DUMMYFUNCTION("""COMPUTED_VALUE"""),"e_mag_00401_savage_Boss_Green")</f>
        <v/>
      </c>
      <c r="E129">
        <f>IFERROR(__xludf.DUMMYFUNCTION("""COMPUTED_VALUE"""),"株式会社マジルミエ")</f>
        <v/>
      </c>
      <c r="F129">
        <f>IFERROR(__xludf.DUMMYFUNCTION("""COMPUTED_VALUE"""),"工事現場の怪異")</f>
        <v/>
      </c>
      <c r="G129">
        <f>IFERROR(__xludf.DUMMYFUNCTION("""COMPUTED_VALUE"""),"工事現場の怪異_savage")</f>
        <v/>
      </c>
      <c r="H129">
        <f>IFERROR(__xludf.DUMMYFUNCTION("""COMPUTED_VALUE"""),"Boss")</f>
        <v/>
      </c>
      <c r="I129">
        <f>IFERROR(__xludf.DUMMYFUNCTION("""COMPUTED_VALUE"""),"Defense")</f>
        <v/>
      </c>
      <c r="J129">
        <f>IFERROR(__xludf.DUMMYFUNCTION("""COMPUTED_VALUE"""),"Green")</f>
        <v/>
      </c>
      <c r="K129">
        <f>IFERROR(__xludf.DUMMYFUNCTION("""COMPUTED_VALUE"""),100000.0)</f>
        <v/>
      </c>
      <c r="L129">
        <f>IFERROR(__xludf.DUMMYFUNCTION("""COMPUTED_VALUE"""),2.0)</f>
        <v/>
      </c>
      <c r="M129">
        <f>IFERROR(__xludf.DUMMYFUNCTION("""COMPUTED_VALUE"""),38.0)</f>
        <v/>
      </c>
      <c r="N129">
        <f>IFERROR(__xludf.DUMMYFUNCTION("""COMPUTED_VALUE"""),0.17)</f>
        <v/>
      </c>
      <c r="O129">
        <f>IFERROR(__xludf.DUMMYFUNCTION("""COMPUTED_VALUE"""),1000.0)</f>
        <v/>
      </c>
      <c r="P129">
        <f>IFERROR(__xludf.DUMMYFUNCTION("""COMPUTED_VALUE"""),0.0)</f>
        <v/>
      </c>
      <c r="Q129">
        <f>IFERROR(__xludf.DUMMYFUNCTION("""COMPUTED_VALUE"""),0.2)</f>
        <v/>
      </c>
      <c r="R129">
        <f>IFERROR(__xludf.DUMMYFUNCTION("""COMPUTED_VALUE"""),1.0)</f>
        <v/>
      </c>
      <c r="S129">
        <f>IFERROR(__xludf.DUMMYFUNCTION("""COMPUTED_VALUE"""),100.0)</f>
        <v/>
      </c>
      <c r="T129">
        <f>IFERROR(__xludf.DUMMYFUNCTION("""COMPUTED_VALUE"""),"1.67")</f>
        <v/>
      </c>
      <c r="U129">
        <f>IFERROR(__xludf.DUMMYFUNCTION("""COMPUTED_VALUE"""),"stop有:0.84")</f>
        <v/>
      </c>
      <c r="V129">
        <f>IFERROR(__xludf.DUMMYFUNCTION("""COMPUTED_VALUE"""),20.0)</f>
        <v/>
      </c>
      <c r="W129">
        <f>IFERROR(__xludf.DUMMYFUNCTION("""COMPUTED_VALUE"""),"-")</f>
        <v/>
      </c>
      <c r="X129">
        <f>IFERROR(__xludf.DUMMYFUNCTION("""COMPUTED_VALUE"""),"-")</f>
        <v/>
      </c>
      <c r="Z129">
        <f>IFERROR(__xludf.DUMMYFUNCTION("""COMPUTED_VALUE"""),"-")</f>
        <v/>
      </c>
    </row>
    <row r="130">
      <c r="D130">
        <f>IFERROR(__xludf.DUMMYFUNCTION("""COMPUTED_VALUE"""),"___")</f>
        <v/>
      </c>
      <c r="E130">
        <f>IFERROR(__xludf.DUMMYFUNCTION("""COMPUTED_VALUE"""),"none")</f>
        <v/>
      </c>
      <c r="F130">
        <f>IFERROR(__xludf.DUMMYFUNCTION("""COMPUTED_VALUE"""),"none")</f>
        <v/>
      </c>
      <c r="G130">
        <f>IFERROR(__xludf.DUMMYFUNCTION("""COMPUTED_VALUE"""),"none")</f>
        <v/>
      </c>
      <c r="I130">
        <f>IFERROR(__xludf.DUMMYFUNCTION("""COMPUTED_VALUE"""),"none")</f>
        <v/>
      </c>
      <c r="T130">
        <f>IFERROR(__xludf.DUMMYFUNCTION("""COMPUTED_VALUE"""),"none")</f>
        <v/>
      </c>
      <c r="U130">
        <f>IFERROR(__xludf.DUMMYFUNCTION("""COMPUTED_VALUE"""),"none")</f>
        <v/>
      </c>
      <c r="W130">
        <f>IFERROR(__xludf.DUMMYFUNCTION("""COMPUTED_VALUE"""),"none")</f>
        <v/>
      </c>
      <c r="X130">
        <f>IFERROR(__xludf.DUMMYFUNCTION("""COMPUTED_VALUE"""),"none")</f>
        <v/>
      </c>
      <c r="Z130">
        <f>IFERROR(__xludf.DUMMYFUNCTION("""COMPUTED_VALUE"""),"-")</f>
        <v/>
      </c>
      <c r="AB130">
        <f>IFERROR(__xludf.DUMMYFUNCTION("""COMPUTED_VALUE"""),"none")</f>
        <v/>
      </c>
    </row>
    <row r="131">
      <c r="B131">
        <f>IFERROR(__xludf.DUMMYFUNCTION("""COMPUTED_VALUE"""),"chara_yuw_00001")</f>
        <v/>
      </c>
      <c r="C131">
        <f>IFERROR(__xludf.DUMMYFUNCTION("""COMPUTED_VALUE"""),"_1d1c")</f>
        <v/>
      </c>
      <c r="D131">
        <f>IFERROR(__xludf.DUMMYFUNCTION("""COMPUTED_VALUE"""),"c_yuw_00001_1d1c_Normal_Colorless")</f>
        <v/>
      </c>
      <c r="E131">
        <f>IFERROR(__xludf.DUMMYFUNCTION("""COMPUTED_VALUE"""),"2.5次元の誘惑")</f>
        <v/>
      </c>
      <c r="F131">
        <f>IFERROR(__xludf.DUMMYFUNCTION("""COMPUTED_VALUE"""),"リリエルに捧ぐ愛 天乃 リリサ")</f>
        <v/>
      </c>
      <c r="G131">
        <f>IFERROR(__xludf.DUMMYFUNCTION("""COMPUTED_VALUE"""),"リリエルに捧ぐ愛 天乃 リリサ_1d1c")</f>
        <v/>
      </c>
      <c r="H131">
        <f>IFERROR(__xludf.DUMMYFUNCTION("""COMPUTED_VALUE"""),"Normal")</f>
        <v/>
      </c>
      <c r="I131">
        <f>IFERROR(__xludf.DUMMYFUNCTION("""COMPUTED_VALUE"""),"Attack")</f>
        <v/>
      </c>
      <c r="J131">
        <f>IFERROR(__xludf.DUMMYFUNCTION("""COMPUTED_VALUE"""),"Colorless")</f>
        <v/>
      </c>
      <c r="K131">
        <f>IFERROR(__xludf.DUMMYFUNCTION("""COMPUTED_VALUE"""),10000.0)</f>
        <v/>
      </c>
      <c r="L131">
        <f>IFERROR(__xludf.DUMMYFUNCTION("""COMPUTED_VALUE"""),3.0)</f>
        <v/>
      </c>
      <c r="M131">
        <f>IFERROR(__xludf.DUMMYFUNCTION("""COMPUTED_VALUE"""),30.0)</f>
        <v/>
      </c>
      <c r="N131">
        <f>IFERROR(__xludf.DUMMYFUNCTION("""COMPUTED_VALUE"""),0.24)</f>
        <v/>
      </c>
      <c r="O131">
        <f>IFERROR(__xludf.DUMMYFUNCTION("""COMPUTED_VALUE"""),300.0)</f>
        <v/>
      </c>
      <c r="P131">
        <f>IFERROR(__xludf.DUMMYFUNCTION("""COMPUTED_VALUE"""),0.0)</f>
        <v/>
      </c>
      <c r="Q131">
        <f>IFERROR(__xludf.DUMMYFUNCTION("""COMPUTED_VALUE"""),0.34)</f>
        <v/>
      </c>
      <c r="R131">
        <f>IFERROR(__xludf.DUMMYFUNCTION("""COMPUTED_VALUE"""),1.0)</f>
        <v/>
      </c>
      <c r="S131">
        <f>IFERROR(__xludf.DUMMYFUNCTION("""COMPUTED_VALUE"""),1000.0)</f>
        <v/>
      </c>
      <c r="T131">
        <f>IFERROR(__xludf.DUMMYFUNCTION("""COMPUTED_VALUE"""),"1.54")</f>
        <v/>
      </c>
      <c r="U131">
        <f>IFERROR(__xludf.DUMMYFUNCTION("""COMPUTED_VALUE"""),"0.50")</f>
        <v/>
      </c>
      <c r="V131">
        <f>IFERROR(__xludf.DUMMYFUNCTION("""COMPUTED_VALUE"""),75.0)</f>
        <v/>
      </c>
      <c r="W131">
        <f>IFERROR(__xludf.DUMMYFUNCTION("""COMPUTED_VALUE"""),"3.67")</f>
        <v/>
      </c>
      <c r="X131">
        <f>IFERROR(__xludf.DUMMYFUNCTION("""COMPUTED_VALUE"""),"2.44")</f>
        <v/>
      </c>
      <c r="Y131">
        <f>IFERROR(__xludf.DUMMYFUNCTION("""COMPUTED_VALUE"""),"複数体に200%の攻撃")</f>
        <v/>
      </c>
      <c r="Z131">
        <f>IFERROR(__xludf.DUMMYFUNCTION("""COMPUTED_VALUE"""),4.0)</f>
        <v/>
      </c>
      <c r="AB131">
        <f>IFERROR(__xludf.DUMMYFUNCTION("""COMPUTED_VALUE"""),"dageki_2")</f>
        <v/>
      </c>
    </row>
    <row r="132">
      <c r="B132">
        <f>IFERROR(__xludf.DUMMYFUNCTION("""COMPUTED_VALUE"""),"chara_yuw_00001")</f>
        <v/>
      </c>
      <c r="C132">
        <f>IFERROR(__xludf.DUMMYFUNCTION("""COMPUTED_VALUE"""),"_challenge")</f>
        <v/>
      </c>
      <c r="D132">
        <f>IFERROR(__xludf.DUMMYFUNCTION("""COMPUTED_VALUE"""),"c_yuw_00001_challenge_Normal_Red")</f>
        <v/>
      </c>
      <c r="E132">
        <f>IFERROR(__xludf.DUMMYFUNCTION("""COMPUTED_VALUE"""),"2.5次元の誘惑")</f>
        <v/>
      </c>
      <c r="F132">
        <f>IFERROR(__xludf.DUMMYFUNCTION("""COMPUTED_VALUE"""),"リリエルに捧ぐ愛 天乃 リリサ")</f>
        <v/>
      </c>
      <c r="G132">
        <f>IFERROR(__xludf.DUMMYFUNCTION("""COMPUTED_VALUE"""),"リリエルに捧ぐ愛 天乃 リリサ_challenge")</f>
        <v/>
      </c>
      <c r="H132">
        <f>IFERROR(__xludf.DUMMYFUNCTION("""COMPUTED_VALUE"""),"Normal")</f>
        <v/>
      </c>
      <c r="I132">
        <f>IFERROR(__xludf.DUMMYFUNCTION("""COMPUTED_VALUE"""),"Attack")</f>
        <v/>
      </c>
      <c r="J132">
        <f>IFERROR(__xludf.DUMMYFUNCTION("""COMPUTED_VALUE"""),"Red")</f>
        <v/>
      </c>
      <c r="K132">
        <f>IFERROR(__xludf.DUMMYFUNCTION("""COMPUTED_VALUE"""),50000.0)</f>
        <v/>
      </c>
      <c r="L132">
        <f>IFERROR(__xludf.DUMMYFUNCTION("""COMPUTED_VALUE"""),3.0)</f>
        <v/>
      </c>
      <c r="M132">
        <f>IFERROR(__xludf.DUMMYFUNCTION("""COMPUTED_VALUE"""),34.0)</f>
        <v/>
      </c>
      <c r="N132">
        <f>IFERROR(__xludf.DUMMYFUNCTION("""COMPUTED_VALUE"""),0.24)</f>
        <v/>
      </c>
      <c r="O132">
        <f>IFERROR(__xludf.DUMMYFUNCTION("""COMPUTED_VALUE"""),500.0)</f>
        <v/>
      </c>
      <c r="P132">
        <f>IFERROR(__xludf.DUMMYFUNCTION("""COMPUTED_VALUE"""),0.0)</f>
        <v/>
      </c>
      <c r="Q132">
        <f>IFERROR(__xludf.DUMMYFUNCTION("""COMPUTED_VALUE"""),0.34)</f>
        <v/>
      </c>
      <c r="R132">
        <f>IFERROR(__xludf.DUMMYFUNCTION("""COMPUTED_VALUE"""),1.0)</f>
        <v/>
      </c>
      <c r="S132">
        <f>IFERROR(__xludf.DUMMYFUNCTION("""COMPUTED_VALUE"""),100.0)</f>
        <v/>
      </c>
      <c r="T132">
        <f>IFERROR(__xludf.DUMMYFUNCTION("""COMPUTED_VALUE"""),"1.54")</f>
        <v/>
      </c>
      <c r="U132">
        <f>IFERROR(__xludf.DUMMYFUNCTION("""COMPUTED_VALUE"""),"0.50")</f>
        <v/>
      </c>
      <c r="V132">
        <f>IFERROR(__xludf.DUMMYFUNCTION("""COMPUTED_VALUE"""),75.0)</f>
        <v/>
      </c>
      <c r="W132">
        <f>IFERROR(__xludf.DUMMYFUNCTION("""COMPUTED_VALUE"""),"3.67")</f>
        <v/>
      </c>
      <c r="X132">
        <f>IFERROR(__xludf.DUMMYFUNCTION("""COMPUTED_VALUE"""),"2.44")</f>
        <v/>
      </c>
      <c r="Y132">
        <f>IFERROR(__xludf.DUMMYFUNCTION("""COMPUTED_VALUE"""),"複数体に200%の攻撃")</f>
        <v/>
      </c>
      <c r="Z132">
        <f>IFERROR(__xludf.DUMMYFUNCTION("""COMPUTED_VALUE"""),5.0)</f>
        <v/>
      </c>
      <c r="AB132">
        <f>IFERROR(__xludf.DUMMYFUNCTION("""COMPUTED_VALUE"""),"dageki_2")</f>
        <v/>
      </c>
    </row>
    <row r="133">
      <c r="B133">
        <f>IFERROR(__xludf.DUMMYFUNCTION("""COMPUTED_VALUE"""),"chara_yuw_00001")</f>
        <v/>
      </c>
      <c r="C133">
        <f>IFERROR(__xludf.DUMMYFUNCTION("""COMPUTED_VALUE"""),"_okumuraget")</f>
        <v/>
      </c>
      <c r="D133">
        <f>IFERROR(__xludf.DUMMYFUNCTION("""COMPUTED_VALUE"""),"c_yuw_00001_okumuraget_Normal_Blue")</f>
        <v/>
      </c>
      <c r="E133">
        <f>IFERROR(__xludf.DUMMYFUNCTION("""COMPUTED_VALUE"""),"2.5次元の誘惑")</f>
        <v/>
      </c>
      <c r="F133">
        <f>IFERROR(__xludf.DUMMYFUNCTION("""COMPUTED_VALUE"""),"リリエルに捧ぐ愛 天乃 リリサ")</f>
        <v/>
      </c>
      <c r="G133">
        <f>IFERROR(__xludf.DUMMYFUNCTION("""COMPUTED_VALUE"""),"リリエルに捧ぐ愛 天乃 リリサ_okumuraget")</f>
        <v/>
      </c>
      <c r="H133">
        <f>IFERROR(__xludf.DUMMYFUNCTION("""COMPUTED_VALUE"""),"Normal")</f>
        <v/>
      </c>
      <c r="I133">
        <f>IFERROR(__xludf.DUMMYFUNCTION("""COMPUTED_VALUE"""),"Attack")</f>
        <v/>
      </c>
      <c r="J133">
        <f>IFERROR(__xludf.DUMMYFUNCTION("""COMPUTED_VALUE"""),"Blue")</f>
        <v/>
      </c>
      <c r="K133">
        <f>IFERROR(__xludf.DUMMYFUNCTION("""COMPUTED_VALUE"""),50000.0)</f>
        <v/>
      </c>
      <c r="L133">
        <f>IFERROR(__xludf.DUMMYFUNCTION("""COMPUTED_VALUE"""),3.0)</f>
        <v/>
      </c>
      <c r="M133">
        <f>IFERROR(__xludf.DUMMYFUNCTION("""COMPUTED_VALUE"""),34.0)</f>
        <v/>
      </c>
      <c r="N133">
        <f>IFERROR(__xludf.DUMMYFUNCTION("""COMPUTED_VALUE"""),0.24)</f>
        <v/>
      </c>
      <c r="O133">
        <f>IFERROR(__xludf.DUMMYFUNCTION("""COMPUTED_VALUE"""),500.0)</f>
        <v/>
      </c>
      <c r="P133">
        <f>IFERROR(__xludf.DUMMYFUNCTION("""COMPUTED_VALUE"""),0.0)</f>
        <v/>
      </c>
      <c r="Q133">
        <f>IFERROR(__xludf.DUMMYFUNCTION("""COMPUTED_VALUE"""),0.34)</f>
        <v/>
      </c>
      <c r="R133">
        <f>IFERROR(__xludf.DUMMYFUNCTION("""COMPUTED_VALUE"""),1.0)</f>
        <v/>
      </c>
      <c r="S133">
        <f>IFERROR(__xludf.DUMMYFUNCTION("""COMPUTED_VALUE"""),100.0)</f>
        <v/>
      </c>
      <c r="T133">
        <f>IFERROR(__xludf.DUMMYFUNCTION("""COMPUTED_VALUE"""),"1.54")</f>
        <v/>
      </c>
      <c r="U133">
        <f>IFERROR(__xludf.DUMMYFUNCTION("""COMPUTED_VALUE"""),"0.50")</f>
        <v/>
      </c>
      <c r="V133">
        <f>IFERROR(__xludf.DUMMYFUNCTION("""COMPUTED_VALUE"""),75.0)</f>
        <v/>
      </c>
      <c r="W133">
        <f>IFERROR(__xludf.DUMMYFUNCTION("""COMPUTED_VALUE"""),"3.67")</f>
        <v/>
      </c>
      <c r="X133">
        <f>IFERROR(__xludf.DUMMYFUNCTION("""COMPUTED_VALUE"""),"2.44")</f>
        <v/>
      </c>
      <c r="Y133">
        <f>IFERROR(__xludf.DUMMYFUNCTION("""COMPUTED_VALUE"""),"複数体に200%の攻撃")</f>
        <v/>
      </c>
      <c r="Z133">
        <f>IFERROR(__xludf.DUMMYFUNCTION("""COMPUTED_VALUE"""),5.0)</f>
        <v/>
      </c>
      <c r="AB133">
        <f>IFERROR(__xludf.DUMMYFUNCTION("""COMPUTED_VALUE"""),"dageki_2")</f>
        <v/>
      </c>
    </row>
    <row r="134">
      <c r="B134">
        <f>IFERROR(__xludf.DUMMYFUNCTION("""COMPUTED_VALUE"""),"chara_yuw_00001")</f>
        <v/>
      </c>
      <c r="C134">
        <f>IFERROR(__xludf.DUMMYFUNCTION("""COMPUTED_VALUE"""),"_okumuraget")</f>
        <v/>
      </c>
      <c r="D134">
        <f>IFERROR(__xludf.DUMMYFUNCTION("""COMPUTED_VALUE"""),"c_yuw_00001_okumuraget_Boss_Blue")</f>
        <v/>
      </c>
      <c r="E134">
        <f>IFERROR(__xludf.DUMMYFUNCTION("""COMPUTED_VALUE"""),"2.5次元の誘惑")</f>
        <v/>
      </c>
      <c r="F134">
        <f>IFERROR(__xludf.DUMMYFUNCTION("""COMPUTED_VALUE"""),"リリエルに捧ぐ愛 天乃 リリサ")</f>
        <v/>
      </c>
      <c r="G134">
        <f>IFERROR(__xludf.DUMMYFUNCTION("""COMPUTED_VALUE"""),"リリエルに捧ぐ愛 天乃 リリサ_okumuraget")</f>
        <v/>
      </c>
      <c r="H134">
        <f>IFERROR(__xludf.DUMMYFUNCTION("""COMPUTED_VALUE"""),"Boss")</f>
        <v/>
      </c>
      <c r="I134">
        <f>IFERROR(__xludf.DUMMYFUNCTION("""COMPUTED_VALUE"""),"Attack")</f>
        <v/>
      </c>
      <c r="J134">
        <f>IFERROR(__xludf.DUMMYFUNCTION("""COMPUTED_VALUE"""),"Blue")</f>
        <v/>
      </c>
      <c r="K134">
        <f>IFERROR(__xludf.DUMMYFUNCTION("""COMPUTED_VALUE"""),50000.0)</f>
        <v/>
      </c>
      <c r="L134">
        <f>IFERROR(__xludf.DUMMYFUNCTION("""COMPUTED_VALUE"""),3.0)</f>
        <v/>
      </c>
      <c r="M134">
        <f>IFERROR(__xludf.DUMMYFUNCTION("""COMPUTED_VALUE"""),34.0)</f>
        <v/>
      </c>
      <c r="N134">
        <f>IFERROR(__xludf.DUMMYFUNCTION("""COMPUTED_VALUE"""),0.24)</f>
        <v/>
      </c>
      <c r="O134">
        <f>IFERROR(__xludf.DUMMYFUNCTION("""COMPUTED_VALUE"""),500.0)</f>
        <v/>
      </c>
      <c r="P134">
        <f>IFERROR(__xludf.DUMMYFUNCTION("""COMPUTED_VALUE"""),0.0)</f>
        <v/>
      </c>
      <c r="Q134">
        <f>IFERROR(__xludf.DUMMYFUNCTION("""COMPUTED_VALUE"""),0.34)</f>
        <v/>
      </c>
      <c r="R134">
        <f>IFERROR(__xludf.DUMMYFUNCTION("""COMPUTED_VALUE"""),1.0)</f>
        <v/>
      </c>
      <c r="S134">
        <f>IFERROR(__xludf.DUMMYFUNCTION("""COMPUTED_VALUE"""),100.0)</f>
        <v/>
      </c>
      <c r="T134">
        <f>IFERROR(__xludf.DUMMYFUNCTION("""COMPUTED_VALUE"""),"1.54")</f>
        <v/>
      </c>
      <c r="U134">
        <f>IFERROR(__xludf.DUMMYFUNCTION("""COMPUTED_VALUE"""),"0.50")</f>
        <v/>
      </c>
      <c r="V134">
        <f>IFERROR(__xludf.DUMMYFUNCTION("""COMPUTED_VALUE"""),75.0)</f>
        <v/>
      </c>
      <c r="W134">
        <f>IFERROR(__xludf.DUMMYFUNCTION("""COMPUTED_VALUE"""),"3.67")</f>
        <v/>
      </c>
      <c r="X134">
        <f>IFERROR(__xludf.DUMMYFUNCTION("""COMPUTED_VALUE"""),"2.44")</f>
        <v/>
      </c>
      <c r="Y134">
        <f>IFERROR(__xludf.DUMMYFUNCTION("""COMPUTED_VALUE"""),"複数体に200%の攻撃")</f>
        <v/>
      </c>
      <c r="Z134">
        <f>IFERROR(__xludf.DUMMYFUNCTION("""COMPUTED_VALUE"""),5.0)</f>
        <v/>
      </c>
      <c r="AB134">
        <f>IFERROR(__xludf.DUMMYFUNCTION("""COMPUTED_VALUE"""),"dageki_2")</f>
        <v/>
      </c>
    </row>
    <row r="135">
      <c r="B135">
        <f>IFERROR(__xludf.DUMMYFUNCTION("""COMPUTED_VALUE"""),"chara_yuw_00001")</f>
        <v/>
      </c>
      <c r="C135">
        <f>IFERROR(__xludf.DUMMYFUNCTION("""COMPUTED_VALUE"""),"_753get")</f>
        <v/>
      </c>
      <c r="D135">
        <f>IFERROR(__xludf.DUMMYFUNCTION("""COMPUTED_VALUE"""),"c_yuw_00001_753get_Normal_Green")</f>
        <v/>
      </c>
      <c r="E135">
        <f>IFERROR(__xludf.DUMMYFUNCTION("""COMPUTED_VALUE"""),"2.5次元の誘惑")</f>
        <v/>
      </c>
      <c r="F135">
        <f>IFERROR(__xludf.DUMMYFUNCTION("""COMPUTED_VALUE"""),"リリエルに捧ぐ愛 天乃 リリサ")</f>
        <v/>
      </c>
      <c r="G135">
        <f>IFERROR(__xludf.DUMMYFUNCTION("""COMPUTED_VALUE"""),"リリエルに捧ぐ愛 天乃 リリサ_753get")</f>
        <v/>
      </c>
      <c r="H135">
        <f>IFERROR(__xludf.DUMMYFUNCTION("""COMPUTED_VALUE"""),"Normal")</f>
        <v/>
      </c>
      <c r="I135">
        <f>IFERROR(__xludf.DUMMYFUNCTION("""COMPUTED_VALUE"""),"Attack")</f>
        <v/>
      </c>
      <c r="J135">
        <f>IFERROR(__xludf.DUMMYFUNCTION("""COMPUTED_VALUE"""),"Green")</f>
        <v/>
      </c>
      <c r="K135">
        <f>IFERROR(__xludf.DUMMYFUNCTION("""COMPUTED_VALUE"""),50000.0)</f>
        <v/>
      </c>
      <c r="L135">
        <f>IFERROR(__xludf.DUMMYFUNCTION("""COMPUTED_VALUE"""),3.0)</f>
        <v/>
      </c>
      <c r="M135">
        <f>IFERROR(__xludf.DUMMYFUNCTION("""COMPUTED_VALUE"""),34.0)</f>
        <v/>
      </c>
      <c r="N135">
        <f>IFERROR(__xludf.DUMMYFUNCTION("""COMPUTED_VALUE"""),0.24)</f>
        <v/>
      </c>
      <c r="O135">
        <f>IFERROR(__xludf.DUMMYFUNCTION("""COMPUTED_VALUE"""),500.0)</f>
        <v/>
      </c>
      <c r="P135">
        <f>IFERROR(__xludf.DUMMYFUNCTION("""COMPUTED_VALUE"""),0.0)</f>
        <v/>
      </c>
      <c r="Q135">
        <f>IFERROR(__xludf.DUMMYFUNCTION("""COMPUTED_VALUE"""),0.34)</f>
        <v/>
      </c>
      <c r="R135">
        <f>IFERROR(__xludf.DUMMYFUNCTION("""COMPUTED_VALUE"""),1.0)</f>
        <v/>
      </c>
      <c r="S135">
        <f>IFERROR(__xludf.DUMMYFUNCTION("""COMPUTED_VALUE"""),100.0)</f>
        <v/>
      </c>
      <c r="T135">
        <f>IFERROR(__xludf.DUMMYFUNCTION("""COMPUTED_VALUE"""),"1.54")</f>
        <v/>
      </c>
      <c r="U135">
        <f>IFERROR(__xludf.DUMMYFUNCTION("""COMPUTED_VALUE"""),"0.50")</f>
        <v/>
      </c>
      <c r="V135">
        <f>IFERROR(__xludf.DUMMYFUNCTION("""COMPUTED_VALUE"""),75.0)</f>
        <v/>
      </c>
      <c r="W135">
        <f>IFERROR(__xludf.DUMMYFUNCTION("""COMPUTED_VALUE"""),"3.67")</f>
        <v/>
      </c>
      <c r="X135">
        <f>IFERROR(__xludf.DUMMYFUNCTION("""COMPUTED_VALUE"""),"2.44")</f>
        <v/>
      </c>
      <c r="Y135">
        <f>IFERROR(__xludf.DUMMYFUNCTION("""COMPUTED_VALUE"""),"複数体に200%の攻撃")</f>
        <v/>
      </c>
      <c r="Z135">
        <f>IFERROR(__xludf.DUMMYFUNCTION("""COMPUTED_VALUE"""),5.0)</f>
        <v/>
      </c>
      <c r="AB135">
        <f>IFERROR(__xludf.DUMMYFUNCTION("""COMPUTED_VALUE"""),"dageki_2")</f>
        <v/>
      </c>
    </row>
    <row r="136">
      <c r="B136">
        <f>IFERROR(__xludf.DUMMYFUNCTION("""COMPUTED_VALUE"""),"chara_yuw_00001")</f>
        <v/>
      </c>
      <c r="C136">
        <f>IFERROR(__xludf.DUMMYFUNCTION("""COMPUTED_VALUE"""),"_753get")</f>
        <v/>
      </c>
      <c r="D136">
        <f>IFERROR(__xludf.DUMMYFUNCTION("""COMPUTED_VALUE"""),"c_yuw_00001_753get_Boss_Green")</f>
        <v/>
      </c>
      <c r="E136">
        <f>IFERROR(__xludf.DUMMYFUNCTION("""COMPUTED_VALUE"""),"2.5次元の誘惑")</f>
        <v/>
      </c>
      <c r="F136">
        <f>IFERROR(__xludf.DUMMYFUNCTION("""COMPUTED_VALUE"""),"リリエルに捧ぐ愛 天乃 リリサ")</f>
        <v/>
      </c>
      <c r="G136">
        <f>IFERROR(__xludf.DUMMYFUNCTION("""COMPUTED_VALUE"""),"リリエルに捧ぐ愛 天乃 リリサ_753get")</f>
        <v/>
      </c>
      <c r="H136">
        <f>IFERROR(__xludf.DUMMYFUNCTION("""COMPUTED_VALUE"""),"Boss")</f>
        <v/>
      </c>
      <c r="I136">
        <f>IFERROR(__xludf.DUMMYFUNCTION("""COMPUTED_VALUE"""),"Attack")</f>
        <v/>
      </c>
      <c r="J136">
        <f>IFERROR(__xludf.DUMMYFUNCTION("""COMPUTED_VALUE"""),"Green")</f>
        <v/>
      </c>
      <c r="K136">
        <f>IFERROR(__xludf.DUMMYFUNCTION("""COMPUTED_VALUE"""),50000.0)</f>
        <v/>
      </c>
      <c r="L136">
        <f>IFERROR(__xludf.DUMMYFUNCTION("""COMPUTED_VALUE"""),3.0)</f>
        <v/>
      </c>
      <c r="M136">
        <f>IFERROR(__xludf.DUMMYFUNCTION("""COMPUTED_VALUE"""),34.0)</f>
        <v/>
      </c>
      <c r="N136">
        <f>IFERROR(__xludf.DUMMYFUNCTION("""COMPUTED_VALUE"""),0.24)</f>
        <v/>
      </c>
      <c r="O136">
        <f>IFERROR(__xludf.DUMMYFUNCTION("""COMPUTED_VALUE"""),500.0)</f>
        <v/>
      </c>
      <c r="P136">
        <f>IFERROR(__xludf.DUMMYFUNCTION("""COMPUTED_VALUE"""),0.0)</f>
        <v/>
      </c>
      <c r="Q136">
        <f>IFERROR(__xludf.DUMMYFUNCTION("""COMPUTED_VALUE"""),0.34)</f>
        <v/>
      </c>
      <c r="R136">
        <f>IFERROR(__xludf.DUMMYFUNCTION("""COMPUTED_VALUE"""),1.0)</f>
        <v/>
      </c>
      <c r="S136">
        <f>IFERROR(__xludf.DUMMYFUNCTION("""COMPUTED_VALUE"""),100.0)</f>
        <v/>
      </c>
      <c r="T136">
        <f>IFERROR(__xludf.DUMMYFUNCTION("""COMPUTED_VALUE"""),"1.54")</f>
        <v/>
      </c>
      <c r="U136">
        <f>IFERROR(__xludf.DUMMYFUNCTION("""COMPUTED_VALUE"""),"0.50")</f>
        <v/>
      </c>
      <c r="V136">
        <f>IFERROR(__xludf.DUMMYFUNCTION("""COMPUTED_VALUE"""),75.0)</f>
        <v/>
      </c>
      <c r="W136">
        <f>IFERROR(__xludf.DUMMYFUNCTION("""COMPUTED_VALUE"""),"3.67")</f>
        <v/>
      </c>
      <c r="X136">
        <f>IFERROR(__xludf.DUMMYFUNCTION("""COMPUTED_VALUE"""),"2.44")</f>
        <v/>
      </c>
      <c r="Y136">
        <f>IFERROR(__xludf.DUMMYFUNCTION("""COMPUTED_VALUE"""),"複数体に200%の攻撃")</f>
        <v/>
      </c>
      <c r="Z136">
        <f>IFERROR(__xludf.DUMMYFUNCTION("""COMPUTED_VALUE"""),5.0)</f>
        <v/>
      </c>
      <c r="AB136">
        <f>IFERROR(__xludf.DUMMYFUNCTION("""COMPUTED_VALUE"""),"dageki_2")</f>
        <v/>
      </c>
    </row>
    <row r="137">
      <c r="B137">
        <f>IFERROR(__xludf.DUMMYFUNCTION("""COMPUTED_VALUE"""),"chara_yuw_00001")</f>
        <v/>
      </c>
      <c r="C137">
        <f>IFERROR(__xludf.DUMMYFUNCTION("""COMPUTED_VALUE"""),"_challenge")</f>
        <v/>
      </c>
      <c r="D137">
        <f>IFERROR(__xludf.DUMMYFUNCTION("""COMPUTED_VALUE"""),"c_yuw_00001_challenge_Normal_Green")</f>
        <v/>
      </c>
      <c r="E137">
        <f>IFERROR(__xludf.DUMMYFUNCTION("""COMPUTED_VALUE"""),"2.5次元の誘惑")</f>
        <v/>
      </c>
      <c r="F137">
        <f>IFERROR(__xludf.DUMMYFUNCTION("""COMPUTED_VALUE"""),"リリエルに捧ぐ愛 天乃 リリサ")</f>
        <v/>
      </c>
      <c r="G137">
        <f>IFERROR(__xludf.DUMMYFUNCTION("""COMPUTED_VALUE"""),"リリエルに捧ぐ愛 天乃 リリサ_challenge")</f>
        <v/>
      </c>
      <c r="H137">
        <f>IFERROR(__xludf.DUMMYFUNCTION("""COMPUTED_VALUE"""),"Normal")</f>
        <v/>
      </c>
      <c r="I137">
        <f>IFERROR(__xludf.DUMMYFUNCTION("""COMPUTED_VALUE"""),"Attack")</f>
        <v/>
      </c>
      <c r="J137">
        <f>IFERROR(__xludf.DUMMYFUNCTION("""COMPUTED_VALUE"""),"Green")</f>
        <v/>
      </c>
      <c r="K137">
        <f>IFERROR(__xludf.DUMMYFUNCTION("""COMPUTED_VALUE"""),50000.0)</f>
        <v/>
      </c>
      <c r="L137">
        <f>IFERROR(__xludf.DUMMYFUNCTION("""COMPUTED_VALUE"""),3.0)</f>
        <v/>
      </c>
      <c r="M137">
        <f>IFERROR(__xludf.DUMMYFUNCTION("""COMPUTED_VALUE"""),34.0)</f>
        <v/>
      </c>
      <c r="N137">
        <f>IFERROR(__xludf.DUMMYFUNCTION("""COMPUTED_VALUE"""),0.24)</f>
        <v/>
      </c>
      <c r="O137">
        <f>IFERROR(__xludf.DUMMYFUNCTION("""COMPUTED_VALUE"""),500.0)</f>
        <v/>
      </c>
      <c r="P137">
        <f>IFERROR(__xludf.DUMMYFUNCTION("""COMPUTED_VALUE"""),0.0)</f>
        <v/>
      </c>
      <c r="Q137">
        <f>IFERROR(__xludf.DUMMYFUNCTION("""COMPUTED_VALUE"""),0.34)</f>
        <v/>
      </c>
      <c r="R137">
        <f>IFERROR(__xludf.DUMMYFUNCTION("""COMPUTED_VALUE"""),1.0)</f>
        <v/>
      </c>
      <c r="S137">
        <f>IFERROR(__xludf.DUMMYFUNCTION("""COMPUTED_VALUE"""),100.0)</f>
        <v/>
      </c>
      <c r="T137">
        <f>IFERROR(__xludf.DUMMYFUNCTION("""COMPUTED_VALUE"""),"1.54")</f>
        <v/>
      </c>
      <c r="U137">
        <f>IFERROR(__xludf.DUMMYFUNCTION("""COMPUTED_VALUE"""),"0.50")</f>
        <v/>
      </c>
      <c r="V137">
        <f>IFERROR(__xludf.DUMMYFUNCTION("""COMPUTED_VALUE"""),75.0)</f>
        <v/>
      </c>
      <c r="W137">
        <f>IFERROR(__xludf.DUMMYFUNCTION("""COMPUTED_VALUE"""),"3.67")</f>
        <v/>
      </c>
      <c r="X137">
        <f>IFERROR(__xludf.DUMMYFUNCTION("""COMPUTED_VALUE"""),"2.44")</f>
        <v/>
      </c>
      <c r="Y137">
        <f>IFERROR(__xludf.DUMMYFUNCTION("""COMPUTED_VALUE"""),"複数体に200%の攻撃")</f>
        <v/>
      </c>
      <c r="Z137">
        <f>IFERROR(__xludf.DUMMYFUNCTION("""COMPUTED_VALUE"""),5.0)</f>
        <v/>
      </c>
      <c r="AB137">
        <f>IFERROR(__xludf.DUMMYFUNCTION("""COMPUTED_VALUE"""),"dageki_2")</f>
        <v/>
      </c>
    </row>
    <row r="138">
      <c r="B138">
        <f>IFERROR(__xludf.DUMMYFUNCTION("""COMPUTED_VALUE"""),"chara_yuw_00001")</f>
        <v/>
      </c>
      <c r="C138">
        <f>IFERROR(__xludf.DUMMYFUNCTION("""COMPUTED_VALUE"""),"_challenge")</f>
        <v/>
      </c>
      <c r="D138">
        <f>IFERROR(__xludf.DUMMYFUNCTION("""COMPUTED_VALUE"""),"c_yuw_00001_challenge_Boss_Green")</f>
        <v/>
      </c>
      <c r="E138">
        <f>IFERROR(__xludf.DUMMYFUNCTION("""COMPUTED_VALUE"""),"2.5次元の誘惑")</f>
        <v/>
      </c>
      <c r="F138">
        <f>IFERROR(__xludf.DUMMYFUNCTION("""COMPUTED_VALUE"""),"リリエルに捧ぐ愛 天乃 リリサ")</f>
        <v/>
      </c>
      <c r="G138">
        <f>IFERROR(__xludf.DUMMYFUNCTION("""COMPUTED_VALUE"""),"リリエルに捧ぐ愛 天乃 リリサ_challenge")</f>
        <v/>
      </c>
      <c r="H138">
        <f>IFERROR(__xludf.DUMMYFUNCTION("""COMPUTED_VALUE"""),"Boss")</f>
        <v/>
      </c>
      <c r="I138">
        <f>IFERROR(__xludf.DUMMYFUNCTION("""COMPUTED_VALUE"""),"Technical")</f>
        <v/>
      </c>
      <c r="J138">
        <f>IFERROR(__xludf.DUMMYFUNCTION("""COMPUTED_VALUE"""),"Green")</f>
        <v/>
      </c>
      <c r="K138">
        <f>IFERROR(__xludf.DUMMYFUNCTION("""COMPUTED_VALUE"""),50000.0)</f>
        <v/>
      </c>
      <c r="L138">
        <f>IFERROR(__xludf.DUMMYFUNCTION("""COMPUTED_VALUE"""),3.0)</f>
        <v/>
      </c>
      <c r="M138">
        <f>IFERROR(__xludf.DUMMYFUNCTION("""COMPUTED_VALUE"""),34.0)</f>
        <v/>
      </c>
      <c r="N138">
        <f>IFERROR(__xludf.DUMMYFUNCTION("""COMPUTED_VALUE"""),0.24)</f>
        <v/>
      </c>
      <c r="O138">
        <f>IFERROR(__xludf.DUMMYFUNCTION("""COMPUTED_VALUE"""),500.0)</f>
        <v/>
      </c>
      <c r="P138">
        <f>IFERROR(__xludf.DUMMYFUNCTION("""COMPUTED_VALUE"""),0.0)</f>
        <v/>
      </c>
      <c r="Q138">
        <f>IFERROR(__xludf.DUMMYFUNCTION("""COMPUTED_VALUE"""),0.34)</f>
        <v/>
      </c>
      <c r="R138">
        <f>IFERROR(__xludf.DUMMYFUNCTION("""COMPUTED_VALUE"""),1.0)</f>
        <v/>
      </c>
      <c r="S138">
        <f>IFERROR(__xludf.DUMMYFUNCTION("""COMPUTED_VALUE"""),100.0)</f>
        <v/>
      </c>
      <c r="T138">
        <f>IFERROR(__xludf.DUMMYFUNCTION("""COMPUTED_VALUE"""),"1.54")</f>
        <v/>
      </c>
      <c r="U138">
        <f>IFERROR(__xludf.DUMMYFUNCTION("""COMPUTED_VALUE"""),"0.50")</f>
        <v/>
      </c>
      <c r="V138">
        <f>IFERROR(__xludf.DUMMYFUNCTION("""COMPUTED_VALUE"""),75.0)</f>
        <v/>
      </c>
      <c r="W138">
        <f>IFERROR(__xludf.DUMMYFUNCTION("""COMPUTED_VALUE"""),"3.67")</f>
        <v/>
      </c>
      <c r="X138">
        <f>IFERROR(__xludf.DUMMYFUNCTION("""COMPUTED_VALUE"""),"2.44")</f>
        <v/>
      </c>
      <c r="Y138">
        <f>IFERROR(__xludf.DUMMYFUNCTION("""COMPUTED_VALUE"""),"複数体に200%の攻撃")</f>
        <v/>
      </c>
      <c r="Z138">
        <f>IFERROR(__xludf.DUMMYFUNCTION("""COMPUTED_VALUE"""),3.0)</f>
        <v/>
      </c>
      <c r="AB138">
        <f>IFERROR(__xludf.DUMMYFUNCTION("""COMPUTED_VALUE"""),"dageki_2")</f>
        <v/>
      </c>
    </row>
    <row r="139">
      <c r="B139">
        <f>IFERROR(__xludf.DUMMYFUNCTION("""COMPUTED_VALUE"""),"chara_yuw_00101")</f>
        <v/>
      </c>
      <c r="C139">
        <f>IFERROR(__xludf.DUMMYFUNCTION("""COMPUTED_VALUE"""),"_challenge")</f>
        <v/>
      </c>
      <c r="D139">
        <f>IFERROR(__xludf.DUMMYFUNCTION("""COMPUTED_VALUE"""),"c_yuw_00101_challenge_Normal_Red")</f>
        <v/>
      </c>
      <c r="E139">
        <f>IFERROR(__xludf.DUMMYFUNCTION("""COMPUTED_VALUE"""),"2.5次元の誘惑")</f>
        <v/>
      </c>
      <c r="F139">
        <f>IFERROR(__xludf.DUMMYFUNCTION("""COMPUTED_VALUE"""),"コスプレに託す乙女心 橘 美花莉")</f>
        <v/>
      </c>
      <c r="G139">
        <f>IFERROR(__xludf.DUMMYFUNCTION("""COMPUTED_VALUE"""),"コスプレに託す乙女心 橘 美花莉_challenge")</f>
        <v/>
      </c>
      <c r="H139">
        <f>IFERROR(__xludf.DUMMYFUNCTION("""COMPUTED_VALUE"""),"Normal")</f>
        <v/>
      </c>
      <c r="I139">
        <f>IFERROR(__xludf.DUMMYFUNCTION("""COMPUTED_VALUE"""),"Attack")</f>
        <v/>
      </c>
      <c r="J139">
        <f>IFERROR(__xludf.DUMMYFUNCTION("""COMPUTED_VALUE"""),"Red")</f>
        <v/>
      </c>
      <c r="K139">
        <f>IFERROR(__xludf.DUMMYFUNCTION("""COMPUTED_VALUE"""),50000.0)</f>
        <v/>
      </c>
      <c r="L139">
        <f>IFERROR(__xludf.DUMMYFUNCTION("""COMPUTED_VALUE"""),2.0)</f>
        <v/>
      </c>
      <c r="M139">
        <f>IFERROR(__xludf.DUMMYFUNCTION("""COMPUTED_VALUE"""),29.0)</f>
        <v/>
      </c>
      <c r="N139">
        <f>IFERROR(__xludf.DUMMYFUNCTION("""COMPUTED_VALUE"""),0.25)</f>
        <v/>
      </c>
      <c r="O139">
        <f>IFERROR(__xludf.DUMMYFUNCTION("""COMPUTED_VALUE"""),300.0)</f>
        <v/>
      </c>
      <c r="P139">
        <f>IFERROR(__xludf.DUMMYFUNCTION("""COMPUTED_VALUE"""),0.0)</f>
        <v/>
      </c>
      <c r="Q139">
        <f>IFERROR(__xludf.DUMMYFUNCTION("""COMPUTED_VALUE"""),0.35)</f>
        <v/>
      </c>
      <c r="R139">
        <f>IFERROR(__xludf.DUMMYFUNCTION("""COMPUTED_VALUE"""),1.0)</f>
        <v/>
      </c>
      <c r="S139">
        <f>IFERROR(__xludf.DUMMYFUNCTION("""COMPUTED_VALUE"""),100.0)</f>
        <v/>
      </c>
      <c r="T139">
        <f>IFERROR(__xludf.DUMMYFUNCTION("""COMPUTED_VALUE"""),"1.50")</f>
        <v/>
      </c>
      <c r="U139">
        <f>IFERROR(__xludf.DUMMYFUNCTION("""COMPUTED_VALUE"""),"stop無:1回目 0.45
stop無:2回目 0.55
stop無:3回目 0.67
stop無:4回目 0.77
stop無:5回目 0.90
stop無:6回目 0.95")</f>
        <v/>
      </c>
      <c r="V139">
        <f>IFERROR(__xludf.DUMMYFUNCTION("""COMPUTED_VALUE"""),80.0)</f>
        <v/>
      </c>
      <c r="W139">
        <f>IFERROR(__xludf.DUMMYFUNCTION("""COMPUTED_VALUE"""),"3.50")</f>
        <v/>
      </c>
      <c r="X139">
        <f>IFERROR(__xludf.DUMMYFUNCTION("""COMPUTED_VALUE"""),"stop無: 1回目 3.20")</f>
        <v/>
      </c>
      <c r="Y139">
        <f>IFERROR(__xludf.DUMMYFUNCTION("""COMPUTED_VALUE"""),"敵複数体に200%攻撃")</f>
        <v/>
      </c>
      <c r="Z139">
        <f>IFERROR(__xludf.DUMMYFUNCTION("""COMPUTED_VALUE"""),5.0)</f>
        <v/>
      </c>
      <c r="AB139">
        <f>IFERROR(__xludf.DUMMYFUNCTION("""COMPUTED_VALUE"""),"dageki_1")</f>
        <v/>
      </c>
    </row>
    <row r="140">
      <c r="B140">
        <f>IFERROR(__xludf.DUMMYFUNCTION("""COMPUTED_VALUE"""),"chara_yuw_00101")</f>
        <v/>
      </c>
      <c r="C140">
        <f>IFERROR(__xludf.DUMMYFUNCTION("""COMPUTED_VALUE"""),"_challengekb")</f>
        <v/>
      </c>
      <c r="D140">
        <f>IFERROR(__xludf.DUMMYFUNCTION("""COMPUTED_VALUE"""),"c_yuw_00101_challengekb_Boss_Red")</f>
        <v/>
      </c>
      <c r="E140">
        <f>IFERROR(__xludf.DUMMYFUNCTION("""COMPUTED_VALUE"""),"2.5次元の誘惑")</f>
        <v/>
      </c>
      <c r="F140">
        <f>IFERROR(__xludf.DUMMYFUNCTION("""COMPUTED_VALUE"""),"コスプレに託す乙女心 橘 美花莉")</f>
        <v/>
      </c>
      <c r="G140">
        <f>IFERROR(__xludf.DUMMYFUNCTION("""COMPUTED_VALUE"""),"コスプレに託す乙女心 橘 美花莉_challengekb")</f>
        <v/>
      </c>
      <c r="H140">
        <f>IFERROR(__xludf.DUMMYFUNCTION("""COMPUTED_VALUE"""),"Boss")</f>
        <v/>
      </c>
      <c r="I140">
        <f>IFERROR(__xludf.DUMMYFUNCTION("""COMPUTED_VALUE"""),"Technical")</f>
        <v/>
      </c>
      <c r="J140">
        <f>IFERROR(__xludf.DUMMYFUNCTION("""COMPUTED_VALUE"""),"Red")</f>
        <v/>
      </c>
      <c r="K140">
        <f>IFERROR(__xludf.DUMMYFUNCTION("""COMPUTED_VALUE"""),50000.0)</f>
        <v/>
      </c>
      <c r="L140">
        <f>IFERROR(__xludf.DUMMYFUNCTION("""COMPUTED_VALUE"""),2.0)</f>
        <v/>
      </c>
      <c r="M140">
        <f>IFERROR(__xludf.DUMMYFUNCTION("""COMPUTED_VALUE"""),29.0)</f>
        <v/>
      </c>
      <c r="N140">
        <f>IFERROR(__xludf.DUMMYFUNCTION("""COMPUTED_VALUE"""),0.25)</f>
        <v/>
      </c>
      <c r="O140">
        <f>IFERROR(__xludf.DUMMYFUNCTION("""COMPUTED_VALUE"""),300.0)</f>
        <v/>
      </c>
      <c r="P140">
        <f>IFERROR(__xludf.DUMMYFUNCTION("""COMPUTED_VALUE"""),0.0)</f>
        <v/>
      </c>
      <c r="Q140">
        <f>IFERROR(__xludf.DUMMYFUNCTION("""COMPUTED_VALUE"""),0.35)</f>
        <v/>
      </c>
      <c r="R140">
        <f>IFERROR(__xludf.DUMMYFUNCTION("""COMPUTED_VALUE"""),1.0)</f>
        <v/>
      </c>
      <c r="S140">
        <f>IFERROR(__xludf.DUMMYFUNCTION("""COMPUTED_VALUE"""),100.0)</f>
        <v/>
      </c>
      <c r="T140">
        <f>IFERROR(__xludf.DUMMYFUNCTION("""COMPUTED_VALUE"""),"1.50")</f>
        <v/>
      </c>
      <c r="U140">
        <f>IFERROR(__xludf.DUMMYFUNCTION("""COMPUTED_VALUE"""),"stop無:1回目 0.45
stop無:2回目 0.55
stop無:3回目 0.67
stop無:4回目 0.77
stop無:5回目 0.90
stop無:6回目 0.95")</f>
        <v/>
      </c>
      <c r="V140">
        <f>IFERROR(__xludf.DUMMYFUNCTION("""COMPUTED_VALUE"""),80.0)</f>
        <v/>
      </c>
      <c r="W140">
        <f>IFERROR(__xludf.DUMMYFUNCTION("""COMPUTED_VALUE"""),"3.50")</f>
        <v/>
      </c>
      <c r="X140">
        <f>IFERROR(__xludf.DUMMYFUNCTION("""COMPUTED_VALUE"""),"stop無: 1回目 3.20")</f>
        <v/>
      </c>
      <c r="Y140">
        <f>IFERROR(__xludf.DUMMYFUNCTION("""COMPUTED_VALUE"""),"敵複数体に200%攻撃+
中ノックバック")</f>
        <v/>
      </c>
      <c r="Z140">
        <f>IFERROR(__xludf.DUMMYFUNCTION("""COMPUTED_VALUE"""),3.0)</f>
        <v/>
      </c>
      <c r="AB140">
        <f>IFERROR(__xludf.DUMMYFUNCTION("""COMPUTED_VALUE"""),"dageki_1")</f>
        <v/>
      </c>
    </row>
    <row r="141">
      <c r="B141">
        <f>IFERROR(__xludf.DUMMYFUNCTION("""COMPUTED_VALUE"""),"chara_yuw_00101")</f>
        <v/>
      </c>
      <c r="C141">
        <f>IFERROR(__xludf.DUMMYFUNCTION("""COMPUTED_VALUE"""),"_okumuraget")</f>
        <v/>
      </c>
      <c r="D141">
        <f>IFERROR(__xludf.DUMMYFUNCTION("""COMPUTED_VALUE"""),"c_yuw_00101_okumuraget_Boss_Blue")</f>
        <v/>
      </c>
      <c r="E141">
        <f>IFERROR(__xludf.DUMMYFUNCTION("""COMPUTED_VALUE"""),"2.5次元の誘惑")</f>
        <v/>
      </c>
      <c r="F141">
        <f>IFERROR(__xludf.DUMMYFUNCTION("""COMPUTED_VALUE"""),"コスプレに託す乙女心 橘 美花莉")</f>
        <v/>
      </c>
      <c r="G141">
        <f>IFERROR(__xludf.DUMMYFUNCTION("""COMPUTED_VALUE"""),"コスプレに託す乙女心 橘 美花莉_okumuraget")</f>
        <v/>
      </c>
      <c r="H141">
        <f>IFERROR(__xludf.DUMMYFUNCTION("""COMPUTED_VALUE"""),"Boss")</f>
        <v/>
      </c>
      <c r="I141">
        <f>IFERROR(__xludf.DUMMYFUNCTION("""COMPUTED_VALUE"""),"Technical")</f>
        <v/>
      </c>
      <c r="J141">
        <f>IFERROR(__xludf.DUMMYFUNCTION("""COMPUTED_VALUE"""),"Blue")</f>
        <v/>
      </c>
      <c r="K141">
        <f>IFERROR(__xludf.DUMMYFUNCTION("""COMPUTED_VALUE"""),50000.0)</f>
        <v/>
      </c>
      <c r="L141">
        <f>IFERROR(__xludf.DUMMYFUNCTION("""COMPUTED_VALUE"""),2.0)</f>
        <v/>
      </c>
      <c r="M141">
        <f>IFERROR(__xludf.DUMMYFUNCTION("""COMPUTED_VALUE"""),29.0)</f>
        <v/>
      </c>
      <c r="N141">
        <f>IFERROR(__xludf.DUMMYFUNCTION("""COMPUTED_VALUE"""),0.25)</f>
        <v/>
      </c>
      <c r="O141">
        <f>IFERROR(__xludf.DUMMYFUNCTION("""COMPUTED_VALUE"""),300.0)</f>
        <v/>
      </c>
      <c r="P141">
        <f>IFERROR(__xludf.DUMMYFUNCTION("""COMPUTED_VALUE"""),0.0)</f>
        <v/>
      </c>
      <c r="Q141">
        <f>IFERROR(__xludf.DUMMYFUNCTION("""COMPUTED_VALUE"""),0.35)</f>
        <v/>
      </c>
      <c r="R141">
        <f>IFERROR(__xludf.DUMMYFUNCTION("""COMPUTED_VALUE"""),1.0)</f>
        <v/>
      </c>
      <c r="S141">
        <f>IFERROR(__xludf.DUMMYFUNCTION("""COMPUTED_VALUE"""),100.0)</f>
        <v/>
      </c>
      <c r="T141">
        <f>IFERROR(__xludf.DUMMYFUNCTION("""COMPUTED_VALUE"""),"1.50")</f>
        <v/>
      </c>
      <c r="U141">
        <f>IFERROR(__xludf.DUMMYFUNCTION("""COMPUTED_VALUE"""),"stop無:1回目 0.45
stop無:2回目 0.55
stop無:3回目 0.67
stop無:4回目 0.77
stop無:5回目 0.90
stop無:6回目 0.95")</f>
        <v/>
      </c>
      <c r="V141">
        <f>IFERROR(__xludf.DUMMYFUNCTION("""COMPUTED_VALUE"""),80.0)</f>
        <v/>
      </c>
      <c r="W141">
        <f>IFERROR(__xludf.DUMMYFUNCTION("""COMPUTED_VALUE"""),"3.50")</f>
        <v/>
      </c>
      <c r="X141">
        <f>IFERROR(__xludf.DUMMYFUNCTION("""COMPUTED_VALUE"""),"stop無: 1回目 3.20")</f>
        <v/>
      </c>
      <c r="Y141">
        <f>IFERROR(__xludf.DUMMYFUNCTION("""COMPUTED_VALUE"""),"敵複数体に250%攻撃+
10秒間、20%攻撃DOWN")</f>
        <v/>
      </c>
      <c r="Z141">
        <f>IFERROR(__xludf.DUMMYFUNCTION("""COMPUTED_VALUE"""),5.0)</f>
        <v/>
      </c>
      <c r="AB141">
        <f>IFERROR(__xludf.DUMMYFUNCTION("""COMPUTED_VALUE"""),"dageki_1")</f>
        <v/>
      </c>
    </row>
    <row r="142">
      <c r="B142">
        <f>IFERROR(__xludf.DUMMYFUNCTION("""COMPUTED_VALUE"""),"chara_yuw_00101")</f>
        <v/>
      </c>
      <c r="C142">
        <f>IFERROR(__xludf.DUMMYFUNCTION("""COMPUTED_VALUE"""),"_753get")</f>
        <v/>
      </c>
      <c r="D142">
        <f>IFERROR(__xludf.DUMMYFUNCTION("""COMPUTED_VALUE"""),"c_yuw_00101_753get_Normal_Green")</f>
        <v/>
      </c>
      <c r="E142">
        <f>IFERROR(__xludf.DUMMYFUNCTION("""COMPUTED_VALUE"""),"2.5次元の誘惑")</f>
        <v/>
      </c>
      <c r="F142">
        <f>IFERROR(__xludf.DUMMYFUNCTION("""COMPUTED_VALUE"""),"コスプレに託す乙女心 橘 美花莉")</f>
        <v/>
      </c>
      <c r="G142">
        <f>IFERROR(__xludf.DUMMYFUNCTION("""COMPUTED_VALUE"""),"コスプレに託す乙女心 橘 美花莉_753get")</f>
        <v/>
      </c>
      <c r="H142">
        <f>IFERROR(__xludf.DUMMYFUNCTION("""COMPUTED_VALUE"""),"Normal")</f>
        <v/>
      </c>
      <c r="I142">
        <f>IFERROR(__xludf.DUMMYFUNCTION("""COMPUTED_VALUE"""),"Technical")</f>
        <v/>
      </c>
      <c r="J142">
        <f>IFERROR(__xludf.DUMMYFUNCTION("""COMPUTED_VALUE"""),"Green")</f>
        <v/>
      </c>
      <c r="K142">
        <f>IFERROR(__xludf.DUMMYFUNCTION("""COMPUTED_VALUE"""),50000.0)</f>
        <v/>
      </c>
      <c r="L142">
        <f>IFERROR(__xludf.DUMMYFUNCTION("""COMPUTED_VALUE"""),2.0)</f>
        <v/>
      </c>
      <c r="M142">
        <f>IFERROR(__xludf.DUMMYFUNCTION("""COMPUTED_VALUE"""),29.0)</f>
        <v/>
      </c>
      <c r="N142">
        <f>IFERROR(__xludf.DUMMYFUNCTION("""COMPUTED_VALUE"""),0.25)</f>
        <v/>
      </c>
      <c r="O142">
        <f>IFERROR(__xludf.DUMMYFUNCTION("""COMPUTED_VALUE"""),300.0)</f>
        <v/>
      </c>
      <c r="P142">
        <f>IFERROR(__xludf.DUMMYFUNCTION("""COMPUTED_VALUE"""),0.0)</f>
        <v/>
      </c>
      <c r="Q142">
        <f>IFERROR(__xludf.DUMMYFUNCTION("""COMPUTED_VALUE"""),0.35)</f>
        <v/>
      </c>
      <c r="R142">
        <f>IFERROR(__xludf.DUMMYFUNCTION("""COMPUTED_VALUE"""),1.0)</f>
        <v/>
      </c>
      <c r="S142">
        <f>IFERROR(__xludf.DUMMYFUNCTION("""COMPUTED_VALUE"""),100.0)</f>
        <v/>
      </c>
      <c r="T142">
        <f>IFERROR(__xludf.DUMMYFUNCTION("""COMPUTED_VALUE"""),"1.50")</f>
        <v/>
      </c>
      <c r="U142">
        <f>IFERROR(__xludf.DUMMYFUNCTION("""COMPUTED_VALUE"""),"stop無:1回目 0.45
stop無:2回目 0.55
stop無:3回目 0.67
stop無:4回目 0.77
stop無:5回目 0.90
stop無:6回目 0.95")</f>
        <v/>
      </c>
      <c r="V142">
        <f>IFERROR(__xludf.DUMMYFUNCTION("""COMPUTED_VALUE"""),80.0)</f>
        <v/>
      </c>
      <c r="W142">
        <f>IFERROR(__xludf.DUMMYFUNCTION("""COMPUTED_VALUE"""),"3.50")</f>
        <v/>
      </c>
      <c r="X142">
        <f>IFERROR(__xludf.DUMMYFUNCTION("""COMPUTED_VALUE"""),"stop無: 1回目 3.20")</f>
        <v/>
      </c>
      <c r="Y142">
        <f>IFERROR(__xludf.DUMMYFUNCTION("""COMPUTED_VALUE"""),"敵複数体に250%攻撃+
10秒間、20%攻撃DOWN")</f>
        <v/>
      </c>
      <c r="Z142">
        <f>IFERROR(__xludf.DUMMYFUNCTION("""COMPUTED_VALUE"""),5.0)</f>
        <v/>
      </c>
      <c r="AB142">
        <f>IFERROR(__xludf.DUMMYFUNCTION("""COMPUTED_VALUE"""),"dageki_1")</f>
        <v/>
      </c>
    </row>
    <row r="143">
      <c r="B143">
        <f>IFERROR(__xludf.DUMMYFUNCTION("""COMPUTED_VALUE"""),"chara_yuw_00101")</f>
        <v/>
      </c>
      <c r="C143">
        <f>IFERROR(__xludf.DUMMYFUNCTION("""COMPUTED_VALUE"""),"_challenge")</f>
        <v/>
      </c>
      <c r="D143">
        <f>IFERROR(__xludf.DUMMYFUNCTION("""COMPUTED_VALUE"""),"c_yuw_00101_challenge_Normal_Green")</f>
        <v/>
      </c>
      <c r="E143">
        <f>IFERROR(__xludf.DUMMYFUNCTION("""COMPUTED_VALUE"""),"2.5次元の誘惑")</f>
        <v/>
      </c>
      <c r="F143">
        <f>IFERROR(__xludf.DUMMYFUNCTION("""COMPUTED_VALUE"""),"コスプレに託す乙女心 橘 美花莉")</f>
        <v/>
      </c>
      <c r="G143">
        <f>IFERROR(__xludf.DUMMYFUNCTION("""COMPUTED_VALUE"""),"コスプレに託す乙女心 橘 美花莉_challenge")</f>
        <v/>
      </c>
      <c r="H143">
        <f>IFERROR(__xludf.DUMMYFUNCTION("""COMPUTED_VALUE"""),"Normal")</f>
        <v/>
      </c>
      <c r="I143">
        <f>IFERROR(__xludf.DUMMYFUNCTION("""COMPUTED_VALUE"""),"Attack")</f>
        <v/>
      </c>
      <c r="J143">
        <f>IFERROR(__xludf.DUMMYFUNCTION("""COMPUTED_VALUE"""),"Green")</f>
        <v/>
      </c>
      <c r="K143">
        <f>IFERROR(__xludf.DUMMYFUNCTION("""COMPUTED_VALUE"""),50000.0)</f>
        <v/>
      </c>
      <c r="L143">
        <f>IFERROR(__xludf.DUMMYFUNCTION("""COMPUTED_VALUE"""),2.0)</f>
        <v/>
      </c>
      <c r="M143">
        <f>IFERROR(__xludf.DUMMYFUNCTION("""COMPUTED_VALUE"""),29.0)</f>
        <v/>
      </c>
      <c r="N143">
        <f>IFERROR(__xludf.DUMMYFUNCTION("""COMPUTED_VALUE"""),0.25)</f>
        <v/>
      </c>
      <c r="O143">
        <f>IFERROR(__xludf.DUMMYFUNCTION("""COMPUTED_VALUE"""),300.0)</f>
        <v/>
      </c>
      <c r="P143">
        <f>IFERROR(__xludf.DUMMYFUNCTION("""COMPUTED_VALUE"""),0.0)</f>
        <v/>
      </c>
      <c r="Q143">
        <f>IFERROR(__xludf.DUMMYFUNCTION("""COMPUTED_VALUE"""),0.35)</f>
        <v/>
      </c>
      <c r="R143">
        <f>IFERROR(__xludf.DUMMYFUNCTION("""COMPUTED_VALUE"""),1.0)</f>
        <v/>
      </c>
      <c r="S143">
        <f>IFERROR(__xludf.DUMMYFUNCTION("""COMPUTED_VALUE"""),100.0)</f>
        <v/>
      </c>
      <c r="T143">
        <f>IFERROR(__xludf.DUMMYFUNCTION("""COMPUTED_VALUE"""),"1.50")</f>
        <v/>
      </c>
      <c r="U143">
        <f>IFERROR(__xludf.DUMMYFUNCTION("""COMPUTED_VALUE"""),"stop無:1回目 0.45
stop無:2回目 0.55
stop無:3回目 0.67
stop無:4回目 0.77
stop無:5回目 0.90
stop無:6回目 0.95")</f>
        <v/>
      </c>
      <c r="V143">
        <f>IFERROR(__xludf.DUMMYFUNCTION("""COMPUTED_VALUE"""),80.0)</f>
        <v/>
      </c>
      <c r="W143">
        <f>IFERROR(__xludf.DUMMYFUNCTION("""COMPUTED_VALUE"""),"3.50")</f>
        <v/>
      </c>
      <c r="X143">
        <f>IFERROR(__xludf.DUMMYFUNCTION("""COMPUTED_VALUE"""),"stop無: 1回目 3.20")</f>
        <v/>
      </c>
      <c r="Y143">
        <f>IFERROR(__xludf.DUMMYFUNCTION("""COMPUTED_VALUE"""),"敵複数体に200%攻撃")</f>
        <v/>
      </c>
      <c r="Z143">
        <f>IFERROR(__xludf.DUMMYFUNCTION("""COMPUTED_VALUE"""),5.0)</f>
        <v/>
      </c>
      <c r="AB143">
        <f>IFERROR(__xludf.DUMMYFUNCTION("""COMPUTED_VALUE"""),"dageki_1")</f>
        <v/>
      </c>
    </row>
    <row r="144">
      <c r="B144">
        <f>IFERROR(__xludf.DUMMYFUNCTION("""COMPUTED_VALUE"""),"chara_yuw_00201")</f>
        <v/>
      </c>
      <c r="C144">
        <f>IFERROR(__xludf.DUMMYFUNCTION("""COMPUTED_VALUE"""),"_753get")</f>
        <v/>
      </c>
      <c r="D144">
        <f>IFERROR(__xludf.DUMMYFUNCTION("""COMPUTED_VALUE"""),"c_yuw_00201_753get_Normal_Green")</f>
        <v/>
      </c>
      <c r="E144">
        <f>IFERROR(__xludf.DUMMYFUNCTION("""COMPUTED_VALUE"""),"2.5次元の誘惑")</f>
        <v/>
      </c>
      <c r="F144">
        <f>IFERROR(__xludf.DUMMYFUNCTION("""COMPUTED_VALUE"""),"羽生 まゆり")</f>
        <v/>
      </c>
      <c r="G144">
        <f>IFERROR(__xludf.DUMMYFUNCTION("""COMPUTED_VALUE"""),"羽生 まゆり_753get")</f>
        <v/>
      </c>
      <c r="H144">
        <f>IFERROR(__xludf.DUMMYFUNCTION("""COMPUTED_VALUE"""),"Normal")</f>
        <v/>
      </c>
      <c r="I144">
        <f>IFERROR(__xludf.DUMMYFUNCTION("""COMPUTED_VALUE"""),"Technical")</f>
        <v/>
      </c>
      <c r="J144">
        <f>IFERROR(__xludf.DUMMYFUNCTION("""COMPUTED_VALUE"""),"Green")</f>
        <v/>
      </c>
      <c r="K144">
        <f>IFERROR(__xludf.DUMMYFUNCTION("""COMPUTED_VALUE"""),50000.0)</f>
        <v/>
      </c>
      <c r="L144">
        <f>IFERROR(__xludf.DUMMYFUNCTION("""COMPUTED_VALUE"""),3.0)</f>
        <v/>
      </c>
      <c r="M144">
        <f>IFERROR(__xludf.DUMMYFUNCTION("""COMPUTED_VALUE"""),27.0)</f>
        <v/>
      </c>
      <c r="N144">
        <f>IFERROR(__xludf.DUMMYFUNCTION("""COMPUTED_VALUE"""),0.26)</f>
        <v/>
      </c>
      <c r="O144">
        <f>IFERROR(__xludf.DUMMYFUNCTION("""COMPUTED_VALUE"""),300.0)</f>
        <v/>
      </c>
      <c r="P144">
        <f>IFERROR(__xludf.DUMMYFUNCTION("""COMPUTED_VALUE"""),0.0)</f>
        <v/>
      </c>
      <c r="Q144">
        <f>IFERROR(__xludf.DUMMYFUNCTION("""COMPUTED_VALUE"""),0.27)</f>
        <v/>
      </c>
      <c r="R144">
        <f>IFERROR(__xludf.DUMMYFUNCTION("""COMPUTED_VALUE"""),1.0)</f>
        <v/>
      </c>
      <c r="S144">
        <f>IFERROR(__xludf.DUMMYFUNCTION("""COMPUTED_VALUE"""),100.0)</f>
        <v/>
      </c>
      <c r="T144">
        <f>IFERROR(__xludf.DUMMYFUNCTION("""COMPUTED_VALUE"""),"1.06")</f>
        <v/>
      </c>
      <c r="U144">
        <f>IFERROR(__xludf.DUMMYFUNCTION("""COMPUTED_VALUE"""),"0.34")</f>
        <v/>
      </c>
      <c r="V144">
        <f>IFERROR(__xludf.DUMMYFUNCTION("""COMPUTED_VALUE"""),75.0)</f>
        <v/>
      </c>
      <c r="W144">
        <f>IFERROR(__xludf.DUMMYFUNCTION("""COMPUTED_VALUE"""),"4.67")</f>
        <v/>
      </c>
      <c r="X144">
        <f>IFERROR(__xludf.DUMMYFUNCTION("""COMPUTED_VALUE"""),"3.50")</f>
        <v/>
      </c>
      <c r="Y144">
        <f>IFERROR(__xludf.DUMMYFUNCTION("""COMPUTED_VALUE"""),"範囲に200%攻撃+単体に小ノックバック")</f>
        <v/>
      </c>
      <c r="Z144">
        <f>IFERROR(__xludf.DUMMYFUNCTION("""COMPUTED_VALUE"""),3.0)</f>
        <v/>
      </c>
      <c r="AB144">
        <f>IFERROR(__xludf.DUMMYFUNCTION("""COMPUTED_VALUE"""),"dageki_2")</f>
        <v/>
      </c>
    </row>
    <row r="145">
      <c r="B145">
        <f>IFERROR(__xludf.DUMMYFUNCTION("""COMPUTED_VALUE"""),"chara_yuw_00201")</f>
        <v/>
      </c>
      <c r="C145">
        <f>IFERROR(__xludf.DUMMYFUNCTION("""COMPUTED_VALUE"""),"_savage")</f>
        <v/>
      </c>
      <c r="D145">
        <f>IFERROR(__xludf.DUMMYFUNCTION("""COMPUTED_VALUE"""),"c_yuw_00201_savage_Boss_Green")</f>
        <v/>
      </c>
      <c r="E145">
        <f>IFERROR(__xludf.DUMMYFUNCTION("""COMPUTED_VALUE"""),"2.5次元の誘惑")</f>
        <v/>
      </c>
      <c r="F145">
        <f>IFERROR(__xludf.DUMMYFUNCTION("""COMPUTED_VALUE"""),"羽生 まゆり")</f>
        <v/>
      </c>
      <c r="G145">
        <f>IFERROR(__xludf.DUMMYFUNCTION("""COMPUTED_VALUE"""),"羽生 まゆり_savage")</f>
        <v/>
      </c>
      <c r="H145">
        <f>IFERROR(__xludf.DUMMYFUNCTION("""COMPUTED_VALUE"""),"Boss")</f>
        <v/>
      </c>
      <c r="I145">
        <f>IFERROR(__xludf.DUMMYFUNCTION("""COMPUTED_VALUE"""),"Technical")</f>
        <v/>
      </c>
      <c r="J145">
        <f>IFERROR(__xludf.DUMMYFUNCTION("""COMPUTED_VALUE"""),"Green")</f>
        <v/>
      </c>
      <c r="K145">
        <f>IFERROR(__xludf.DUMMYFUNCTION("""COMPUTED_VALUE"""),100000.0)</f>
        <v/>
      </c>
      <c r="L145">
        <f>IFERROR(__xludf.DUMMYFUNCTION("""COMPUTED_VALUE"""),3.0)</f>
        <v/>
      </c>
      <c r="M145">
        <f>IFERROR(__xludf.DUMMYFUNCTION("""COMPUTED_VALUE"""),27.0)</f>
        <v/>
      </c>
      <c r="N145">
        <f>IFERROR(__xludf.DUMMYFUNCTION("""COMPUTED_VALUE"""),0.26)</f>
        <v/>
      </c>
      <c r="O145">
        <f>IFERROR(__xludf.DUMMYFUNCTION("""COMPUTED_VALUE"""),300.0)</f>
        <v/>
      </c>
      <c r="P145">
        <f>IFERROR(__xludf.DUMMYFUNCTION("""COMPUTED_VALUE"""),0.0)</f>
        <v/>
      </c>
      <c r="Q145">
        <f>IFERROR(__xludf.DUMMYFUNCTION("""COMPUTED_VALUE"""),0.35)</f>
        <v/>
      </c>
      <c r="R145">
        <f>IFERROR(__xludf.DUMMYFUNCTION("""COMPUTED_VALUE"""),1.0)</f>
        <v/>
      </c>
      <c r="S145">
        <f>IFERROR(__xludf.DUMMYFUNCTION("""COMPUTED_VALUE"""),100.0)</f>
        <v/>
      </c>
      <c r="T145">
        <f>IFERROR(__xludf.DUMMYFUNCTION("""COMPUTED_VALUE"""),"1.06")</f>
        <v/>
      </c>
      <c r="U145">
        <f>IFERROR(__xludf.DUMMYFUNCTION("""COMPUTED_VALUE"""),"0.34")</f>
        <v/>
      </c>
      <c r="V145">
        <f>IFERROR(__xludf.DUMMYFUNCTION("""COMPUTED_VALUE"""),75.0)</f>
        <v/>
      </c>
      <c r="W145">
        <f>IFERROR(__xludf.DUMMYFUNCTION("""COMPUTED_VALUE"""),"4.67")</f>
        <v/>
      </c>
      <c r="X145">
        <f>IFERROR(__xludf.DUMMYFUNCTION("""COMPUTED_VALUE"""),"3.50")</f>
        <v/>
      </c>
      <c r="Y145">
        <f>IFERROR(__xludf.DUMMYFUNCTION("""COMPUTED_VALUE"""),"範囲に400%攻撃+単体に中ノックバック")</f>
        <v/>
      </c>
      <c r="Z145">
        <f>IFERROR(__xludf.DUMMYFUNCTION("""COMPUTED_VALUE"""),4.0)</f>
        <v/>
      </c>
      <c r="AB145">
        <f>IFERROR(__xludf.DUMMYFUNCTION("""COMPUTED_VALUE"""),"dageki_2")</f>
        <v/>
      </c>
    </row>
    <row r="146">
      <c r="B146">
        <f>IFERROR(__xludf.DUMMYFUNCTION("""COMPUTED_VALUE"""),"chara_yuw_00301")</f>
        <v/>
      </c>
      <c r="C146">
        <f>IFERROR(__xludf.DUMMYFUNCTION("""COMPUTED_VALUE"""),"_challengeburn")</f>
        <v/>
      </c>
      <c r="D146">
        <f>IFERROR(__xludf.DUMMYFUNCTION("""COMPUTED_VALUE"""),"c_yuw_00301_challengeburn_Boss_Red")</f>
        <v/>
      </c>
      <c r="E146">
        <f>IFERROR(__xludf.DUMMYFUNCTION("""COMPUTED_VALUE"""),"2.5次元の誘惑")</f>
        <v/>
      </c>
      <c r="F146">
        <f>IFERROR(__xludf.DUMMYFUNCTION("""COMPUTED_VALUE"""),"勇気を纏うコスプレ 乃愛")</f>
        <v/>
      </c>
      <c r="G146">
        <f>IFERROR(__xludf.DUMMYFUNCTION("""COMPUTED_VALUE"""),"勇気を纏うコスプレ 乃愛_challengeburn")</f>
        <v/>
      </c>
      <c r="H146">
        <f>IFERROR(__xludf.DUMMYFUNCTION("""COMPUTED_VALUE"""),"Boss")</f>
        <v/>
      </c>
      <c r="I146">
        <f>IFERROR(__xludf.DUMMYFUNCTION("""COMPUTED_VALUE"""),"Technical")</f>
        <v/>
      </c>
      <c r="J146">
        <f>IFERROR(__xludf.DUMMYFUNCTION("""COMPUTED_VALUE"""),"Red")</f>
        <v/>
      </c>
      <c r="K146">
        <f>IFERROR(__xludf.DUMMYFUNCTION("""COMPUTED_VALUE"""),50000.0)</f>
        <v/>
      </c>
      <c r="L146">
        <f>IFERROR(__xludf.DUMMYFUNCTION("""COMPUTED_VALUE"""),3.0)</f>
        <v/>
      </c>
      <c r="M146">
        <f>IFERROR(__xludf.DUMMYFUNCTION("""COMPUTED_VALUE"""),29.0)</f>
        <v/>
      </c>
      <c r="N146">
        <f>IFERROR(__xludf.DUMMYFUNCTION("""COMPUTED_VALUE"""),0.26)</f>
        <v/>
      </c>
      <c r="O146">
        <f>IFERROR(__xludf.DUMMYFUNCTION("""COMPUTED_VALUE"""),300.0)</f>
        <v/>
      </c>
      <c r="P146">
        <f>IFERROR(__xludf.DUMMYFUNCTION("""COMPUTED_VALUE"""),0.0)</f>
        <v/>
      </c>
      <c r="Q146">
        <f>IFERROR(__xludf.DUMMYFUNCTION("""COMPUTED_VALUE"""),0.27)</f>
        <v/>
      </c>
      <c r="R146">
        <f>IFERROR(__xludf.DUMMYFUNCTION("""COMPUTED_VALUE"""),1.0)</f>
        <v/>
      </c>
      <c r="S146">
        <f>IFERROR(__xludf.DUMMYFUNCTION("""COMPUTED_VALUE"""),500.0)</f>
        <v/>
      </c>
      <c r="T146">
        <f>IFERROR(__xludf.DUMMYFUNCTION("""COMPUTED_VALUE"""),"1.57")</f>
        <v/>
      </c>
      <c r="U146">
        <f>IFERROR(__xludf.DUMMYFUNCTION("""COMPUTED_VALUE"""),"stop無:1回目 0.50
stop無:2回目 1.00")</f>
        <v/>
      </c>
      <c r="V146">
        <f>IFERROR(__xludf.DUMMYFUNCTION("""COMPUTED_VALUE"""),50.0)</f>
        <v/>
      </c>
      <c r="W146">
        <f>IFERROR(__xludf.DUMMYFUNCTION("""COMPUTED_VALUE"""),"3.50")</f>
        <v/>
      </c>
      <c r="X146">
        <f>IFERROR(__xludf.DUMMYFUNCTION("""COMPUTED_VALUE"""),"stop無: 1回目 3.20")</f>
        <v/>
      </c>
      <c r="Y146">
        <f>IFERROR(__xludf.DUMMYFUNCTION("""COMPUTED_VALUE"""),"20秒間、自身を30%攻撃UP")</f>
        <v/>
      </c>
      <c r="Z146">
        <f>IFERROR(__xludf.DUMMYFUNCTION("""COMPUTED_VALUE"""),4.0)</f>
        <v/>
      </c>
      <c r="AB146">
        <f>IFERROR(__xludf.DUMMYFUNCTION("""COMPUTED_VALUE"""),"dageki_2")</f>
        <v/>
      </c>
      <c r="AC146">
        <f>IFERROR(__xludf.DUMMYFUNCTION("""COMPUTED_VALUE"""),"1回目の攻撃がヒットした場合、敵を6秒間最大3000ダメージの火傷状態にする")</f>
        <v/>
      </c>
    </row>
    <row r="147">
      <c r="B147">
        <f>IFERROR(__xludf.DUMMYFUNCTION("""COMPUTED_VALUE"""),"chara_yuw_00301")</f>
        <v/>
      </c>
      <c r="C147">
        <f>IFERROR(__xludf.DUMMYFUNCTION("""COMPUTED_VALUE"""),"_okumuraget")</f>
        <v/>
      </c>
      <c r="D147">
        <f>IFERROR(__xludf.DUMMYFUNCTION("""COMPUTED_VALUE"""),"c_yuw_00301_okumuraget_Normal_Colorless")</f>
        <v/>
      </c>
      <c r="E147">
        <f>IFERROR(__xludf.DUMMYFUNCTION("""COMPUTED_VALUE"""),"2.5次元の誘惑")</f>
        <v/>
      </c>
      <c r="F147">
        <f>IFERROR(__xludf.DUMMYFUNCTION("""COMPUTED_VALUE"""),"勇気を纏うコスプレ 乃愛")</f>
        <v/>
      </c>
      <c r="G147">
        <f>IFERROR(__xludf.DUMMYFUNCTION("""COMPUTED_VALUE"""),"勇気を纏うコスプレ 乃愛_okumuraget")</f>
        <v/>
      </c>
      <c r="H147">
        <f>IFERROR(__xludf.DUMMYFUNCTION("""COMPUTED_VALUE"""),"Normal")</f>
        <v/>
      </c>
      <c r="I147">
        <f>IFERROR(__xludf.DUMMYFUNCTION("""COMPUTED_VALUE"""),"Technical")</f>
        <v/>
      </c>
      <c r="J147">
        <f>IFERROR(__xludf.DUMMYFUNCTION("""COMPUTED_VALUE"""),"Colorless")</f>
        <v/>
      </c>
      <c r="K147">
        <f>IFERROR(__xludf.DUMMYFUNCTION("""COMPUTED_VALUE"""),50000.0)</f>
        <v/>
      </c>
      <c r="L147">
        <f>IFERROR(__xludf.DUMMYFUNCTION("""COMPUTED_VALUE"""),3.0)</f>
        <v/>
      </c>
      <c r="M147">
        <f>IFERROR(__xludf.DUMMYFUNCTION("""COMPUTED_VALUE"""),29.0)</f>
        <v/>
      </c>
      <c r="N147">
        <f>IFERROR(__xludf.DUMMYFUNCTION("""COMPUTED_VALUE"""),0.23)</f>
        <v/>
      </c>
      <c r="O147">
        <f>IFERROR(__xludf.DUMMYFUNCTION("""COMPUTED_VALUE"""),300.0)</f>
        <v/>
      </c>
      <c r="P147">
        <f>IFERROR(__xludf.DUMMYFUNCTION("""COMPUTED_VALUE"""),0.0)</f>
        <v/>
      </c>
      <c r="Q147">
        <f>IFERROR(__xludf.DUMMYFUNCTION("""COMPUTED_VALUE"""),0.24)</f>
        <v/>
      </c>
      <c r="R147">
        <f>IFERROR(__xludf.DUMMYFUNCTION("""COMPUTED_VALUE"""),1.0)</f>
        <v/>
      </c>
      <c r="S147">
        <f>IFERROR(__xludf.DUMMYFUNCTION("""COMPUTED_VALUE"""),500.0)</f>
        <v/>
      </c>
      <c r="T147">
        <f>IFERROR(__xludf.DUMMYFUNCTION("""COMPUTED_VALUE"""),"1.57")</f>
        <v/>
      </c>
      <c r="U147">
        <f>IFERROR(__xludf.DUMMYFUNCTION("""COMPUTED_VALUE"""),"stop無:1回目 0.50
stop無:2回目 1.00")</f>
        <v/>
      </c>
      <c r="V147">
        <f>IFERROR(__xludf.DUMMYFUNCTION("""COMPUTED_VALUE"""),90.0)</f>
        <v/>
      </c>
      <c r="W147">
        <f>IFERROR(__xludf.DUMMYFUNCTION("""COMPUTED_VALUE"""),"3.50")</f>
        <v/>
      </c>
      <c r="X147">
        <f>IFERROR(__xludf.DUMMYFUNCTION("""COMPUTED_VALUE"""),"stop無: 1回目 3.20")</f>
        <v/>
      </c>
      <c r="Y147">
        <f>IFERROR(__xludf.DUMMYFUNCTION("""COMPUTED_VALUE"""),"20秒間、30%攻撃UP")</f>
        <v/>
      </c>
      <c r="Z147">
        <f>IFERROR(__xludf.DUMMYFUNCTION("""COMPUTED_VALUE"""),4.0)</f>
        <v/>
      </c>
      <c r="AB147">
        <f>IFERROR(__xludf.DUMMYFUNCTION("""COMPUTED_VALUE"""),"dageki_2")</f>
        <v/>
      </c>
    </row>
    <row r="148">
      <c r="B148">
        <f>IFERROR(__xludf.DUMMYFUNCTION("""COMPUTED_VALUE"""),"chara_yuw_00301")</f>
        <v/>
      </c>
      <c r="C148">
        <f>IFERROR(__xludf.DUMMYFUNCTION("""COMPUTED_VALUE"""),"_okumuraget")</f>
        <v/>
      </c>
      <c r="D148">
        <f>IFERROR(__xludf.DUMMYFUNCTION("""COMPUTED_VALUE"""),"c_yuw_00301_okumuraget_Boss_Blue")</f>
        <v/>
      </c>
      <c r="E148">
        <f>IFERROR(__xludf.DUMMYFUNCTION("""COMPUTED_VALUE"""),"2.5次元の誘惑")</f>
        <v/>
      </c>
      <c r="F148">
        <f>IFERROR(__xludf.DUMMYFUNCTION("""COMPUTED_VALUE"""),"勇気を纏うコスプレ 乃愛")</f>
        <v/>
      </c>
      <c r="G148">
        <f>IFERROR(__xludf.DUMMYFUNCTION("""COMPUTED_VALUE"""),"勇気を纏うコスプレ 乃愛_okumuraget")</f>
        <v/>
      </c>
      <c r="H148">
        <f>IFERROR(__xludf.DUMMYFUNCTION("""COMPUTED_VALUE"""),"Boss")</f>
        <v/>
      </c>
      <c r="I148">
        <f>IFERROR(__xludf.DUMMYFUNCTION("""COMPUTED_VALUE"""),"Technical")</f>
        <v/>
      </c>
      <c r="J148">
        <f>IFERROR(__xludf.DUMMYFUNCTION("""COMPUTED_VALUE"""),"Blue")</f>
        <v/>
      </c>
      <c r="K148">
        <f>IFERROR(__xludf.DUMMYFUNCTION("""COMPUTED_VALUE"""),50000.0)</f>
        <v/>
      </c>
      <c r="L148">
        <f>IFERROR(__xludf.DUMMYFUNCTION("""COMPUTED_VALUE"""),3.0)</f>
        <v/>
      </c>
      <c r="M148">
        <f>IFERROR(__xludf.DUMMYFUNCTION("""COMPUTED_VALUE"""),29.0)</f>
        <v/>
      </c>
      <c r="N148">
        <f>IFERROR(__xludf.DUMMYFUNCTION("""COMPUTED_VALUE"""),0.23)</f>
        <v/>
      </c>
      <c r="O148">
        <f>IFERROR(__xludf.DUMMYFUNCTION("""COMPUTED_VALUE"""),300.0)</f>
        <v/>
      </c>
      <c r="P148">
        <f>IFERROR(__xludf.DUMMYFUNCTION("""COMPUTED_VALUE"""),0.0)</f>
        <v/>
      </c>
      <c r="Q148">
        <f>IFERROR(__xludf.DUMMYFUNCTION("""COMPUTED_VALUE"""),0.24)</f>
        <v/>
      </c>
      <c r="R148">
        <f>IFERROR(__xludf.DUMMYFUNCTION("""COMPUTED_VALUE"""),1.0)</f>
        <v/>
      </c>
      <c r="S148">
        <f>IFERROR(__xludf.DUMMYFUNCTION("""COMPUTED_VALUE"""),500.0)</f>
        <v/>
      </c>
      <c r="T148">
        <f>IFERROR(__xludf.DUMMYFUNCTION("""COMPUTED_VALUE"""),"1.57")</f>
        <v/>
      </c>
      <c r="U148">
        <f>IFERROR(__xludf.DUMMYFUNCTION("""COMPUTED_VALUE"""),"stop無:1回目 0.50
stop無:2回目 1.00")</f>
        <v/>
      </c>
      <c r="V148">
        <f>IFERROR(__xludf.DUMMYFUNCTION("""COMPUTED_VALUE"""),90.0)</f>
        <v/>
      </c>
      <c r="W148">
        <f>IFERROR(__xludf.DUMMYFUNCTION("""COMPUTED_VALUE"""),"3.50")</f>
        <v/>
      </c>
      <c r="X148">
        <f>IFERROR(__xludf.DUMMYFUNCTION("""COMPUTED_VALUE"""),"stop無: 1回目 3.20")</f>
        <v/>
      </c>
      <c r="Y148">
        <f>IFERROR(__xludf.DUMMYFUNCTION("""COMPUTED_VALUE"""),"20秒間、30%攻撃UP")</f>
        <v/>
      </c>
      <c r="Z148">
        <f>IFERROR(__xludf.DUMMYFUNCTION("""COMPUTED_VALUE"""),4.0)</f>
        <v/>
      </c>
      <c r="AB148">
        <f>IFERROR(__xludf.DUMMYFUNCTION("""COMPUTED_VALUE"""),"dageki_2")</f>
        <v/>
      </c>
    </row>
    <row r="149">
      <c r="B149">
        <f>IFERROR(__xludf.DUMMYFUNCTION("""COMPUTED_VALUE"""),"chara_yuw_00301")</f>
        <v/>
      </c>
      <c r="C149">
        <f>IFERROR(__xludf.DUMMYFUNCTION("""COMPUTED_VALUE"""),"_challenge")</f>
        <v/>
      </c>
      <c r="D149">
        <f>IFERROR(__xludf.DUMMYFUNCTION("""COMPUTED_VALUE"""),"c_yuw_00301_challenge_Normal_Green")</f>
        <v/>
      </c>
      <c r="E149">
        <f>IFERROR(__xludf.DUMMYFUNCTION("""COMPUTED_VALUE"""),"2.5次元の誘惑")</f>
        <v/>
      </c>
      <c r="F149">
        <f>IFERROR(__xludf.DUMMYFUNCTION("""COMPUTED_VALUE"""),"勇気を纏うコスプレ 乃愛")</f>
        <v/>
      </c>
      <c r="G149">
        <f>IFERROR(__xludf.DUMMYFUNCTION("""COMPUTED_VALUE"""),"勇気を纏うコスプレ 乃愛_challenge")</f>
        <v/>
      </c>
      <c r="H149">
        <f>IFERROR(__xludf.DUMMYFUNCTION("""COMPUTED_VALUE"""),"Normal")</f>
        <v/>
      </c>
      <c r="I149">
        <f>IFERROR(__xludf.DUMMYFUNCTION("""COMPUTED_VALUE"""),"Technical")</f>
        <v/>
      </c>
      <c r="J149">
        <f>IFERROR(__xludf.DUMMYFUNCTION("""COMPUTED_VALUE"""),"Green")</f>
        <v/>
      </c>
      <c r="K149">
        <f>IFERROR(__xludf.DUMMYFUNCTION("""COMPUTED_VALUE"""),50000.0)</f>
        <v/>
      </c>
      <c r="L149">
        <f>IFERROR(__xludf.DUMMYFUNCTION("""COMPUTED_VALUE"""),3.0)</f>
        <v/>
      </c>
      <c r="M149">
        <f>IFERROR(__xludf.DUMMYFUNCTION("""COMPUTED_VALUE"""),29.0)</f>
        <v/>
      </c>
      <c r="N149">
        <f>IFERROR(__xludf.DUMMYFUNCTION("""COMPUTED_VALUE"""),0.26)</f>
        <v/>
      </c>
      <c r="O149">
        <f>IFERROR(__xludf.DUMMYFUNCTION("""COMPUTED_VALUE"""),300.0)</f>
        <v/>
      </c>
      <c r="P149">
        <f>IFERROR(__xludf.DUMMYFUNCTION("""COMPUTED_VALUE"""),0.0)</f>
        <v/>
      </c>
      <c r="Q149">
        <f>IFERROR(__xludf.DUMMYFUNCTION("""COMPUTED_VALUE"""),0.24)</f>
        <v/>
      </c>
      <c r="R149">
        <f>IFERROR(__xludf.DUMMYFUNCTION("""COMPUTED_VALUE"""),1.0)</f>
        <v/>
      </c>
      <c r="S149">
        <f>IFERROR(__xludf.DUMMYFUNCTION("""COMPUTED_VALUE"""),500.0)</f>
        <v/>
      </c>
      <c r="T149">
        <f>IFERROR(__xludf.DUMMYFUNCTION("""COMPUTED_VALUE"""),"1.57")</f>
        <v/>
      </c>
      <c r="U149">
        <f>IFERROR(__xludf.DUMMYFUNCTION("""COMPUTED_VALUE"""),"stop無:1回目 0.50
stop無:2回目 1.00")</f>
        <v/>
      </c>
      <c r="V149">
        <f>IFERROR(__xludf.DUMMYFUNCTION("""COMPUTED_VALUE"""),50.0)</f>
        <v/>
      </c>
      <c r="W149">
        <f>IFERROR(__xludf.DUMMYFUNCTION("""COMPUTED_VALUE"""),"3.50")</f>
        <v/>
      </c>
      <c r="X149">
        <f>IFERROR(__xludf.DUMMYFUNCTION("""COMPUTED_VALUE"""),"stop無: 1回目 3.20")</f>
        <v/>
      </c>
      <c r="Y149">
        <f>IFERROR(__xludf.DUMMYFUNCTION("""COMPUTED_VALUE"""),"20秒間、敵全体を30%攻撃UP")</f>
        <v/>
      </c>
      <c r="Z149">
        <f>IFERROR(__xludf.DUMMYFUNCTION("""COMPUTED_VALUE"""),4.0)</f>
        <v/>
      </c>
      <c r="AB149">
        <f>IFERROR(__xludf.DUMMYFUNCTION("""COMPUTED_VALUE"""),"dageki_2")</f>
        <v/>
      </c>
    </row>
    <row r="150">
      <c r="B150">
        <f>IFERROR(__xludf.DUMMYFUNCTION("""COMPUTED_VALUE"""),"chara_yuw_00401")</f>
        <v/>
      </c>
      <c r="C150">
        <f>IFERROR(__xludf.DUMMYFUNCTION("""COMPUTED_VALUE"""),"_okumuraget")</f>
        <v/>
      </c>
      <c r="D150">
        <f>IFERROR(__xludf.DUMMYFUNCTION("""COMPUTED_VALUE"""),"c_yuw_00401_okumuraget_Normal_Blue")</f>
        <v/>
      </c>
      <c r="E150">
        <f>IFERROR(__xludf.DUMMYFUNCTION("""COMPUTED_VALUE"""),"2.5次元の誘惑")</f>
        <v/>
      </c>
      <c r="F150">
        <f>IFERROR(__xludf.DUMMYFUNCTION("""COMPUTED_VALUE"""),"伝えたいウチの想い 喜咲 アリア")</f>
        <v/>
      </c>
      <c r="G150">
        <f>IFERROR(__xludf.DUMMYFUNCTION("""COMPUTED_VALUE"""),"伝えたいウチの想い　喜咲 アリア_okumuraget")</f>
        <v/>
      </c>
      <c r="H150">
        <f>IFERROR(__xludf.DUMMYFUNCTION("""COMPUTED_VALUE"""),"Normal")</f>
        <v/>
      </c>
      <c r="I150">
        <f>IFERROR(__xludf.DUMMYFUNCTION("""COMPUTED_VALUE"""),"Defense")</f>
        <v/>
      </c>
      <c r="J150">
        <f>IFERROR(__xludf.DUMMYFUNCTION("""COMPUTED_VALUE"""),"Blue")</f>
        <v/>
      </c>
      <c r="K150">
        <f>IFERROR(__xludf.DUMMYFUNCTION("""COMPUTED_VALUE"""),50000.0)</f>
        <v/>
      </c>
      <c r="L150">
        <f>IFERROR(__xludf.DUMMYFUNCTION("""COMPUTED_VALUE"""),2.0)</f>
        <v/>
      </c>
      <c r="M150">
        <f>IFERROR(__xludf.DUMMYFUNCTION("""COMPUTED_VALUE"""),30.0)</f>
        <v/>
      </c>
      <c r="N150">
        <f>IFERROR(__xludf.DUMMYFUNCTION("""COMPUTED_VALUE"""),0.17)</f>
        <v/>
      </c>
      <c r="O150">
        <f>IFERROR(__xludf.DUMMYFUNCTION("""COMPUTED_VALUE"""),300.0)</f>
        <v/>
      </c>
      <c r="P150">
        <f>IFERROR(__xludf.DUMMYFUNCTION("""COMPUTED_VALUE"""),0.0)</f>
        <v/>
      </c>
      <c r="Q150">
        <f>IFERROR(__xludf.DUMMYFUNCTION("""COMPUTED_VALUE"""),0.18)</f>
        <v/>
      </c>
      <c r="R150">
        <f>IFERROR(__xludf.DUMMYFUNCTION("""COMPUTED_VALUE"""),1.0)</f>
        <v/>
      </c>
      <c r="S150">
        <f>IFERROR(__xludf.DUMMYFUNCTION("""COMPUTED_VALUE"""),100.0)</f>
        <v/>
      </c>
      <c r="T150">
        <f>IFERROR(__xludf.DUMMYFUNCTION("""COMPUTED_VALUE"""),"1.17")</f>
        <v/>
      </c>
      <c r="U150">
        <f>IFERROR(__xludf.DUMMYFUNCTION("""COMPUTED_VALUE"""),"0.34")</f>
        <v/>
      </c>
      <c r="V150">
        <f>IFERROR(__xludf.DUMMYFUNCTION("""COMPUTED_VALUE"""),30.0)</f>
        <v/>
      </c>
      <c r="W150">
        <f>IFERROR(__xludf.DUMMYFUNCTION("""COMPUTED_VALUE"""),"2.67")</f>
        <v/>
      </c>
      <c r="X150">
        <f>IFERROR(__xludf.DUMMYFUNCTION("""COMPUTED_VALUE"""),"1.64")</f>
        <v/>
      </c>
      <c r="Y150">
        <f>IFERROR(__xludf.DUMMYFUNCTION("""COMPUTED_VALUE"""),"単体に300%ダメージ")</f>
        <v/>
      </c>
      <c r="Z150">
        <f>IFERROR(__xludf.DUMMYFUNCTION("""COMPUTED_VALUE"""),6.0)</f>
        <v/>
      </c>
      <c r="AB150">
        <f>IFERROR(__xludf.DUMMYFUNCTION("""COMPUTED_VALUE"""),"dageki_2")</f>
        <v/>
      </c>
    </row>
    <row r="151">
      <c r="B151">
        <f>IFERROR(__xludf.DUMMYFUNCTION("""COMPUTED_VALUE"""),"chara_yuw_00401")</f>
        <v/>
      </c>
      <c r="C151">
        <f>IFERROR(__xludf.DUMMYFUNCTION("""COMPUTED_VALUE"""),"_okumuraget")</f>
        <v/>
      </c>
      <c r="D151">
        <f>IFERROR(__xludf.DUMMYFUNCTION("""COMPUTED_VALUE"""),"c_yuw_00401_okumuraget_Boss_Blue")</f>
        <v/>
      </c>
      <c r="E151">
        <f>IFERROR(__xludf.DUMMYFUNCTION("""COMPUTED_VALUE"""),"2.5次元の誘惑")</f>
        <v/>
      </c>
      <c r="F151">
        <f>IFERROR(__xludf.DUMMYFUNCTION("""COMPUTED_VALUE"""),"伝えたいウチの想い 喜咲 アリア")</f>
        <v/>
      </c>
      <c r="G151">
        <f>IFERROR(__xludf.DUMMYFUNCTION("""COMPUTED_VALUE"""),"伝えたいウチの想い　喜咲 アリア_okumuraget")</f>
        <v/>
      </c>
      <c r="H151">
        <f>IFERROR(__xludf.DUMMYFUNCTION("""COMPUTED_VALUE"""),"Boss")</f>
        <v/>
      </c>
      <c r="I151">
        <f>IFERROR(__xludf.DUMMYFUNCTION("""COMPUTED_VALUE"""),"Defense")</f>
        <v/>
      </c>
      <c r="J151">
        <f>IFERROR(__xludf.DUMMYFUNCTION("""COMPUTED_VALUE"""),"Blue")</f>
        <v/>
      </c>
      <c r="K151">
        <f>IFERROR(__xludf.DUMMYFUNCTION("""COMPUTED_VALUE"""),50000.0)</f>
        <v/>
      </c>
      <c r="L151">
        <f>IFERROR(__xludf.DUMMYFUNCTION("""COMPUTED_VALUE"""),2.0)</f>
        <v/>
      </c>
      <c r="M151">
        <f>IFERROR(__xludf.DUMMYFUNCTION("""COMPUTED_VALUE"""),30.0)</f>
        <v/>
      </c>
      <c r="N151">
        <f>IFERROR(__xludf.DUMMYFUNCTION("""COMPUTED_VALUE"""),0.17)</f>
        <v/>
      </c>
      <c r="O151">
        <f>IFERROR(__xludf.DUMMYFUNCTION("""COMPUTED_VALUE"""),300.0)</f>
        <v/>
      </c>
      <c r="P151">
        <f>IFERROR(__xludf.DUMMYFUNCTION("""COMPUTED_VALUE"""),0.0)</f>
        <v/>
      </c>
      <c r="Q151">
        <f>IFERROR(__xludf.DUMMYFUNCTION("""COMPUTED_VALUE"""),0.18)</f>
        <v/>
      </c>
      <c r="R151">
        <f>IFERROR(__xludf.DUMMYFUNCTION("""COMPUTED_VALUE"""),1.0)</f>
        <v/>
      </c>
      <c r="S151">
        <f>IFERROR(__xludf.DUMMYFUNCTION("""COMPUTED_VALUE"""),100.0)</f>
        <v/>
      </c>
      <c r="T151">
        <f>IFERROR(__xludf.DUMMYFUNCTION("""COMPUTED_VALUE"""),"1.17")</f>
        <v/>
      </c>
      <c r="U151">
        <f>IFERROR(__xludf.DUMMYFUNCTION("""COMPUTED_VALUE"""),"0.34")</f>
        <v/>
      </c>
      <c r="V151">
        <f>IFERROR(__xludf.DUMMYFUNCTION("""COMPUTED_VALUE"""),30.0)</f>
        <v/>
      </c>
      <c r="W151">
        <f>IFERROR(__xludf.DUMMYFUNCTION("""COMPUTED_VALUE"""),"2.67")</f>
        <v/>
      </c>
      <c r="X151">
        <f>IFERROR(__xludf.DUMMYFUNCTION("""COMPUTED_VALUE"""),"1.64")</f>
        <v/>
      </c>
      <c r="Y151">
        <f>IFERROR(__xludf.DUMMYFUNCTION("""COMPUTED_VALUE"""),"単体に300%ダメージ")</f>
        <v/>
      </c>
      <c r="Z151">
        <f>IFERROR(__xludf.DUMMYFUNCTION("""COMPUTED_VALUE"""),6.0)</f>
        <v/>
      </c>
      <c r="AB151">
        <f>IFERROR(__xludf.DUMMYFUNCTION("""COMPUTED_VALUE"""),"dageki_2")</f>
        <v/>
      </c>
    </row>
    <row r="152">
      <c r="B152">
        <f>IFERROR(__xludf.DUMMYFUNCTION("""COMPUTED_VALUE"""),"chara_yuw_00401")</f>
        <v/>
      </c>
      <c r="C152">
        <f>IFERROR(__xludf.DUMMYFUNCTION("""COMPUTED_VALUE"""),"_challenge")</f>
        <v/>
      </c>
      <c r="D152">
        <f>IFERROR(__xludf.DUMMYFUNCTION("""COMPUTED_VALUE"""),"c_yuw_00401_challenge_Normal_Green")</f>
        <v/>
      </c>
      <c r="E152">
        <f>IFERROR(__xludf.DUMMYFUNCTION("""COMPUTED_VALUE"""),"2.5次元の誘惑")</f>
        <v/>
      </c>
      <c r="F152">
        <f>IFERROR(__xludf.DUMMYFUNCTION("""COMPUTED_VALUE"""),"伝えたいウチの想い 喜咲 アリア")</f>
        <v/>
      </c>
      <c r="G152">
        <f>IFERROR(__xludf.DUMMYFUNCTION("""COMPUTED_VALUE"""),"伝えたいウチの想い　喜咲 アリア_challenge")</f>
        <v/>
      </c>
      <c r="H152">
        <f>IFERROR(__xludf.DUMMYFUNCTION("""COMPUTED_VALUE"""),"Normal")</f>
        <v/>
      </c>
      <c r="I152">
        <f>IFERROR(__xludf.DUMMYFUNCTION("""COMPUTED_VALUE"""),"Defense")</f>
        <v/>
      </c>
      <c r="J152">
        <f>IFERROR(__xludf.DUMMYFUNCTION("""COMPUTED_VALUE"""),"Green")</f>
        <v/>
      </c>
      <c r="K152">
        <f>IFERROR(__xludf.DUMMYFUNCTION("""COMPUTED_VALUE"""),50000.0)</f>
        <v/>
      </c>
      <c r="L152">
        <f>IFERROR(__xludf.DUMMYFUNCTION("""COMPUTED_VALUE"""),2.0)</f>
        <v/>
      </c>
      <c r="M152">
        <f>IFERROR(__xludf.DUMMYFUNCTION("""COMPUTED_VALUE"""),30.0)</f>
        <v/>
      </c>
      <c r="N152">
        <f>IFERROR(__xludf.DUMMYFUNCTION("""COMPUTED_VALUE"""),0.17)</f>
        <v/>
      </c>
      <c r="O152">
        <f>IFERROR(__xludf.DUMMYFUNCTION("""COMPUTED_VALUE"""),300.0)</f>
        <v/>
      </c>
      <c r="P152">
        <f>IFERROR(__xludf.DUMMYFUNCTION("""COMPUTED_VALUE"""),0.0)</f>
        <v/>
      </c>
      <c r="Q152">
        <f>IFERROR(__xludf.DUMMYFUNCTION("""COMPUTED_VALUE"""),0.18)</f>
        <v/>
      </c>
      <c r="R152">
        <f>IFERROR(__xludf.DUMMYFUNCTION("""COMPUTED_VALUE"""),1.0)</f>
        <v/>
      </c>
      <c r="S152">
        <f>IFERROR(__xludf.DUMMYFUNCTION("""COMPUTED_VALUE"""),100.0)</f>
        <v/>
      </c>
      <c r="T152">
        <f>IFERROR(__xludf.DUMMYFUNCTION("""COMPUTED_VALUE"""),"1.17")</f>
        <v/>
      </c>
      <c r="U152">
        <f>IFERROR(__xludf.DUMMYFUNCTION("""COMPUTED_VALUE"""),"0.34")</f>
        <v/>
      </c>
      <c r="V152">
        <f>IFERROR(__xludf.DUMMYFUNCTION("""COMPUTED_VALUE"""),30.0)</f>
        <v/>
      </c>
      <c r="W152">
        <f>IFERROR(__xludf.DUMMYFUNCTION("""COMPUTED_VALUE"""),"2.67")</f>
        <v/>
      </c>
      <c r="X152">
        <f>IFERROR(__xludf.DUMMYFUNCTION("""COMPUTED_VALUE"""),"1.64")</f>
        <v/>
      </c>
      <c r="Y152">
        <f>IFERROR(__xludf.DUMMYFUNCTION("""COMPUTED_VALUE"""),"単体に200%ダメージ")</f>
        <v/>
      </c>
      <c r="Z152">
        <f>IFERROR(__xludf.DUMMYFUNCTION("""COMPUTED_VALUE"""),6.0)</f>
        <v/>
      </c>
      <c r="AB152">
        <f>IFERROR(__xludf.DUMMYFUNCTION("""COMPUTED_VALUE"""),"dageki_2")</f>
        <v/>
      </c>
    </row>
    <row r="153">
      <c r="B153">
        <f>IFERROR(__xludf.DUMMYFUNCTION("""COMPUTED_VALUE"""),"chara_yuw_00401")</f>
        <v/>
      </c>
      <c r="C153">
        <f>IFERROR(__xludf.DUMMYFUNCTION("""COMPUTED_VALUE"""),"_challenge")</f>
        <v/>
      </c>
      <c r="D153">
        <f>IFERROR(__xludf.DUMMYFUNCTION("""COMPUTED_VALUE"""),"c_yuw_00401_challenge_Boss_Green")</f>
        <v/>
      </c>
      <c r="E153">
        <f>IFERROR(__xludf.DUMMYFUNCTION("""COMPUTED_VALUE"""),"2.5次元の誘惑")</f>
        <v/>
      </c>
      <c r="F153">
        <f>IFERROR(__xludf.DUMMYFUNCTION("""COMPUTED_VALUE"""),"伝えたいウチの想い 喜咲 アリア")</f>
        <v/>
      </c>
      <c r="G153">
        <f>IFERROR(__xludf.DUMMYFUNCTION("""COMPUTED_VALUE"""),"伝えたいウチの想い　喜咲 アリア_challenge")</f>
        <v/>
      </c>
      <c r="H153">
        <f>IFERROR(__xludf.DUMMYFUNCTION("""COMPUTED_VALUE"""),"Boss")</f>
        <v/>
      </c>
      <c r="I153">
        <f>IFERROR(__xludf.DUMMYFUNCTION("""COMPUTED_VALUE"""),"Defense")</f>
        <v/>
      </c>
      <c r="J153">
        <f>IFERROR(__xludf.DUMMYFUNCTION("""COMPUTED_VALUE"""),"Green")</f>
        <v/>
      </c>
      <c r="K153">
        <f>IFERROR(__xludf.DUMMYFUNCTION("""COMPUTED_VALUE"""),50000.0)</f>
        <v/>
      </c>
      <c r="L153">
        <f>IFERROR(__xludf.DUMMYFUNCTION("""COMPUTED_VALUE"""),2.0)</f>
        <v/>
      </c>
      <c r="M153">
        <f>IFERROR(__xludf.DUMMYFUNCTION("""COMPUTED_VALUE"""),30.0)</f>
        <v/>
      </c>
      <c r="N153">
        <f>IFERROR(__xludf.DUMMYFUNCTION("""COMPUTED_VALUE"""),0.17)</f>
        <v/>
      </c>
      <c r="O153">
        <f>IFERROR(__xludf.DUMMYFUNCTION("""COMPUTED_VALUE"""),300.0)</f>
        <v/>
      </c>
      <c r="P153">
        <f>IFERROR(__xludf.DUMMYFUNCTION("""COMPUTED_VALUE"""),0.0)</f>
        <v/>
      </c>
      <c r="Q153">
        <f>IFERROR(__xludf.DUMMYFUNCTION("""COMPUTED_VALUE"""),0.18)</f>
        <v/>
      </c>
      <c r="R153">
        <f>IFERROR(__xludf.DUMMYFUNCTION("""COMPUTED_VALUE"""),1.0)</f>
        <v/>
      </c>
      <c r="S153">
        <f>IFERROR(__xludf.DUMMYFUNCTION("""COMPUTED_VALUE"""),100.0)</f>
        <v/>
      </c>
      <c r="T153">
        <f>IFERROR(__xludf.DUMMYFUNCTION("""COMPUTED_VALUE"""),"1.17")</f>
        <v/>
      </c>
      <c r="U153">
        <f>IFERROR(__xludf.DUMMYFUNCTION("""COMPUTED_VALUE"""),"0.34")</f>
        <v/>
      </c>
      <c r="V153">
        <f>IFERROR(__xludf.DUMMYFUNCTION("""COMPUTED_VALUE"""),30.0)</f>
        <v/>
      </c>
      <c r="W153">
        <f>IFERROR(__xludf.DUMMYFUNCTION("""COMPUTED_VALUE"""),"2.67")</f>
        <v/>
      </c>
      <c r="X153">
        <f>IFERROR(__xludf.DUMMYFUNCTION("""COMPUTED_VALUE"""),"1.64")</f>
        <v/>
      </c>
      <c r="Y153">
        <f>IFERROR(__xludf.DUMMYFUNCTION("""COMPUTED_VALUE"""),"単体に300%ダメージ")</f>
        <v/>
      </c>
      <c r="Z153">
        <f>IFERROR(__xludf.DUMMYFUNCTION("""COMPUTED_VALUE"""),6.0)</f>
        <v/>
      </c>
      <c r="AB153">
        <f>IFERROR(__xludf.DUMMYFUNCTION("""COMPUTED_VALUE"""),"dageki_2")</f>
        <v/>
      </c>
    </row>
    <row r="154">
      <c r="B154">
        <f>IFERROR(__xludf.DUMMYFUNCTION("""COMPUTED_VALUE"""),"chara_yuw_00501")</f>
        <v/>
      </c>
      <c r="C154">
        <f>IFERROR(__xludf.DUMMYFUNCTION("""COMPUTED_VALUE"""),"_savage")</f>
        <v/>
      </c>
      <c r="D154">
        <f>IFERROR(__xludf.DUMMYFUNCTION("""COMPUTED_VALUE"""),"c_yuw_00501_savage_Boss_Red")</f>
        <v/>
      </c>
      <c r="E154">
        <f>IFERROR(__xludf.DUMMYFUNCTION("""COMPUTED_VALUE"""),"2.5次元の誘惑")</f>
        <v/>
      </c>
      <c r="F154">
        <f>IFERROR(__xludf.DUMMYFUNCTION("""COMPUTED_VALUE"""),"753♡")</f>
        <v/>
      </c>
      <c r="G154">
        <f>IFERROR(__xludf.DUMMYFUNCTION("""COMPUTED_VALUE"""),"753♡_savage")</f>
        <v/>
      </c>
      <c r="H154">
        <f>IFERROR(__xludf.DUMMYFUNCTION("""COMPUTED_VALUE"""),"Boss")</f>
        <v/>
      </c>
      <c r="I154">
        <f>IFERROR(__xludf.DUMMYFUNCTION("""COMPUTED_VALUE"""),"Attack")</f>
        <v/>
      </c>
      <c r="J154">
        <f>IFERROR(__xludf.DUMMYFUNCTION("""COMPUTED_VALUE"""),"Red")</f>
        <v/>
      </c>
      <c r="K154">
        <f>IFERROR(__xludf.DUMMYFUNCTION("""COMPUTED_VALUE"""),100000.0)</f>
        <v/>
      </c>
      <c r="L154">
        <f>IFERROR(__xludf.DUMMYFUNCTION("""COMPUTED_VALUE"""),2.0)</f>
        <v/>
      </c>
      <c r="M154">
        <f>IFERROR(__xludf.DUMMYFUNCTION("""COMPUTED_VALUE"""),28.0)</f>
        <v/>
      </c>
      <c r="N154">
        <f>IFERROR(__xludf.DUMMYFUNCTION("""COMPUTED_VALUE"""),0.3)</f>
        <v/>
      </c>
      <c r="O154">
        <f>IFERROR(__xludf.DUMMYFUNCTION("""COMPUTED_VALUE"""),500.0)</f>
        <v/>
      </c>
      <c r="P154">
        <f>IFERROR(__xludf.DUMMYFUNCTION("""COMPUTED_VALUE"""),0.0)</f>
        <v/>
      </c>
      <c r="Q154">
        <f>IFERROR(__xludf.DUMMYFUNCTION("""COMPUTED_VALUE"""),0.31)</f>
        <v/>
      </c>
      <c r="R154">
        <f>IFERROR(__xludf.DUMMYFUNCTION("""COMPUTED_VALUE"""),1.0)</f>
        <v/>
      </c>
      <c r="S154">
        <f>IFERROR(__xludf.DUMMYFUNCTION("""COMPUTED_VALUE"""),50.0)</f>
        <v/>
      </c>
      <c r="T154">
        <f>IFERROR(__xludf.DUMMYFUNCTION("""COMPUTED_VALUE"""),"1.24")</f>
        <v/>
      </c>
      <c r="U154">
        <f>IFERROR(__xludf.DUMMYFUNCTION("""COMPUTED_VALUE"""),"stop有:1回目 0.43")</f>
        <v/>
      </c>
      <c r="V154">
        <f>IFERROR(__xludf.DUMMYFUNCTION("""COMPUTED_VALUE"""),50.0)</f>
        <v/>
      </c>
      <c r="W154">
        <f>IFERROR(__xludf.DUMMYFUNCTION("""COMPUTED_VALUE"""),"2.17")</f>
        <v/>
      </c>
      <c r="X154">
        <f>IFERROR(__xludf.DUMMYFUNCTION("""COMPUTED_VALUE"""),"stop無: 1回目 1.50")</f>
        <v/>
      </c>
      <c r="Y154">
        <f>IFERROR(__xludf.DUMMYFUNCTION("""COMPUTED_VALUE"""),"次回(1回)自身の攻撃力500%Up")</f>
        <v/>
      </c>
      <c r="Z154">
        <f>IFERROR(__xludf.DUMMYFUNCTION("""COMPUTED_VALUE"""),4.0)</f>
        <v/>
      </c>
      <c r="AB154">
        <f>IFERROR(__xludf.DUMMYFUNCTION("""COMPUTED_VALUE"""),"dageki_2")</f>
        <v/>
      </c>
    </row>
    <row r="155">
      <c r="B155">
        <f>IFERROR(__xludf.DUMMYFUNCTION("""COMPUTED_VALUE"""),"chara_yuw_00501")</f>
        <v/>
      </c>
      <c r="C155">
        <f>IFERROR(__xludf.DUMMYFUNCTION("""COMPUTED_VALUE"""),"_753get")</f>
        <v/>
      </c>
      <c r="D155">
        <f>IFERROR(__xludf.DUMMYFUNCTION("""COMPUTED_VALUE"""),"c_yuw_00501_753get_Boss_Green")</f>
        <v/>
      </c>
      <c r="E155">
        <f>IFERROR(__xludf.DUMMYFUNCTION("""COMPUTED_VALUE"""),"2.5次元の誘惑")</f>
        <v/>
      </c>
      <c r="F155">
        <f>IFERROR(__xludf.DUMMYFUNCTION("""COMPUTED_VALUE"""),"753♡")</f>
        <v/>
      </c>
      <c r="G155">
        <f>IFERROR(__xludf.DUMMYFUNCTION("""COMPUTED_VALUE"""),"753♡_753get")</f>
        <v/>
      </c>
      <c r="H155">
        <f>IFERROR(__xludf.DUMMYFUNCTION("""COMPUTED_VALUE"""),"Boss")</f>
        <v/>
      </c>
      <c r="I155">
        <f>IFERROR(__xludf.DUMMYFUNCTION("""COMPUTED_VALUE"""),"Attack")</f>
        <v/>
      </c>
      <c r="J155">
        <f>IFERROR(__xludf.DUMMYFUNCTION("""COMPUTED_VALUE"""),"Green")</f>
        <v/>
      </c>
      <c r="K155">
        <f>IFERROR(__xludf.DUMMYFUNCTION("""COMPUTED_VALUE"""),50000.0)</f>
        <v/>
      </c>
      <c r="L155">
        <f>IFERROR(__xludf.DUMMYFUNCTION("""COMPUTED_VALUE"""),3.0)</f>
        <v/>
      </c>
      <c r="M155">
        <f>IFERROR(__xludf.DUMMYFUNCTION("""COMPUTED_VALUE"""),26.0)</f>
        <v/>
      </c>
      <c r="N155">
        <f>IFERROR(__xludf.DUMMYFUNCTION("""COMPUTED_VALUE"""),0.3)</f>
        <v/>
      </c>
      <c r="O155">
        <f>IFERROR(__xludf.DUMMYFUNCTION("""COMPUTED_VALUE"""),300.0)</f>
        <v/>
      </c>
      <c r="P155">
        <f>IFERROR(__xludf.DUMMYFUNCTION("""COMPUTED_VALUE"""),0.0)</f>
        <v/>
      </c>
      <c r="Q155">
        <f>IFERROR(__xludf.DUMMYFUNCTION("""COMPUTED_VALUE"""),0.31)</f>
        <v/>
      </c>
      <c r="R155">
        <f>IFERROR(__xludf.DUMMYFUNCTION("""COMPUTED_VALUE"""),1.0)</f>
        <v/>
      </c>
      <c r="S155">
        <f>IFERROR(__xludf.DUMMYFUNCTION("""COMPUTED_VALUE"""),100.0)</f>
        <v/>
      </c>
      <c r="T155">
        <f>IFERROR(__xludf.DUMMYFUNCTION("""COMPUTED_VALUE"""),"1.24")</f>
        <v/>
      </c>
      <c r="U155">
        <f>IFERROR(__xludf.DUMMYFUNCTION("""COMPUTED_VALUE"""),"stop有:1回目 0.43")</f>
        <v/>
      </c>
      <c r="V155">
        <f>IFERROR(__xludf.DUMMYFUNCTION("""COMPUTED_VALUE"""),60.0)</f>
        <v/>
      </c>
      <c r="W155">
        <f>IFERROR(__xludf.DUMMYFUNCTION("""COMPUTED_VALUE"""),"2.17")</f>
        <v/>
      </c>
      <c r="X155">
        <f>IFERROR(__xludf.DUMMYFUNCTION("""COMPUTED_VALUE"""),"stop無: 1回目 1.50")</f>
        <v/>
      </c>
      <c r="Y155">
        <f>IFERROR(__xludf.DUMMYFUNCTION("""COMPUTED_VALUE"""),"次回(1回)自身の攻撃力500%Up")</f>
        <v/>
      </c>
      <c r="Z155">
        <f>IFERROR(__xludf.DUMMYFUNCTION("""COMPUTED_VALUE"""),4.0)</f>
        <v/>
      </c>
      <c r="AB155">
        <f>IFERROR(__xludf.DUMMYFUNCTION("""COMPUTED_VALUE"""),"dageki_2")</f>
        <v/>
      </c>
    </row>
    <row r="156">
      <c r="B156">
        <f>IFERROR(__xludf.DUMMYFUNCTION("""COMPUTED_VALUE"""),"chara_yuw_00601")</f>
        <v/>
      </c>
      <c r="C156">
        <f>IFERROR(__xludf.DUMMYFUNCTION("""COMPUTED_VALUE"""),"_1d1c")</f>
        <v/>
      </c>
      <c r="D156">
        <f>IFERROR(__xludf.DUMMYFUNCTION("""COMPUTED_VALUE"""),"c_yuw_00601_1d1c_Normal_Colorless")</f>
        <v/>
      </c>
      <c r="E156">
        <f>IFERROR(__xludf.DUMMYFUNCTION("""COMPUTED_VALUE"""),"2.5次元の誘惑")</f>
        <v/>
      </c>
      <c r="F156">
        <f>IFERROR(__xludf.DUMMYFUNCTION("""COMPUTED_VALUE"""),"奥村 正宗")</f>
        <v/>
      </c>
      <c r="G156">
        <f>IFERROR(__xludf.DUMMYFUNCTION("""COMPUTED_VALUE"""),"奥村 正宗_1d1c")</f>
        <v/>
      </c>
      <c r="H156">
        <f>IFERROR(__xludf.DUMMYFUNCTION("""COMPUTED_VALUE"""),"Normal")</f>
        <v/>
      </c>
      <c r="I156">
        <f>IFERROR(__xludf.DUMMYFUNCTION("""COMPUTED_VALUE"""),"Defense")</f>
        <v/>
      </c>
      <c r="J156">
        <f>IFERROR(__xludf.DUMMYFUNCTION("""COMPUTED_VALUE"""),"Colorless")</f>
        <v/>
      </c>
      <c r="K156">
        <f>IFERROR(__xludf.DUMMYFUNCTION("""COMPUTED_VALUE"""),10000.0)</f>
        <v/>
      </c>
      <c r="L156">
        <f>IFERROR(__xludf.DUMMYFUNCTION("""COMPUTED_VALUE"""),3.0)</f>
        <v/>
      </c>
      <c r="M156">
        <f>IFERROR(__xludf.DUMMYFUNCTION("""COMPUTED_VALUE"""),25.0)</f>
        <v/>
      </c>
      <c r="N156">
        <f>IFERROR(__xludf.DUMMYFUNCTION("""COMPUTED_VALUE"""),0.19)</f>
        <v/>
      </c>
      <c r="O156">
        <f>IFERROR(__xludf.DUMMYFUNCTION("""COMPUTED_VALUE"""),300.0)</f>
        <v/>
      </c>
      <c r="P156">
        <f>IFERROR(__xludf.DUMMYFUNCTION("""COMPUTED_VALUE"""),0.0)</f>
        <v/>
      </c>
      <c r="Q156">
        <f>IFERROR(__xludf.DUMMYFUNCTION("""COMPUTED_VALUE"""),0.25)</f>
        <v/>
      </c>
      <c r="R156">
        <f>IFERROR(__xludf.DUMMYFUNCTION("""COMPUTED_VALUE"""),1.0)</f>
        <v/>
      </c>
      <c r="S156">
        <f>IFERROR(__xludf.DUMMYFUNCTION("""COMPUTED_VALUE"""),1000.0)</f>
        <v/>
      </c>
      <c r="T156">
        <f>IFERROR(__xludf.DUMMYFUNCTION("""COMPUTED_VALUE"""),"1.20")</f>
        <v/>
      </c>
      <c r="U156">
        <f>IFERROR(__xludf.DUMMYFUNCTION("""COMPUTED_VALUE"""),"0.67")</f>
        <v/>
      </c>
      <c r="V156">
        <f>IFERROR(__xludf.DUMMYFUNCTION("""COMPUTED_VALUE"""),60.0)</f>
        <v/>
      </c>
      <c r="W156">
        <f>IFERROR(__xludf.DUMMYFUNCTION("""COMPUTED_VALUE"""),"1.84")</f>
        <v/>
      </c>
      <c r="X156">
        <f>IFERROR(__xludf.DUMMYFUNCTION("""COMPUTED_VALUE"""),"stop無: 1回目 0.68")</f>
        <v/>
      </c>
      <c r="Y156">
        <f>IFERROR(__xludf.DUMMYFUNCTION("""COMPUTED_VALUE"""),"20秒間、自身が受けるダメージ30%カット")</f>
        <v/>
      </c>
      <c r="Z156">
        <f>IFERROR(__xludf.DUMMYFUNCTION("""COMPUTED_VALUE"""),4.0)</f>
        <v/>
      </c>
      <c r="AB156">
        <f>IFERROR(__xludf.DUMMYFUNCTION("""COMPUTED_VALUE"""),"dageki_1")</f>
        <v/>
      </c>
    </row>
    <row r="157">
      <c r="B157">
        <f>IFERROR(__xludf.DUMMYFUNCTION("""COMPUTED_VALUE"""),"chara_yuw_00601")</f>
        <v/>
      </c>
      <c r="C157">
        <f>IFERROR(__xludf.DUMMYFUNCTION("""COMPUTED_VALUE"""),"_753get")</f>
        <v/>
      </c>
      <c r="D157">
        <f>IFERROR(__xludf.DUMMYFUNCTION("""COMPUTED_VALUE"""),"c_yuw_00601_753get_Boss_Colorless")</f>
        <v/>
      </c>
      <c r="E157">
        <f>IFERROR(__xludf.DUMMYFUNCTION("""COMPUTED_VALUE"""),"2.5次元の誘惑")</f>
        <v/>
      </c>
      <c r="F157">
        <f>IFERROR(__xludf.DUMMYFUNCTION("""COMPUTED_VALUE"""),"奥村 正宗")</f>
        <v/>
      </c>
      <c r="G157">
        <f>IFERROR(__xludf.DUMMYFUNCTION("""COMPUTED_VALUE"""),"奥村 正宗_753get")</f>
        <v/>
      </c>
      <c r="H157">
        <f>IFERROR(__xludf.DUMMYFUNCTION("""COMPUTED_VALUE"""),"Boss")</f>
        <v/>
      </c>
      <c r="I157">
        <f>IFERROR(__xludf.DUMMYFUNCTION("""COMPUTED_VALUE"""),"Defense")</f>
        <v/>
      </c>
      <c r="J157">
        <f>IFERROR(__xludf.DUMMYFUNCTION("""COMPUTED_VALUE"""),"Colorless")</f>
        <v/>
      </c>
      <c r="K157">
        <f>IFERROR(__xludf.DUMMYFUNCTION("""COMPUTED_VALUE"""),50000.0)</f>
        <v/>
      </c>
      <c r="L157">
        <f>IFERROR(__xludf.DUMMYFUNCTION("""COMPUTED_VALUE"""),2.0)</f>
        <v/>
      </c>
      <c r="M157">
        <f>IFERROR(__xludf.DUMMYFUNCTION("""COMPUTED_VALUE"""),25.0)</f>
        <v/>
      </c>
      <c r="N157">
        <f>IFERROR(__xludf.DUMMYFUNCTION("""COMPUTED_VALUE"""),0.19)</f>
        <v/>
      </c>
      <c r="O157">
        <f>IFERROR(__xludf.DUMMYFUNCTION("""COMPUTED_VALUE"""),300.0)</f>
        <v/>
      </c>
      <c r="P157">
        <f>IFERROR(__xludf.DUMMYFUNCTION("""COMPUTED_VALUE"""),0.0)</f>
        <v/>
      </c>
      <c r="Q157">
        <f>IFERROR(__xludf.DUMMYFUNCTION("""COMPUTED_VALUE"""),0.25)</f>
        <v/>
      </c>
      <c r="R157">
        <f>IFERROR(__xludf.DUMMYFUNCTION("""COMPUTED_VALUE"""),1.0)</f>
        <v/>
      </c>
      <c r="S157">
        <f>IFERROR(__xludf.DUMMYFUNCTION("""COMPUTED_VALUE"""),500.0)</f>
        <v/>
      </c>
      <c r="T157">
        <f>IFERROR(__xludf.DUMMYFUNCTION("""COMPUTED_VALUE"""),"1.20")</f>
        <v/>
      </c>
      <c r="U157">
        <f>IFERROR(__xludf.DUMMYFUNCTION("""COMPUTED_VALUE"""),"0.67")</f>
        <v/>
      </c>
      <c r="V157">
        <f>IFERROR(__xludf.DUMMYFUNCTION("""COMPUTED_VALUE"""),60.0)</f>
        <v/>
      </c>
      <c r="W157">
        <f>IFERROR(__xludf.DUMMYFUNCTION("""COMPUTED_VALUE"""),"1.84")</f>
        <v/>
      </c>
      <c r="X157">
        <f>IFERROR(__xludf.DUMMYFUNCTION("""COMPUTED_VALUE"""),"stop無: 1回目 0.68")</f>
        <v/>
      </c>
      <c r="Y157">
        <f>IFERROR(__xludf.DUMMYFUNCTION("""COMPUTED_VALUE"""),"20秒間、自身が受けるダメージ30%カット")</f>
        <v/>
      </c>
      <c r="Z157">
        <f>IFERROR(__xludf.DUMMYFUNCTION("""COMPUTED_VALUE"""),4.0)</f>
        <v/>
      </c>
      <c r="AB157">
        <f>IFERROR(__xludf.DUMMYFUNCTION("""COMPUTED_VALUE"""),"dageki_1")</f>
        <v/>
      </c>
    </row>
    <row r="158">
      <c r="B158">
        <f>IFERROR(__xludf.DUMMYFUNCTION("""COMPUTED_VALUE"""),"chara_yuw_00601")</f>
        <v/>
      </c>
      <c r="C158">
        <f>IFERROR(__xludf.DUMMYFUNCTION("""COMPUTED_VALUE"""),"_okumuraget")</f>
        <v/>
      </c>
      <c r="D158">
        <f>IFERROR(__xludf.DUMMYFUNCTION("""COMPUTED_VALUE"""),"c_yuw_00601_okumuraget_Normal_Blue")</f>
        <v/>
      </c>
      <c r="E158">
        <f>IFERROR(__xludf.DUMMYFUNCTION("""COMPUTED_VALUE"""),"2.5次元の誘惑")</f>
        <v/>
      </c>
      <c r="F158">
        <f>IFERROR(__xludf.DUMMYFUNCTION("""COMPUTED_VALUE"""),"奥村 正宗")</f>
        <v/>
      </c>
      <c r="G158">
        <f>IFERROR(__xludf.DUMMYFUNCTION("""COMPUTED_VALUE"""),"奥村 正宗_okumuraget")</f>
        <v/>
      </c>
      <c r="H158">
        <f>IFERROR(__xludf.DUMMYFUNCTION("""COMPUTED_VALUE"""),"Normal")</f>
        <v/>
      </c>
      <c r="I158">
        <f>IFERROR(__xludf.DUMMYFUNCTION("""COMPUTED_VALUE"""),"Defense")</f>
        <v/>
      </c>
      <c r="J158">
        <f>IFERROR(__xludf.DUMMYFUNCTION("""COMPUTED_VALUE"""),"Blue")</f>
        <v/>
      </c>
      <c r="K158">
        <f>IFERROR(__xludf.DUMMYFUNCTION("""COMPUTED_VALUE"""),50000.0)</f>
        <v/>
      </c>
      <c r="L158">
        <f>IFERROR(__xludf.DUMMYFUNCTION("""COMPUTED_VALUE"""),2.0)</f>
        <v/>
      </c>
      <c r="M158">
        <f>IFERROR(__xludf.DUMMYFUNCTION("""COMPUTED_VALUE"""),25.0)</f>
        <v/>
      </c>
      <c r="N158">
        <f>IFERROR(__xludf.DUMMYFUNCTION("""COMPUTED_VALUE"""),0.19)</f>
        <v/>
      </c>
      <c r="O158">
        <f>IFERROR(__xludf.DUMMYFUNCTION("""COMPUTED_VALUE"""),300.0)</f>
        <v/>
      </c>
      <c r="P158">
        <f>IFERROR(__xludf.DUMMYFUNCTION("""COMPUTED_VALUE"""),0.0)</f>
        <v/>
      </c>
      <c r="Q158">
        <f>IFERROR(__xludf.DUMMYFUNCTION("""COMPUTED_VALUE"""),0.25)</f>
        <v/>
      </c>
      <c r="R158">
        <f>IFERROR(__xludf.DUMMYFUNCTION("""COMPUTED_VALUE"""),1.0)</f>
        <v/>
      </c>
      <c r="S158">
        <f>IFERROR(__xludf.DUMMYFUNCTION("""COMPUTED_VALUE"""),500.0)</f>
        <v/>
      </c>
      <c r="T158">
        <f>IFERROR(__xludf.DUMMYFUNCTION("""COMPUTED_VALUE"""),"1.20")</f>
        <v/>
      </c>
      <c r="U158">
        <f>IFERROR(__xludf.DUMMYFUNCTION("""COMPUTED_VALUE"""),"0.67")</f>
        <v/>
      </c>
      <c r="V158">
        <f>IFERROR(__xludf.DUMMYFUNCTION("""COMPUTED_VALUE"""),60.0)</f>
        <v/>
      </c>
      <c r="W158">
        <f>IFERROR(__xludf.DUMMYFUNCTION("""COMPUTED_VALUE"""),"1.84")</f>
        <v/>
      </c>
      <c r="X158">
        <f>IFERROR(__xludf.DUMMYFUNCTION("""COMPUTED_VALUE"""),"stop無: 1回目 0.68")</f>
        <v/>
      </c>
      <c r="Y158">
        <f>IFERROR(__xludf.DUMMYFUNCTION("""COMPUTED_VALUE"""),"20秒間、自身が受けるダメージ30%カット")</f>
        <v/>
      </c>
      <c r="Z158">
        <f>IFERROR(__xludf.DUMMYFUNCTION("""COMPUTED_VALUE"""),4.0)</f>
        <v/>
      </c>
      <c r="AB158">
        <f>IFERROR(__xludf.DUMMYFUNCTION("""COMPUTED_VALUE"""),"dageki_1")</f>
        <v/>
      </c>
    </row>
    <row r="159">
      <c r="B159">
        <f>IFERROR(__xludf.DUMMYFUNCTION("""COMPUTED_VALUE"""),"chara_yuw_00601")</f>
        <v/>
      </c>
      <c r="C159">
        <f>IFERROR(__xludf.DUMMYFUNCTION("""COMPUTED_VALUE"""),"_okumuraget")</f>
        <v/>
      </c>
      <c r="D159">
        <f>IFERROR(__xludf.DUMMYFUNCTION("""COMPUTED_VALUE"""),"c_yuw_00601_okumuraget_Boss_Blue")</f>
        <v/>
      </c>
      <c r="E159">
        <f>IFERROR(__xludf.DUMMYFUNCTION("""COMPUTED_VALUE"""),"2.5次元の誘惑")</f>
        <v/>
      </c>
      <c r="F159">
        <f>IFERROR(__xludf.DUMMYFUNCTION("""COMPUTED_VALUE"""),"奥村 正宗")</f>
        <v/>
      </c>
      <c r="G159">
        <f>IFERROR(__xludf.DUMMYFUNCTION("""COMPUTED_VALUE"""),"奥村 正宗_okumuraget")</f>
        <v/>
      </c>
      <c r="H159">
        <f>IFERROR(__xludf.DUMMYFUNCTION("""COMPUTED_VALUE"""),"Boss")</f>
        <v/>
      </c>
      <c r="I159">
        <f>IFERROR(__xludf.DUMMYFUNCTION("""COMPUTED_VALUE"""),"Defense")</f>
        <v/>
      </c>
      <c r="J159">
        <f>IFERROR(__xludf.DUMMYFUNCTION("""COMPUTED_VALUE"""),"Blue")</f>
        <v/>
      </c>
      <c r="K159">
        <f>IFERROR(__xludf.DUMMYFUNCTION("""COMPUTED_VALUE"""),50000.0)</f>
        <v/>
      </c>
      <c r="L159">
        <f>IFERROR(__xludf.DUMMYFUNCTION("""COMPUTED_VALUE"""),2.0)</f>
        <v/>
      </c>
      <c r="M159">
        <f>IFERROR(__xludf.DUMMYFUNCTION("""COMPUTED_VALUE"""),25.0)</f>
        <v/>
      </c>
      <c r="N159">
        <f>IFERROR(__xludf.DUMMYFUNCTION("""COMPUTED_VALUE"""),0.19)</f>
        <v/>
      </c>
      <c r="O159">
        <f>IFERROR(__xludf.DUMMYFUNCTION("""COMPUTED_VALUE"""),300.0)</f>
        <v/>
      </c>
      <c r="P159">
        <f>IFERROR(__xludf.DUMMYFUNCTION("""COMPUTED_VALUE"""),0.0)</f>
        <v/>
      </c>
      <c r="Q159">
        <f>IFERROR(__xludf.DUMMYFUNCTION("""COMPUTED_VALUE"""),0.25)</f>
        <v/>
      </c>
      <c r="R159">
        <f>IFERROR(__xludf.DUMMYFUNCTION("""COMPUTED_VALUE"""),1.0)</f>
        <v/>
      </c>
      <c r="S159">
        <f>IFERROR(__xludf.DUMMYFUNCTION("""COMPUTED_VALUE"""),500.0)</f>
        <v/>
      </c>
      <c r="T159">
        <f>IFERROR(__xludf.DUMMYFUNCTION("""COMPUTED_VALUE"""),"1.20")</f>
        <v/>
      </c>
      <c r="U159">
        <f>IFERROR(__xludf.DUMMYFUNCTION("""COMPUTED_VALUE"""),"0.67")</f>
        <v/>
      </c>
      <c r="V159">
        <f>IFERROR(__xludf.DUMMYFUNCTION("""COMPUTED_VALUE"""),60.0)</f>
        <v/>
      </c>
      <c r="W159">
        <f>IFERROR(__xludf.DUMMYFUNCTION("""COMPUTED_VALUE"""),"1.84")</f>
        <v/>
      </c>
      <c r="X159">
        <f>IFERROR(__xludf.DUMMYFUNCTION("""COMPUTED_VALUE"""),"stop無: 1回目 0.68")</f>
        <v/>
      </c>
      <c r="Y159">
        <f>IFERROR(__xludf.DUMMYFUNCTION("""COMPUTED_VALUE"""),"20秒間、自身が受けるダメージ30%カット")</f>
        <v/>
      </c>
      <c r="Z159">
        <f>IFERROR(__xludf.DUMMYFUNCTION("""COMPUTED_VALUE"""),4.0)</f>
        <v/>
      </c>
      <c r="AB159">
        <f>IFERROR(__xludf.DUMMYFUNCTION("""COMPUTED_VALUE"""),"dageki_1")</f>
        <v/>
      </c>
    </row>
    <row r="160">
      <c r="B160">
        <f>IFERROR(__xludf.DUMMYFUNCTION("""COMPUTED_VALUE"""),"enemy_glo_00001")</f>
        <v/>
      </c>
      <c r="C160">
        <f>IFERROR(__xludf.DUMMYFUNCTION("""COMPUTED_VALUE"""),"_savagetank")</f>
        <v/>
      </c>
      <c r="D160">
        <f>IFERROR(__xludf.DUMMYFUNCTION("""COMPUTED_VALUE"""),"e_glo_00001_savagetank_Normal_Colorless")</f>
        <v/>
      </c>
      <c r="E160">
        <f>IFERROR(__xludf.DUMMYFUNCTION("""COMPUTED_VALUE"""),"GLOW")</f>
        <v/>
      </c>
      <c r="F160">
        <f>IFERROR(__xludf.DUMMYFUNCTION("""COMPUTED_VALUE"""),"ファントム")</f>
        <v/>
      </c>
      <c r="G160">
        <f>IFERROR(__xludf.DUMMYFUNCTION("""COMPUTED_VALUE"""),"ファントム_savagetank")</f>
        <v/>
      </c>
      <c r="H160">
        <f>IFERROR(__xludf.DUMMYFUNCTION("""COMPUTED_VALUE"""),"Normal")</f>
        <v/>
      </c>
      <c r="I160">
        <f>IFERROR(__xludf.DUMMYFUNCTION("""COMPUTED_VALUE"""),"Defense")</f>
        <v/>
      </c>
      <c r="J160">
        <f>IFERROR(__xludf.DUMMYFUNCTION("""COMPUTED_VALUE"""),"Colorless")</f>
        <v/>
      </c>
      <c r="K160">
        <f>IFERROR(__xludf.DUMMYFUNCTION("""COMPUTED_VALUE"""),100000.0)</f>
        <v/>
      </c>
      <c r="L160">
        <f>IFERROR(__xludf.DUMMYFUNCTION("""COMPUTED_VALUE"""),2.0)</f>
        <v/>
      </c>
      <c r="M160">
        <f>IFERROR(__xludf.DUMMYFUNCTION("""COMPUTED_VALUE"""),30.0)</f>
        <v/>
      </c>
      <c r="N160">
        <f>IFERROR(__xludf.DUMMYFUNCTION("""COMPUTED_VALUE"""),0.15)</f>
        <v/>
      </c>
      <c r="O160">
        <f>IFERROR(__xludf.DUMMYFUNCTION("""COMPUTED_VALUE"""),200.0)</f>
        <v/>
      </c>
      <c r="P160">
        <f>IFERROR(__xludf.DUMMYFUNCTION("""COMPUTED_VALUE"""),0.0)</f>
        <v/>
      </c>
      <c r="Q160">
        <f>IFERROR(__xludf.DUMMYFUNCTION("""COMPUTED_VALUE"""),0.16)</f>
        <v/>
      </c>
      <c r="R160">
        <f>IFERROR(__xludf.DUMMYFUNCTION("""COMPUTED_VALUE"""),1.0)</f>
        <v/>
      </c>
      <c r="S160">
        <f>IFERROR(__xludf.DUMMYFUNCTION("""COMPUTED_VALUE"""),30.0)</f>
        <v/>
      </c>
      <c r="T160">
        <f>IFERROR(__xludf.DUMMYFUNCTION("""COMPUTED_VALUE"""),"1.00")</f>
        <v/>
      </c>
      <c r="U160">
        <f>IFERROR(__xludf.DUMMYFUNCTION("""COMPUTED_VALUE"""),"0.50")</f>
        <v/>
      </c>
      <c r="V160">
        <f>IFERROR(__xludf.DUMMYFUNCTION("""COMPUTED_VALUE"""),60.0)</f>
        <v/>
      </c>
      <c r="Z160">
        <f>IFERROR(__xludf.DUMMYFUNCTION("""COMPUTED_VALUE"""),"-")</f>
        <v/>
      </c>
      <c r="AB160">
        <f>IFERROR(__xludf.DUMMYFUNCTION("""COMPUTED_VALUE"""),"dageki_1")</f>
        <v/>
      </c>
    </row>
    <row r="161">
      <c r="B161">
        <f>IFERROR(__xludf.DUMMYFUNCTION("""COMPUTED_VALUE"""),"enemy_glo_00001")</f>
        <v/>
      </c>
      <c r="C161">
        <f>IFERROR(__xludf.DUMMYFUNCTION("""COMPUTED_VALUE"""),"_savage")</f>
        <v/>
      </c>
      <c r="D161">
        <f>IFERROR(__xludf.DUMMYFUNCTION("""COMPUTED_VALUE"""),"e_glo_00001_savage_Normal_Green")</f>
        <v/>
      </c>
      <c r="E161">
        <f>IFERROR(__xludf.DUMMYFUNCTION("""COMPUTED_VALUE"""),"GLOW")</f>
        <v/>
      </c>
      <c r="F161">
        <f>IFERROR(__xludf.DUMMYFUNCTION("""COMPUTED_VALUE"""),"ファントム")</f>
        <v/>
      </c>
      <c r="G161">
        <f>IFERROR(__xludf.DUMMYFUNCTION("""COMPUTED_VALUE"""),"ファントム_savage")</f>
        <v/>
      </c>
      <c r="H161">
        <f>IFERROR(__xludf.DUMMYFUNCTION("""COMPUTED_VALUE"""),"Normal")</f>
        <v/>
      </c>
      <c r="I161">
        <f>IFERROR(__xludf.DUMMYFUNCTION("""COMPUTED_VALUE"""),"Defense")</f>
        <v/>
      </c>
      <c r="J161">
        <f>IFERROR(__xludf.DUMMYFUNCTION("""COMPUTED_VALUE"""),"Green")</f>
        <v/>
      </c>
      <c r="K161">
        <f>IFERROR(__xludf.DUMMYFUNCTION("""COMPUTED_VALUE"""),100000.0)</f>
        <v/>
      </c>
      <c r="L161">
        <f>IFERROR(__xludf.DUMMYFUNCTION("""COMPUTED_VALUE"""),2.0)</f>
        <v/>
      </c>
      <c r="M161">
        <f>IFERROR(__xludf.DUMMYFUNCTION("""COMPUTED_VALUE"""),32.0)</f>
        <v/>
      </c>
      <c r="N161">
        <f>IFERROR(__xludf.DUMMYFUNCTION("""COMPUTED_VALUE"""),0.17)</f>
        <v/>
      </c>
      <c r="O161">
        <f>IFERROR(__xludf.DUMMYFUNCTION("""COMPUTED_VALUE"""),200.0)</f>
        <v/>
      </c>
      <c r="P161">
        <f>IFERROR(__xludf.DUMMYFUNCTION("""COMPUTED_VALUE"""),0.0)</f>
        <v/>
      </c>
      <c r="Q161">
        <f>IFERROR(__xludf.DUMMYFUNCTION("""COMPUTED_VALUE"""),0.18)</f>
        <v/>
      </c>
      <c r="R161">
        <f>IFERROR(__xludf.DUMMYFUNCTION("""COMPUTED_VALUE"""),1.0)</f>
        <v/>
      </c>
      <c r="S161">
        <f>IFERROR(__xludf.DUMMYFUNCTION("""COMPUTED_VALUE"""),30.0)</f>
        <v/>
      </c>
      <c r="T161">
        <f>IFERROR(__xludf.DUMMYFUNCTION("""COMPUTED_VALUE"""),"1.00")</f>
        <v/>
      </c>
      <c r="U161">
        <f>IFERROR(__xludf.DUMMYFUNCTION("""COMPUTED_VALUE"""),"0.50")</f>
        <v/>
      </c>
      <c r="V161">
        <f>IFERROR(__xludf.DUMMYFUNCTION("""COMPUTED_VALUE"""),30.0)</f>
        <v/>
      </c>
      <c r="Z161">
        <f>IFERROR(__xludf.DUMMYFUNCTION("""COMPUTED_VALUE"""),"-")</f>
        <v/>
      </c>
      <c r="AB161">
        <f>IFERROR(__xludf.DUMMYFUNCTION("""COMPUTED_VALUE"""),"dageki_1")</f>
        <v/>
      </c>
    </row>
    <row r="162">
      <c r="B162">
        <f>IFERROR(__xludf.DUMMYFUNCTION("""COMPUTED_VALUE"""),"enemy_glo_00001")</f>
        <v/>
      </c>
      <c r="C162">
        <f>IFERROR(__xludf.DUMMYFUNCTION("""COMPUTED_VALUE"""),"_savageyuwburn")</f>
        <v/>
      </c>
      <c r="D162">
        <f>IFERROR(__xludf.DUMMYFUNCTION("""COMPUTED_VALUE"""),"e_glo_00001_savageyuwburn_Normal_Red")</f>
        <v/>
      </c>
      <c r="E162">
        <f>IFERROR(__xludf.DUMMYFUNCTION("""COMPUTED_VALUE"""),"GLOW")</f>
        <v/>
      </c>
      <c r="F162">
        <f>IFERROR(__xludf.DUMMYFUNCTION("""COMPUTED_VALUE"""),"ファントム")</f>
        <v/>
      </c>
      <c r="G162">
        <f>IFERROR(__xludf.DUMMYFUNCTION("""COMPUTED_VALUE"""),"ファントム_savageyuwburn")</f>
        <v/>
      </c>
      <c r="H162">
        <f>IFERROR(__xludf.DUMMYFUNCTION("""COMPUTED_VALUE"""),"Normal")</f>
        <v/>
      </c>
      <c r="I162">
        <f>IFERROR(__xludf.DUMMYFUNCTION("""COMPUTED_VALUE"""),"Technical")</f>
        <v/>
      </c>
      <c r="J162">
        <f>IFERROR(__xludf.DUMMYFUNCTION("""COMPUTED_VALUE"""),"Red")</f>
        <v/>
      </c>
      <c r="K162">
        <f>IFERROR(__xludf.DUMMYFUNCTION("""COMPUTED_VALUE"""),80000.0)</f>
        <v/>
      </c>
      <c r="L162">
        <f>IFERROR(__xludf.DUMMYFUNCTION("""COMPUTED_VALUE"""),3.0)</f>
        <v/>
      </c>
      <c r="M162">
        <f>IFERROR(__xludf.DUMMYFUNCTION("""COMPUTED_VALUE"""),35.0)</f>
        <v/>
      </c>
      <c r="N162">
        <f>IFERROR(__xludf.DUMMYFUNCTION("""COMPUTED_VALUE"""),0.2)</f>
        <v/>
      </c>
      <c r="O162">
        <f>IFERROR(__xludf.DUMMYFUNCTION("""COMPUTED_VALUE"""),500.0)</f>
        <v/>
      </c>
      <c r="P162">
        <f>IFERROR(__xludf.DUMMYFUNCTION("""COMPUTED_VALUE"""),0.0)</f>
        <v/>
      </c>
      <c r="Q162">
        <f>IFERROR(__xludf.DUMMYFUNCTION("""COMPUTED_VALUE"""),0.21)</f>
        <v/>
      </c>
      <c r="R162">
        <f>IFERROR(__xludf.DUMMYFUNCTION("""COMPUTED_VALUE"""),1.0)</f>
        <v/>
      </c>
      <c r="S162">
        <f>IFERROR(__xludf.DUMMYFUNCTION("""COMPUTED_VALUE"""),25.0)</f>
        <v/>
      </c>
      <c r="T162">
        <f>IFERROR(__xludf.DUMMYFUNCTION("""COMPUTED_VALUE"""),"1.00")</f>
        <v/>
      </c>
      <c r="U162">
        <f>IFERROR(__xludf.DUMMYFUNCTION("""COMPUTED_VALUE"""),"0.50")</f>
        <v/>
      </c>
      <c r="V162">
        <f>IFERROR(__xludf.DUMMYFUNCTION("""COMPUTED_VALUE"""),75.0)</f>
        <v/>
      </c>
      <c r="Z162">
        <f>IFERROR(__xludf.DUMMYFUNCTION("""COMPUTED_VALUE"""),"-")</f>
        <v/>
      </c>
      <c r="AB162">
        <f>IFERROR(__xludf.DUMMYFUNCTION("""COMPUTED_VALUE"""),"dageki_1")</f>
        <v/>
      </c>
      <c r="AC162">
        <f>IFERROR(__xludf.DUMMYFUNCTION("""COMPUTED_VALUE"""),"攻撃がヒットした場合、敵を6秒間最大1500ダメージの火傷状態にする")</f>
        <v/>
      </c>
    </row>
    <row r="163">
      <c r="D163">
        <f>IFERROR(__xludf.DUMMYFUNCTION("""COMPUTED_VALUE"""),"___")</f>
        <v/>
      </c>
      <c r="E163">
        <f>IFERROR(__xludf.DUMMYFUNCTION("""COMPUTED_VALUE"""),"none")</f>
        <v/>
      </c>
      <c r="F163">
        <f>IFERROR(__xludf.DUMMYFUNCTION("""COMPUTED_VALUE"""),"none")</f>
        <v/>
      </c>
      <c r="G163">
        <f>IFERROR(__xludf.DUMMYFUNCTION("""COMPUTED_VALUE"""),"none")</f>
        <v/>
      </c>
      <c r="I163">
        <f>IFERROR(__xludf.DUMMYFUNCTION("""COMPUTED_VALUE"""),"none")</f>
        <v/>
      </c>
      <c r="T163">
        <f>IFERROR(__xludf.DUMMYFUNCTION("""COMPUTED_VALUE"""),"none")</f>
        <v/>
      </c>
      <c r="U163">
        <f>IFERROR(__xludf.DUMMYFUNCTION("""COMPUTED_VALUE"""),"none")</f>
        <v/>
      </c>
      <c r="W163">
        <f>IFERROR(__xludf.DUMMYFUNCTION("""COMPUTED_VALUE"""),"none")</f>
        <v/>
      </c>
      <c r="X163">
        <f>IFERROR(__xludf.DUMMYFUNCTION("""COMPUTED_VALUE"""),"none")</f>
        <v/>
      </c>
      <c r="Z163">
        <f>IFERROR(__xludf.DUMMYFUNCTION("""COMPUTED_VALUE"""),"-")</f>
        <v/>
      </c>
      <c r="AB163">
        <f>IFERROR(__xludf.DUMMYFUNCTION("""COMPUTED_VALUE"""),"none")</f>
        <v/>
      </c>
    </row>
    <row r="164">
      <c r="B164">
        <f>IFERROR(__xludf.DUMMYFUNCTION("""COMPUTED_VALUE"""),"enemy_sur_00101")</f>
        <v/>
      </c>
      <c r="C164">
        <f>IFERROR(__xludf.DUMMYFUNCTION("""COMPUTED_VALUE"""),"_1d1c")</f>
        <v/>
      </c>
      <c r="D164">
        <f>IFERROR(__xludf.DUMMYFUNCTION("""COMPUTED_VALUE"""),"e_sur_00101_1d1c_Normal_Colorless")</f>
        <v/>
      </c>
      <c r="E164">
        <f>IFERROR(__xludf.DUMMYFUNCTION("""COMPUTED_VALUE"""),"魔都精兵のスレイブ")</f>
        <v/>
      </c>
      <c r="F164">
        <f>IFERROR(__xludf.DUMMYFUNCTION("""COMPUTED_VALUE"""),"醜鬼")</f>
        <v/>
      </c>
      <c r="G164">
        <f>IFERROR(__xludf.DUMMYFUNCTION("""COMPUTED_VALUE"""),"醜鬼_1d1c")</f>
        <v/>
      </c>
      <c r="H164">
        <f>IFERROR(__xludf.DUMMYFUNCTION("""COMPUTED_VALUE"""),"Normal")</f>
        <v/>
      </c>
      <c r="I164">
        <f>IFERROR(__xludf.DUMMYFUNCTION("""COMPUTED_VALUE"""),"Attack")</f>
        <v/>
      </c>
      <c r="J164">
        <f>IFERROR(__xludf.DUMMYFUNCTION("""COMPUTED_VALUE"""),"Colorless")</f>
        <v/>
      </c>
      <c r="K164">
        <f>IFERROR(__xludf.DUMMYFUNCTION("""COMPUTED_VALUE"""),10000.0)</f>
        <v/>
      </c>
      <c r="L164">
        <f>IFERROR(__xludf.DUMMYFUNCTION("""COMPUTED_VALUE"""),3.0)</f>
        <v/>
      </c>
      <c r="M164">
        <f>IFERROR(__xludf.DUMMYFUNCTION("""COMPUTED_VALUE"""),25.0)</f>
        <v/>
      </c>
      <c r="N164">
        <f>IFERROR(__xludf.DUMMYFUNCTION("""COMPUTED_VALUE"""),0.19)</f>
        <v/>
      </c>
      <c r="O164">
        <f>IFERROR(__xludf.DUMMYFUNCTION("""COMPUTED_VALUE"""),300.0)</f>
        <v/>
      </c>
      <c r="P164">
        <f>IFERROR(__xludf.DUMMYFUNCTION("""COMPUTED_VALUE"""),0.0)</f>
        <v/>
      </c>
      <c r="Q164">
        <f>IFERROR(__xludf.DUMMYFUNCTION("""COMPUTED_VALUE"""),0.25)</f>
        <v/>
      </c>
      <c r="R164">
        <f>IFERROR(__xludf.DUMMYFUNCTION("""COMPUTED_VALUE"""),1.0)</f>
        <v/>
      </c>
      <c r="S164">
        <f>IFERROR(__xludf.DUMMYFUNCTION("""COMPUTED_VALUE"""),1000.0)</f>
        <v/>
      </c>
      <c r="T164">
        <f>IFERROR(__xludf.DUMMYFUNCTION("""COMPUTED_VALUE"""),"0.80")</f>
        <v/>
      </c>
      <c r="U164">
        <f>IFERROR(__xludf.DUMMYFUNCTION("""COMPUTED_VALUE"""),"0.30")</f>
        <v/>
      </c>
      <c r="V164">
        <f>IFERROR(__xludf.DUMMYFUNCTION("""COMPUTED_VALUE"""),60.0)</f>
        <v/>
      </c>
      <c r="W164">
        <f>IFERROR(__xludf.DUMMYFUNCTION("""COMPUTED_VALUE"""),"-")</f>
        <v/>
      </c>
      <c r="X164">
        <f>IFERROR(__xludf.DUMMYFUNCTION("""COMPUTED_VALUE"""),"-")</f>
        <v/>
      </c>
      <c r="Z164">
        <f>IFERROR(__xludf.DUMMYFUNCTION("""COMPUTED_VALUE"""),"-")</f>
        <v/>
      </c>
      <c r="AB164">
        <f>IFERROR(__xludf.DUMMYFUNCTION("""COMPUTED_VALUE"""),"dageki_1")</f>
        <v/>
      </c>
    </row>
    <row r="165">
      <c r="B165">
        <f>IFERROR(__xludf.DUMMYFUNCTION("""COMPUTED_VALUE"""),"chara_sur_00001")</f>
        <v/>
      </c>
      <c r="C165">
        <f>IFERROR(__xludf.DUMMYFUNCTION("""COMPUTED_VALUE"""),"_surget")</f>
        <v/>
      </c>
      <c r="D165">
        <f>IFERROR(__xludf.DUMMYFUNCTION("""COMPUTED_VALUE"""),"c_sur_00001_surget_Normal_Blue")</f>
        <v/>
      </c>
      <c r="E165">
        <f>IFERROR(__xludf.DUMMYFUNCTION("""COMPUTED_VALUE"""),"魔都精兵のスレイブ")</f>
        <v/>
      </c>
      <c r="F165">
        <f>IFERROR(__xludf.DUMMYFUNCTION("""COMPUTED_VALUE"""),"和倉 優希")</f>
        <v/>
      </c>
      <c r="G165">
        <f>IFERROR(__xludf.DUMMYFUNCTION("""COMPUTED_VALUE"""),"和倉 優希_surget")</f>
        <v/>
      </c>
      <c r="H165">
        <f>IFERROR(__xludf.DUMMYFUNCTION("""COMPUTED_VALUE"""),"Normal")</f>
        <v/>
      </c>
      <c r="I165">
        <f>IFERROR(__xludf.DUMMYFUNCTION("""COMPUTED_VALUE"""),"Support")</f>
        <v/>
      </c>
      <c r="J165">
        <f>IFERROR(__xludf.DUMMYFUNCTION("""COMPUTED_VALUE"""),"Blue")</f>
        <v/>
      </c>
      <c r="K165">
        <f>IFERROR(__xludf.DUMMYFUNCTION("""COMPUTED_VALUE"""),50000.0)</f>
        <v/>
      </c>
      <c r="L165">
        <f>IFERROR(__xludf.DUMMYFUNCTION("""COMPUTED_VALUE"""),3.0)</f>
        <v/>
      </c>
      <c r="M165">
        <f>IFERROR(__xludf.DUMMYFUNCTION("""COMPUTED_VALUE"""),32.0)</f>
        <v/>
      </c>
      <c r="N165">
        <f>IFERROR(__xludf.DUMMYFUNCTION("""COMPUTED_VALUE"""),0.24)</f>
        <v/>
      </c>
      <c r="O165">
        <f>IFERROR(__xludf.DUMMYFUNCTION("""COMPUTED_VALUE"""),300.0)</f>
        <v/>
      </c>
      <c r="P165">
        <f>IFERROR(__xludf.DUMMYFUNCTION("""COMPUTED_VALUE"""),0.0)</f>
        <v/>
      </c>
      <c r="Q165">
        <f>IFERROR(__xludf.DUMMYFUNCTION("""COMPUTED_VALUE"""),0.3)</f>
        <v/>
      </c>
      <c r="R165">
        <f>IFERROR(__xludf.DUMMYFUNCTION("""COMPUTED_VALUE"""),1.0)</f>
        <v/>
      </c>
      <c r="S165">
        <f>IFERROR(__xludf.DUMMYFUNCTION("""COMPUTED_VALUE"""),100.0)</f>
        <v/>
      </c>
      <c r="T165">
        <f>IFERROR(__xludf.DUMMYFUNCTION("""COMPUTED_VALUE"""),"1.17")</f>
        <v/>
      </c>
      <c r="U165">
        <f>IFERROR(__xludf.DUMMYFUNCTION("""COMPUTED_VALUE"""),"stop有:1回目 0.30")</f>
        <v/>
      </c>
      <c r="V165">
        <f>IFERROR(__xludf.DUMMYFUNCTION("""COMPUTED_VALUE"""),60.0)</f>
        <v/>
      </c>
      <c r="W165">
        <f>IFERROR(__xludf.DUMMYFUNCTION("""COMPUTED_VALUE"""),"2.80")</f>
        <v/>
      </c>
      <c r="X165">
        <f>IFERROR(__xludf.DUMMYFUNCTION("""COMPUTED_VALUE"""),"stop無:1回目 2.00")</f>
        <v/>
      </c>
      <c r="Z165">
        <f>IFERROR(__xludf.DUMMYFUNCTION("""COMPUTED_VALUE"""),"-")</f>
        <v/>
      </c>
      <c r="AB165">
        <f>IFERROR(__xludf.DUMMYFUNCTION("""COMPUTED_VALUE"""),"dageki_2")</f>
        <v/>
      </c>
    </row>
    <row r="166">
      <c r="B166">
        <f>IFERROR(__xludf.DUMMYFUNCTION("""COMPUTED_VALUE"""),"enemy_sur_00101")</f>
        <v/>
      </c>
      <c r="C166">
        <f>IFERROR(__xludf.DUMMYFUNCTION("""COMPUTED_VALUE"""),"_surget")</f>
        <v/>
      </c>
      <c r="D166">
        <f>IFERROR(__xludf.DUMMYFUNCTION("""COMPUTED_VALUE"""),"e_sur_00101_surget_Normal_Blue")</f>
        <v/>
      </c>
      <c r="E166">
        <f>IFERROR(__xludf.DUMMYFUNCTION("""COMPUTED_VALUE"""),"魔都精兵のスレイブ")</f>
        <v/>
      </c>
      <c r="F166">
        <f>IFERROR(__xludf.DUMMYFUNCTION("""COMPUTED_VALUE"""),"醜鬼")</f>
        <v/>
      </c>
      <c r="G166">
        <f>IFERROR(__xludf.DUMMYFUNCTION("""COMPUTED_VALUE"""),"醜鬼_surget")</f>
        <v/>
      </c>
      <c r="H166">
        <f>IFERROR(__xludf.DUMMYFUNCTION("""COMPUTED_VALUE"""),"Normal")</f>
        <v/>
      </c>
      <c r="I166">
        <f>IFERROR(__xludf.DUMMYFUNCTION("""COMPUTED_VALUE"""),"Attack")</f>
        <v/>
      </c>
      <c r="J166">
        <f>IFERROR(__xludf.DUMMYFUNCTION("""COMPUTED_VALUE"""),"Blue")</f>
        <v/>
      </c>
      <c r="K166">
        <f>IFERROR(__xludf.DUMMYFUNCTION("""COMPUTED_VALUE"""),10000.0)</f>
        <v/>
      </c>
      <c r="L166">
        <f>IFERROR(__xludf.DUMMYFUNCTION("""COMPUTED_VALUE"""),3.0)</f>
        <v/>
      </c>
      <c r="M166">
        <f>IFERROR(__xludf.DUMMYFUNCTION("""COMPUTED_VALUE"""),25.0)</f>
        <v/>
      </c>
      <c r="N166">
        <f>IFERROR(__xludf.DUMMYFUNCTION("""COMPUTED_VALUE"""),0.19)</f>
        <v/>
      </c>
      <c r="O166">
        <f>IFERROR(__xludf.DUMMYFUNCTION("""COMPUTED_VALUE"""),300.0)</f>
        <v/>
      </c>
      <c r="P166">
        <f>IFERROR(__xludf.DUMMYFUNCTION("""COMPUTED_VALUE"""),0.0)</f>
        <v/>
      </c>
      <c r="Q166">
        <f>IFERROR(__xludf.DUMMYFUNCTION("""COMPUTED_VALUE"""),0.25)</f>
        <v/>
      </c>
      <c r="R166">
        <f>IFERROR(__xludf.DUMMYFUNCTION("""COMPUTED_VALUE"""),1.0)</f>
        <v/>
      </c>
      <c r="S166">
        <f>IFERROR(__xludf.DUMMYFUNCTION("""COMPUTED_VALUE"""),100.0)</f>
        <v/>
      </c>
      <c r="T166">
        <f>IFERROR(__xludf.DUMMYFUNCTION("""COMPUTED_VALUE"""),"0.80")</f>
        <v/>
      </c>
      <c r="U166">
        <f>IFERROR(__xludf.DUMMYFUNCTION("""COMPUTED_VALUE"""),"0.30")</f>
        <v/>
      </c>
      <c r="V166">
        <f>IFERROR(__xludf.DUMMYFUNCTION("""COMPUTED_VALUE"""),60.0)</f>
        <v/>
      </c>
      <c r="W166">
        <f>IFERROR(__xludf.DUMMYFUNCTION("""COMPUTED_VALUE"""),"-")</f>
        <v/>
      </c>
      <c r="X166">
        <f>IFERROR(__xludf.DUMMYFUNCTION("""COMPUTED_VALUE"""),"-")</f>
        <v/>
      </c>
      <c r="Z166">
        <f>IFERROR(__xludf.DUMMYFUNCTION("""COMPUTED_VALUE"""),"-")</f>
        <v/>
      </c>
      <c r="AB166">
        <f>IFERROR(__xludf.DUMMYFUNCTION("""COMPUTED_VALUE"""),"dageki_1")</f>
        <v/>
      </c>
    </row>
    <row r="167">
      <c r="B167">
        <f>IFERROR(__xludf.DUMMYFUNCTION("""COMPUTED_VALUE"""),"chara_sur_00101")</f>
        <v/>
      </c>
      <c r="C167">
        <f>IFERROR(__xludf.DUMMYFUNCTION("""COMPUTED_VALUE"""),"_surget")</f>
        <v/>
      </c>
      <c r="D167">
        <f>IFERROR(__xludf.DUMMYFUNCTION("""COMPUTED_VALUE"""),"c_sur_00101_surget_Boss_Blue")</f>
        <v/>
      </c>
      <c r="E167">
        <f>IFERROR(__xludf.DUMMYFUNCTION("""COMPUTED_VALUE"""),"魔都精兵のスレイブ")</f>
        <v/>
      </c>
      <c r="F167">
        <f>IFERROR(__xludf.DUMMYFUNCTION("""COMPUTED_VALUE"""),"誇り高き魔都の剣姫 羽前 京香")</f>
        <v/>
      </c>
      <c r="G167">
        <f>IFERROR(__xludf.DUMMYFUNCTION("""COMPUTED_VALUE"""),"誇り高き魔都の剣姫 羽前京香_surget")</f>
        <v/>
      </c>
      <c r="H167">
        <f>IFERROR(__xludf.DUMMYFUNCTION("""COMPUTED_VALUE"""),"Boss")</f>
        <v/>
      </c>
      <c r="I167">
        <f>IFERROR(__xludf.DUMMYFUNCTION("""COMPUTED_VALUE"""),"Attack")</f>
        <v/>
      </c>
      <c r="J167">
        <f>IFERROR(__xludf.DUMMYFUNCTION("""COMPUTED_VALUE"""),"Blue")</f>
        <v/>
      </c>
      <c r="K167">
        <f>IFERROR(__xludf.DUMMYFUNCTION("""COMPUTED_VALUE"""),50000.0)</f>
        <v/>
      </c>
      <c r="L167">
        <f>IFERROR(__xludf.DUMMYFUNCTION("""COMPUTED_VALUE"""),3.0)</f>
        <v/>
      </c>
      <c r="M167">
        <f>IFERROR(__xludf.DUMMYFUNCTION("""COMPUTED_VALUE"""),45.0)</f>
        <v/>
      </c>
      <c r="N167">
        <f>IFERROR(__xludf.DUMMYFUNCTION("""COMPUTED_VALUE"""),0.25)</f>
        <v/>
      </c>
      <c r="O167">
        <f>IFERROR(__xludf.DUMMYFUNCTION("""COMPUTED_VALUE"""),500.0)</f>
        <v/>
      </c>
      <c r="P167">
        <f>IFERROR(__xludf.DUMMYFUNCTION("""COMPUTED_VALUE"""),0.0)</f>
        <v/>
      </c>
      <c r="Q167">
        <f>IFERROR(__xludf.DUMMYFUNCTION("""COMPUTED_VALUE"""),0.27)</f>
        <v/>
      </c>
      <c r="R167">
        <f>IFERROR(__xludf.DUMMYFUNCTION("""COMPUTED_VALUE"""),1.0)</f>
        <v/>
      </c>
      <c r="S167">
        <f>IFERROR(__xludf.DUMMYFUNCTION("""COMPUTED_VALUE"""),500.0)</f>
        <v/>
      </c>
      <c r="T167">
        <f>IFERROR(__xludf.DUMMYFUNCTION("""COMPUTED_VALUE"""),"1.40")</f>
        <v/>
      </c>
      <c r="U167">
        <f>IFERROR(__xludf.DUMMYFUNCTION("""COMPUTED_VALUE"""),"stop無:1回目 0.33")</f>
        <v/>
      </c>
      <c r="V167">
        <f>IFERROR(__xludf.DUMMYFUNCTION("""COMPUTED_VALUE"""),60.0)</f>
        <v/>
      </c>
      <c r="W167">
        <f>IFERROR(__xludf.DUMMYFUNCTION("""COMPUTED_VALUE"""),"2.67")</f>
        <v/>
      </c>
      <c r="X167">
        <f>IFERROR(__xludf.DUMMYFUNCTION("""COMPUTED_VALUE"""),"stop無:1回目 0.40
stop無:2回目 0.60
stop無:3回目 0.80
stop無:4回目 0.90
stop無:5回目 1.03
stop有:6回目 1.57")</f>
        <v/>
      </c>
      <c r="Z167">
        <f>IFERROR(__xludf.DUMMYFUNCTION("""COMPUTED_VALUE"""),5.0)</f>
        <v/>
      </c>
      <c r="AB167">
        <f>IFERROR(__xludf.DUMMYFUNCTION("""COMPUTED_VALUE"""),"zangeki_1")</f>
        <v/>
      </c>
    </row>
    <row r="168">
      <c r="B168">
        <f>IFERROR(__xludf.DUMMYFUNCTION("""COMPUTED_VALUE"""),"chara_sur_00101")</f>
        <v/>
      </c>
      <c r="C168">
        <f>IFERROR(__xludf.DUMMYFUNCTION("""COMPUTED_VALUE"""),"_surget")</f>
        <v/>
      </c>
      <c r="D168">
        <f>IFERROR(__xludf.DUMMYFUNCTION("""COMPUTED_VALUE"""),"c_sur_00101_surget_Normal_Blue")</f>
        <v/>
      </c>
      <c r="E168">
        <f>IFERROR(__xludf.DUMMYFUNCTION("""COMPUTED_VALUE"""),"魔都精兵のスレイブ")</f>
        <v/>
      </c>
      <c r="F168">
        <f>IFERROR(__xludf.DUMMYFUNCTION("""COMPUTED_VALUE"""),"誇り高き魔都の剣姫 羽前 京香")</f>
        <v/>
      </c>
      <c r="G168">
        <f>IFERROR(__xludf.DUMMYFUNCTION("""COMPUTED_VALUE"""),"誇り高き魔都の剣姫 羽前京香_surget")</f>
        <v/>
      </c>
      <c r="H168">
        <f>IFERROR(__xludf.DUMMYFUNCTION("""COMPUTED_VALUE"""),"Normal")</f>
        <v/>
      </c>
      <c r="I168">
        <f>IFERROR(__xludf.DUMMYFUNCTION("""COMPUTED_VALUE"""),"Attack")</f>
        <v/>
      </c>
      <c r="J168">
        <f>IFERROR(__xludf.DUMMYFUNCTION("""COMPUTED_VALUE"""),"Blue")</f>
        <v/>
      </c>
      <c r="K168">
        <f>IFERROR(__xludf.DUMMYFUNCTION("""COMPUTED_VALUE"""),50000.0)</f>
        <v/>
      </c>
      <c r="L168">
        <f>IFERROR(__xludf.DUMMYFUNCTION("""COMPUTED_VALUE"""),3.0)</f>
        <v/>
      </c>
      <c r="M168">
        <f>IFERROR(__xludf.DUMMYFUNCTION("""COMPUTED_VALUE"""),45.0)</f>
        <v/>
      </c>
      <c r="N168">
        <f>IFERROR(__xludf.DUMMYFUNCTION("""COMPUTED_VALUE"""),0.25)</f>
        <v/>
      </c>
      <c r="O168">
        <f>IFERROR(__xludf.DUMMYFUNCTION("""COMPUTED_VALUE"""),500.0)</f>
        <v/>
      </c>
      <c r="P168">
        <f>IFERROR(__xludf.DUMMYFUNCTION("""COMPUTED_VALUE"""),0.0)</f>
        <v/>
      </c>
      <c r="Q168">
        <f>IFERROR(__xludf.DUMMYFUNCTION("""COMPUTED_VALUE"""),0.27)</f>
        <v/>
      </c>
      <c r="R168">
        <f>IFERROR(__xludf.DUMMYFUNCTION("""COMPUTED_VALUE"""),1.0)</f>
        <v/>
      </c>
      <c r="S168">
        <f>IFERROR(__xludf.DUMMYFUNCTION("""COMPUTED_VALUE"""),100.0)</f>
        <v/>
      </c>
      <c r="T168">
        <f>IFERROR(__xludf.DUMMYFUNCTION("""COMPUTED_VALUE"""),"1.40")</f>
        <v/>
      </c>
      <c r="U168">
        <f>IFERROR(__xludf.DUMMYFUNCTION("""COMPUTED_VALUE"""),"stop無:1回目 0.33")</f>
        <v/>
      </c>
      <c r="V168">
        <f>IFERROR(__xludf.DUMMYFUNCTION("""COMPUTED_VALUE"""),60.0)</f>
        <v/>
      </c>
      <c r="W168">
        <f>IFERROR(__xludf.DUMMYFUNCTION("""COMPUTED_VALUE"""),"2.67")</f>
        <v/>
      </c>
      <c r="X168">
        <f>IFERROR(__xludf.DUMMYFUNCTION("""COMPUTED_VALUE"""),"stop無:1回目 0.40
stop無:2回目 0.60
stop無:3回目 0.80
stop無:4回目 0.90
stop無:5回目 1.03
stop有:6回目 1.57")</f>
        <v/>
      </c>
      <c r="Z168">
        <f>IFERROR(__xludf.DUMMYFUNCTION("""COMPUTED_VALUE"""),5.0)</f>
        <v/>
      </c>
      <c r="AB168">
        <f>IFERROR(__xludf.DUMMYFUNCTION("""COMPUTED_VALUE"""),"zangeki_1")</f>
        <v/>
      </c>
    </row>
    <row r="169">
      <c r="B169">
        <f>IFERROR(__xludf.DUMMYFUNCTION("""COMPUTED_VALUE"""),"chara_sur_00801")</f>
        <v/>
      </c>
      <c r="C169">
        <f>IFERROR(__xludf.DUMMYFUNCTION("""COMPUTED_VALUE"""),"_surget")</f>
        <v/>
      </c>
      <c r="D169">
        <f>IFERROR(__xludf.DUMMYFUNCTION("""COMPUTED_VALUE"""),"c_sur_00801_surget_Boss_Blue")</f>
        <v/>
      </c>
      <c r="E169">
        <f>IFERROR(__xludf.DUMMYFUNCTION("""COMPUTED_VALUE"""),"魔都精兵のスレイブ")</f>
        <v/>
      </c>
      <c r="F169">
        <f>IFERROR(__xludf.DUMMYFUNCTION("""COMPUTED_VALUE"""),"無窮の鎖 和倉 優希")</f>
        <v/>
      </c>
      <c r="G169">
        <f>IFERROR(__xludf.DUMMYFUNCTION("""COMPUTED_VALUE"""),"和倉優希（変身）_surget")</f>
        <v/>
      </c>
      <c r="H169">
        <f>IFERROR(__xludf.DUMMYFUNCTION("""COMPUTED_VALUE"""),"Boss")</f>
        <v/>
      </c>
      <c r="I169">
        <f>IFERROR(__xludf.DUMMYFUNCTION("""COMPUTED_VALUE"""),"Defense")</f>
        <v/>
      </c>
      <c r="J169">
        <f>IFERROR(__xludf.DUMMYFUNCTION("""COMPUTED_VALUE"""),"Blue")</f>
        <v/>
      </c>
      <c r="K169">
        <f>IFERROR(__xludf.DUMMYFUNCTION("""COMPUTED_VALUE"""),50000.0)</f>
        <v/>
      </c>
      <c r="L169">
        <f>IFERROR(__xludf.DUMMYFUNCTION("""COMPUTED_VALUE"""),3.0)</f>
        <v/>
      </c>
      <c r="M169">
        <f>IFERROR(__xludf.DUMMYFUNCTION("""COMPUTED_VALUE"""),40.0)</f>
        <v/>
      </c>
      <c r="N169">
        <f>IFERROR(__xludf.DUMMYFUNCTION("""COMPUTED_VALUE"""),0.23)</f>
        <v/>
      </c>
      <c r="O169">
        <f>IFERROR(__xludf.DUMMYFUNCTION("""COMPUTED_VALUE"""),300.0)</f>
        <v/>
      </c>
      <c r="P169">
        <f>IFERROR(__xludf.DUMMYFUNCTION("""COMPUTED_VALUE"""),0.0)</f>
        <v/>
      </c>
      <c r="Q169">
        <f>IFERROR(__xludf.DUMMYFUNCTION("""COMPUTED_VALUE"""),0.24)</f>
        <v/>
      </c>
      <c r="R169">
        <f>IFERROR(__xludf.DUMMYFUNCTION("""COMPUTED_VALUE"""),1.0)</f>
        <v/>
      </c>
      <c r="S169">
        <f>IFERROR(__xludf.DUMMYFUNCTION("""COMPUTED_VALUE"""),500.0)</f>
        <v/>
      </c>
      <c r="T169">
        <f>IFERROR(__xludf.DUMMYFUNCTION("""COMPUTED_VALUE"""),"1.24")</f>
        <v/>
      </c>
      <c r="U169">
        <f>IFERROR(__xludf.DUMMYFUNCTION("""COMPUTED_VALUE"""),"stop有:1回目 0.66")</f>
        <v/>
      </c>
      <c r="V169">
        <f>IFERROR(__xludf.DUMMYFUNCTION("""COMPUTED_VALUE"""),60.0)</f>
        <v/>
      </c>
      <c r="W169">
        <f>IFERROR(__xludf.DUMMYFUNCTION("""COMPUTED_VALUE"""),"2.01")</f>
        <v/>
      </c>
      <c r="X169">
        <f>IFERROR(__xludf.DUMMYFUNCTION("""COMPUTED_VALUE"""),"stop有:1回目 1.06")</f>
        <v/>
      </c>
      <c r="Z169">
        <f>IFERROR(__xludf.DUMMYFUNCTION("""COMPUTED_VALUE"""),5.0)</f>
        <v/>
      </c>
      <c r="AB169">
        <f>IFERROR(__xludf.DUMMYFUNCTION("""COMPUTED_VALUE"""),"dageki_1")</f>
        <v/>
      </c>
    </row>
    <row r="170">
      <c r="B170">
        <f>IFERROR(__xludf.DUMMYFUNCTION("""COMPUTED_VALUE"""),"chara_sur_00301")</f>
        <v/>
      </c>
      <c r="C170">
        <f>IFERROR(__xludf.DUMMYFUNCTION("""COMPUTED_VALUE"""),"_surget")</f>
        <v/>
      </c>
      <c r="D170">
        <f>IFERROR(__xludf.DUMMYFUNCTION("""COMPUTED_VALUE"""),"c_sur_00301_surget_Boss_Blue")</f>
        <v/>
      </c>
      <c r="E170">
        <f>IFERROR(__xludf.DUMMYFUNCTION("""COMPUTED_VALUE"""),"魔都精兵のスレイブ")</f>
        <v/>
      </c>
      <c r="F170">
        <f>IFERROR(__xludf.DUMMYFUNCTION("""COMPUTED_VALUE"""),"駿河 朱々")</f>
        <v/>
      </c>
      <c r="G170">
        <f>IFERROR(__xludf.DUMMYFUNCTION("""COMPUTED_VALUE"""),"駿河 朱々_surget")</f>
        <v/>
      </c>
      <c r="H170">
        <f>IFERROR(__xludf.DUMMYFUNCTION("""COMPUTED_VALUE"""),"Boss")</f>
        <v/>
      </c>
      <c r="I170">
        <f>IFERROR(__xludf.DUMMYFUNCTION("""COMPUTED_VALUE"""),"Defense")</f>
        <v/>
      </c>
      <c r="J170">
        <f>IFERROR(__xludf.DUMMYFUNCTION("""COMPUTED_VALUE"""),"Blue")</f>
        <v/>
      </c>
      <c r="K170">
        <f>IFERROR(__xludf.DUMMYFUNCTION("""COMPUTED_VALUE"""),50000.0)</f>
        <v/>
      </c>
      <c r="L170">
        <f>IFERROR(__xludf.DUMMYFUNCTION("""COMPUTED_VALUE"""),3.0)</f>
        <v/>
      </c>
      <c r="M170">
        <f>IFERROR(__xludf.DUMMYFUNCTION("""COMPUTED_VALUE"""),35.0)</f>
        <v/>
      </c>
      <c r="N170">
        <f>IFERROR(__xludf.DUMMYFUNCTION("""COMPUTED_VALUE"""),0.2)</f>
        <v/>
      </c>
      <c r="O170">
        <f>IFERROR(__xludf.DUMMYFUNCTION("""COMPUTED_VALUE"""),300.0)</f>
        <v/>
      </c>
      <c r="P170">
        <f>IFERROR(__xludf.DUMMYFUNCTION("""COMPUTED_VALUE"""),0.0)</f>
        <v/>
      </c>
      <c r="Q170">
        <f>IFERROR(__xludf.DUMMYFUNCTION("""COMPUTED_VALUE"""),0.22)</f>
        <v/>
      </c>
      <c r="R170">
        <f>IFERROR(__xludf.DUMMYFUNCTION("""COMPUTED_VALUE"""),1.0)</f>
        <v/>
      </c>
      <c r="S170">
        <f>IFERROR(__xludf.DUMMYFUNCTION("""COMPUTED_VALUE"""),500.0)</f>
        <v/>
      </c>
      <c r="T170">
        <f>IFERROR(__xludf.DUMMYFUNCTION("""COMPUTED_VALUE"""),"1.56")</f>
        <v/>
      </c>
      <c r="U170">
        <f>IFERROR(__xludf.DUMMYFUNCTION("""COMPUTED_VALUE"""),"0.66")</f>
        <v/>
      </c>
      <c r="V170">
        <f>IFERROR(__xludf.DUMMYFUNCTION("""COMPUTED_VALUE"""),60.0)</f>
        <v/>
      </c>
      <c r="W170">
        <f>IFERROR(__xludf.DUMMYFUNCTION("""COMPUTED_VALUE"""),"1.91")</f>
        <v/>
      </c>
      <c r="X170">
        <f>IFERROR(__xludf.DUMMYFUNCTION("""COMPUTED_VALUE"""),"0.73")</f>
        <v/>
      </c>
      <c r="Z170">
        <f>IFERROR(__xludf.DUMMYFUNCTION("""COMPUTED_VALUE"""),5.0)</f>
        <v/>
      </c>
      <c r="AB170">
        <f>IFERROR(__xludf.DUMMYFUNCTION("""COMPUTED_VALUE"""),"dageki_1")</f>
        <v/>
      </c>
    </row>
    <row r="171">
      <c r="B171">
        <f>IFERROR(__xludf.DUMMYFUNCTION("""COMPUTED_VALUE"""),"chara_sur_00301")</f>
        <v/>
      </c>
      <c r="C171">
        <f>IFERROR(__xludf.DUMMYFUNCTION("""COMPUTED_VALUE"""),"_surget")</f>
        <v/>
      </c>
      <c r="D171">
        <f>IFERROR(__xludf.DUMMYFUNCTION("""COMPUTED_VALUE"""),"c_sur_00301_surget_Normal_Blue")</f>
        <v/>
      </c>
      <c r="E171">
        <f>IFERROR(__xludf.DUMMYFUNCTION("""COMPUTED_VALUE"""),"魔都精兵のスレイブ")</f>
        <v/>
      </c>
      <c r="F171">
        <f>IFERROR(__xludf.DUMMYFUNCTION("""COMPUTED_VALUE"""),"駿河 朱々")</f>
        <v/>
      </c>
      <c r="G171">
        <f>IFERROR(__xludf.DUMMYFUNCTION("""COMPUTED_VALUE"""),"駿河 朱々_surget")</f>
        <v/>
      </c>
      <c r="H171">
        <f>IFERROR(__xludf.DUMMYFUNCTION("""COMPUTED_VALUE"""),"Normal")</f>
        <v/>
      </c>
      <c r="I171">
        <f>IFERROR(__xludf.DUMMYFUNCTION("""COMPUTED_VALUE"""),"Defense")</f>
        <v/>
      </c>
      <c r="J171">
        <f>IFERROR(__xludf.DUMMYFUNCTION("""COMPUTED_VALUE"""),"Blue")</f>
        <v/>
      </c>
      <c r="K171">
        <f>IFERROR(__xludf.DUMMYFUNCTION("""COMPUTED_VALUE"""),50000.0)</f>
        <v/>
      </c>
      <c r="L171">
        <f>IFERROR(__xludf.DUMMYFUNCTION("""COMPUTED_VALUE"""),3.0)</f>
        <v/>
      </c>
      <c r="M171">
        <f>IFERROR(__xludf.DUMMYFUNCTION("""COMPUTED_VALUE"""),32.0)</f>
        <v/>
      </c>
      <c r="N171">
        <f>IFERROR(__xludf.DUMMYFUNCTION("""COMPUTED_VALUE"""),0.18)</f>
        <v/>
      </c>
      <c r="O171">
        <f>IFERROR(__xludf.DUMMYFUNCTION("""COMPUTED_VALUE"""),300.0)</f>
        <v/>
      </c>
      <c r="P171">
        <f>IFERROR(__xludf.DUMMYFUNCTION("""COMPUTED_VALUE"""),0.0)</f>
        <v/>
      </c>
      <c r="Q171">
        <f>IFERROR(__xludf.DUMMYFUNCTION("""COMPUTED_VALUE"""),0.22)</f>
        <v/>
      </c>
      <c r="R171">
        <f>IFERROR(__xludf.DUMMYFUNCTION("""COMPUTED_VALUE"""),1.0)</f>
        <v/>
      </c>
      <c r="S171">
        <f>IFERROR(__xludf.DUMMYFUNCTION("""COMPUTED_VALUE"""),100.0)</f>
        <v/>
      </c>
      <c r="T171">
        <f>IFERROR(__xludf.DUMMYFUNCTION("""COMPUTED_VALUE"""),"1.56")</f>
        <v/>
      </c>
      <c r="U171">
        <f>IFERROR(__xludf.DUMMYFUNCTION("""COMPUTED_VALUE"""),"0.66")</f>
        <v/>
      </c>
      <c r="V171">
        <f>IFERROR(__xludf.DUMMYFUNCTION("""COMPUTED_VALUE"""),60.0)</f>
        <v/>
      </c>
      <c r="W171">
        <f>IFERROR(__xludf.DUMMYFUNCTION("""COMPUTED_VALUE"""),"1.91")</f>
        <v/>
      </c>
      <c r="X171">
        <f>IFERROR(__xludf.DUMMYFUNCTION("""COMPUTED_VALUE"""),"0.73")</f>
        <v/>
      </c>
      <c r="Z171">
        <f>IFERROR(__xludf.DUMMYFUNCTION("""COMPUTED_VALUE"""),5.0)</f>
        <v/>
      </c>
      <c r="AB171">
        <f>IFERROR(__xludf.DUMMYFUNCTION("""COMPUTED_VALUE"""),"dageki_1")</f>
        <v/>
      </c>
    </row>
    <row r="172">
      <c r="B172">
        <f>IFERROR(__xludf.DUMMYFUNCTION("""COMPUTED_VALUE"""),"chara_sur_00201")</f>
        <v/>
      </c>
      <c r="C172">
        <f>IFERROR(__xludf.DUMMYFUNCTION("""COMPUTED_VALUE"""),"_surget")</f>
        <v/>
      </c>
      <c r="D172">
        <f>IFERROR(__xludf.DUMMYFUNCTION("""COMPUTED_VALUE"""),"c_sur_00201_surget_Boss_Blue")</f>
        <v/>
      </c>
      <c r="E172">
        <f>IFERROR(__xludf.DUMMYFUNCTION("""COMPUTED_VALUE"""),"魔都精兵のスレイブ")</f>
        <v/>
      </c>
      <c r="F172">
        <f>IFERROR(__xludf.DUMMYFUNCTION("""COMPUTED_VALUE"""),"東 日万凛")</f>
        <v/>
      </c>
      <c r="G172">
        <f>IFERROR(__xludf.DUMMYFUNCTION("""COMPUTED_VALUE"""),"東 日万凛_surget")</f>
        <v/>
      </c>
      <c r="H172">
        <f>IFERROR(__xludf.DUMMYFUNCTION("""COMPUTED_VALUE"""),"Boss")</f>
        <v/>
      </c>
      <c r="I172">
        <f>IFERROR(__xludf.DUMMYFUNCTION("""COMPUTED_VALUE"""),"Attack")</f>
        <v/>
      </c>
      <c r="J172">
        <f>IFERROR(__xludf.DUMMYFUNCTION("""COMPUTED_VALUE"""),"Blue")</f>
        <v/>
      </c>
      <c r="K172">
        <f>IFERROR(__xludf.DUMMYFUNCTION("""COMPUTED_VALUE"""),50000.0)</f>
        <v/>
      </c>
      <c r="L172">
        <f>IFERROR(__xludf.DUMMYFUNCTION("""COMPUTED_VALUE"""),3.0)</f>
        <v/>
      </c>
      <c r="M172">
        <f>IFERROR(__xludf.DUMMYFUNCTION("""COMPUTED_VALUE"""),35.0)</f>
        <v/>
      </c>
      <c r="N172">
        <f>IFERROR(__xludf.DUMMYFUNCTION("""COMPUTED_VALUE"""),0.11)</f>
        <v/>
      </c>
      <c r="O172">
        <f>IFERROR(__xludf.DUMMYFUNCTION("""COMPUTED_VALUE"""),300.0)</f>
        <v/>
      </c>
      <c r="P172">
        <f>IFERROR(__xludf.DUMMYFUNCTION("""COMPUTED_VALUE"""),0.0)</f>
        <v/>
      </c>
      <c r="Q172">
        <f>IFERROR(__xludf.DUMMYFUNCTION("""COMPUTED_VALUE"""),0.25)</f>
        <v/>
      </c>
      <c r="R172">
        <f>IFERROR(__xludf.DUMMYFUNCTION("""COMPUTED_VALUE"""),1.0)</f>
        <v/>
      </c>
      <c r="S172">
        <f>IFERROR(__xludf.DUMMYFUNCTION("""COMPUTED_VALUE"""),500.0)</f>
        <v/>
      </c>
      <c r="T172">
        <f>IFERROR(__xludf.DUMMYFUNCTION("""COMPUTED_VALUE"""),"1.47")</f>
        <v/>
      </c>
      <c r="U172">
        <f>IFERROR(__xludf.DUMMYFUNCTION("""COMPUTED_VALUE"""),"stop無:1回目 0.37")</f>
        <v/>
      </c>
      <c r="V172">
        <f>IFERROR(__xludf.DUMMYFUNCTION("""COMPUTED_VALUE"""),60.0)</f>
        <v/>
      </c>
      <c r="W172">
        <f>IFERROR(__xludf.DUMMYFUNCTION("""COMPUTED_VALUE"""),"2.67")</f>
        <v/>
      </c>
      <c r="X172">
        <f>IFERROR(__xludf.DUMMYFUNCTION("""COMPUTED_VALUE"""),"stop無:1回目 0.74
stop無:2回目 0.92
stop無:3回目 1.1
stop無:4回目 1.28
stop無:5回目 1.45
stop無:6回目 1.65
stop有:7回目 1.84")</f>
        <v/>
      </c>
      <c r="Z172">
        <f>IFERROR(__xludf.DUMMYFUNCTION("""COMPUTED_VALUE"""),5.0)</f>
        <v/>
      </c>
      <c r="AB172">
        <f>IFERROR(__xludf.DUMMYFUNCTION("""COMPUTED_VALUE"""),"shageki_1")</f>
        <v/>
      </c>
    </row>
    <row r="173">
      <c r="B173">
        <f>IFERROR(__xludf.DUMMYFUNCTION("""COMPUTED_VALUE"""),"chara_sur_00201")</f>
        <v/>
      </c>
      <c r="C173">
        <f>IFERROR(__xludf.DUMMYFUNCTION("""COMPUTED_VALUE"""),"_surget")</f>
        <v/>
      </c>
      <c r="D173">
        <f>IFERROR(__xludf.DUMMYFUNCTION("""COMPUTED_VALUE"""),"c_sur_00201_surget_Normal_Blue")</f>
        <v/>
      </c>
      <c r="E173">
        <f>IFERROR(__xludf.DUMMYFUNCTION("""COMPUTED_VALUE"""),"魔都精兵のスレイブ")</f>
        <v/>
      </c>
      <c r="F173">
        <f>IFERROR(__xludf.DUMMYFUNCTION("""COMPUTED_VALUE"""),"東 日万凛")</f>
        <v/>
      </c>
      <c r="G173">
        <f>IFERROR(__xludf.DUMMYFUNCTION("""COMPUTED_VALUE"""),"東 日万凛_surget")</f>
        <v/>
      </c>
      <c r="H173">
        <f>IFERROR(__xludf.DUMMYFUNCTION("""COMPUTED_VALUE"""),"Normal")</f>
        <v/>
      </c>
      <c r="I173">
        <f>IFERROR(__xludf.DUMMYFUNCTION("""COMPUTED_VALUE"""),"Attack")</f>
        <v/>
      </c>
      <c r="J173">
        <f>IFERROR(__xludf.DUMMYFUNCTION("""COMPUTED_VALUE"""),"Blue")</f>
        <v/>
      </c>
      <c r="K173">
        <f>IFERROR(__xludf.DUMMYFUNCTION("""COMPUTED_VALUE"""),50000.0)</f>
        <v/>
      </c>
      <c r="L173">
        <f>IFERROR(__xludf.DUMMYFUNCTION("""COMPUTED_VALUE"""),3.0)</f>
        <v/>
      </c>
      <c r="M173">
        <f>IFERROR(__xludf.DUMMYFUNCTION("""COMPUTED_VALUE"""),32.0)</f>
        <v/>
      </c>
      <c r="N173">
        <f>IFERROR(__xludf.DUMMYFUNCTION("""COMPUTED_VALUE"""),0.11)</f>
        <v/>
      </c>
      <c r="O173">
        <f>IFERROR(__xludf.DUMMYFUNCTION("""COMPUTED_VALUE"""),300.0)</f>
        <v/>
      </c>
      <c r="P173">
        <f>IFERROR(__xludf.DUMMYFUNCTION("""COMPUTED_VALUE"""),0.0)</f>
        <v/>
      </c>
      <c r="Q173">
        <f>IFERROR(__xludf.DUMMYFUNCTION("""COMPUTED_VALUE"""),0.25)</f>
        <v/>
      </c>
      <c r="R173">
        <f>IFERROR(__xludf.DUMMYFUNCTION("""COMPUTED_VALUE"""),1.0)</f>
        <v/>
      </c>
      <c r="S173">
        <f>IFERROR(__xludf.DUMMYFUNCTION("""COMPUTED_VALUE"""),100.0)</f>
        <v/>
      </c>
      <c r="T173">
        <f>IFERROR(__xludf.DUMMYFUNCTION("""COMPUTED_VALUE"""),"1.47")</f>
        <v/>
      </c>
      <c r="U173">
        <f>IFERROR(__xludf.DUMMYFUNCTION("""COMPUTED_VALUE"""),"stop無:1回目 0.37")</f>
        <v/>
      </c>
      <c r="V173">
        <f>IFERROR(__xludf.DUMMYFUNCTION("""COMPUTED_VALUE"""),60.0)</f>
        <v/>
      </c>
      <c r="W173">
        <f>IFERROR(__xludf.DUMMYFUNCTION("""COMPUTED_VALUE"""),"2.67")</f>
        <v/>
      </c>
      <c r="X173">
        <f>IFERROR(__xludf.DUMMYFUNCTION("""COMPUTED_VALUE"""),"stop無:1回目 0.74
stop無:2回目 0.92
stop無:3回目 1.1
stop無:4回目 1.28
stop無:5回目 1.45
stop無:6回目 1.65
stop有:7回目 1.84")</f>
        <v/>
      </c>
      <c r="Z173">
        <f>IFERROR(__xludf.DUMMYFUNCTION("""COMPUTED_VALUE"""),5.0)</f>
        <v/>
      </c>
      <c r="AB173">
        <f>IFERROR(__xludf.DUMMYFUNCTION("""COMPUTED_VALUE"""),"shageki_1")</f>
        <v/>
      </c>
    </row>
    <row r="174">
      <c r="B174">
        <f>IFERROR(__xludf.DUMMYFUNCTION("""COMPUTED_VALUE"""),"chara_sur_00501")</f>
        <v/>
      </c>
      <c r="C174">
        <f>IFERROR(__xludf.DUMMYFUNCTION("""COMPUTED_VALUE"""),"_surget")</f>
        <v/>
      </c>
      <c r="D174">
        <f>IFERROR(__xludf.DUMMYFUNCTION("""COMPUTED_VALUE"""),"c_sur_00501_surget_Boss_Blue")</f>
        <v/>
      </c>
      <c r="E174">
        <f>IFERROR(__xludf.DUMMYFUNCTION("""COMPUTED_VALUE"""),"魔都精兵のスレイブ")</f>
        <v/>
      </c>
      <c r="F174">
        <f>IFERROR(__xludf.DUMMYFUNCTION("""COMPUTED_VALUE"""),"空間を操る六番組組長 出雲 天花")</f>
        <v/>
      </c>
      <c r="G174">
        <f>IFERROR(__xludf.DUMMYFUNCTION("""COMPUTED_VALUE"""),"出雲 天花_surget")</f>
        <v/>
      </c>
      <c r="H174">
        <f>IFERROR(__xludf.DUMMYFUNCTION("""COMPUTED_VALUE"""),"Boss")</f>
        <v/>
      </c>
      <c r="I174">
        <f>IFERROR(__xludf.DUMMYFUNCTION("""COMPUTED_VALUE"""),"Technical")</f>
        <v/>
      </c>
      <c r="J174">
        <f>IFERROR(__xludf.DUMMYFUNCTION("""COMPUTED_VALUE"""),"Blue")</f>
        <v/>
      </c>
      <c r="K174">
        <f>IFERROR(__xludf.DUMMYFUNCTION("""COMPUTED_VALUE"""),50000.0)</f>
        <v/>
      </c>
      <c r="L174">
        <f>IFERROR(__xludf.DUMMYFUNCTION("""COMPUTED_VALUE"""),3.0)</f>
        <v/>
      </c>
      <c r="M174">
        <f>IFERROR(__xludf.DUMMYFUNCTION("""COMPUTED_VALUE"""),35.0)</f>
        <v/>
      </c>
      <c r="N174">
        <f>IFERROR(__xludf.DUMMYFUNCTION("""COMPUTED_VALUE"""),0.45)</f>
        <v/>
      </c>
      <c r="O174">
        <f>IFERROR(__xludf.DUMMYFUNCTION("""COMPUTED_VALUE"""),300.0)</f>
        <v/>
      </c>
      <c r="P174">
        <f>IFERROR(__xludf.DUMMYFUNCTION("""COMPUTED_VALUE"""),0.0)</f>
        <v/>
      </c>
      <c r="Q174">
        <f>IFERROR(__xludf.DUMMYFUNCTION("""COMPUTED_VALUE"""),0.47)</f>
        <v/>
      </c>
      <c r="R174">
        <f>IFERROR(__xludf.DUMMYFUNCTION("""COMPUTED_VALUE"""),1.0)</f>
        <v/>
      </c>
      <c r="S174">
        <f>IFERROR(__xludf.DUMMYFUNCTION("""COMPUTED_VALUE"""),500.0)</f>
        <v/>
      </c>
      <c r="T174">
        <f>IFERROR(__xludf.DUMMYFUNCTION("""COMPUTED_VALUE"""),"1.71")</f>
        <v/>
      </c>
      <c r="U174">
        <f>IFERROR(__xludf.DUMMYFUNCTION("""COMPUTED_VALUE"""),"stop有:1回目 0.93")</f>
        <v/>
      </c>
      <c r="V174">
        <f>IFERROR(__xludf.DUMMYFUNCTION("""COMPUTED_VALUE"""),60.0)</f>
        <v/>
      </c>
      <c r="W174">
        <f>IFERROR(__xludf.DUMMYFUNCTION("""COMPUTED_VALUE"""),"2.67")</f>
        <v/>
      </c>
      <c r="X174">
        <f>IFERROR(__xludf.DUMMYFUNCTION("""COMPUTED_VALUE"""),"stop有:1回目 1.53")</f>
        <v/>
      </c>
      <c r="Z174">
        <f>IFERROR(__xludf.DUMMYFUNCTION("""COMPUTED_VALUE"""),5.0)</f>
        <v/>
      </c>
      <c r="AB174">
        <f>IFERROR(__xludf.DUMMYFUNCTION("""COMPUTED_VALUE"""),"dageki_1")</f>
        <v/>
      </c>
    </row>
    <row r="175">
      <c r="B175">
        <f>IFERROR(__xludf.DUMMYFUNCTION("""COMPUTED_VALUE"""),"chara_sur_00501")</f>
        <v/>
      </c>
      <c r="C175">
        <f>IFERROR(__xludf.DUMMYFUNCTION("""COMPUTED_VALUE"""),"_surget")</f>
        <v/>
      </c>
      <c r="D175">
        <f>IFERROR(__xludf.DUMMYFUNCTION("""COMPUTED_VALUE"""),"c_sur_00501_surget_Normal_Blue")</f>
        <v/>
      </c>
      <c r="E175">
        <f>IFERROR(__xludf.DUMMYFUNCTION("""COMPUTED_VALUE"""),"魔都精兵のスレイブ")</f>
        <v/>
      </c>
      <c r="F175">
        <f>IFERROR(__xludf.DUMMYFUNCTION("""COMPUTED_VALUE"""),"空間を操る六番組組長 出雲 天花")</f>
        <v/>
      </c>
      <c r="G175">
        <f>IFERROR(__xludf.DUMMYFUNCTION("""COMPUTED_VALUE"""),"出雲 天花_surget")</f>
        <v/>
      </c>
      <c r="H175">
        <f>IFERROR(__xludf.DUMMYFUNCTION("""COMPUTED_VALUE"""),"Normal")</f>
        <v/>
      </c>
      <c r="I175">
        <f>IFERROR(__xludf.DUMMYFUNCTION("""COMPUTED_VALUE"""),"Technical")</f>
        <v/>
      </c>
      <c r="J175">
        <f>IFERROR(__xludf.DUMMYFUNCTION("""COMPUTED_VALUE"""),"Blue")</f>
        <v/>
      </c>
      <c r="K175">
        <f>IFERROR(__xludf.DUMMYFUNCTION("""COMPUTED_VALUE"""),50000.0)</f>
        <v/>
      </c>
      <c r="L175">
        <f>IFERROR(__xludf.DUMMYFUNCTION("""COMPUTED_VALUE"""),3.0)</f>
        <v/>
      </c>
      <c r="M175">
        <f>IFERROR(__xludf.DUMMYFUNCTION("""COMPUTED_VALUE"""),32.0)</f>
        <v/>
      </c>
      <c r="N175">
        <f>IFERROR(__xludf.DUMMYFUNCTION("""COMPUTED_VALUE"""),0.45)</f>
        <v/>
      </c>
      <c r="O175">
        <f>IFERROR(__xludf.DUMMYFUNCTION("""COMPUTED_VALUE"""),300.0)</f>
        <v/>
      </c>
      <c r="P175">
        <f>IFERROR(__xludf.DUMMYFUNCTION("""COMPUTED_VALUE"""),0.0)</f>
        <v/>
      </c>
      <c r="Q175">
        <f>IFERROR(__xludf.DUMMYFUNCTION("""COMPUTED_VALUE"""),0.47)</f>
        <v/>
      </c>
      <c r="R175">
        <f>IFERROR(__xludf.DUMMYFUNCTION("""COMPUTED_VALUE"""),1.0)</f>
        <v/>
      </c>
      <c r="S175">
        <f>IFERROR(__xludf.DUMMYFUNCTION("""COMPUTED_VALUE"""),100.0)</f>
        <v/>
      </c>
      <c r="T175">
        <f>IFERROR(__xludf.DUMMYFUNCTION("""COMPUTED_VALUE"""),"1.71")</f>
        <v/>
      </c>
      <c r="U175">
        <f>IFERROR(__xludf.DUMMYFUNCTION("""COMPUTED_VALUE"""),"stop有:1回目 0.93")</f>
        <v/>
      </c>
      <c r="V175">
        <f>IFERROR(__xludf.DUMMYFUNCTION("""COMPUTED_VALUE"""),60.0)</f>
        <v/>
      </c>
      <c r="W175">
        <f>IFERROR(__xludf.DUMMYFUNCTION("""COMPUTED_VALUE"""),"2.67")</f>
        <v/>
      </c>
      <c r="X175">
        <f>IFERROR(__xludf.DUMMYFUNCTION("""COMPUTED_VALUE"""),"stop有:1回目 1.53")</f>
        <v/>
      </c>
      <c r="Z175">
        <f>IFERROR(__xludf.DUMMYFUNCTION("""COMPUTED_VALUE"""),5.0)</f>
        <v/>
      </c>
      <c r="AB175">
        <f>IFERROR(__xludf.DUMMYFUNCTION("""COMPUTED_VALUE"""),"dageki_1")</f>
        <v/>
      </c>
    </row>
    <row r="176">
      <c r="B176">
        <f>IFERROR(__xludf.DUMMYFUNCTION("""COMPUTED_VALUE"""),"chara_sur_00101")</f>
        <v/>
      </c>
      <c r="C176">
        <f>IFERROR(__xludf.DUMMYFUNCTION("""COMPUTED_VALUE"""),"_savege")</f>
        <v/>
      </c>
      <c r="D176">
        <f>IFERROR(__xludf.DUMMYFUNCTION("""COMPUTED_VALUE"""),"c_sur_00101_savege_Boss_Yellow")</f>
        <v/>
      </c>
      <c r="E176">
        <f>IFERROR(__xludf.DUMMYFUNCTION("""COMPUTED_VALUE"""),"魔都精兵のスレイブ")</f>
        <v/>
      </c>
      <c r="F176">
        <f>IFERROR(__xludf.DUMMYFUNCTION("""COMPUTED_VALUE"""),"誇り高き魔都の剣姫 羽前 京香")</f>
        <v/>
      </c>
      <c r="G176">
        <f>IFERROR(__xludf.DUMMYFUNCTION("""COMPUTED_VALUE"""),"誇り高き魔都の剣姫 羽前京香_savege")</f>
        <v/>
      </c>
      <c r="H176">
        <f>IFERROR(__xludf.DUMMYFUNCTION("""COMPUTED_VALUE"""),"Boss")</f>
        <v/>
      </c>
      <c r="I176">
        <f>IFERROR(__xludf.DUMMYFUNCTION("""COMPUTED_VALUE"""),"Attack")</f>
        <v/>
      </c>
      <c r="J176">
        <f>IFERROR(__xludf.DUMMYFUNCTION("""COMPUTED_VALUE"""),"Yellow")</f>
        <v/>
      </c>
      <c r="K176">
        <f>IFERROR(__xludf.DUMMYFUNCTION("""COMPUTED_VALUE"""),100000.0)</f>
        <v/>
      </c>
      <c r="L176">
        <f>IFERROR(__xludf.DUMMYFUNCTION("""COMPUTED_VALUE"""),2.0)</f>
        <v/>
      </c>
      <c r="M176">
        <f>IFERROR(__xludf.DUMMYFUNCTION("""COMPUTED_VALUE"""),45.0)</f>
        <v/>
      </c>
      <c r="N176">
        <f>IFERROR(__xludf.DUMMYFUNCTION("""COMPUTED_VALUE"""),0.25)</f>
        <v/>
      </c>
      <c r="O176">
        <f>IFERROR(__xludf.DUMMYFUNCTION("""COMPUTED_VALUE"""),500.0)</f>
        <v/>
      </c>
      <c r="P176">
        <f>IFERROR(__xludf.DUMMYFUNCTION("""COMPUTED_VALUE"""),0.0)</f>
        <v/>
      </c>
      <c r="Q176">
        <f>IFERROR(__xludf.DUMMYFUNCTION("""COMPUTED_VALUE"""),0.27)</f>
        <v/>
      </c>
      <c r="R176">
        <f>IFERROR(__xludf.DUMMYFUNCTION("""COMPUTED_VALUE"""),1.0)</f>
        <v/>
      </c>
      <c r="S176">
        <f>IFERROR(__xludf.DUMMYFUNCTION("""COMPUTED_VALUE"""),50.0)</f>
        <v/>
      </c>
      <c r="T176">
        <f>IFERROR(__xludf.DUMMYFUNCTION("""COMPUTED_VALUE"""),"1.40")</f>
        <v/>
      </c>
      <c r="U176">
        <f>IFERROR(__xludf.DUMMYFUNCTION("""COMPUTED_VALUE"""),"stop無:1回目 0.33")</f>
        <v/>
      </c>
      <c r="V176">
        <f>IFERROR(__xludf.DUMMYFUNCTION("""COMPUTED_VALUE"""),70.0)</f>
        <v/>
      </c>
      <c r="W176">
        <f>IFERROR(__xludf.DUMMYFUNCTION("""COMPUTED_VALUE"""),"2.67")</f>
        <v/>
      </c>
      <c r="X176">
        <f>IFERROR(__xludf.DUMMYFUNCTION("""COMPUTED_VALUE"""),"stop無:1回目 0.40
stop無:2回目 0.60
stop無:3回目 0.80
stop無:4回目 0.90
stop無:5回目 1.03
stop有:6回目 1.57")</f>
        <v/>
      </c>
      <c r="Y176">
        <f>IFERROR(__xludf.DUMMYFUNCTION("""COMPUTED_VALUE"""),"複数体に合計300%の連続攻撃+6回目の攻撃がヒットした相手に小ノックバック")</f>
        <v/>
      </c>
      <c r="Z176">
        <f>IFERROR(__xludf.DUMMYFUNCTION("""COMPUTED_VALUE"""),5.0)</f>
        <v/>
      </c>
      <c r="AB176">
        <f>IFERROR(__xludf.DUMMYFUNCTION("""COMPUTED_VALUE"""),"zangeki_1")</f>
        <v/>
      </c>
    </row>
    <row r="177">
      <c r="B177">
        <f>IFERROR(__xludf.DUMMYFUNCTION("""COMPUTED_VALUE"""),"chara_sur_00801")</f>
        <v/>
      </c>
      <c r="C177">
        <f>IFERROR(__xludf.DUMMYFUNCTION("""COMPUTED_VALUE"""),"_savege")</f>
        <v/>
      </c>
      <c r="D177">
        <f>IFERROR(__xludf.DUMMYFUNCTION("""COMPUTED_VALUE"""),"c_sur_00801_savege_Normal_Yellow")</f>
        <v/>
      </c>
      <c r="E177">
        <f>IFERROR(__xludf.DUMMYFUNCTION("""COMPUTED_VALUE"""),"魔都精兵のスレイブ")</f>
        <v/>
      </c>
      <c r="F177">
        <f>IFERROR(__xludf.DUMMYFUNCTION("""COMPUTED_VALUE"""),"無窮の鎖 和倉 優希")</f>
        <v/>
      </c>
      <c r="G177">
        <f>IFERROR(__xludf.DUMMYFUNCTION("""COMPUTED_VALUE"""),"和倉優希（変身）_savege")</f>
        <v/>
      </c>
      <c r="H177">
        <f>IFERROR(__xludf.DUMMYFUNCTION("""COMPUTED_VALUE"""),"Normal")</f>
        <v/>
      </c>
      <c r="I177">
        <f>IFERROR(__xludf.DUMMYFUNCTION("""COMPUTED_VALUE"""),"Defense")</f>
        <v/>
      </c>
      <c r="J177">
        <f>IFERROR(__xludf.DUMMYFUNCTION("""COMPUTED_VALUE"""),"Yellow")</f>
        <v/>
      </c>
      <c r="K177">
        <f>IFERROR(__xludf.DUMMYFUNCTION("""COMPUTED_VALUE"""),100000.0)</f>
        <v/>
      </c>
      <c r="L177">
        <f>IFERROR(__xludf.DUMMYFUNCTION("""COMPUTED_VALUE"""),1.0)</f>
        <v/>
      </c>
      <c r="M177">
        <f>IFERROR(__xludf.DUMMYFUNCTION("""COMPUTED_VALUE"""),45.0)</f>
        <v/>
      </c>
      <c r="N177">
        <f>IFERROR(__xludf.DUMMYFUNCTION("""COMPUTED_VALUE"""),0.23)</f>
        <v/>
      </c>
      <c r="O177">
        <f>IFERROR(__xludf.DUMMYFUNCTION("""COMPUTED_VALUE"""),300.0)</f>
        <v/>
      </c>
      <c r="P177">
        <f>IFERROR(__xludf.DUMMYFUNCTION("""COMPUTED_VALUE"""),0.0)</f>
        <v/>
      </c>
      <c r="Q177">
        <f>IFERROR(__xludf.DUMMYFUNCTION("""COMPUTED_VALUE"""),0.24)</f>
        <v/>
      </c>
      <c r="R177">
        <f>IFERROR(__xludf.DUMMYFUNCTION("""COMPUTED_VALUE"""),1.0)</f>
        <v/>
      </c>
      <c r="S177">
        <f>IFERROR(__xludf.DUMMYFUNCTION("""COMPUTED_VALUE"""),100.0)</f>
        <v/>
      </c>
      <c r="T177">
        <f>IFERROR(__xludf.DUMMYFUNCTION("""COMPUTED_VALUE"""),"1.24")</f>
        <v/>
      </c>
      <c r="U177">
        <f>IFERROR(__xludf.DUMMYFUNCTION("""COMPUTED_VALUE"""),"stop有:1回目 0.66")</f>
        <v/>
      </c>
      <c r="V177">
        <f>IFERROR(__xludf.DUMMYFUNCTION("""COMPUTED_VALUE"""),80.0)</f>
        <v/>
      </c>
      <c r="W177">
        <f>IFERROR(__xludf.DUMMYFUNCTION("""COMPUTED_VALUE"""),"2.01")</f>
        <v/>
      </c>
      <c r="X177">
        <f>IFERROR(__xludf.DUMMYFUNCTION("""COMPUTED_VALUE"""),"stop有:1回目 1.06")</f>
        <v/>
      </c>
      <c r="Y177">
        <f>IFERROR(__xludf.DUMMYFUNCTION("""COMPUTED_VALUE"""),"単体に300%の攻撃+小ノックバック")</f>
        <v/>
      </c>
      <c r="Z177">
        <f>IFERROR(__xludf.DUMMYFUNCTION("""COMPUTED_VALUE"""),6.0)</f>
        <v/>
      </c>
      <c r="AB177">
        <f>IFERROR(__xludf.DUMMYFUNCTION("""COMPUTED_VALUE"""),"dageki_1")</f>
        <v/>
      </c>
    </row>
    <row r="178">
      <c r="B178">
        <f>IFERROR(__xludf.DUMMYFUNCTION("""COMPUTED_VALUE"""),"chara_sur_00801")</f>
        <v/>
      </c>
      <c r="C178">
        <f>IFERROR(__xludf.DUMMYFUNCTION("""COMPUTED_VALUE"""),"_savege")</f>
        <v/>
      </c>
      <c r="D178">
        <f>IFERROR(__xludf.DUMMYFUNCTION("""COMPUTED_VALUE"""),"c_sur_00801_savege_Normal_Blue")</f>
        <v/>
      </c>
      <c r="E178">
        <f>IFERROR(__xludf.DUMMYFUNCTION("""COMPUTED_VALUE"""),"魔都精兵のスレイブ")</f>
        <v/>
      </c>
      <c r="F178">
        <f>IFERROR(__xludf.DUMMYFUNCTION("""COMPUTED_VALUE"""),"無窮の鎖 和倉 優希")</f>
        <v/>
      </c>
      <c r="G178">
        <f>IFERROR(__xludf.DUMMYFUNCTION("""COMPUTED_VALUE"""),"和倉優希（変身）_savege")</f>
        <v/>
      </c>
      <c r="H178">
        <f>IFERROR(__xludf.DUMMYFUNCTION("""COMPUTED_VALUE"""),"Normal")</f>
        <v/>
      </c>
      <c r="I178">
        <f>IFERROR(__xludf.DUMMYFUNCTION("""COMPUTED_VALUE"""),"Defense")</f>
        <v/>
      </c>
      <c r="J178">
        <f>IFERROR(__xludf.DUMMYFUNCTION("""COMPUTED_VALUE"""),"Blue")</f>
        <v/>
      </c>
      <c r="K178">
        <f>IFERROR(__xludf.DUMMYFUNCTION("""COMPUTED_VALUE"""),100000.0)</f>
        <v/>
      </c>
      <c r="L178">
        <f>IFERROR(__xludf.DUMMYFUNCTION("""COMPUTED_VALUE"""),1.0)</f>
        <v/>
      </c>
      <c r="M178">
        <f>IFERROR(__xludf.DUMMYFUNCTION("""COMPUTED_VALUE"""),45.0)</f>
        <v/>
      </c>
      <c r="N178">
        <f>IFERROR(__xludf.DUMMYFUNCTION("""COMPUTED_VALUE"""),0.23)</f>
        <v/>
      </c>
      <c r="O178">
        <f>IFERROR(__xludf.DUMMYFUNCTION("""COMPUTED_VALUE"""),300.0)</f>
        <v/>
      </c>
      <c r="P178">
        <f>IFERROR(__xludf.DUMMYFUNCTION("""COMPUTED_VALUE"""),0.0)</f>
        <v/>
      </c>
      <c r="Q178">
        <f>IFERROR(__xludf.DUMMYFUNCTION("""COMPUTED_VALUE"""),0.24)</f>
        <v/>
      </c>
      <c r="R178">
        <f>IFERROR(__xludf.DUMMYFUNCTION("""COMPUTED_VALUE"""),1.0)</f>
        <v/>
      </c>
      <c r="S178">
        <f>IFERROR(__xludf.DUMMYFUNCTION("""COMPUTED_VALUE"""),100.0)</f>
        <v/>
      </c>
      <c r="T178">
        <f>IFERROR(__xludf.DUMMYFUNCTION("""COMPUTED_VALUE"""),"1.24")</f>
        <v/>
      </c>
      <c r="U178">
        <f>IFERROR(__xludf.DUMMYFUNCTION("""COMPUTED_VALUE"""),"stop有:1回目 0.66")</f>
        <v/>
      </c>
      <c r="V178">
        <f>IFERROR(__xludf.DUMMYFUNCTION("""COMPUTED_VALUE"""),150.0)</f>
        <v/>
      </c>
      <c r="W178">
        <f>IFERROR(__xludf.DUMMYFUNCTION("""COMPUTED_VALUE"""),"2.01")</f>
        <v/>
      </c>
      <c r="X178">
        <f>IFERROR(__xludf.DUMMYFUNCTION("""COMPUTED_VALUE"""),"stop有:1回目 1.06")</f>
        <v/>
      </c>
      <c r="Y178">
        <f>IFERROR(__xludf.DUMMYFUNCTION("""COMPUTED_VALUE"""),"単体に300%の攻撃+小ノックバック")</f>
        <v/>
      </c>
      <c r="Z178">
        <f>IFERROR(__xludf.DUMMYFUNCTION("""COMPUTED_VALUE"""),2.0)</f>
        <v/>
      </c>
      <c r="AB178">
        <f>IFERROR(__xludf.DUMMYFUNCTION("""COMPUTED_VALUE"""),"dageki_1")</f>
        <v/>
      </c>
    </row>
    <row r="179">
      <c r="B179">
        <f>IFERROR(__xludf.DUMMYFUNCTION("""COMPUTED_VALUE"""),"enemy_sur_00101")</f>
        <v/>
      </c>
      <c r="C179">
        <f>IFERROR(__xludf.DUMMYFUNCTION("""COMPUTED_VALUE"""),"_savege")</f>
        <v/>
      </c>
      <c r="D179">
        <f>IFERROR(__xludf.DUMMYFUNCTION("""COMPUTED_VALUE"""),"e_sur_00101_savege_Normal_Colorless")</f>
        <v/>
      </c>
      <c r="E179">
        <f>IFERROR(__xludf.DUMMYFUNCTION("""COMPUTED_VALUE"""),"魔都精兵のスレイブ")</f>
        <v/>
      </c>
      <c r="F179">
        <f>IFERROR(__xludf.DUMMYFUNCTION("""COMPUTED_VALUE"""),"醜鬼")</f>
        <v/>
      </c>
      <c r="G179">
        <f>IFERROR(__xludf.DUMMYFUNCTION("""COMPUTED_VALUE"""),"醜鬼_savege")</f>
        <v/>
      </c>
      <c r="H179">
        <f>IFERROR(__xludf.DUMMYFUNCTION("""COMPUTED_VALUE"""),"Normal")</f>
        <v/>
      </c>
      <c r="I179">
        <f>IFERROR(__xludf.DUMMYFUNCTION("""COMPUTED_VALUE"""),"Defense")</f>
        <v/>
      </c>
      <c r="J179">
        <f>IFERROR(__xludf.DUMMYFUNCTION("""COMPUTED_VALUE"""),"Colorless")</f>
        <v/>
      </c>
      <c r="K179">
        <f>IFERROR(__xludf.DUMMYFUNCTION("""COMPUTED_VALUE"""),10000.0)</f>
        <v/>
      </c>
      <c r="L179">
        <f>IFERROR(__xludf.DUMMYFUNCTION("""COMPUTED_VALUE"""),3.0)</f>
        <v/>
      </c>
      <c r="M179">
        <f>IFERROR(__xludf.DUMMYFUNCTION("""COMPUTED_VALUE"""),30.0)</f>
        <v/>
      </c>
      <c r="N179">
        <f>IFERROR(__xludf.DUMMYFUNCTION("""COMPUTED_VALUE"""),0.2)</f>
        <v/>
      </c>
      <c r="O179">
        <f>IFERROR(__xludf.DUMMYFUNCTION("""COMPUTED_VALUE"""),300.0)</f>
        <v/>
      </c>
      <c r="P179">
        <f>IFERROR(__xludf.DUMMYFUNCTION("""COMPUTED_VALUE"""),0.0)</f>
        <v/>
      </c>
      <c r="Q179">
        <f>IFERROR(__xludf.DUMMYFUNCTION("""COMPUTED_VALUE"""),0.22)</f>
        <v/>
      </c>
      <c r="R179">
        <f>IFERROR(__xludf.DUMMYFUNCTION("""COMPUTED_VALUE"""),1.0)</f>
        <v/>
      </c>
      <c r="S179">
        <f>IFERROR(__xludf.DUMMYFUNCTION("""COMPUTED_VALUE"""),100.0)</f>
        <v/>
      </c>
      <c r="T179">
        <f>IFERROR(__xludf.DUMMYFUNCTION("""COMPUTED_VALUE"""),"0.80")</f>
        <v/>
      </c>
      <c r="U179">
        <f>IFERROR(__xludf.DUMMYFUNCTION("""COMPUTED_VALUE"""),"0.30")</f>
        <v/>
      </c>
      <c r="V179">
        <f>IFERROR(__xludf.DUMMYFUNCTION("""COMPUTED_VALUE"""),30.0)</f>
        <v/>
      </c>
      <c r="W179">
        <f>IFERROR(__xludf.DUMMYFUNCTION("""COMPUTED_VALUE"""),"-")</f>
        <v/>
      </c>
      <c r="X179">
        <f>IFERROR(__xludf.DUMMYFUNCTION("""COMPUTED_VALUE"""),"-")</f>
        <v/>
      </c>
      <c r="Z179">
        <f>IFERROR(__xludf.DUMMYFUNCTION("""COMPUTED_VALUE"""),"-")</f>
        <v/>
      </c>
      <c r="AB179">
        <f>IFERROR(__xludf.DUMMYFUNCTION("""COMPUTED_VALUE"""),"dageki_1")</f>
        <v/>
      </c>
    </row>
    <row r="180">
      <c r="B180">
        <f>IFERROR(__xludf.DUMMYFUNCTION("""COMPUTED_VALUE"""),"enemy_sur_00101")</f>
        <v/>
      </c>
      <c r="C180">
        <f>IFERROR(__xludf.DUMMYFUNCTION("""COMPUTED_VALUE"""),"_savege")</f>
        <v/>
      </c>
      <c r="D180">
        <f>IFERROR(__xludf.DUMMYFUNCTION("""COMPUTED_VALUE"""),"e_sur_00101_savege_Normal_Yellow")</f>
        <v/>
      </c>
      <c r="E180">
        <f>IFERROR(__xludf.DUMMYFUNCTION("""COMPUTED_VALUE"""),"魔都精兵のスレイブ")</f>
        <v/>
      </c>
      <c r="F180">
        <f>IFERROR(__xludf.DUMMYFUNCTION("""COMPUTED_VALUE"""),"醜鬼")</f>
        <v/>
      </c>
      <c r="G180">
        <f>IFERROR(__xludf.DUMMYFUNCTION("""COMPUTED_VALUE"""),"醜鬼_savege")</f>
        <v/>
      </c>
      <c r="H180">
        <f>IFERROR(__xludf.DUMMYFUNCTION("""COMPUTED_VALUE"""),"Normal")</f>
        <v/>
      </c>
      <c r="I180">
        <f>IFERROR(__xludf.DUMMYFUNCTION("""COMPUTED_VALUE"""),"Technical")</f>
        <v/>
      </c>
      <c r="J180">
        <f>IFERROR(__xludf.DUMMYFUNCTION("""COMPUTED_VALUE"""),"Yellow")</f>
        <v/>
      </c>
      <c r="K180">
        <f>IFERROR(__xludf.DUMMYFUNCTION("""COMPUTED_VALUE"""),10000.0)</f>
        <v/>
      </c>
      <c r="L180">
        <f>IFERROR(__xludf.DUMMYFUNCTION("""COMPUTED_VALUE"""),3.0)</f>
        <v/>
      </c>
      <c r="M180">
        <f>IFERROR(__xludf.DUMMYFUNCTION("""COMPUTED_VALUE"""),32.0)</f>
        <v/>
      </c>
      <c r="N180">
        <f>IFERROR(__xludf.DUMMYFUNCTION("""COMPUTED_VALUE"""),0.22)</f>
        <v/>
      </c>
      <c r="O180">
        <f>IFERROR(__xludf.DUMMYFUNCTION("""COMPUTED_VALUE"""),300.0)</f>
        <v/>
      </c>
      <c r="P180">
        <f>IFERROR(__xludf.DUMMYFUNCTION("""COMPUTED_VALUE"""),0.0)</f>
        <v/>
      </c>
      <c r="Q180">
        <f>IFERROR(__xludf.DUMMYFUNCTION("""COMPUTED_VALUE"""),0.24)</f>
        <v/>
      </c>
      <c r="R180">
        <f>IFERROR(__xludf.DUMMYFUNCTION("""COMPUTED_VALUE"""),1.0)</f>
        <v/>
      </c>
      <c r="S180">
        <f>IFERROR(__xludf.DUMMYFUNCTION("""COMPUTED_VALUE"""),100.0)</f>
        <v/>
      </c>
      <c r="T180">
        <f>IFERROR(__xludf.DUMMYFUNCTION("""COMPUTED_VALUE"""),"0.80")</f>
        <v/>
      </c>
      <c r="U180">
        <f>IFERROR(__xludf.DUMMYFUNCTION("""COMPUTED_VALUE"""),"0.30")</f>
        <v/>
      </c>
      <c r="V180">
        <f>IFERROR(__xludf.DUMMYFUNCTION("""COMPUTED_VALUE"""),100.0)</f>
        <v/>
      </c>
      <c r="W180">
        <f>IFERROR(__xludf.DUMMYFUNCTION("""COMPUTED_VALUE"""),"-")</f>
        <v/>
      </c>
      <c r="X180">
        <f>IFERROR(__xludf.DUMMYFUNCTION("""COMPUTED_VALUE"""),"-")</f>
        <v/>
      </c>
      <c r="Z180">
        <f>IFERROR(__xludf.DUMMYFUNCTION("""COMPUTED_VALUE"""),"-")</f>
        <v/>
      </c>
      <c r="AB180">
        <f>IFERROR(__xludf.DUMMYFUNCTION("""COMPUTED_VALUE"""),"dageki_1")</f>
        <v/>
      </c>
      <c r="AC180">
        <f>IFERROR(__xludf.DUMMYFUNCTION("""COMPUTED_VALUE"""),"単体に10%の毒にする(10秒間)")</f>
        <v/>
      </c>
    </row>
    <row r="181">
      <c r="B181">
        <f>IFERROR(__xludf.DUMMYFUNCTION("""COMPUTED_VALUE"""),"enemy_sur_00101")</f>
        <v/>
      </c>
      <c r="C181">
        <f>IFERROR(__xludf.DUMMYFUNCTION("""COMPUTED_VALUE"""),"_savege")</f>
        <v/>
      </c>
      <c r="D181">
        <f>IFERROR(__xludf.DUMMYFUNCTION("""COMPUTED_VALUE"""),"e_sur_00101_savege_Normal_Blue")</f>
        <v/>
      </c>
      <c r="E181">
        <f>IFERROR(__xludf.DUMMYFUNCTION("""COMPUTED_VALUE"""),"魔都精兵のスレイブ")</f>
        <v/>
      </c>
      <c r="F181">
        <f>IFERROR(__xludf.DUMMYFUNCTION("""COMPUTED_VALUE"""),"醜鬼")</f>
        <v/>
      </c>
      <c r="G181">
        <f>IFERROR(__xludf.DUMMYFUNCTION("""COMPUTED_VALUE"""),"醜鬼_savege")</f>
        <v/>
      </c>
      <c r="H181">
        <f>IFERROR(__xludf.DUMMYFUNCTION("""COMPUTED_VALUE"""),"Normal")</f>
        <v/>
      </c>
      <c r="I181">
        <f>IFERROR(__xludf.DUMMYFUNCTION("""COMPUTED_VALUE"""),"Technical")</f>
        <v/>
      </c>
      <c r="J181">
        <f>IFERROR(__xludf.DUMMYFUNCTION("""COMPUTED_VALUE"""),"Blue")</f>
        <v/>
      </c>
      <c r="K181">
        <f>IFERROR(__xludf.DUMMYFUNCTION("""COMPUTED_VALUE"""),10000.0)</f>
        <v/>
      </c>
      <c r="L181">
        <f>IFERROR(__xludf.DUMMYFUNCTION("""COMPUTED_VALUE"""),3.0)</f>
        <v/>
      </c>
      <c r="M181">
        <f>IFERROR(__xludf.DUMMYFUNCTION("""COMPUTED_VALUE"""),32.0)</f>
        <v/>
      </c>
      <c r="N181">
        <f>IFERROR(__xludf.DUMMYFUNCTION("""COMPUTED_VALUE"""),0.22)</f>
        <v/>
      </c>
      <c r="O181">
        <f>IFERROR(__xludf.DUMMYFUNCTION("""COMPUTED_VALUE"""),300.0)</f>
        <v/>
      </c>
      <c r="P181">
        <f>IFERROR(__xludf.DUMMYFUNCTION("""COMPUTED_VALUE"""),0.0)</f>
        <v/>
      </c>
      <c r="Q181">
        <f>IFERROR(__xludf.DUMMYFUNCTION("""COMPUTED_VALUE"""),0.24)</f>
        <v/>
      </c>
      <c r="R181">
        <f>IFERROR(__xludf.DUMMYFUNCTION("""COMPUTED_VALUE"""),1.0)</f>
        <v/>
      </c>
      <c r="S181">
        <f>IFERROR(__xludf.DUMMYFUNCTION("""COMPUTED_VALUE"""),100.0)</f>
        <v/>
      </c>
      <c r="T181">
        <f>IFERROR(__xludf.DUMMYFUNCTION("""COMPUTED_VALUE"""),"0.80")</f>
        <v/>
      </c>
      <c r="U181">
        <f>IFERROR(__xludf.DUMMYFUNCTION("""COMPUTED_VALUE"""),"0.30")</f>
        <v/>
      </c>
      <c r="V181">
        <f>IFERROR(__xludf.DUMMYFUNCTION("""COMPUTED_VALUE"""),100.0)</f>
        <v/>
      </c>
      <c r="W181">
        <f>IFERROR(__xludf.DUMMYFUNCTION("""COMPUTED_VALUE"""),"-")</f>
        <v/>
      </c>
      <c r="X181">
        <f>IFERROR(__xludf.DUMMYFUNCTION("""COMPUTED_VALUE"""),"-")</f>
        <v/>
      </c>
      <c r="Z181">
        <f>IFERROR(__xludf.DUMMYFUNCTION("""COMPUTED_VALUE"""),"-")</f>
        <v/>
      </c>
      <c r="AB181">
        <f>IFERROR(__xludf.DUMMYFUNCTION("""COMPUTED_VALUE"""),"dageki_1")</f>
        <v/>
      </c>
      <c r="AC181">
        <f>IFERROR(__xludf.DUMMYFUNCTION("""COMPUTED_VALUE"""),"単体に10%の毒にする(10秒間)")</f>
        <v/>
      </c>
    </row>
    <row r="182">
      <c r="B182">
        <f>IFERROR(__xludf.DUMMYFUNCTION("""COMPUTED_VALUE"""),"chara_sur_00501")</f>
        <v/>
      </c>
      <c r="C182">
        <f>IFERROR(__xludf.DUMMYFUNCTION("""COMPUTED_VALUE"""),"_savege")</f>
        <v/>
      </c>
      <c r="D182">
        <f>IFERROR(__xludf.DUMMYFUNCTION("""COMPUTED_VALUE"""),"c_sur_00501_savege_Boss_Blue")</f>
        <v/>
      </c>
      <c r="E182">
        <f>IFERROR(__xludf.DUMMYFUNCTION("""COMPUTED_VALUE"""),"魔都精兵のスレイブ")</f>
        <v/>
      </c>
      <c r="F182">
        <f>IFERROR(__xludf.DUMMYFUNCTION("""COMPUTED_VALUE"""),"空間を操る六番組組長 出雲 天花")</f>
        <v/>
      </c>
      <c r="G182">
        <f>IFERROR(__xludf.DUMMYFUNCTION("""COMPUTED_VALUE"""),"出雲 天花_savege")</f>
        <v/>
      </c>
      <c r="H182">
        <f>IFERROR(__xludf.DUMMYFUNCTION("""COMPUTED_VALUE"""),"Boss")</f>
        <v/>
      </c>
      <c r="I182">
        <f>IFERROR(__xludf.DUMMYFUNCTION("""COMPUTED_VALUE"""),"Attack")</f>
        <v/>
      </c>
      <c r="J182">
        <f>IFERROR(__xludf.DUMMYFUNCTION("""COMPUTED_VALUE"""),"Blue")</f>
        <v/>
      </c>
      <c r="K182">
        <f>IFERROR(__xludf.DUMMYFUNCTION("""COMPUTED_VALUE"""),100000.0)</f>
        <v/>
      </c>
      <c r="L182">
        <f>IFERROR(__xludf.DUMMYFUNCTION("""COMPUTED_VALUE"""),3.0)</f>
        <v/>
      </c>
      <c r="M182">
        <f>IFERROR(__xludf.DUMMYFUNCTION("""COMPUTED_VALUE"""),35.0)</f>
        <v/>
      </c>
      <c r="N182">
        <f>IFERROR(__xludf.DUMMYFUNCTION("""COMPUTED_VALUE"""),0.45)</f>
        <v/>
      </c>
      <c r="O182">
        <f>IFERROR(__xludf.DUMMYFUNCTION("""COMPUTED_VALUE"""),500.0)</f>
        <v/>
      </c>
      <c r="P182">
        <f>IFERROR(__xludf.DUMMYFUNCTION("""COMPUTED_VALUE"""),0.0)</f>
        <v/>
      </c>
      <c r="Q182">
        <f>IFERROR(__xludf.DUMMYFUNCTION("""COMPUTED_VALUE"""),0.47)</f>
        <v/>
      </c>
      <c r="R182">
        <f>IFERROR(__xludf.DUMMYFUNCTION("""COMPUTED_VALUE"""),1.0)</f>
        <v/>
      </c>
      <c r="S182">
        <f>IFERROR(__xludf.DUMMYFUNCTION("""COMPUTED_VALUE"""),100.0)</f>
        <v/>
      </c>
      <c r="T182">
        <f>IFERROR(__xludf.DUMMYFUNCTION("""COMPUTED_VALUE"""),"1.71")</f>
        <v/>
      </c>
      <c r="U182">
        <f>IFERROR(__xludf.DUMMYFUNCTION("""COMPUTED_VALUE"""),"stop有:1回目 0.93")</f>
        <v/>
      </c>
      <c r="V182">
        <f>IFERROR(__xludf.DUMMYFUNCTION("""COMPUTED_VALUE"""),90.0)</f>
        <v/>
      </c>
      <c r="W182">
        <f>IFERROR(__xludf.DUMMYFUNCTION("""COMPUTED_VALUE"""),"2.67")</f>
        <v/>
      </c>
      <c r="X182">
        <f>IFERROR(__xludf.DUMMYFUNCTION("""COMPUTED_VALUE"""),"stop有:1回目 1.53")</f>
        <v/>
      </c>
      <c r="Y182">
        <f>IFERROR(__xludf.DUMMYFUNCTION("""COMPUTED_VALUE"""),"自身のコマと前2コマまで250%の範囲ダメージ")</f>
        <v/>
      </c>
      <c r="Z182">
        <f>IFERROR(__xludf.DUMMYFUNCTION("""COMPUTED_VALUE"""),4.0)</f>
        <v/>
      </c>
      <c r="AB182">
        <f>IFERROR(__xludf.DUMMYFUNCTION("""COMPUTED_VALUE"""),"dageki_1")</f>
        <v/>
      </c>
    </row>
    <row r="183">
      <c r="B183">
        <f>IFERROR(__xludf.DUMMYFUNCTION("""COMPUTED_VALUE"""),"chara_sur_00501")</f>
        <v/>
      </c>
      <c r="C183">
        <f>IFERROR(__xludf.DUMMYFUNCTION("""COMPUTED_VALUE"""),"_savege_Btrans")</f>
        <v/>
      </c>
      <c r="D183">
        <f>IFERROR(__xludf.DUMMYFUNCTION("""COMPUTED_VALUE"""),"c_sur_00501_savege_Btrans_Boss_Blue")</f>
        <v/>
      </c>
      <c r="E183">
        <f>IFERROR(__xludf.DUMMYFUNCTION("""COMPUTED_VALUE"""),"魔都精兵のスレイブ")</f>
        <v/>
      </c>
      <c r="F183">
        <f>IFERROR(__xludf.DUMMYFUNCTION("""COMPUTED_VALUE"""),"空間を操る六番組組長 出雲 天花")</f>
        <v/>
      </c>
      <c r="G183">
        <f>IFERROR(__xludf.DUMMYFUNCTION("""COMPUTED_VALUE"""),"出雲 天花_savege_Btrans")</f>
        <v/>
      </c>
      <c r="H183">
        <f>IFERROR(__xludf.DUMMYFUNCTION("""COMPUTED_VALUE"""),"Boss")</f>
        <v/>
      </c>
      <c r="I183">
        <f>IFERROR(__xludf.DUMMYFUNCTION("""COMPUTED_VALUE"""),"Attack")</f>
        <v/>
      </c>
      <c r="J183">
        <f>IFERROR(__xludf.DUMMYFUNCTION("""COMPUTED_VALUE"""),"Blue")</f>
        <v/>
      </c>
      <c r="K183">
        <f>IFERROR(__xludf.DUMMYFUNCTION("""COMPUTED_VALUE"""),100000.0)</f>
        <v/>
      </c>
      <c r="L183">
        <f>IFERROR(__xludf.DUMMYFUNCTION("""COMPUTED_VALUE"""),3.0)</f>
        <v/>
      </c>
      <c r="M183">
        <f>IFERROR(__xludf.DUMMYFUNCTION("""COMPUTED_VALUE"""),35.0)</f>
        <v/>
      </c>
      <c r="N183">
        <f>IFERROR(__xludf.DUMMYFUNCTION("""COMPUTED_VALUE"""),0.45)</f>
        <v/>
      </c>
      <c r="O183">
        <f>IFERROR(__xludf.DUMMYFUNCTION("""COMPUTED_VALUE"""),500.0)</f>
        <v/>
      </c>
      <c r="P183">
        <f>IFERROR(__xludf.DUMMYFUNCTION("""COMPUTED_VALUE"""),0.0)</f>
        <v/>
      </c>
      <c r="Q183">
        <f>IFERROR(__xludf.DUMMYFUNCTION("""COMPUTED_VALUE"""),0.47)</f>
        <v/>
      </c>
      <c r="R183">
        <f>IFERROR(__xludf.DUMMYFUNCTION("""COMPUTED_VALUE"""),1.0)</f>
        <v/>
      </c>
      <c r="S183">
        <f>IFERROR(__xludf.DUMMYFUNCTION("""COMPUTED_VALUE"""),100.0)</f>
        <v/>
      </c>
      <c r="T183">
        <f>IFERROR(__xludf.DUMMYFUNCTION("""COMPUTED_VALUE"""),"1.71")</f>
        <v/>
      </c>
      <c r="U183">
        <f>IFERROR(__xludf.DUMMYFUNCTION("""COMPUTED_VALUE"""),"stop有:1回目 0.93")</f>
        <v/>
      </c>
      <c r="V183">
        <f>IFERROR(__xludf.DUMMYFUNCTION("""COMPUTED_VALUE"""),90.0)</f>
        <v/>
      </c>
      <c r="W183">
        <f>IFERROR(__xludf.DUMMYFUNCTION("""COMPUTED_VALUE"""),"2.67")</f>
        <v/>
      </c>
      <c r="X183">
        <f>IFERROR(__xludf.DUMMYFUNCTION("""COMPUTED_VALUE"""),"stop有:1回目 1.53")</f>
        <v/>
      </c>
      <c r="Y183">
        <f>IFERROR(__xludf.DUMMYFUNCTION("""COMPUTED_VALUE"""),"自身のコマと前2コマまで250%の範囲ダメージ")</f>
        <v/>
      </c>
      <c r="Z183">
        <f>IFERROR(__xludf.DUMMYFUNCTION("""COMPUTED_VALUE"""),4.0)</f>
        <v/>
      </c>
      <c r="AB183">
        <f>IFERROR(__xludf.DUMMYFUNCTION("""COMPUTED_VALUE"""),"dageki_1")</f>
        <v/>
      </c>
      <c r="AD183">
        <f>IFERROR(__xludf.DUMMYFUNCTION("""COMPUTED_VALUE"""),"c_sur_00501_savege_Atrans_Boss_Blueに変身（ゲージ戦のようなイメージ）")</f>
        <v/>
      </c>
    </row>
    <row r="184">
      <c r="B184">
        <f>IFERROR(__xludf.DUMMYFUNCTION("""COMPUTED_VALUE"""),"chara_sur_00501")</f>
        <v/>
      </c>
      <c r="C184">
        <f>IFERROR(__xludf.DUMMYFUNCTION("""COMPUTED_VALUE"""),"_savege_Atrans")</f>
        <v/>
      </c>
      <c r="D184">
        <f>IFERROR(__xludf.DUMMYFUNCTION("""COMPUTED_VALUE"""),"c_sur_00501_savege_Atrans_Boss_Blue")</f>
        <v/>
      </c>
      <c r="E184">
        <f>IFERROR(__xludf.DUMMYFUNCTION("""COMPUTED_VALUE"""),"魔都精兵のスレイブ")</f>
        <v/>
      </c>
      <c r="F184">
        <f>IFERROR(__xludf.DUMMYFUNCTION("""COMPUTED_VALUE"""),"空間を操る六番組組長 出雲 天花")</f>
        <v/>
      </c>
      <c r="G184">
        <f>IFERROR(__xludf.DUMMYFUNCTION("""COMPUTED_VALUE"""),"出雲 天花_savege_Atrans")</f>
        <v/>
      </c>
      <c r="H184">
        <f>IFERROR(__xludf.DUMMYFUNCTION("""COMPUTED_VALUE"""),"Boss")</f>
        <v/>
      </c>
      <c r="I184">
        <f>IFERROR(__xludf.DUMMYFUNCTION("""COMPUTED_VALUE"""),"Technical")</f>
        <v/>
      </c>
      <c r="J184">
        <f>IFERROR(__xludf.DUMMYFUNCTION("""COMPUTED_VALUE"""),"Blue")</f>
        <v/>
      </c>
      <c r="K184">
        <f>IFERROR(__xludf.DUMMYFUNCTION("""COMPUTED_VALUE"""),100000.0)</f>
        <v/>
      </c>
      <c r="L184">
        <f>IFERROR(__xludf.DUMMYFUNCTION("""COMPUTED_VALUE"""),3.0)</f>
        <v/>
      </c>
      <c r="M184">
        <f>IFERROR(__xludf.DUMMYFUNCTION("""COMPUTED_VALUE"""),35.0)</f>
        <v/>
      </c>
      <c r="N184">
        <f>IFERROR(__xludf.DUMMYFUNCTION("""COMPUTED_VALUE"""),0.45)</f>
        <v/>
      </c>
      <c r="O184">
        <f>IFERROR(__xludf.DUMMYFUNCTION("""COMPUTED_VALUE"""),500.0)</f>
        <v/>
      </c>
      <c r="P184">
        <f>IFERROR(__xludf.DUMMYFUNCTION("""COMPUTED_VALUE"""),0.0)</f>
        <v/>
      </c>
      <c r="Q184">
        <f>IFERROR(__xludf.DUMMYFUNCTION("""COMPUTED_VALUE"""),0.47)</f>
        <v/>
      </c>
      <c r="R184">
        <f>IFERROR(__xludf.DUMMYFUNCTION("""COMPUTED_VALUE"""),1.0)</f>
        <v/>
      </c>
      <c r="S184">
        <f>IFERROR(__xludf.DUMMYFUNCTION("""COMPUTED_VALUE"""),100.0)</f>
        <v/>
      </c>
      <c r="T184">
        <f>IFERROR(__xludf.DUMMYFUNCTION("""COMPUTED_VALUE"""),"1.71")</f>
        <v/>
      </c>
      <c r="U184">
        <f>IFERROR(__xludf.DUMMYFUNCTION("""COMPUTED_VALUE"""),"stop有:1回目 0.93")</f>
        <v/>
      </c>
      <c r="V184">
        <f>IFERROR(__xludf.DUMMYFUNCTION("""COMPUTED_VALUE"""),90.0)</f>
        <v/>
      </c>
      <c r="W184">
        <f>IFERROR(__xludf.DUMMYFUNCTION("""COMPUTED_VALUE"""),"2.67")</f>
        <v/>
      </c>
      <c r="X184">
        <f>IFERROR(__xludf.DUMMYFUNCTION("""COMPUTED_VALUE"""),"stop有:1回目 1.53")</f>
        <v/>
      </c>
      <c r="Y184">
        <f>IFERROR(__xludf.DUMMYFUNCTION("""COMPUTED_VALUE"""),"自身のコマと前2コマまで100%の範囲ダメージ+10%の毒にする(10秒間)")</f>
        <v/>
      </c>
      <c r="Z184">
        <f>IFERROR(__xludf.DUMMYFUNCTION("""COMPUTED_VALUE"""),6.0)</f>
        <v/>
      </c>
      <c r="AB184">
        <f>IFERROR(__xludf.DUMMYFUNCTION("""COMPUTED_VALUE"""),"dageki_1")</f>
        <v/>
      </c>
    </row>
    <row r="185">
      <c r="B185">
        <f>IFERROR(__xludf.DUMMYFUNCTION("""COMPUTED_VALUE"""),"enemy_sur_00101")</f>
        <v/>
      </c>
      <c r="C185">
        <f>IFERROR(__xludf.DUMMYFUNCTION("""COMPUTED_VALUE"""),"_aobaget")</f>
        <v/>
      </c>
      <c r="D185">
        <f>IFERROR(__xludf.DUMMYFUNCTION("""COMPUTED_VALUE"""),"e_sur_00101_aobaget_Normal_Blue")</f>
        <v/>
      </c>
      <c r="E185">
        <f>IFERROR(__xludf.DUMMYFUNCTION("""COMPUTED_VALUE"""),"魔都精兵のスレイブ")</f>
        <v/>
      </c>
      <c r="F185">
        <f>IFERROR(__xludf.DUMMYFUNCTION("""COMPUTED_VALUE"""),"醜鬼")</f>
        <v/>
      </c>
      <c r="G185">
        <f>IFERROR(__xludf.DUMMYFUNCTION("""COMPUTED_VALUE"""),"醜鬼_aobaget")</f>
        <v/>
      </c>
      <c r="H185">
        <f>IFERROR(__xludf.DUMMYFUNCTION("""COMPUTED_VALUE"""),"Normal")</f>
        <v/>
      </c>
      <c r="I185">
        <f>IFERROR(__xludf.DUMMYFUNCTION("""COMPUTED_VALUE"""),"Technical")</f>
        <v/>
      </c>
      <c r="J185">
        <f>IFERROR(__xludf.DUMMYFUNCTION("""COMPUTED_VALUE"""),"Blue")</f>
        <v/>
      </c>
      <c r="K185">
        <f>IFERROR(__xludf.DUMMYFUNCTION("""COMPUTED_VALUE"""),1000.0)</f>
        <v/>
      </c>
      <c r="L185">
        <f>IFERROR(__xludf.DUMMYFUNCTION("""COMPUTED_VALUE"""),2.0)</f>
        <v/>
      </c>
      <c r="M185">
        <f>IFERROR(__xludf.DUMMYFUNCTION("""COMPUTED_VALUE"""),42.0)</f>
        <v/>
      </c>
      <c r="N185">
        <f>IFERROR(__xludf.DUMMYFUNCTION("""COMPUTED_VALUE"""),0.2)</f>
        <v/>
      </c>
      <c r="O185">
        <f>IFERROR(__xludf.DUMMYFUNCTION("""COMPUTED_VALUE"""),100.0)</f>
        <v/>
      </c>
      <c r="P185">
        <f>IFERROR(__xludf.DUMMYFUNCTION("""COMPUTED_VALUE"""),0.0)</f>
        <v/>
      </c>
      <c r="Q185">
        <f>IFERROR(__xludf.DUMMYFUNCTION("""COMPUTED_VALUE"""),0.25)</f>
        <v/>
      </c>
      <c r="R185">
        <f>IFERROR(__xludf.DUMMYFUNCTION("""COMPUTED_VALUE"""),1.0)</f>
        <v/>
      </c>
      <c r="S185">
        <f>IFERROR(__xludf.DUMMYFUNCTION("""COMPUTED_VALUE"""),100.0)</f>
        <v/>
      </c>
      <c r="T185">
        <f>IFERROR(__xludf.DUMMYFUNCTION("""COMPUTED_VALUE"""),"0.80")</f>
        <v/>
      </c>
      <c r="U185">
        <f>IFERROR(__xludf.DUMMYFUNCTION("""COMPUTED_VALUE"""),"0.30")</f>
        <v/>
      </c>
      <c r="W185">
        <f>IFERROR(__xludf.DUMMYFUNCTION("""COMPUTED_VALUE"""),"-")</f>
        <v/>
      </c>
      <c r="X185">
        <f>IFERROR(__xludf.DUMMYFUNCTION("""COMPUTED_VALUE"""),"-")</f>
        <v/>
      </c>
      <c r="Z185">
        <f>IFERROR(__xludf.DUMMYFUNCTION("""COMPUTED_VALUE"""),"-")</f>
        <v/>
      </c>
      <c r="AB185">
        <f>IFERROR(__xludf.DUMMYFUNCTION("""COMPUTED_VALUE"""),"dageki_1")</f>
        <v/>
      </c>
      <c r="AC185">
        <f>IFERROR(__xludf.DUMMYFUNCTION("""COMPUTED_VALUE"""),"攻撃時25%の確率で3%の毒(10秒間)")</f>
        <v/>
      </c>
    </row>
    <row r="186">
      <c r="B186">
        <f>IFERROR(__xludf.DUMMYFUNCTION("""COMPUTED_VALUE"""),"enemy_sur_00101")</f>
        <v/>
      </c>
      <c r="C186">
        <f>IFERROR(__xludf.DUMMYFUNCTION("""COMPUTED_VALUE"""),"_aobaget")</f>
        <v/>
      </c>
      <c r="D186">
        <f>IFERROR(__xludf.DUMMYFUNCTION("""COMPUTED_VALUE"""),"e_sur_00101_aobaget_Normal_Red")</f>
        <v/>
      </c>
      <c r="E186">
        <f>IFERROR(__xludf.DUMMYFUNCTION("""COMPUTED_VALUE"""),"魔都精兵のスレイブ")</f>
        <v/>
      </c>
      <c r="F186">
        <f>IFERROR(__xludf.DUMMYFUNCTION("""COMPUTED_VALUE"""),"醜鬼")</f>
        <v/>
      </c>
      <c r="G186">
        <f>IFERROR(__xludf.DUMMYFUNCTION("""COMPUTED_VALUE"""),"醜鬼_aobaget")</f>
        <v/>
      </c>
      <c r="H186">
        <f>IFERROR(__xludf.DUMMYFUNCTION("""COMPUTED_VALUE"""),"Normal")</f>
        <v/>
      </c>
      <c r="I186">
        <f>IFERROR(__xludf.DUMMYFUNCTION("""COMPUTED_VALUE"""),"Technical")</f>
        <v/>
      </c>
      <c r="J186">
        <f>IFERROR(__xludf.DUMMYFUNCTION("""COMPUTED_VALUE"""),"Red")</f>
        <v/>
      </c>
      <c r="K186">
        <f>IFERROR(__xludf.DUMMYFUNCTION("""COMPUTED_VALUE"""),1000.0)</f>
        <v/>
      </c>
      <c r="L186">
        <f>IFERROR(__xludf.DUMMYFUNCTION("""COMPUTED_VALUE"""),2.0)</f>
        <v/>
      </c>
      <c r="M186">
        <f>IFERROR(__xludf.DUMMYFUNCTION("""COMPUTED_VALUE"""),42.0)</f>
        <v/>
      </c>
      <c r="N186">
        <f>IFERROR(__xludf.DUMMYFUNCTION("""COMPUTED_VALUE"""),0.2)</f>
        <v/>
      </c>
      <c r="O186">
        <f>IFERROR(__xludf.DUMMYFUNCTION("""COMPUTED_VALUE"""),100.0)</f>
        <v/>
      </c>
      <c r="P186">
        <f>IFERROR(__xludf.DUMMYFUNCTION("""COMPUTED_VALUE"""),0.0)</f>
        <v/>
      </c>
      <c r="Q186">
        <f>IFERROR(__xludf.DUMMYFUNCTION("""COMPUTED_VALUE"""),0.25)</f>
        <v/>
      </c>
      <c r="R186">
        <f>IFERROR(__xludf.DUMMYFUNCTION("""COMPUTED_VALUE"""),1.0)</f>
        <v/>
      </c>
      <c r="S186">
        <f>IFERROR(__xludf.DUMMYFUNCTION("""COMPUTED_VALUE"""),100.0)</f>
        <v/>
      </c>
      <c r="T186">
        <f>IFERROR(__xludf.DUMMYFUNCTION("""COMPUTED_VALUE"""),"0.80")</f>
        <v/>
      </c>
      <c r="U186">
        <f>IFERROR(__xludf.DUMMYFUNCTION("""COMPUTED_VALUE"""),"0.30")</f>
        <v/>
      </c>
      <c r="W186">
        <f>IFERROR(__xludf.DUMMYFUNCTION("""COMPUTED_VALUE"""),"-")</f>
        <v/>
      </c>
      <c r="X186">
        <f>IFERROR(__xludf.DUMMYFUNCTION("""COMPUTED_VALUE"""),"-")</f>
        <v/>
      </c>
      <c r="Z186">
        <f>IFERROR(__xludf.DUMMYFUNCTION("""COMPUTED_VALUE"""),"-")</f>
        <v/>
      </c>
      <c r="AB186">
        <f>IFERROR(__xludf.DUMMYFUNCTION("""COMPUTED_VALUE"""),"dageki_1")</f>
        <v/>
      </c>
      <c r="AC186">
        <f>IFERROR(__xludf.DUMMYFUNCTION("""COMPUTED_VALUE"""),"攻撃時25%の確率で5%の毒(10秒間)")</f>
        <v/>
      </c>
    </row>
    <row r="187">
      <c r="B187">
        <f>IFERROR(__xludf.DUMMYFUNCTION("""COMPUTED_VALUE"""),"enemy_sur_00101")</f>
        <v/>
      </c>
      <c r="C187">
        <f>IFERROR(__xludf.DUMMYFUNCTION("""COMPUTED_VALUE"""),"_aobaget")</f>
        <v/>
      </c>
      <c r="D187">
        <f>IFERROR(__xludf.DUMMYFUNCTION("""COMPUTED_VALUE"""),"e_sur_00101_aobaget_Normal_Colorless")</f>
        <v/>
      </c>
      <c r="E187">
        <f>IFERROR(__xludf.DUMMYFUNCTION("""COMPUTED_VALUE"""),"魔都精兵のスレイブ")</f>
        <v/>
      </c>
      <c r="F187">
        <f>IFERROR(__xludf.DUMMYFUNCTION("""COMPUTED_VALUE"""),"醜鬼")</f>
        <v/>
      </c>
      <c r="G187">
        <f>IFERROR(__xludf.DUMMYFUNCTION("""COMPUTED_VALUE"""),"醜鬼_aobaget")</f>
        <v/>
      </c>
      <c r="H187">
        <f>IFERROR(__xludf.DUMMYFUNCTION("""COMPUTED_VALUE"""),"Normal")</f>
        <v/>
      </c>
      <c r="I187">
        <f>IFERROR(__xludf.DUMMYFUNCTION("""COMPUTED_VALUE"""),"Technical")</f>
        <v/>
      </c>
      <c r="J187">
        <f>IFERROR(__xludf.DUMMYFUNCTION("""COMPUTED_VALUE"""),"Colorless")</f>
        <v/>
      </c>
      <c r="K187">
        <f>IFERROR(__xludf.DUMMYFUNCTION("""COMPUTED_VALUE"""),1000.0)</f>
        <v/>
      </c>
      <c r="L187">
        <f>IFERROR(__xludf.DUMMYFUNCTION("""COMPUTED_VALUE"""),1.0)</f>
        <v/>
      </c>
      <c r="M187">
        <f>IFERROR(__xludf.DUMMYFUNCTION("""COMPUTED_VALUE"""),42.0)</f>
        <v/>
      </c>
      <c r="N187">
        <f>IFERROR(__xludf.DUMMYFUNCTION("""COMPUTED_VALUE"""),0.2)</f>
        <v/>
      </c>
      <c r="O187">
        <f>IFERROR(__xludf.DUMMYFUNCTION("""COMPUTED_VALUE"""),100.0)</f>
        <v/>
      </c>
      <c r="P187">
        <f>IFERROR(__xludf.DUMMYFUNCTION("""COMPUTED_VALUE"""),0.0)</f>
        <v/>
      </c>
      <c r="Q187">
        <f>IFERROR(__xludf.DUMMYFUNCTION("""COMPUTED_VALUE"""),0.25)</f>
        <v/>
      </c>
      <c r="R187">
        <f>IFERROR(__xludf.DUMMYFUNCTION("""COMPUTED_VALUE"""),1.0)</f>
        <v/>
      </c>
      <c r="S187">
        <f>IFERROR(__xludf.DUMMYFUNCTION("""COMPUTED_VALUE"""),100.0)</f>
        <v/>
      </c>
      <c r="T187">
        <f>IFERROR(__xludf.DUMMYFUNCTION("""COMPUTED_VALUE"""),"0.80")</f>
        <v/>
      </c>
      <c r="U187">
        <f>IFERROR(__xludf.DUMMYFUNCTION("""COMPUTED_VALUE"""),"0.30")</f>
        <v/>
      </c>
      <c r="W187">
        <f>IFERROR(__xludf.DUMMYFUNCTION("""COMPUTED_VALUE"""),"-")</f>
        <v/>
      </c>
      <c r="X187">
        <f>IFERROR(__xludf.DUMMYFUNCTION("""COMPUTED_VALUE"""),"-")</f>
        <v/>
      </c>
      <c r="Z187">
        <f>IFERROR(__xludf.DUMMYFUNCTION("""COMPUTED_VALUE"""),"-")</f>
        <v/>
      </c>
      <c r="AB187">
        <f>IFERROR(__xludf.DUMMYFUNCTION("""COMPUTED_VALUE"""),"dageki_1")</f>
        <v/>
      </c>
      <c r="AC187">
        <f>IFERROR(__xludf.DUMMYFUNCTION("""COMPUTED_VALUE"""),"攻撃時100%の確率で8%の毒(10秒間)")</f>
        <v/>
      </c>
    </row>
    <row r="188">
      <c r="B188">
        <f>IFERROR(__xludf.DUMMYFUNCTION("""COMPUTED_VALUE"""),"chara_sur_00701")</f>
        <v/>
      </c>
      <c r="C188">
        <f>IFERROR(__xludf.DUMMYFUNCTION("""COMPUTED_VALUE"""),"_aobaget")</f>
        <v/>
      </c>
      <c r="D188">
        <f>IFERROR(__xludf.DUMMYFUNCTION("""COMPUTED_VALUE"""),"c_sur_00701_aobaget_Normal_Colorless")</f>
        <v/>
      </c>
      <c r="E188">
        <f>IFERROR(__xludf.DUMMYFUNCTION("""COMPUTED_VALUE"""),"魔都精兵のスレイブ")</f>
        <v/>
      </c>
      <c r="F188">
        <f>IFERROR(__xludf.DUMMYFUNCTION("""COMPUTED_VALUE"""),"和倉 青羽")</f>
        <v/>
      </c>
      <c r="G188">
        <f>IFERROR(__xludf.DUMMYFUNCTION("""COMPUTED_VALUE"""),"和倉 青羽_aobaget")</f>
        <v/>
      </c>
      <c r="H188">
        <f>IFERROR(__xludf.DUMMYFUNCTION("""COMPUTED_VALUE"""),"Normal")</f>
        <v/>
      </c>
      <c r="I188">
        <f>IFERROR(__xludf.DUMMYFUNCTION("""COMPUTED_VALUE"""),"Attack")</f>
        <v/>
      </c>
      <c r="J188">
        <f>IFERROR(__xludf.DUMMYFUNCTION("""COMPUTED_VALUE"""),"Colorless")</f>
        <v/>
      </c>
      <c r="K188">
        <f>IFERROR(__xludf.DUMMYFUNCTION("""COMPUTED_VALUE"""),1000.0)</f>
        <v/>
      </c>
      <c r="L188">
        <f>IFERROR(__xludf.DUMMYFUNCTION("""COMPUTED_VALUE"""),3.0)</f>
        <v/>
      </c>
      <c r="M188">
        <f>IFERROR(__xludf.DUMMYFUNCTION("""COMPUTED_VALUE"""),45.0)</f>
        <v/>
      </c>
      <c r="N188">
        <f>IFERROR(__xludf.DUMMYFUNCTION("""COMPUTED_VALUE"""),0.24)</f>
        <v/>
      </c>
      <c r="O188">
        <f>IFERROR(__xludf.DUMMYFUNCTION("""COMPUTED_VALUE"""),100.0)</f>
        <v/>
      </c>
      <c r="P188">
        <f>IFERROR(__xludf.DUMMYFUNCTION("""COMPUTED_VALUE"""),0.0)</f>
        <v/>
      </c>
      <c r="Q188">
        <f>IFERROR(__xludf.DUMMYFUNCTION("""COMPUTED_VALUE"""),0.27)</f>
        <v/>
      </c>
      <c r="R188">
        <f>IFERROR(__xludf.DUMMYFUNCTION("""COMPUTED_VALUE"""),1.0)</f>
        <v/>
      </c>
      <c r="S188">
        <f>IFERROR(__xludf.DUMMYFUNCTION("""COMPUTED_VALUE"""),100.0)</f>
        <v/>
      </c>
      <c r="T188">
        <f>IFERROR(__xludf.DUMMYFUNCTION("""COMPUTED_VALUE"""),"1.07")</f>
        <v/>
      </c>
      <c r="U188">
        <f>IFERROR(__xludf.DUMMYFUNCTION("""COMPUTED_VALUE"""),"0.28")</f>
        <v/>
      </c>
      <c r="W188">
        <f>IFERROR(__xludf.DUMMYFUNCTION("""COMPUTED_VALUE"""),"2.01")</f>
        <v/>
      </c>
      <c r="X188">
        <f>IFERROR(__xludf.DUMMYFUNCTION("""COMPUTED_VALUE"""),"stop無:1回目 0.67
stop無:2回目 0.84
stop無:3回目 1
stop有:4回目 1.25")</f>
        <v/>
      </c>
      <c r="Z188">
        <f>IFERROR(__xludf.DUMMYFUNCTION("""COMPUTED_VALUE"""),4.0)</f>
        <v/>
      </c>
      <c r="AB188">
        <f>IFERROR(__xludf.DUMMYFUNCTION("""COMPUTED_VALUE"""),"dageki_1")</f>
        <v/>
      </c>
      <c r="AD188">
        <f>IFERROR(__xludf.DUMMYFUNCTION("""COMPUTED_VALUE"""),"図鑑は「enemy_sur_00001」に紐付け")</f>
        <v/>
      </c>
    </row>
    <row r="189">
      <c r="B189">
        <f>IFERROR(__xludf.DUMMYFUNCTION("""COMPUTED_VALUE"""),"chara_sur_00701")</f>
        <v/>
      </c>
      <c r="C189">
        <f>IFERROR(__xludf.DUMMYFUNCTION("""COMPUTED_VALUE"""),"_aobaget")</f>
        <v/>
      </c>
      <c r="D189">
        <f>IFERROR(__xludf.DUMMYFUNCTION("""COMPUTED_VALUE"""),"c_sur_00701_aobaget_Normal_Blue")</f>
        <v/>
      </c>
      <c r="E189">
        <f>IFERROR(__xludf.DUMMYFUNCTION("""COMPUTED_VALUE"""),"魔都精兵のスレイブ")</f>
        <v/>
      </c>
      <c r="F189">
        <f>IFERROR(__xludf.DUMMYFUNCTION("""COMPUTED_VALUE"""),"和倉 青羽")</f>
        <v/>
      </c>
      <c r="G189">
        <f>IFERROR(__xludf.DUMMYFUNCTION("""COMPUTED_VALUE"""),"和倉 青羽_aobaget")</f>
        <v/>
      </c>
      <c r="H189">
        <f>IFERROR(__xludf.DUMMYFUNCTION("""COMPUTED_VALUE"""),"Normal")</f>
        <v/>
      </c>
      <c r="I189">
        <f>IFERROR(__xludf.DUMMYFUNCTION("""COMPUTED_VALUE"""),"Attack")</f>
        <v/>
      </c>
      <c r="J189">
        <f>IFERROR(__xludf.DUMMYFUNCTION("""COMPUTED_VALUE"""),"Blue")</f>
        <v/>
      </c>
      <c r="K189">
        <f>IFERROR(__xludf.DUMMYFUNCTION("""COMPUTED_VALUE"""),1000.0)</f>
        <v/>
      </c>
      <c r="L189">
        <f>IFERROR(__xludf.DUMMYFUNCTION("""COMPUTED_VALUE"""),3.0)</f>
        <v/>
      </c>
      <c r="M189">
        <f>IFERROR(__xludf.DUMMYFUNCTION("""COMPUTED_VALUE"""),45.0)</f>
        <v/>
      </c>
      <c r="N189">
        <f>IFERROR(__xludf.DUMMYFUNCTION("""COMPUTED_VALUE"""),0.24)</f>
        <v/>
      </c>
      <c r="O189">
        <f>IFERROR(__xludf.DUMMYFUNCTION("""COMPUTED_VALUE"""),100.0)</f>
        <v/>
      </c>
      <c r="P189">
        <f>IFERROR(__xludf.DUMMYFUNCTION("""COMPUTED_VALUE"""),0.0)</f>
        <v/>
      </c>
      <c r="Q189">
        <f>IFERROR(__xludf.DUMMYFUNCTION("""COMPUTED_VALUE"""),0.27)</f>
        <v/>
      </c>
      <c r="R189">
        <f>IFERROR(__xludf.DUMMYFUNCTION("""COMPUTED_VALUE"""),1.0)</f>
        <v/>
      </c>
      <c r="S189">
        <f>IFERROR(__xludf.DUMMYFUNCTION("""COMPUTED_VALUE"""),100.0)</f>
        <v/>
      </c>
      <c r="T189">
        <f>IFERROR(__xludf.DUMMYFUNCTION("""COMPUTED_VALUE"""),"1.07")</f>
        <v/>
      </c>
      <c r="U189">
        <f>IFERROR(__xludf.DUMMYFUNCTION("""COMPUTED_VALUE"""),"0.28")</f>
        <v/>
      </c>
      <c r="W189">
        <f>IFERROR(__xludf.DUMMYFUNCTION("""COMPUTED_VALUE"""),"2.01")</f>
        <v/>
      </c>
      <c r="X189">
        <f>IFERROR(__xludf.DUMMYFUNCTION("""COMPUTED_VALUE"""),"stop無:1回目 0.67
stop無:2回目 0.84
stop無:3回目 1
stop有:4回目 1.25")</f>
        <v/>
      </c>
      <c r="Z189">
        <f>IFERROR(__xludf.DUMMYFUNCTION("""COMPUTED_VALUE"""),4.0)</f>
        <v/>
      </c>
      <c r="AB189">
        <f>IFERROR(__xludf.DUMMYFUNCTION("""COMPUTED_VALUE"""),"dageki_1")</f>
        <v/>
      </c>
      <c r="AD189">
        <f>IFERROR(__xludf.DUMMYFUNCTION("""COMPUTED_VALUE"""),"図鑑は「enemy_sur_00001」に紐付け")</f>
        <v/>
      </c>
    </row>
    <row r="190">
      <c r="B190">
        <f>IFERROR(__xludf.DUMMYFUNCTION("""COMPUTED_VALUE"""),"chara_sur_00701")</f>
        <v/>
      </c>
      <c r="C190">
        <f>IFERROR(__xludf.DUMMYFUNCTION("""COMPUTED_VALUE"""),"_aobaget")</f>
        <v/>
      </c>
      <c r="D190">
        <f>IFERROR(__xludf.DUMMYFUNCTION("""COMPUTED_VALUE"""),"c_sur_00701_aobaget_Boss_Colorless")</f>
        <v/>
      </c>
      <c r="E190">
        <f>IFERROR(__xludf.DUMMYFUNCTION("""COMPUTED_VALUE"""),"魔都精兵のスレイブ")</f>
        <v/>
      </c>
      <c r="F190">
        <f>IFERROR(__xludf.DUMMYFUNCTION("""COMPUTED_VALUE"""),"和倉 青羽")</f>
        <v/>
      </c>
      <c r="G190">
        <f>IFERROR(__xludf.DUMMYFUNCTION("""COMPUTED_VALUE"""),"和倉 青羽_aobaget")</f>
        <v/>
      </c>
      <c r="H190">
        <f>IFERROR(__xludf.DUMMYFUNCTION("""COMPUTED_VALUE"""),"Boss")</f>
        <v/>
      </c>
      <c r="I190">
        <f>IFERROR(__xludf.DUMMYFUNCTION("""COMPUTED_VALUE"""),"Attack")</f>
        <v/>
      </c>
      <c r="J190">
        <f>IFERROR(__xludf.DUMMYFUNCTION("""COMPUTED_VALUE"""),"Colorless")</f>
        <v/>
      </c>
      <c r="K190">
        <f>IFERROR(__xludf.DUMMYFUNCTION("""COMPUTED_VALUE"""),10000.0)</f>
        <v/>
      </c>
      <c r="L190">
        <f>IFERROR(__xludf.DUMMYFUNCTION("""COMPUTED_VALUE"""),3.0)</f>
        <v/>
      </c>
      <c r="M190">
        <f>IFERROR(__xludf.DUMMYFUNCTION("""COMPUTED_VALUE"""),45.0)</f>
        <v/>
      </c>
      <c r="N190">
        <f>IFERROR(__xludf.DUMMYFUNCTION("""COMPUTED_VALUE"""),0.24)</f>
        <v/>
      </c>
      <c r="O190">
        <f>IFERROR(__xludf.DUMMYFUNCTION("""COMPUTED_VALUE"""),100.0)</f>
        <v/>
      </c>
      <c r="P190">
        <f>IFERROR(__xludf.DUMMYFUNCTION("""COMPUTED_VALUE"""),0.0)</f>
        <v/>
      </c>
      <c r="Q190">
        <f>IFERROR(__xludf.DUMMYFUNCTION("""COMPUTED_VALUE"""),0.27)</f>
        <v/>
      </c>
      <c r="R190">
        <f>IFERROR(__xludf.DUMMYFUNCTION("""COMPUTED_VALUE"""),1.0)</f>
        <v/>
      </c>
      <c r="S190">
        <f>IFERROR(__xludf.DUMMYFUNCTION("""COMPUTED_VALUE"""),500.0)</f>
        <v/>
      </c>
      <c r="T190">
        <f>IFERROR(__xludf.DUMMYFUNCTION("""COMPUTED_VALUE"""),"1.07")</f>
        <v/>
      </c>
      <c r="U190">
        <f>IFERROR(__xludf.DUMMYFUNCTION("""COMPUTED_VALUE"""),"0.28")</f>
        <v/>
      </c>
      <c r="W190">
        <f>IFERROR(__xludf.DUMMYFUNCTION("""COMPUTED_VALUE"""),"2.01")</f>
        <v/>
      </c>
      <c r="X190">
        <f>IFERROR(__xludf.DUMMYFUNCTION("""COMPUTED_VALUE"""),"stop無:1回目 0.67
stop無:2回目 0.84
stop無:3回目 1
stop有:4回目 1.25")</f>
        <v/>
      </c>
      <c r="Z190">
        <f>IFERROR(__xludf.DUMMYFUNCTION("""COMPUTED_VALUE"""),5.0)</f>
        <v/>
      </c>
      <c r="AB190">
        <f>IFERROR(__xludf.DUMMYFUNCTION("""COMPUTED_VALUE"""),"dageki_1")</f>
        <v/>
      </c>
      <c r="AD190">
        <f>IFERROR(__xludf.DUMMYFUNCTION("""COMPUTED_VALUE"""),"図鑑は「enemy_sur_00001」に紐付け")</f>
        <v/>
      </c>
    </row>
    <row r="191">
      <c r="B191">
        <f>IFERROR(__xludf.DUMMYFUNCTION("""COMPUTED_VALUE"""),"chara_sur_00101")</f>
        <v/>
      </c>
      <c r="C191">
        <f>IFERROR(__xludf.DUMMYFUNCTION("""COMPUTED_VALUE"""),"_aobaget")</f>
        <v/>
      </c>
      <c r="D191">
        <f>IFERROR(__xludf.DUMMYFUNCTION("""COMPUTED_VALUE"""),"c_sur_00101_aobaget_Normal_Red")</f>
        <v/>
      </c>
      <c r="E191">
        <f>IFERROR(__xludf.DUMMYFUNCTION("""COMPUTED_VALUE"""),"魔都精兵のスレイブ")</f>
        <v/>
      </c>
      <c r="F191">
        <f>IFERROR(__xludf.DUMMYFUNCTION("""COMPUTED_VALUE"""),"誇り高き魔都の剣姫 羽前 京香")</f>
        <v/>
      </c>
      <c r="G191">
        <f>IFERROR(__xludf.DUMMYFUNCTION("""COMPUTED_VALUE"""),"誇り高き魔都の剣姫 羽前京香_aobaget")</f>
        <v/>
      </c>
      <c r="H191">
        <f>IFERROR(__xludf.DUMMYFUNCTION("""COMPUTED_VALUE"""),"Normal")</f>
        <v/>
      </c>
      <c r="I191">
        <f>IFERROR(__xludf.DUMMYFUNCTION("""COMPUTED_VALUE"""),"Attack")</f>
        <v/>
      </c>
      <c r="J191">
        <f>IFERROR(__xludf.DUMMYFUNCTION("""COMPUTED_VALUE"""),"Red")</f>
        <v/>
      </c>
      <c r="K191">
        <f>IFERROR(__xludf.DUMMYFUNCTION("""COMPUTED_VALUE"""),1000.0)</f>
        <v/>
      </c>
      <c r="L191">
        <f>IFERROR(__xludf.DUMMYFUNCTION("""COMPUTED_VALUE"""),1.0)</f>
        <v/>
      </c>
      <c r="M191">
        <f>IFERROR(__xludf.DUMMYFUNCTION("""COMPUTED_VALUE"""),45.0)</f>
        <v/>
      </c>
      <c r="N191">
        <f>IFERROR(__xludf.DUMMYFUNCTION("""COMPUTED_VALUE"""),0.2)</f>
        <v/>
      </c>
      <c r="O191">
        <f>IFERROR(__xludf.DUMMYFUNCTION("""COMPUTED_VALUE"""),100.0)</f>
        <v/>
      </c>
      <c r="P191">
        <f>IFERROR(__xludf.DUMMYFUNCTION("""COMPUTED_VALUE"""),0.0)</f>
        <v/>
      </c>
      <c r="Q191">
        <f>IFERROR(__xludf.DUMMYFUNCTION("""COMPUTED_VALUE"""),0.27)</f>
        <v/>
      </c>
      <c r="R191">
        <f>IFERROR(__xludf.DUMMYFUNCTION("""COMPUTED_VALUE"""),1.0)</f>
        <v/>
      </c>
      <c r="S191">
        <f>IFERROR(__xludf.DUMMYFUNCTION("""COMPUTED_VALUE"""),100.0)</f>
        <v/>
      </c>
      <c r="T191">
        <f>IFERROR(__xludf.DUMMYFUNCTION("""COMPUTED_VALUE"""),"1.40")</f>
        <v/>
      </c>
      <c r="U191">
        <f>IFERROR(__xludf.DUMMYFUNCTION("""COMPUTED_VALUE"""),"stop無:1回目 0.33")</f>
        <v/>
      </c>
      <c r="W191">
        <f>IFERROR(__xludf.DUMMYFUNCTION("""COMPUTED_VALUE"""),"2.67")</f>
        <v/>
      </c>
      <c r="X191">
        <f>IFERROR(__xludf.DUMMYFUNCTION("""COMPUTED_VALUE"""),"stop無:1回目 0.40
stop無:2回目 0.60
stop無:3回目 0.80
stop無:4回目 0.90
stop無:5回目 1.03
stop有:6回目 1.57")</f>
        <v/>
      </c>
      <c r="Z191">
        <f>IFERROR(__xludf.DUMMYFUNCTION("""COMPUTED_VALUE"""),4.0)</f>
        <v/>
      </c>
      <c r="AB191">
        <f>IFERROR(__xludf.DUMMYFUNCTION("""COMPUTED_VALUE"""),"zangeki_1")</f>
        <v/>
      </c>
    </row>
    <row r="192">
      <c r="B192">
        <f>IFERROR(__xludf.DUMMYFUNCTION("""COMPUTED_VALUE"""),"chara_sur_00101")</f>
        <v/>
      </c>
      <c r="C192">
        <f>IFERROR(__xludf.DUMMYFUNCTION("""COMPUTED_VALUE"""),"_aobaget")</f>
        <v/>
      </c>
      <c r="D192">
        <f>IFERROR(__xludf.DUMMYFUNCTION("""COMPUTED_VALUE"""),"c_sur_00101_aobaget_Boss_Red")</f>
        <v/>
      </c>
      <c r="E192">
        <f>IFERROR(__xludf.DUMMYFUNCTION("""COMPUTED_VALUE"""),"魔都精兵のスレイブ")</f>
        <v/>
      </c>
      <c r="F192">
        <f>IFERROR(__xludf.DUMMYFUNCTION("""COMPUTED_VALUE"""),"誇り高き魔都の剣姫 羽前 京香")</f>
        <v/>
      </c>
      <c r="G192">
        <f>IFERROR(__xludf.DUMMYFUNCTION("""COMPUTED_VALUE"""),"誇り高き魔都の剣姫 羽前京香_aobaget")</f>
        <v/>
      </c>
      <c r="H192">
        <f>IFERROR(__xludf.DUMMYFUNCTION("""COMPUTED_VALUE"""),"Boss")</f>
        <v/>
      </c>
      <c r="I192">
        <f>IFERROR(__xludf.DUMMYFUNCTION("""COMPUTED_VALUE"""),"Attack")</f>
        <v/>
      </c>
      <c r="J192">
        <f>IFERROR(__xludf.DUMMYFUNCTION("""COMPUTED_VALUE"""),"Red")</f>
        <v/>
      </c>
      <c r="K192">
        <f>IFERROR(__xludf.DUMMYFUNCTION("""COMPUTED_VALUE"""),10000.0)</f>
        <v/>
      </c>
      <c r="L192">
        <f>IFERROR(__xludf.DUMMYFUNCTION("""COMPUTED_VALUE"""),2.0)</f>
        <v/>
      </c>
      <c r="M192">
        <f>IFERROR(__xludf.DUMMYFUNCTION("""COMPUTED_VALUE"""),45.0)</f>
        <v/>
      </c>
      <c r="N192">
        <f>IFERROR(__xludf.DUMMYFUNCTION("""COMPUTED_VALUE"""),0.2)</f>
        <v/>
      </c>
      <c r="O192">
        <f>IFERROR(__xludf.DUMMYFUNCTION("""COMPUTED_VALUE"""),100.0)</f>
        <v/>
      </c>
      <c r="P192">
        <f>IFERROR(__xludf.DUMMYFUNCTION("""COMPUTED_VALUE"""),0.0)</f>
        <v/>
      </c>
      <c r="Q192">
        <f>IFERROR(__xludf.DUMMYFUNCTION("""COMPUTED_VALUE"""),0.27)</f>
        <v/>
      </c>
      <c r="R192">
        <f>IFERROR(__xludf.DUMMYFUNCTION("""COMPUTED_VALUE"""),1.0)</f>
        <v/>
      </c>
      <c r="S192">
        <f>IFERROR(__xludf.DUMMYFUNCTION("""COMPUTED_VALUE"""),500.0)</f>
        <v/>
      </c>
      <c r="T192">
        <f>IFERROR(__xludf.DUMMYFUNCTION("""COMPUTED_VALUE"""),"1.40")</f>
        <v/>
      </c>
      <c r="U192">
        <f>IFERROR(__xludf.DUMMYFUNCTION("""COMPUTED_VALUE"""),"stop無:1回目 0.33")</f>
        <v/>
      </c>
      <c r="W192">
        <f>IFERROR(__xludf.DUMMYFUNCTION("""COMPUTED_VALUE"""),"2.67")</f>
        <v/>
      </c>
      <c r="X192">
        <f>IFERROR(__xludf.DUMMYFUNCTION("""COMPUTED_VALUE"""),"stop無:1回目 0.40
stop無:2回目 0.60
stop無:3回目 0.80
stop無:4回目 0.90
stop無:5回目 1.03
stop有:6回目 1.57")</f>
        <v/>
      </c>
      <c r="Z192">
        <f>IFERROR(__xludf.DUMMYFUNCTION("""COMPUTED_VALUE"""),4.0)</f>
        <v/>
      </c>
      <c r="AB192">
        <f>IFERROR(__xludf.DUMMYFUNCTION("""COMPUTED_VALUE"""),"zangeki_1")</f>
        <v/>
      </c>
    </row>
    <row r="193">
      <c r="B193">
        <f>IFERROR(__xludf.DUMMYFUNCTION("""COMPUTED_VALUE"""),"chara_sur_00201")</f>
        <v/>
      </c>
      <c r="C193">
        <f>IFERROR(__xludf.DUMMYFUNCTION("""COMPUTED_VALUE"""),"_aobaget")</f>
        <v/>
      </c>
      <c r="D193">
        <f>IFERROR(__xludf.DUMMYFUNCTION("""COMPUTED_VALUE"""),"c_sur_00201_aobaget_Normal_Red")</f>
        <v/>
      </c>
      <c r="E193">
        <f>IFERROR(__xludf.DUMMYFUNCTION("""COMPUTED_VALUE"""),"魔都精兵のスレイブ")</f>
        <v/>
      </c>
      <c r="F193">
        <f>IFERROR(__xludf.DUMMYFUNCTION("""COMPUTED_VALUE"""),"東 日万凛")</f>
        <v/>
      </c>
      <c r="G193">
        <f>IFERROR(__xludf.DUMMYFUNCTION("""COMPUTED_VALUE"""),"東 日万凛_aobaget")</f>
        <v/>
      </c>
      <c r="H193">
        <f>IFERROR(__xludf.DUMMYFUNCTION("""COMPUTED_VALUE"""),"Normal")</f>
        <v/>
      </c>
      <c r="I193">
        <f>IFERROR(__xludf.DUMMYFUNCTION("""COMPUTED_VALUE"""),"Attack")</f>
        <v/>
      </c>
      <c r="J193">
        <f>IFERROR(__xludf.DUMMYFUNCTION("""COMPUTED_VALUE"""),"Red")</f>
        <v/>
      </c>
      <c r="K193">
        <f>IFERROR(__xludf.DUMMYFUNCTION("""COMPUTED_VALUE"""),1000.0)</f>
        <v/>
      </c>
      <c r="L193">
        <f>IFERROR(__xludf.DUMMYFUNCTION("""COMPUTED_VALUE"""),2.0)</f>
        <v/>
      </c>
      <c r="M193">
        <f>IFERROR(__xludf.DUMMYFUNCTION("""COMPUTED_VALUE"""),35.0)</f>
        <v/>
      </c>
      <c r="N193">
        <f>IFERROR(__xludf.DUMMYFUNCTION("""COMPUTED_VALUE"""),0.11)</f>
        <v/>
      </c>
      <c r="O193">
        <f>IFERROR(__xludf.DUMMYFUNCTION("""COMPUTED_VALUE"""),100.0)</f>
        <v/>
      </c>
      <c r="P193">
        <f>IFERROR(__xludf.DUMMYFUNCTION("""COMPUTED_VALUE"""),0.0)</f>
        <v/>
      </c>
      <c r="Q193">
        <f>IFERROR(__xludf.DUMMYFUNCTION("""COMPUTED_VALUE"""),0.25)</f>
        <v/>
      </c>
      <c r="R193">
        <f>IFERROR(__xludf.DUMMYFUNCTION("""COMPUTED_VALUE"""),1.0)</f>
        <v/>
      </c>
      <c r="S193">
        <f>IFERROR(__xludf.DUMMYFUNCTION("""COMPUTED_VALUE"""),100.0)</f>
        <v/>
      </c>
      <c r="T193">
        <f>IFERROR(__xludf.DUMMYFUNCTION("""COMPUTED_VALUE"""),"1.47")</f>
        <v/>
      </c>
      <c r="U193">
        <f>IFERROR(__xludf.DUMMYFUNCTION("""COMPUTED_VALUE"""),"stop無:1回目 0.37")</f>
        <v/>
      </c>
      <c r="W193">
        <f>IFERROR(__xludf.DUMMYFUNCTION("""COMPUTED_VALUE"""),"2.67")</f>
        <v/>
      </c>
      <c r="X193">
        <f>IFERROR(__xludf.DUMMYFUNCTION("""COMPUTED_VALUE"""),"stop無:1回目 0.74
stop無:2回目 0.92
stop無:3回目 1.1
stop無:4回目 1.28
stop無:5回目 1.45
stop無:6回目 1.65
stop有:7回目 1.84")</f>
        <v/>
      </c>
      <c r="Z193">
        <f>IFERROR(__xludf.DUMMYFUNCTION("""COMPUTED_VALUE"""),4.0)</f>
        <v/>
      </c>
      <c r="AB193">
        <f>IFERROR(__xludf.DUMMYFUNCTION("""COMPUTED_VALUE"""),"shageki_1")</f>
        <v/>
      </c>
    </row>
    <row r="194">
      <c r="B194">
        <f>IFERROR(__xludf.DUMMYFUNCTION("""COMPUTED_VALUE"""),"chara_sur_00201")</f>
        <v/>
      </c>
      <c r="C194">
        <f>IFERROR(__xludf.DUMMYFUNCTION("""COMPUTED_VALUE"""),"_aobaget")</f>
        <v/>
      </c>
      <c r="D194">
        <f>IFERROR(__xludf.DUMMYFUNCTION("""COMPUTED_VALUE"""),"c_sur_00201_aobaget_Boss_Red")</f>
        <v/>
      </c>
      <c r="E194">
        <f>IFERROR(__xludf.DUMMYFUNCTION("""COMPUTED_VALUE"""),"魔都精兵のスレイブ")</f>
        <v/>
      </c>
      <c r="F194">
        <f>IFERROR(__xludf.DUMMYFUNCTION("""COMPUTED_VALUE"""),"東 日万凛")</f>
        <v/>
      </c>
      <c r="G194">
        <f>IFERROR(__xludf.DUMMYFUNCTION("""COMPUTED_VALUE"""),"東 日万凛_aobaget")</f>
        <v/>
      </c>
      <c r="H194">
        <f>IFERROR(__xludf.DUMMYFUNCTION("""COMPUTED_VALUE"""),"Boss")</f>
        <v/>
      </c>
      <c r="I194">
        <f>IFERROR(__xludf.DUMMYFUNCTION("""COMPUTED_VALUE"""),"Technical")</f>
        <v/>
      </c>
      <c r="J194">
        <f>IFERROR(__xludf.DUMMYFUNCTION("""COMPUTED_VALUE"""),"Red")</f>
        <v/>
      </c>
      <c r="K194">
        <f>IFERROR(__xludf.DUMMYFUNCTION("""COMPUTED_VALUE"""),10000.0)</f>
        <v/>
      </c>
      <c r="L194">
        <f>IFERROR(__xludf.DUMMYFUNCTION("""COMPUTED_VALUE"""),2.0)</f>
        <v/>
      </c>
      <c r="M194">
        <f>IFERROR(__xludf.DUMMYFUNCTION("""COMPUTED_VALUE"""),25.0)</f>
        <v/>
      </c>
      <c r="N194">
        <f>IFERROR(__xludf.DUMMYFUNCTION("""COMPUTED_VALUE"""),0.11)</f>
        <v/>
      </c>
      <c r="O194">
        <f>IFERROR(__xludf.DUMMYFUNCTION("""COMPUTED_VALUE"""),100.0)</f>
        <v/>
      </c>
      <c r="P194">
        <f>IFERROR(__xludf.DUMMYFUNCTION("""COMPUTED_VALUE"""),0.0)</f>
        <v/>
      </c>
      <c r="Q194">
        <f>IFERROR(__xludf.DUMMYFUNCTION("""COMPUTED_VALUE"""),0.25)</f>
        <v/>
      </c>
      <c r="R194">
        <f>IFERROR(__xludf.DUMMYFUNCTION("""COMPUTED_VALUE"""),1.0)</f>
        <v/>
      </c>
      <c r="S194">
        <f>IFERROR(__xludf.DUMMYFUNCTION("""COMPUTED_VALUE"""),500.0)</f>
        <v/>
      </c>
      <c r="T194">
        <f>IFERROR(__xludf.DUMMYFUNCTION("""COMPUTED_VALUE"""),"1.47")</f>
        <v/>
      </c>
      <c r="U194">
        <f>IFERROR(__xludf.DUMMYFUNCTION("""COMPUTED_VALUE"""),"stop無:1回目 0.37")</f>
        <v/>
      </c>
      <c r="W194">
        <f>IFERROR(__xludf.DUMMYFUNCTION("""COMPUTED_VALUE"""),"2.67")</f>
        <v/>
      </c>
      <c r="X194">
        <f>IFERROR(__xludf.DUMMYFUNCTION("""COMPUTED_VALUE"""),"stop無:1回目 0.74
stop無:2回目 0.92
stop無:3回目 1.1
stop無:4回目 1.28
stop無:5回目 1.45
stop無:6回目 1.65
stop有:7回目 1.84")</f>
        <v/>
      </c>
      <c r="Y194">
        <f>IFERROR(__xludf.DUMMYFUNCTION("""COMPUTED_VALUE"""),"7回目で小ノックバック")</f>
        <v/>
      </c>
      <c r="Z194">
        <f>IFERROR(__xludf.DUMMYFUNCTION("""COMPUTED_VALUE"""),6.0)</f>
        <v/>
      </c>
      <c r="AB194">
        <f>IFERROR(__xludf.DUMMYFUNCTION("""COMPUTED_VALUE"""),"shageki_1")</f>
        <v/>
      </c>
    </row>
    <row r="195">
      <c r="B195">
        <f>IFERROR(__xludf.DUMMYFUNCTION("""COMPUTED_VALUE"""),"chara_sur_00601")</f>
        <v/>
      </c>
      <c r="C195">
        <f>IFERROR(__xludf.DUMMYFUNCTION("""COMPUTED_VALUE"""),"_aobaget")</f>
        <v/>
      </c>
      <c r="D195">
        <f>IFERROR(__xludf.DUMMYFUNCTION("""COMPUTED_VALUE"""),"c_sur_00601_aobaget_Normal_Red")</f>
        <v/>
      </c>
      <c r="E195">
        <f>IFERROR(__xludf.DUMMYFUNCTION("""COMPUTED_VALUE"""),"魔都精兵のスレイブ")</f>
        <v/>
      </c>
      <c r="F195">
        <f>IFERROR(__xludf.DUMMYFUNCTION("""COMPUTED_VALUE"""),"東 八千穂")</f>
        <v/>
      </c>
      <c r="G195">
        <f>IFERROR(__xludf.DUMMYFUNCTION("""COMPUTED_VALUE"""),"東 八千穂_aobaget")</f>
        <v/>
      </c>
      <c r="H195">
        <f>IFERROR(__xludf.DUMMYFUNCTION("""COMPUTED_VALUE"""),"Normal")</f>
        <v/>
      </c>
      <c r="I195">
        <f>IFERROR(__xludf.DUMMYFUNCTION("""COMPUTED_VALUE"""),"Technical")</f>
        <v/>
      </c>
      <c r="J195">
        <f>IFERROR(__xludf.DUMMYFUNCTION("""COMPUTED_VALUE"""),"Red")</f>
        <v/>
      </c>
      <c r="K195">
        <f>IFERROR(__xludf.DUMMYFUNCTION("""COMPUTED_VALUE"""),1000.0)</f>
        <v/>
      </c>
      <c r="L195">
        <f>IFERROR(__xludf.DUMMYFUNCTION("""COMPUTED_VALUE"""),4.0)</f>
        <v/>
      </c>
      <c r="M195">
        <f>IFERROR(__xludf.DUMMYFUNCTION("""COMPUTED_VALUE"""),35.0)</f>
        <v/>
      </c>
      <c r="N195">
        <f>IFERROR(__xludf.DUMMYFUNCTION("""COMPUTED_VALUE"""),0.2)</f>
        <v/>
      </c>
      <c r="O195">
        <f>IFERROR(__xludf.DUMMYFUNCTION("""COMPUTED_VALUE"""),100.0)</f>
        <v/>
      </c>
      <c r="P195">
        <f>IFERROR(__xludf.DUMMYFUNCTION("""COMPUTED_VALUE"""),0.0)</f>
        <v/>
      </c>
      <c r="Q195">
        <f>IFERROR(__xludf.DUMMYFUNCTION("""COMPUTED_VALUE"""),0.42)</f>
        <v/>
      </c>
      <c r="R195">
        <f>IFERROR(__xludf.DUMMYFUNCTION("""COMPUTED_VALUE"""),1.0)</f>
        <v/>
      </c>
      <c r="S195">
        <f>IFERROR(__xludf.DUMMYFUNCTION("""COMPUTED_VALUE"""),100.0)</f>
        <v/>
      </c>
      <c r="T195">
        <f>IFERROR(__xludf.DUMMYFUNCTION("""COMPUTED_VALUE"""),"1.64")</f>
        <v/>
      </c>
      <c r="U195">
        <f>IFERROR(__xludf.DUMMYFUNCTION("""COMPUTED_VALUE"""),"stop有:1回目 0.75")</f>
        <v/>
      </c>
      <c r="W195">
        <f>IFERROR(__xludf.DUMMYFUNCTION("""COMPUTED_VALUE"""),"3.34")</f>
        <v/>
      </c>
      <c r="X195">
        <f>IFERROR(__xludf.DUMMYFUNCTION("""COMPUTED_VALUE"""),"stop有:1回目 1.2")</f>
        <v/>
      </c>
      <c r="Y195">
        <f>IFERROR(__xludf.DUMMYFUNCTION("""COMPUTED_VALUE"""),"スタン")</f>
        <v/>
      </c>
      <c r="Z195">
        <f>IFERROR(__xludf.DUMMYFUNCTION("""COMPUTED_VALUE"""),3.0)</f>
        <v/>
      </c>
      <c r="AB195">
        <f>IFERROR(__xludf.DUMMYFUNCTION("""COMPUTED_VALUE"""),"shageki_1")</f>
        <v/>
      </c>
    </row>
    <row r="196">
      <c r="B196">
        <f>IFERROR(__xludf.DUMMYFUNCTION("""COMPUTED_VALUE"""),"chara_sur_00601")</f>
        <v/>
      </c>
      <c r="C196">
        <f>IFERROR(__xludf.DUMMYFUNCTION("""COMPUTED_VALUE"""),"_aobaget")</f>
        <v/>
      </c>
      <c r="D196">
        <f>IFERROR(__xludf.DUMMYFUNCTION("""COMPUTED_VALUE"""),"c_sur_00601_aobaget_Boss_Red")</f>
        <v/>
      </c>
      <c r="E196">
        <f>IFERROR(__xludf.DUMMYFUNCTION("""COMPUTED_VALUE"""),"魔都精兵のスレイブ")</f>
        <v/>
      </c>
      <c r="F196">
        <f>IFERROR(__xludf.DUMMYFUNCTION("""COMPUTED_VALUE"""),"東 八千穂")</f>
        <v/>
      </c>
      <c r="G196">
        <f>IFERROR(__xludf.DUMMYFUNCTION("""COMPUTED_VALUE"""),"東 八千穂_aobaget")</f>
        <v/>
      </c>
      <c r="H196">
        <f>IFERROR(__xludf.DUMMYFUNCTION("""COMPUTED_VALUE"""),"Boss")</f>
        <v/>
      </c>
      <c r="I196">
        <f>IFERROR(__xludf.DUMMYFUNCTION("""COMPUTED_VALUE"""),"Technical")</f>
        <v/>
      </c>
      <c r="J196">
        <f>IFERROR(__xludf.DUMMYFUNCTION("""COMPUTED_VALUE"""),"Red")</f>
        <v/>
      </c>
      <c r="K196">
        <f>IFERROR(__xludf.DUMMYFUNCTION("""COMPUTED_VALUE"""),10000.0)</f>
        <v/>
      </c>
      <c r="L196">
        <f>IFERROR(__xludf.DUMMYFUNCTION("""COMPUTED_VALUE"""),4.0)</f>
        <v/>
      </c>
      <c r="M196">
        <f>IFERROR(__xludf.DUMMYFUNCTION("""COMPUTED_VALUE"""),35.0)</f>
        <v/>
      </c>
      <c r="N196">
        <f>IFERROR(__xludf.DUMMYFUNCTION("""COMPUTED_VALUE"""),0.2)</f>
        <v/>
      </c>
      <c r="O196">
        <f>IFERROR(__xludf.DUMMYFUNCTION("""COMPUTED_VALUE"""),100.0)</f>
        <v/>
      </c>
      <c r="P196">
        <f>IFERROR(__xludf.DUMMYFUNCTION("""COMPUTED_VALUE"""),0.0)</f>
        <v/>
      </c>
      <c r="Q196">
        <f>IFERROR(__xludf.DUMMYFUNCTION("""COMPUTED_VALUE"""),0.42)</f>
        <v/>
      </c>
      <c r="R196">
        <f>IFERROR(__xludf.DUMMYFUNCTION("""COMPUTED_VALUE"""),1.0)</f>
        <v/>
      </c>
      <c r="S196">
        <f>IFERROR(__xludf.DUMMYFUNCTION("""COMPUTED_VALUE"""),500.0)</f>
        <v/>
      </c>
      <c r="T196">
        <f>IFERROR(__xludf.DUMMYFUNCTION("""COMPUTED_VALUE"""),"1.64")</f>
        <v/>
      </c>
      <c r="U196">
        <f>IFERROR(__xludf.DUMMYFUNCTION("""COMPUTED_VALUE"""),"stop有:1回目 0.75")</f>
        <v/>
      </c>
      <c r="W196">
        <f>IFERROR(__xludf.DUMMYFUNCTION("""COMPUTED_VALUE"""),"3.34")</f>
        <v/>
      </c>
      <c r="X196">
        <f>IFERROR(__xludf.DUMMYFUNCTION("""COMPUTED_VALUE"""),"stop有:1回目 1.2")</f>
        <v/>
      </c>
      <c r="Y196">
        <f>IFERROR(__xludf.DUMMYFUNCTION("""COMPUTED_VALUE"""),"スタン")</f>
        <v/>
      </c>
      <c r="Z196">
        <f>IFERROR(__xludf.DUMMYFUNCTION("""COMPUTED_VALUE"""),3.0)</f>
        <v/>
      </c>
      <c r="AB196">
        <f>IFERROR(__xludf.DUMMYFUNCTION("""COMPUTED_VALUE"""),"shageki_1")</f>
        <v/>
      </c>
    </row>
    <row r="197">
      <c r="B197">
        <f>IFERROR(__xludf.DUMMYFUNCTION("""COMPUTED_VALUE"""),"chara_sur_00301")</f>
        <v/>
      </c>
      <c r="C197">
        <f>IFERROR(__xludf.DUMMYFUNCTION("""COMPUTED_VALUE"""),"_aobaget")</f>
        <v/>
      </c>
      <c r="D197">
        <f>IFERROR(__xludf.DUMMYFUNCTION("""COMPUTED_VALUE"""),"c_sur_00301_aobaget_Boss_Blue")</f>
        <v/>
      </c>
      <c r="E197">
        <f>IFERROR(__xludf.DUMMYFUNCTION("""COMPUTED_VALUE"""),"魔都精兵のスレイブ")</f>
        <v/>
      </c>
      <c r="F197">
        <f>IFERROR(__xludf.DUMMYFUNCTION("""COMPUTED_VALUE"""),"駿河 朱々")</f>
        <v/>
      </c>
      <c r="G197">
        <f>IFERROR(__xludf.DUMMYFUNCTION("""COMPUTED_VALUE"""),"駿河 朱々_aobaget")</f>
        <v/>
      </c>
      <c r="H197">
        <f>IFERROR(__xludf.DUMMYFUNCTION("""COMPUTED_VALUE"""),"Boss")</f>
        <v/>
      </c>
      <c r="I197">
        <f>IFERROR(__xludf.DUMMYFUNCTION("""COMPUTED_VALUE"""),"Defense")</f>
        <v/>
      </c>
      <c r="J197">
        <f>IFERROR(__xludf.DUMMYFUNCTION("""COMPUTED_VALUE"""),"Blue")</f>
        <v/>
      </c>
      <c r="K197">
        <f>IFERROR(__xludf.DUMMYFUNCTION("""COMPUTED_VALUE"""),10000.0)</f>
        <v/>
      </c>
      <c r="L197">
        <f>IFERROR(__xludf.DUMMYFUNCTION("""COMPUTED_VALUE"""),1.0)</f>
        <v/>
      </c>
      <c r="M197">
        <f>IFERROR(__xludf.DUMMYFUNCTION("""COMPUTED_VALUE"""),31.0)</f>
        <v/>
      </c>
      <c r="N197">
        <f>IFERROR(__xludf.DUMMYFUNCTION("""COMPUTED_VALUE"""),0.2)</f>
        <v/>
      </c>
      <c r="O197">
        <f>IFERROR(__xludf.DUMMYFUNCTION("""COMPUTED_VALUE"""),100.0)</f>
        <v/>
      </c>
      <c r="P197">
        <f>IFERROR(__xludf.DUMMYFUNCTION("""COMPUTED_VALUE"""),0.0)</f>
        <v/>
      </c>
      <c r="Q197">
        <f>IFERROR(__xludf.DUMMYFUNCTION("""COMPUTED_VALUE"""),0.22)</f>
        <v/>
      </c>
      <c r="R197">
        <f>IFERROR(__xludf.DUMMYFUNCTION("""COMPUTED_VALUE"""),1.0)</f>
        <v/>
      </c>
      <c r="S197">
        <f>IFERROR(__xludf.DUMMYFUNCTION("""COMPUTED_VALUE"""),500.0)</f>
        <v/>
      </c>
      <c r="T197">
        <f>IFERROR(__xludf.DUMMYFUNCTION("""COMPUTED_VALUE"""),"1.56")</f>
        <v/>
      </c>
      <c r="U197">
        <f>IFERROR(__xludf.DUMMYFUNCTION("""COMPUTED_VALUE"""),"0.66")</f>
        <v/>
      </c>
      <c r="W197">
        <f>IFERROR(__xludf.DUMMYFUNCTION("""COMPUTED_VALUE"""),"1.91")</f>
        <v/>
      </c>
      <c r="X197">
        <f>IFERROR(__xludf.DUMMYFUNCTION("""COMPUTED_VALUE"""),"0.73")</f>
        <v/>
      </c>
      <c r="Y197">
        <f>IFERROR(__xludf.DUMMYFUNCTION("""COMPUTED_VALUE"""),"100%中ノックバック")</f>
        <v/>
      </c>
      <c r="Z197">
        <f>IFERROR(__xludf.DUMMYFUNCTION("""COMPUTED_VALUE"""),4.0)</f>
        <v/>
      </c>
      <c r="AB197">
        <f>IFERROR(__xludf.DUMMYFUNCTION("""COMPUTED_VALUE"""),"dageki_1")</f>
        <v/>
      </c>
    </row>
    <row r="198">
      <c r="B198">
        <f>IFERROR(__xludf.DUMMYFUNCTION("""COMPUTED_VALUE"""),"chara_sur_00501")</f>
        <v/>
      </c>
      <c r="C198">
        <f>IFERROR(__xludf.DUMMYFUNCTION("""COMPUTED_VALUE"""),"_aobaget")</f>
        <v/>
      </c>
      <c r="D198">
        <f>IFERROR(__xludf.DUMMYFUNCTION("""COMPUTED_VALUE"""),"c_sur_00501_aobaget_Normal_Blue")</f>
        <v/>
      </c>
      <c r="E198">
        <f>IFERROR(__xludf.DUMMYFUNCTION("""COMPUTED_VALUE"""),"魔都精兵のスレイブ")</f>
        <v/>
      </c>
      <c r="F198">
        <f>IFERROR(__xludf.DUMMYFUNCTION("""COMPUTED_VALUE"""),"空間を操る六番組組長 出雲 天花")</f>
        <v/>
      </c>
      <c r="G198">
        <f>IFERROR(__xludf.DUMMYFUNCTION("""COMPUTED_VALUE"""),"出雲 天花_aobaget")</f>
        <v/>
      </c>
      <c r="H198">
        <f>IFERROR(__xludf.DUMMYFUNCTION("""COMPUTED_VALUE"""),"Normal")</f>
        <v/>
      </c>
      <c r="I198">
        <f>IFERROR(__xludf.DUMMYFUNCTION("""COMPUTED_VALUE"""),"Attack")</f>
        <v/>
      </c>
      <c r="J198">
        <f>IFERROR(__xludf.DUMMYFUNCTION("""COMPUTED_VALUE"""),"Blue")</f>
        <v/>
      </c>
      <c r="K198">
        <f>IFERROR(__xludf.DUMMYFUNCTION("""COMPUTED_VALUE"""),1000.0)</f>
        <v/>
      </c>
      <c r="L198">
        <f>IFERROR(__xludf.DUMMYFUNCTION("""COMPUTED_VALUE"""),3.0)</f>
        <v/>
      </c>
      <c r="M198">
        <f>IFERROR(__xludf.DUMMYFUNCTION("""COMPUTED_VALUE"""),35.0)</f>
        <v/>
      </c>
      <c r="N198">
        <f>IFERROR(__xludf.DUMMYFUNCTION("""COMPUTED_VALUE"""),0.45)</f>
        <v/>
      </c>
      <c r="O198">
        <f>IFERROR(__xludf.DUMMYFUNCTION("""COMPUTED_VALUE"""),100.0)</f>
        <v/>
      </c>
      <c r="P198">
        <f>IFERROR(__xludf.DUMMYFUNCTION("""COMPUTED_VALUE"""),0.0)</f>
        <v/>
      </c>
      <c r="Q198">
        <f>IFERROR(__xludf.DUMMYFUNCTION("""COMPUTED_VALUE"""),0.47)</f>
        <v/>
      </c>
      <c r="R198">
        <f>IFERROR(__xludf.DUMMYFUNCTION("""COMPUTED_VALUE"""),1.0)</f>
        <v/>
      </c>
      <c r="S198">
        <f>IFERROR(__xludf.DUMMYFUNCTION("""COMPUTED_VALUE"""),100.0)</f>
        <v/>
      </c>
      <c r="T198">
        <f>IFERROR(__xludf.DUMMYFUNCTION("""COMPUTED_VALUE"""),"1.71")</f>
        <v/>
      </c>
      <c r="U198">
        <f>IFERROR(__xludf.DUMMYFUNCTION("""COMPUTED_VALUE"""),"stop有:1回目 0.93")</f>
        <v/>
      </c>
      <c r="W198">
        <f>IFERROR(__xludf.DUMMYFUNCTION("""COMPUTED_VALUE"""),"2.67")</f>
        <v/>
      </c>
      <c r="X198">
        <f>IFERROR(__xludf.DUMMYFUNCTION("""COMPUTED_VALUE"""),"stop有:1回目 1.53")</f>
        <v/>
      </c>
      <c r="Y198">
        <f>IFERROR(__xludf.DUMMYFUNCTION("""COMPUTED_VALUE"""),"自身のコマと前2コマまで100%の範囲ダメージ")</f>
        <v/>
      </c>
      <c r="Z198">
        <f>IFERROR(__xludf.DUMMYFUNCTION("""COMPUTED_VALUE"""),3.0)</f>
        <v/>
      </c>
      <c r="AB198">
        <f>IFERROR(__xludf.DUMMYFUNCTION("""COMPUTED_VALUE"""),"dageki_1")</f>
        <v/>
      </c>
    </row>
    <row r="199">
      <c r="B199">
        <f>IFERROR(__xludf.DUMMYFUNCTION("""COMPUTED_VALUE"""),"chara_sur_00501")</f>
        <v/>
      </c>
      <c r="C199">
        <f>IFERROR(__xludf.DUMMYFUNCTION("""COMPUTED_VALUE"""),"_aobaget")</f>
        <v/>
      </c>
      <c r="D199">
        <f>IFERROR(__xludf.DUMMYFUNCTION("""COMPUTED_VALUE"""),"c_sur_00501_aobaget_Boss_Blue")</f>
        <v/>
      </c>
      <c r="E199">
        <f>IFERROR(__xludf.DUMMYFUNCTION("""COMPUTED_VALUE"""),"魔都精兵のスレイブ")</f>
        <v/>
      </c>
      <c r="F199">
        <f>IFERROR(__xludf.DUMMYFUNCTION("""COMPUTED_VALUE"""),"空間を操る六番組組長 出雲 天花")</f>
        <v/>
      </c>
      <c r="G199">
        <f>IFERROR(__xludf.DUMMYFUNCTION("""COMPUTED_VALUE"""),"出雲 天花_aobaget")</f>
        <v/>
      </c>
      <c r="H199">
        <f>IFERROR(__xludf.DUMMYFUNCTION("""COMPUTED_VALUE"""),"Boss")</f>
        <v/>
      </c>
      <c r="I199">
        <f>IFERROR(__xludf.DUMMYFUNCTION("""COMPUTED_VALUE"""),"Attack")</f>
        <v/>
      </c>
      <c r="J199">
        <f>IFERROR(__xludf.DUMMYFUNCTION("""COMPUTED_VALUE"""),"Blue")</f>
        <v/>
      </c>
      <c r="K199">
        <f>IFERROR(__xludf.DUMMYFUNCTION("""COMPUTED_VALUE"""),10000.0)</f>
        <v/>
      </c>
      <c r="L199">
        <f>IFERROR(__xludf.DUMMYFUNCTION("""COMPUTED_VALUE"""),4.0)</f>
        <v/>
      </c>
      <c r="M199">
        <f>IFERROR(__xludf.DUMMYFUNCTION("""COMPUTED_VALUE"""),25.0)</f>
        <v/>
      </c>
      <c r="N199">
        <f>IFERROR(__xludf.DUMMYFUNCTION("""COMPUTED_VALUE"""),0.45)</f>
        <v/>
      </c>
      <c r="O199">
        <f>IFERROR(__xludf.DUMMYFUNCTION("""COMPUTED_VALUE"""),100.0)</f>
        <v/>
      </c>
      <c r="P199">
        <f>IFERROR(__xludf.DUMMYFUNCTION("""COMPUTED_VALUE"""),0.0)</f>
        <v/>
      </c>
      <c r="Q199">
        <f>IFERROR(__xludf.DUMMYFUNCTION("""COMPUTED_VALUE"""),0.47)</f>
        <v/>
      </c>
      <c r="R199">
        <f>IFERROR(__xludf.DUMMYFUNCTION("""COMPUTED_VALUE"""),1.0)</f>
        <v/>
      </c>
      <c r="S199">
        <f>IFERROR(__xludf.DUMMYFUNCTION("""COMPUTED_VALUE"""),100.0)</f>
        <v/>
      </c>
      <c r="T199">
        <f>IFERROR(__xludf.DUMMYFUNCTION("""COMPUTED_VALUE"""),"1.71")</f>
        <v/>
      </c>
      <c r="U199">
        <f>IFERROR(__xludf.DUMMYFUNCTION("""COMPUTED_VALUE"""),"stop有:1回目 0.93")</f>
        <v/>
      </c>
      <c r="W199">
        <f>IFERROR(__xludf.DUMMYFUNCTION("""COMPUTED_VALUE"""),"2.67")</f>
        <v/>
      </c>
      <c r="X199">
        <f>IFERROR(__xludf.DUMMYFUNCTION("""COMPUTED_VALUE"""),"stop有:1回目 1.53")</f>
        <v/>
      </c>
      <c r="Y199">
        <f>IFERROR(__xludf.DUMMYFUNCTION("""COMPUTED_VALUE"""),"自身のコマと前2コマまで300%の範囲ダメージ")</f>
        <v/>
      </c>
      <c r="Z199">
        <f>IFERROR(__xludf.DUMMYFUNCTION("""COMPUTED_VALUE"""),10.0)</f>
        <v/>
      </c>
      <c r="AB199">
        <f>IFERROR(__xludf.DUMMYFUNCTION("""COMPUTED_VALUE"""),"dageki_1")</f>
        <v/>
      </c>
    </row>
    <row r="200">
      <c r="B200">
        <f>IFERROR(__xludf.DUMMYFUNCTION("""COMPUTED_VALUE"""),"enemy_sur_00101")</f>
        <v/>
      </c>
      <c r="C200">
        <f>IFERROR(__xludf.DUMMYFUNCTION("""COMPUTED_VALUE"""),"_challenge")</f>
        <v/>
      </c>
      <c r="D200">
        <f>IFERROR(__xludf.DUMMYFUNCTION("""COMPUTED_VALUE"""),"e_sur_00101_challenge_Normal_Red")</f>
        <v/>
      </c>
      <c r="E200">
        <f>IFERROR(__xludf.DUMMYFUNCTION("""COMPUTED_VALUE"""),"魔都精兵のスレイブ")</f>
        <v/>
      </c>
      <c r="F200">
        <f>IFERROR(__xludf.DUMMYFUNCTION("""COMPUTED_VALUE"""),"醜鬼")</f>
        <v/>
      </c>
      <c r="G200">
        <f>IFERROR(__xludf.DUMMYFUNCTION("""COMPUTED_VALUE"""),"醜鬼_challenge")</f>
        <v/>
      </c>
      <c r="H200">
        <f>IFERROR(__xludf.DUMMYFUNCTION("""COMPUTED_VALUE"""),"Normal")</f>
        <v/>
      </c>
      <c r="I200">
        <f>IFERROR(__xludf.DUMMYFUNCTION("""COMPUTED_VALUE"""),"Attack")</f>
        <v/>
      </c>
      <c r="J200">
        <f>IFERROR(__xludf.DUMMYFUNCTION("""COMPUTED_VALUE"""),"Red")</f>
        <v/>
      </c>
      <c r="K200">
        <f>IFERROR(__xludf.DUMMYFUNCTION("""COMPUTED_VALUE"""),50000.0)</f>
        <v/>
      </c>
      <c r="L200">
        <f>IFERROR(__xludf.DUMMYFUNCTION("""COMPUTED_VALUE"""),3.0)</f>
        <v/>
      </c>
      <c r="M200">
        <f>IFERROR(__xludf.DUMMYFUNCTION("""COMPUTED_VALUE"""),30.0)</f>
        <v/>
      </c>
      <c r="N200">
        <f>IFERROR(__xludf.DUMMYFUNCTION("""COMPUTED_VALUE"""),0.17)</f>
        <v/>
      </c>
      <c r="O200">
        <f>IFERROR(__xludf.DUMMYFUNCTION("""COMPUTED_VALUE"""),300.0)</f>
        <v/>
      </c>
      <c r="P200">
        <f>IFERROR(__xludf.DUMMYFUNCTION("""COMPUTED_VALUE"""),0.0)</f>
        <v/>
      </c>
      <c r="Q200">
        <f>IFERROR(__xludf.DUMMYFUNCTION("""COMPUTED_VALUE"""),0.25)</f>
        <v/>
      </c>
      <c r="R200">
        <f>IFERROR(__xludf.DUMMYFUNCTION("""COMPUTED_VALUE"""),1.0)</f>
        <v/>
      </c>
      <c r="S200">
        <f>IFERROR(__xludf.DUMMYFUNCTION("""COMPUTED_VALUE"""),100.0)</f>
        <v/>
      </c>
      <c r="T200">
        <f>IFERROR(__xludf.DUMMYFUNCTION("""COMPUTED_VALUE"""),"0.80")</f>
        <v/>
      </c>
      <c r="U200">
        <f>IFERROR(__xludf.DUMMYFUNCTION("""COMPUTED_VALUE"""),"0.30")</f>
        <v/>
      </c>
      <c r="W200">
        <f>IFERROR(__xludf.DUMMYFUNCTION("""COMPUTED_VALUE"""),"-")</f>
        <v/>
      </c>
      <c r="X200">
        <f>IFERROR(__xludf.DUMMYFUNCTION("""COMPUTED_VALUE"""),"-")</f>
        <v/>
      </c>
      <c r="Z200">
        <f>IFERROR(__xludf.DUMMYFUNCTION("""COMPUTED_VALUE"""),10.0)</f>
        <v/>
      </c>
      <c r="AB200">
        <f>IFERROR(__xludf.DUMMYFUNCTION("""COMPUTED_VALUE"""),"dageki_1")</f>
        <v/>
      </c>
    </row>
    <row r="201">
      <c r="B201">
        <f>IFERROR(__xludf.DUMMYFUNCTION("""COMPUTED_VALUE"""),"chara_sur_00001")</f>
        <v/>
      </c>
      <c r="C201">
        <f>IFERROR(__xludf.DUMMYFUNCTION("""COMPUTED_VALUE"""),"_challenge")</f>
        <v/>
      </c>
      <c r="D201">
        <f>IFERROR(__xludf.DUMMYFUNCTION("""COMPUTED_VALUE"""),"c_sur_00001_challenge_Normal_Red")</f>
        <v/>
      </c>
      <c r="E201">
        <f>IFERROR(__xludf.DUMMYFUNCTION("""COMPUTED_VALUE"""),"魔都精兵のスレイブ")</f>
        <v/>
      </c>
      <c r="F201">
        <f>IFERROR(__xludf.DUMMYFUNCTION("""COMPUTED_VALUE"""),"和倉 優希")</f>
        <v/>
      </c>
      <c r="G201">
        <f>IFERROR(__xludf.DUMMYFUNCTION("""COMPUTED_VALUE"""),"和倉 優希_challenge")</f>
        <v/>
      </c>
      <c r="H201">
        <f>IFERROR(__xludf.DUMMYFUNCTION("""COMPUTED_VALUE"""),"Normal")</f>
        <v/>
      </c>
      <c r="I201">
        <f>IFERROR(__xludf.DUMMYFUNCTION("""COMPUTED_VALUE"""),"Support")</f>
        <v/>
      </c>
      <c r="J201">
        <f>IFERROR(__xludf.DUMMYFUNCTION("""COMPUTED_VALUE"""),"Red")</f>
        <v/>
      </c>
      <c r="K201">
        <f>IFERROR(__xludf.DUMMYFUNCTION("""COMPUTED_VALUE"""),50000.0)</f>
        <v/>
      </c>
      <c r="L201">
        <f>IFERROR(__xludf.DUMMYFUNCTION("""COMPUTED_VALUE"""),3.0)</f>
        <v/>
      </c>
      <c r="M201">
        <f>IFERROR(__xludf.DUMMYFUNCTION("""COMPUTED_VALUE"""),32.0)</f>
        <v/>
      </c>
      <c r="N201">
        <f>IFERROR(__xludf.DUMMYFUNCTION("""COMPUTED_VALUE"""),0.24)</f>
        <v/>
      </c>
      <c r="O201">
        <f>IFERROR(__xludf.DUMMYFUNCTION("""COMPUTED_VALUE"""),300.0)</f>
        <v/>
      </c>
      <c r="P201">
        <f>IFERROR(__xludf.DUMMYFUNCTION("""COMPUTED_VALUE"""),0.0)</f>
        <v/>
      </c>
      <c r="Q201">
        <f>IFERROR(__xludf.DUMMYFUNCTION("""COMPUTED_VALUE"""),0.3)</f>
        <v/>
      </c>
      <c r="R201">
        <f>IFERROR(__xludf.DUMMYFUNCTION("""COMPUTED_VALUE"""),1.0)</f>
        <v/>
      </c>
      <c r="S201">
        <f>IFERROR(__xludf.DUMMYFUNCTION("""COMPUTED_VALUE"""),100.0)</f>
        <v/>
      </c>
      <c r="T201">
        <f>IFERROR(__xludf.DUMMYFUNCTION("""COMPUTED_VALUE"""),"1.17")</f>
        <v/>
      </c>
      <c r="U201">
        <f>IFERROR(__xludf.DUMMYFUNCTION("""COMPUTED_VALUE"""),"stop有:1回目 0.30")</f>
        <v/>
      </c>
      <c r="W201">
        <f>IFERROR(__xludf.DUMMYFUNCTION("""COMPUTED_VALUE"""),"2.80")</f>
        <v/>
      </c>
      <c r="X201">
        <f>IFERROR(__xludf.DUMMYFUNCTION("""COMPUTED_VALUE"""),"stop無:1回目 2.00")</f>
        <v/>
      </c>
      <c r="Z201">
        <f>IFERROR(__xludf.DUMMYFUNCTION("""COMPUTED_VALUE"""),10.0)</f>
        <v/>
      </c>
      <c r="AB201">
        <f>IFERROR(__xludf.DUMMYFUNCTION("""COMPUTED_VALUE"""),"dageki_2")</f>
        <v/>
      </c>
    </row>
    <row r="202">
      <c r="B202">
        <f>IFERROR(__xludf.DUMMYFUNCTION("""COMPUTED_VALUE"""),"chara_sur_00301")</f>
        <v/>
      </c>
      <c r="C202">
        <f>IFERROR(__xludf.DUMMYFUNCTION("""COMPUTED_VALUE"""),"_challenge")</f>
        <v/>
      </c>
      <c r="D202">
        <f>IFERROR(__xludf.DUMMYFUNCTION("""COMPUTED_VALUE"""),"c_sur_00301_challenge_Boss_Blue")</f>
        <v/>
      </c>
      <c r="E202">
        <f>IFERROR(__xludf.DUMMYFUNCTION("""COMPUTED_VALUE"""),"魔都精兵のスレイブ")</f>
        <v/>
      </c>
      <c r="F202">
        <f>IFERROR(__xludf.DUMMYFUNCTION("""COMPUTED_VALUE"""),"駿河 朱々")</f>
        <v/>
      </c>
      <c r="G202">
        <f>IFERROR(__xludf.DUMMYFUNCTION("""COMPUTED_VALUE"""),"駿河 朱々_challenge")</f>
        <v/>
      </c>
      <c r="H202">
        <f>IFERROR(__xludf.DUMMYFUNCTION("""COMPUTED_VALUE"""),"Boss")</f>
        <v/>
      </c>
      <c r="I202">
        <f>IFERROR(__xludf.DUMMYFUNCTION("""COMPUTED_VALUE"""),"Defense")</f>
        <v/>
      </c>
      <c r="J202">
        <f>IFERROR(__xludf.DUMMYFUNCTION("""COMPUTED_VALUE"""),"Blue")</f>
        <v/>
      </c>
      <c r="K202">
        <f>IFERROR(__xludf.DUMMYFUNCTION("""COMPUTED_VALUE"""),50000.0)</f>
        <v/>
      </c>
      <c r="L202">
        <f>IFERROR(__xludf.DUMMYFUNCTION("""COMPUTED_VALUE"""),4.0)</f>
        <v/>
      </c>
      <c r="M202">
        <f>IFERROR(__xludf.DUMMYFUNCTION("""COMPUTED_VALUE"""),35.0)</f>
        <v/>
      </c>
      <c r="N202">
        <f>IFERROR(__xludf.DUMMYFUNCTION("""COMPUTED_VALUE"""),0.2)</f>
        <v/>
      </c>
      <c r="O202">
        <f>IFERROR(__xludf.DUMMYFUNCTION("""COMPUTED_VALUE"""),300.0)</f>
        <v/>
      </c>
      <c r="P202">
        <f>IFERROR(__xludf.DUMMYFUNCTION("""COMPUTED_VALUE"""),0.0)</f>
        <v/>
      </c>
      <c r="Q202">
        <f>IFERROR(__xludf.DUMMYFUNCTION("""COMPUTED_VALUE"""),0.22)</f>
        <v/>
      </c>
      <c r="R202">
        <f>IFERROR(__xludf.DUMMYFUNCTION("""COMPUTED_VALUE"""),1.0)</f>
        <v/>
      </c>
      <c r="S202">
        <f>IFERROR(__xludf.DUMMYFUNCTION("""COMPUTED_VALUE"""),500.0)</f>
        <v/>
      </c>
      <c r="T202">
        <f>IFERROR(__xludf.DUMMYFUNCTION("""COMPUTED_VALUE"""),"1.56")</f>
        <v/>
      </c>
      <c r="U202">
        <f>IFERROR(__xludf.DUMMYFUNCTION("""COMPUTED_VALUE"""),"0.66")</f>
        <v/>
      </c>
      <c r="W202">
        <f>IFERROR(__xludf.DUMMYFUNCTION("""COMPUTED_VALUE"""),"1.91")</f>
        <v/>
      </c>
      <c r="X202">
        <f>IFERROR(__xludf.DUMMYFUNCTION("""COMPUTED_VALUE"""),"0.73")</f>
        <v/>
      </c>
      <c r="Y202">
        <f>IFERROR(__xludf.DUMMYFUNCTION("""COMPUTED_VALUE"""),"100%中ノックバック")</f>
        <v/>
      </c>
      <c r="Z202">
        <f>IFERROR(__xludf.DUMMYFUNCTION("""COMPUTED_VALUE"""),10.0)</f>
        <v/>
      </c>
      <c r="AB202">
        <f>IFERROR(__xludf.DUMMYFUNCTION("""COMPUTED_VALUE"""),"dageki_1")</f>
        <v/>
      </c>
    </row>
    <row r="203">
      <c r="B203">
        <f>IFERROR(__xludf.DUMMYFUNCTION("""COMPUTED_VALUE"""),"chara_sur_00801")</f>
        <v/>
      </c>
      <c r="C203">
        <f>IFERROR(__xludf.DUMMYFUNCTION("""COMPUTED_VALUE"""),"_challenge")</f>
        <v/>
      </c>
      <c r="D203">
        <f>IFERROR(__xludf.DUMMYFUNCTION("""COMPUTED_VALUE"""),"c_sur_00801_challenge_Normal_Red")</f>
        <v/>
      </c>
      <c r="E203">
        <f>IFERROR(__xludf.DUMMYFUNCTION("""COMPUTED_VALUE"""),"魔都精兵のスレイブ")</f>
        <v/>
      </c>
      <c r="F203">
        <f>IFERROR(__xludf.DUMMYFUNCTION("""COMPUTED_VALUE"""),"無窮の鎖 和倉 優希")</f>
        <v/>
      </c>
      <c r="G203">
        <f>IFERROR(__xludf.DUMMYFUNCTION("""COMPUTED_VALUE"""),"和倉優希（変身）_challenge")</f>
        <v/>
      </c>
      <c r="H203">
        <f>IFERROR(__xludf.DUMMYFUNCTION("""COMPUTED_VALUE"""),"Normal")</f>
        <v/>
      </c>
      <c r="I203">
        <f>IFERROR(__xludf.DUMMYFUNCTION("""COMPUTED_VALUE"""),"Defense")</f>
        <v/>
      </c>
      <c r="J203">
        <f>IFERROR(__xludf.DUMMYFUNCTION("""COMPUTED_VALUE"""),"Red")</f>
        <v/>
      </c>
      <c r="K203">
        <f>IFERROR(__xludf.DUMMYFUNCTION("""COMPUTED_VALUE"""),50000.0)</f>
        <v/>
      </c>
      <c r="L203">
        <f>IFERROR(__xludf.DUMMYFUNCTION("""COMPUTED_VALUE"""),3.0)</f>
        <v/>
      </c>
      <c r="M203">
        <f>IFERROR(__xludf.DUMMYFUNCTION("""COMPUTED_VALUE"""),32.0)</f>
        <v/>
      </c>
      <c r="N203">
        <f>IFERROR(__xludf.DUMMYFUNCTION("""COMPUTED_VALUE"""),0.24)</f>
        <v/>
      </c>
      <c r="O203">
        <f>IFERROR(__xludf.DUMMYFUNCTION("""COMPUTED_VALUE"""),300.0)</f>
        <v/>
      </c>
      <c r="P203">
        <f>IFERROR(__xludf.DUMMYFUNCTION("""COMPUTED_VALUE"""),0.0)</f>
        <v/>
      </c>
      <c r="Q203">
        <f>IFERROR(__xludf.DUMMYFUNCTION("""COMPUTED_VALUE"""),0.24)</f>
        <v/>
      </c>
      <c r="R203">
        <f>IFERROR(__xludf.DUMMYFUNCTION("""COMPUTED_VALUE"""),1.0)</f>
        <v/>
      </c>
      <c r="S203">
        <f>IFERROR(__xludf.DUMMYFUNCTION("""COMPUTED_VALUE"""),100.0)</f>
        <v/>
      </c>
      <c r="T203">
        <f>IFERROR(__xludf.DUMMYFUNCTION("""COMPUTED_VALUE"""),"1.24")</f>
        <v/>
      </c>
      <c r="U203">
        <f>IFERROR(__xludf.DUMMYFUNCTION("""COMPUTED_VALUE"""),"stop有:1回目 0.66")</f>
        <v/>
      </c>
      <c r="W203">
        <f>IFERROR(__xludf.DUMMYFUNCTION("""COMPUTED_VALUE"""),"2.01")</f>
        <v/>
      </c>
      <c r="X203">
        <f>IFERROR(__xludf.DUMMYFUNCTION("""COMPUTED_VALUE"""),"stop有:1回目 1.06")</f>
        <v/>
      </c>
      <c r="Z203">
        <f>IFERROR(__xludf.DUMMYFUNCTION("""COMPUTED_VALUE"""),10.0)</f>
        <v/>
      </c>
      <c r="AB203">
        <f>IFERROR(__xludf.DUMMYFUNCTION("""COMPUTED_VALUE"""),"dageki_1")</f>
        <v/>
      </c>
    </row>
    <row r="204">
      <c r="B204">
        <f>IFERROR(__xludf.DUMMYFUNCTION("""COMPUTED_VALUE"""),"chara_sur_00201")</f>
        <v/>
      </c>
      <c r="C204">
        <f>IFERROR(__xludf.DUMMYFUNCTION("""COMPUTED_VALUE"""),"_challenge")</f>
        <v/>
      </c>
      <c r="D204">
        <f>IFERROR(__xludf.DUMMYFUNCTION("""COMPUTED_VALUE"""),"c_sur_00201_challenge_Boss_Blue")</f>
        <v/>
      </c>
      <c r="E204">
        <f>IFERROR(__xludf.DUMMYFUNCTION("""COMPUTED_VALUE"""),"魔都精兵のスレイブ")</f>
        <v/>
      </c>
      <c r="F204">
        <f>IFERROR(__xludf.DUMMYFUNCTION("""COMPUTED_VALUE"""),"東 日万凛")</f>
        <v/>
      </c>
      <c r="G204">
        <f>IFERROR(__xludf.DUMMYFUNCTION("""COMPUTED_VALUE"""),"東 日万凛_challenge")</f>
        <v/>
      </c>
      <c r="H204">
        <f>IFERROR(__xludf.DUMMYFUNCTION("""COMPUTED_VALUE"""),"Boss")</f>
        <v/>
      </c>
      <c r="I204">
        <f>IFERROR(__xludf.DUMMYFUNCTION("""COMPUTED_VALUE"""),"Attack")</f>
        <v/>
      </c>
      <c r="J204">
        <f>IFERROR(__xludf.DUMMYFUNCTION("""COMPUTED_VALUE"""),"Blue")</f>
        <v/>
      </c>
      <c r="K204">
        <f>IFERROR(__xludf.DUMMYFUNCTION("""COMPUTED_VALUE"""),50000.0)</f>
        <v/>
      </c>
      <c r="L204">
        <f>IFERROR(__xludf.DUMMYFUNCTION("""COMPUTED_VALUE"""),2.0)</f>
        <v/>
      </c>
      <c r="M204">
        <f>IFERROR(__xludf.DUMMYFUNCTION("""COMPUTED_VALUE"""),30.0)</f>
        <v/>
      </c>
      <c r="N204">
        <f>IFERROR(__xludf.DUMMYFUNCTION("""COMPUTED_VALUE"""),0.11)</f>
        <v/>
      </c>
      <c r="O204">
        <f>IFERROR(__xludf.DUMMYFUNCTION("""COMPUTED_VALUE"""),300.0)</f>
        <v/>
      </c>
      <c r="P204">
        <f>IFERROR(__xludf.DUMMYFUNCTION("""COMPUTED_VALUE"""),0.0)</f>
        <v/>
      </c>
      <c r="Q204">
        <f>IFERROR(__xludf.DUMMYFUNCTION("""COMPUTED_VALUE"""),0.25)</f>
        <v/>
      </c>
      <c r="R204">
        <f>IFERROR(__xludf.DUMMYFUNCTION("""COMPUTED_VALUE"""),1.0)</f>
        <v/>
      </c>
      <c r="S204">
        <f>IFERROR(__xludf.DUMMYFUNCTION("""COMPUTED_VALUE"""),500.0)</f>
        <v/>
      </c>
      <c r="T204">
        <f>IFERROR(__xludf.DUMMYFUNCTION("""COMPUTED_VALUE"""),"1.47")</f>
        <v/>
      </c>
      <c r="U204">
        <f>IFERROR(__xludf.DUMMYFUNCTION("""COMPUTED_VALUE"""),"stop無:1回目 0.37")</f>
        <v/>
      </c>
      <c r="W204">
        <f>IFERROR(__xludf.DUMMYFUNCTION("""COMPUTED_VALUE"""),"2.67")</f>
        <v/>
      </c>
      <c r="X204">
        <f>IFERROR(__xludf.DUMMYFUNCTION("""COMPUTED_VALUE"""),"stop無:1回目 0.74
stop無:2回目 0.92
stop無:3回目 1.1
stop無:4回目 1.28
stop無:5回目 1.45
stop無:6回目 1.65
stop有:7回目 1.84")</f>
        <v/>
      </c>
      <c r="Y204">
        <f>IFERROR(__xludf.DUMMYFUNCTION("""COMPUTED_VALUE"""),"7回目で小ノックバック")</f>
        <v/>
      </c>
      <c r="Z204">
        <f>IFERROR(__xludf.DUMMYFUNCTION("""COMPUTED_VALUE"""),10.0)</f>
        <v/>
      </c>
      <c r="AB204">
        <f>IFERROR(__xludf.DUMMYFUNCTION("""COMPUTED_VALUE"""),"shageki_1")</f>
        <v/>
      </c>
    </row>
    <row r="205">
      <c r="B205">
        <f>IFERROR(__xludf.DUMMYFUNCTION("""COMPUTED_VALUE"""),"chara_sur_00601")</f>
        <v/>
      </c>
      <c r="C205">
        <f>IFERROR(__xludf.DUMMYFUNCTION("""COMPUTED_VALUE"""),"_challenge")</f>
        <v/>
      </c>
      <c r="D205">
        <f>IFERROR(__xludf.DUMMYFUNCTION("""COMPUTED_VALUE"""),"c_sur_00601_challenge_Boss_Red")</f>
        <v/>
      </c>
      <c r="E205">
        <f>IFERROR(__xludf.DUMMYFUNCTION("""COMPUTED_VALUE"""),"魔都精兵のスレイブ")</f>
        <v/>
      </c>
      <c r="F205">
        <f>IFERROR(__xludf.DUMMYFUNCTION("""COMPUTED_VALUE"""),"東 八千穂")</f>
        <v/>
      </c>
      <c r="G205">
        <f>IFERROR(__xludf.DUMMYFUNCTION("""COMPUTED_VALUE"""),"東 八千穂_challenge")</f>
        <v/>
      </c>
      <c r="H205">
        <f>IFERROR(__xludf.DUMMYFUNCTION("""COMPUTED_VALUE"""),"Boss")</f>
        <v/>
      </c>
      <c r="I205">
        <f>IFERROR(__xludf.DUMMYFUNCTION("""COMPUTED_VALUE"""),"Technical")</f>
        <v/>
      </c>
      <c r="J205">
        <f>IFERROR(__xludf.DUMMYFUNCTION("""COMPUTED_VALUE"""),"Red")</f>
        <v/>
      </c>
      <c r="K205">
        <f>IFERROR(__xludf.DUMMYFUNCTION("""COMPUTED_VALUE"""),50000.0)</f>
        <v/>
      </c>
      <c r="L205">
        <f>IFERROR(__xludf.DUMMYFUNCTION("""COMPUTED_VALUE"""),3.0)</f>
        <v/>
      </c>
      <c r="M205">
        <f>IFERROR(__xludf.DUMMYFUNCTION("""COMPUTED_VALUE"""),35.0)</f>
        <v/>
      </c>
      <c r="N205">
        <f>IFERROR(__xludf.DUMMYFUNCTION("""COMPUTED_VALUE"""),0.2)</f>
        <v/>
      </c>
      <c r="O205">
        <f>IFERROR(__xludf.DUMMYFUNCTION("""COMPUTED_VALUE"""),300.0)</f>
        <v/>
      </c>
      <c r="P205">
        <f>IFERROR(__xludf.DUMMYFUNCTION("""COMPUTED_VALUE"""),0.0)</f>
        <v/>
      </c>
      <c r="Q205">
        <f>IFERROR(__xludf.DUMMYFUNCTION("""COMPUTED_VALUE"""),0.42)</f>
        <v/>
      </c>
      <c r="R205">
        <f>IFERROR(__xludf.DUMMYFUNCTION("""COMPUTED_VALUE"""),1.0)</f>
        <v/>
      </c>
      <c r="S205">
        <f>IFERROR(__xludf.DUMMYFUNCTION("""COMPUTED_VALUE"""),500.0)</f>
        <v/>
      </c>
      <c r="T205">
        <f>IFERROR(__xludf.DUMMYFUNCTION("""COMPUTED_VALUE"""),"1.64")</f>
        <v/>
      </c>
      <c r="U205">
        <f>IFERROR(__xludf.DUMMYFUNCTION("""COMPUTED_VALUE"""),"stop有:1回目 0.75")</f>
        <v/>
      </c>
      <c r="W205">
        <f>IFERROR(__xludf.DUMMYFUNCTION("""COMPUTED_VALUE"""),"3.34")</f>
        <v/>
      </c>
      <c r="X205">
        <f>IFERROR(__xludf.DUMMYFUNCTION("""COMPUTED_VALUE"""),"stop有:1回目 1.2")</f>
        <v/>
      </c>
      <c r="Y205">
        <f>IFERROR(__xludf.DUMMYFUNCTION("""COMPUTED_VALUE"""),"スタン")</f>
        <v/>
      </c>
      <c r="Z205">
        <f>IFERROR(__xludf.DUMMYFUNCTION("""COMPUTED_VALUE"""),10.0)</f>
        <v/>
      </c>
      <c r="AB205">
        <f>IFERROR(__xludf.DUMMYFUNCTION("""COMPUTED_VALUE"""),"shageki_1")</f>
        <v/>
      </c>
    </row>
    <row r="206">
      <c r="B206">
        <f>IFERROR(__xludf.DUMMYFUNCTION("""COMPUTED_VALUE"""),"chara_sur_00101")</f>
        <v/>
      </c>
      <c r="C206">
        <f>IFERROR(__xludf.DUMMYFUNCTION("""COMPUTED_VALUE"""),"_challenge")</f>
        <v/>
      </c>
      <c r="D206">
        <f>IFERROR(__xludf.DUMMYFUNCTION("""COMPUTED_VALUE"""),"c_sur_00101_challenge_Boss_Green")</f>
        <v/>
      </c>
      <c r="E206">
        <f>IFERROR(__xludf.DUMMYFUNCTION("""COMPUTED_VALUE"""),"魔都精兵のスレイブ")</f>
        <v/>
      </c>
      <c r="F206">
        <f>IFERROR(__xludf.DUMMYFUNCTION("""COMPUTED_VALUE"""),"誇り高き魔都の剣姫 羽前 京香")</f>
        <v/>
      </c>
      <c r="G206">
        <f>IFERROR(__xludf.DUMMYFUNCTION("""COMPUTED_VALUE"""),"誇り高き魔都の剣姫 羽前京香_challenge")</f>
        <v/>
      </c>
      <c r="H206">
        <f>IFERROR(__xludf.DUMMYFUNCTION("""COMPUTED_VALUE"""),"Boss")</f>
        <v/>
      </c>
      <c r="I206">
        <f>IFERROR(__xludf.DUMMYFUNCTION("""COMPUTED_VALUE"""),"Attack")</f>
        <v/>
      </c>
      <c r="J206">
        <f>IFERROR(__xludf.DUMMYFUNCTION("""COMPUTED_VALUE"""),"Green")</f>
        <v/>
      </c>
      <c r="K206">
        <f>IFERROR(__xludf.DUMMYFUNCTION("""COMPUTED_VALUE"""),50000.0)</f>
        <v/>
      </c>
      <c r="L206">
        <f>IFERROR(__xludf.DUMMYFUNCTION("""COMPUTED_VALUE"""),3.0)</f>
        <v/>
      </c>
      <c r="M206">
        <f>IFERROR(__xludf.DUMMYFUNCTION("""COMPUTED_VALUE"""),45.0)</f>
        <v/>
      </c>
      <c r="N206">
        <f>IFERROR(__xludf.DUMMYFUNCTION("""COMPUTED_VALUE"""),0.25)</f>
        <v/>
      </c>
      <c r="O206">
        <f>IFERROR(__xludf.DUMMYFUNCTION("""COMPUTED_VALUE"""),300.0)</f>
        <v/>
      </c>
      <c r="P206">
        <f>IFERROR(__xludf.DUMMYFUNCTION("""COMPUTED_VALUE"""),0.0)</f>
        <v/>
      </c>
      <c r="Q206">
        <f>IFERROR(__xludf.DUMMYFUNCTION("""COMPUTED_VALUE"""),0.27)</f>
        <v/>
      </c>
      <c r="R206">
        <f>IFERROR(__xludf.DUMMYFUNCTION("""COMPUTED_VALUE"""),1.0)</f>
        <v/>
      </c>
      <c r="S206">
        <f>IFERROR(__xludf.DUMMYFUNCTION("""COMPUTED_VALUE"""),500.0)</f>
        <v/>
      </c>
      <c r="T206">
        <f>IFERROR(__xludf.DUMMYFUNCTION("""COMPUTED_VALUE"""),"1.40")</f>
        <v/>
      </c>
      <c r="U206">
        <f>IFERROR(__xludf.DUMMYFUNCTION("""COMPUTED_VALUE"""),"stop無:1回目 0.33")</f>
        <v/>
      </c>
      <c r="W206">
        <f>IFERROR(__xludf.DUMMYFUNCTION("""COMPUTED_VALUE"""),"2.67")</f>
        <v/>
      </c>
      <c r="X206">
        <f>IFERROR(__xludf.DUMMYFUNCTION("""COMPUTED_VALUE"""),"stop無:1回目 0.40
stop無:2回目 0.60
stop無:3回目 0.80
stop無:4回目 0.90
stop無:5回目 1.03
stop有:6回目 1.57")</f>
        <v/>
      </c>
      <c r="Z206">
        <f>IFERROR(__xludf.DUMMYFUNCTION("""COMPUTED_VALUE"""),10.0)</f>
        <v/>
      </c>
      <c r="AB206">
        <f>IFERROR(__xludf.DUMMYFUNCTION("""COMPUTED_VALUE"""),"zangeki_1")</f>
        <v/>
      </c>
    </row>
    <row r="207">
      <c r="B207">
        <f>IFERROR(__xludf.DUMMYFUNCTION("""COMPUTED_VALUE"""),"chara_sur_00501")</f>
        <v/>
      </c>
      <c r="C207">
        <f>IFERROR(__xludf.DUMMYFUNCTION("""COMPUTED_VALUE"""),"_challenge")</f>
        <v/>
      </c>
      <c r="D207">
        <f>IFERROR(__xludf.DUMMYFUNCTION("""COMPUTED_VALUE"""),"c_sur_00501_challenge_Boss_Yellow")</f>
        <v/>
      </c>
      <c r="E207">
        <f>IFERROR(__xludf.DUMMYFUNCTION("""COMPUTED_VALUE"""),"魔都精兵のスレイブ")</f>
        <v/>
      </c>
      <c r="F207">
        <f>IFERROR(__xludf.DUMMYFUNCTION("""COMPUTED_VALUE"""),"空間を操る六番組組長 出雲 天花")</f>
        <v/>
      </c>
      <c r="G207">
        <f>IFERROR(__xludf.DUMMYFUNCTION("""COMPUTED_VALUE"""),"出雲 天花_challenge")</f>
        <v/>
      </c>
      <c r="H207">
        <f>IFERROR(__xludf.DUMMYFUNCTION("""COMPUTED_VALUE"""),"Boss")</f>
        <v/>
      </c>
      <c r="I207">
        <f>IFERROR(__xludf.DUMMYFUNCTION("""COMPUTED_VALUE"""),"Technical")</f>
        <v/>
      </c>
      <c r="J207">
        <f>IFERROR(__xludf.DUMMYFUNCTION("""COMPUTED_VALUE"""),"Yellow")</f>
        <v/>
      </c>
      <c r="K207">
        <f>IFERROR(__xludf.DUMMYFUNCTION("""COMPUTED_VALUE"""),50000.0)</f>
        <v/>
      </c>
      <c r="L207">
        <f>IFERROR(__xludf.DUMMYFUNCTION("""COMPUTED_VALUE"""),3.0)</f>
        <v/>
      </c>
      <c r="M207">
        <f>IFERROR(__xludf.DUMMYFUNCTION("""COMPUTED_VALUE"""),25.0)</f>
        <v/>
      </c>
      <c r="N207">
        <f>IFERROR(__xludf.DUMMYFUNCTION("""COMPUTED_VALUE"""),0.45)</f>
        <v/>
      </c>
      <c r="O207">
        <f>IFERROR(__xludf.DUMMYFUNCTION("""COMPUTED_VALUE"""),300.0)</f>
        <v/>
      </c>
      <c r="P207">
        <f>IFERROR(__xludf.DUMMYFUNCTION("""COMPUTED_VALUE"""),0.0)</f>
        <v/>
      </c>
      <c r="Q207">
        <f>IFERROR(__xludf.DUMMYFUNCTION("""COMPUTED_VALUE"""),0.47)</f>
        <v/>
      </c>
      <c r="R207">
        <f>IFERROR(__xludf.DUMMYFUNCTION("""COMPUTED_VALUE"""),1.0)</f>
        <v/>
      </c>
      <c r="S207">
        <f>IFERROR(__xludf.DUMMYFUNCTION("""COMPUTED_VALUE"""),500.0)</f>
        <v/>
      </c>
      <c r="T207">
        <f>IFERROR(__xludf.DUMMYFUNCTION("""COMPUTED_VALUE"""),"1.71")</f>
        <v/>
      </c>
      <c r="U207">
        <f>IFERROR(__xludf.DUMMYFUNCTION("""COMPUTED_VALUE"""),"stop有:1回目 0.93")</f>
        <v/>
      </c>
      <c r="W207">
        <f>IFERROR(__xludf.DUMMYFUNCTION("""COMPUTED_VALUE"""),"2.67")</f>
        <v/>
      </c>
      <c r="X207">
        <f>IFERROR(__xludf.DUMMYFUNCTION("""COMPUTED_VALUE"""),"stop有:1回目 1.53")</f>
        <v/>
      </c>
      <c r="Y207">
        <f>IFERROR(__xludf.DUMMYFUNCTION("""COMPUTED_VALUE"""),"自身のコマと前2コマまで300%の範囲ダメージ")</f>
        <v/>
      </c>
      <c r="Z207">
        <f>IFERROR(__xludf.DUMMYFUNCTION("""COMPUTED_VALUE"""),10.0)</f>
        <v/>
      </c>
      <c r="AB207">
        <f>IFERROR(__xludf.DUMMYFUNCTION("""COMPUTED_VALUE"""),"dageki_1")</f>
        <v/>
      </c>
    </row>
    <row r="208">
      <c r="D208">
        <f>IFERROR(__xludf.DUMMYFUNCTION("""COMPUTED_VALUE"""),"___")</f>
        <v/>
      </c>
      <c r="E208">
        <f>IFERROR(__xludf.DUMMYFUNCTION("""COMPUTED_VALUE"""),"none")</f>
        <v/>
      </c>
      <c r="F208">
        <f>IFERROR(__xludf.DUMMYFUNCTION("""COMPUTED_VALUE"""),"none")</f>
        <v/>
      </c>
      <c r="G208">
        <f>IFERROR(__xludf.DUMMYFUNCTION("""COMPUTED_VALUE"""),"none")</f>
        <v/>
      </c>
      <c r="I208">
        <f>IFERROR(__xludf.DUMMYFUNCTION("""COMPUTED_VALUE"""),"none")</f>
        <v/>
      </c>
      <c r="T208">
        <f>IFERROR(__xludf.DUMMYFUNCTION("""COMPUTED_VALUE"""),"none")</f>
        <v/>
      </c>
      <c r="U208">
        <f>IFERROR(__xludf.DUMMYFUNCTION("""COMPUTED_VALUE"""),"none")</f>
        <v/>
      </c>
      <c r="W208">
        <f>IFERROR(__xludf.DUMMYFUNCTION("""COMPUTED_VALUE"""),"none")</f>
        <v/>
      </c>
      <c r="X208">
        <f>IFERROR(__xludf.DUMMYFUNCTION("""COMPUTED_VALUE"""),"none")</f>
        <v/>
      </c>
      <c r="Z208">
        <f>IFERROR(__xludf.DUMMYFUNCTION("""COMPUTED_VALUE"""),"-")</f>
        <v/>
      </c>
      <c r="AB208">
        <f>IFERROR(__xludf.DUMMYFUNCTION("""COMPUTED_VALUE"""),"none")</f>
        <v/>
      </c>
    </row>
    <row r="209">
      <c r="B209">
        <f>IFERROR(__xludf.DUMMYFUNCTION("""COMPUTED_VALUE"""),"enemy_glo_00002")</f>
        <v/>
      </c>
      <c r="C209">
        <f>IFERROR(__xludf.DUMMYFUNCTION("""COMPUTED_VALUE"""),"_osh1_1d1c")</f>
        <v/>
      </c>
      <c r="D209">
        <f>IFERROR(__xludf.DUMMYFUNCTION("""COMPUTED_VALUE"""),"e_glo_00002_osh1_1d1c_Normal_Colorless")</f>
        <v/>
      </c>
      <c r="E209">
        <f>IFERROR(__xludf.DUMMYFUNCTION("""COMPUTED_VALUE"""),"GLOW")</f>
        <v/>
      </c>
      <c r="F209">
        <f>IFERROR(__xludf.DUMMYFUNCTION("""COMPUTED_VALUE"""),"推し活ファントム")</f>
        <v/>
      </c>
      <c r="G209">
        <f>IFERROR(__xludf.DUMMYFUNCTION("""COMPUTED_VALUE"""),"サイリウム持ちファントム_osh1_1d1c")</f>
        <v/>
      </c>
      <c r="H209">
        <f>IFERROR(__xludf.DUMMYFUNCTION("""COMPUTED_VALUE"""),"Normal")</f>
        <v/>
      </c>
      <c r="I209">
        <f>IFERROR(__xludf.DUMMYFUNCTION("""COMPUTED_VALUE"""),"Attack")</f>
        <v/>
      </c>
      <c r="J209">
        <f>IFERROR(__xludf.DUMMYFUNCTION("""COMPUTED_VALUE"""),"Colorless")</f>
        <v/>
      </c>
      <c r="K209">
        <f>IFERROR(__xludf.DUMMYFUNCTION("""COMPUTED_VALUE"""),10000.0)</f>
        <v/>
      </c>
      <c r="L209">
        <f>IFERROR(__xludf.DUMMYFUNCTION("""COMPUTED_VALUE"""),2.0)</f>
        <v/>
      </c>
      <c r="M209">
        <f>IFERROR(__xludf.DUMMYFUNCTION("""COMPUTED_VALUE"""),30.0)</f>
        <v/>
      </c>
      <c r="N209">
        <f>IFERROR(__xludf.DUMMYFUNCTION("""COMPUTED_VALUE"""),0.2)</f>
        <v/>
      </c>
      <c r="O209">
        <f>IFERROR(__xludf.DUMMYFUNCTION("""COMPUTED_VALUE"""),300.0)</f>
        <v/>
      </c>
      <c r="P209">
        <f>IFERROR(__xludf.DUMMYFUNCTION("""COMPUTED_VALUE"""),0.0)</f>
        <v/>
      </c>
      <c r="Q209">
        <f>IFERROR(__xludf.DUMMYFUNCTION("""COMPUTED_VALUE"""),0.21)</f>
        <v/>
      </c>
      <c r="R209">
        <f>IFERROR(__xludf.DUMMYFUNCTION("""COMPUTED_VALUE"""),1.0)</f>
        <v/>
      </c>
      <c r="S209">
        <f>IFERROR(__xludf.DUMMYFUNCTION("""COMPUTED_VALUE"""),300.0)</f>
        <v/>
      </c>
      <c r="T209">
        <f>IFERROR(__xludf.DUMMYFUNCTION("""COMPUTED_VALUE"""),"1.17")</f>
        <v/>
      </c>
      <c r="U209">
        <f>IFERROR(__xludf.DUMMYFUNCTION("""COMPUTED_VALUE"""),"stop有:1回目 0.6")</f>
        <v/>
      </c>
      <c r="V209">
        <f>IFERROR(__xludf.DUMMYFUNCTION("""COMPUTED_VALUE"""),100.0)</f>
        <v/>
      </c>
      <c r="Z209">
        <f>IFERROR(__xludf.DUMMYFUNCTION("""COMPUTED_VALUE"""),"-")</f>
        <v/>
      </c>
      <c r="AB209">
        <f>IFERROR(__xludf.DUMMYFUNCTION("""COMPUTED_VALUE"""),"dageki_1")</f>
        <v/>
      </c>
    </row>
    <row r="210">
      <c r="B210">
        <f>IFERROR(__xludf.DUMMYFUNCTION("""COMPUTED_VALUE"""),"chara_osh_00601")</f>
        <v/>
      </c>
      <c r="C210">
        <f>IFERROR(__xludf.DUMMYFUNCTION("""COMPUTED_VALUE"""),"_osh1_boot_tan")</f>
        <v/>
      </c>
      <c r="D210">
        <f>IFERROR(__xludf.DUMMYFUNCTION("""COMPUTED_VALUE"""),"c_osh_00601_osh1_boot_tan_Normal_Colorless")</f>
        <v/>
      </c>
      <c r="E210">
        <f>IFERROR(__xludf.DUMMYFUNCTION("""COMPUTED_VALUE"""),"【推しの子】")</f>
        <v/>
      </c>
      <c r="F210">
        <f>IFERROR(__xludf.DUMMYFUNCTION("""COMPUTED_VALUE"""),"ぴえヨン")</f>
        <v/>
      </c>
      <c r="G210">
        <f>IFERROR(__xludf.DUMMYFUNCTION("""COMPUTED_VALUE"""),"ぴえヨン_osh1_boot_tan")</f>
        <v/>
      </c>
      <c r="H210">
        <f>IFERROR(__xludf.DUMMYFUNCTION("""COMPUTED_VALUE"""),"Normal")</f>
        <v/>
      </c>
      <c r="I210">
        <f>IFERROR(__xludf.DUMMYFUNCTION("""COMPUTED_VALUE"""),"Attack")</f>
        <v/>
      </c>
      <c r="J210">
        <f>IFERROR(__xludf.DUMMYFUNCTION("""COMPUTED_VALUE"""),"Colorless")</f>
        <v/>
      </c>
      <c r="K210">
        <f>IFERROR(__xludf.DUMMYFUNCTION("""COMPUTED_VALUE"""),10000.0)</f>
        <v/>
      </c>
      <c r="L210">
        <f>IFERROR(__xludf.DUMMYFUNCTION("""COMPUTED_VALUE"""),2.0)</f>
        <v/>
      </c>
      <c r="M210">
        <f>IFERROR(__xludf.DUMMYFUNCTION("""COMPUTED_VALUE"""),25.0)</f>
        <v/>
      </c>
      <c r="N210">
        <f>IFERROR(__xludf.DUMMYFUNCTION("""COMPUTED_VALUE"""),0.22)</f>
        <v/>
      </c>
      <c r="O210">
        <f>IFERROR(__xludf.DUMMYFUNCTION("""COMPUTED_VALUE"""),300.0)</f>
        <v/>
      </c>
      <c r="P210">
        <f>IFERROR(__xludf.DUMMYFUNCTION("""COMPUTED_VALUE"""),0.0)</f>
        <v/>
      </c>
      <c r="Q210">
        <f>IFERROR(__xludf.DUMMYFUNCTION("""COMPUTED_VALUE"""),0.3)</f>
        <v/>
      </c>
      <c r="R210">
        <f>IFERROR(__xludf.DUMMYFUNCTION("""COMPUTED_VALUE"""),1.0)</f>
        <v/>
      </c>
      <c r="S210">
        <f>IFERROR(__xludf.DUMMYFUNCTION("""COMPUTED_VALUE"""),500.0)</f>
        <v/>
      </c>
      <c r="T210">
        <f>IFERROR(__xludf.DUMMYFUNCTION("""COMPUTED_VALUE"""),"1.10")</f>
        <v/>
      </c>
      <c r="U210">
        <f>IFERROR(__xludf.DUMMYFUNCTION("""COMPUTED_VALUE"""),"stop無:1回目 0.28
stop無:2回目 0.70")</f>
        <v/>
      </c>
      <c r="V210">
        <f>IFERROR(__xludf.DUMMYFUNCTION("""COMPUTED_VALUE"""),80.0)</f>
        <v/>
      </c>
      <c r="W210">
        <f>IFERROR(__xludf.DUMMYFUNCTION("""COMPUTED_VALUE"""),"1.90")</f>
        <v/>
      </c>
      <c r="X210">
        <f>IFERROR(__xludf.DUMMYFUNCTION("""COMPUTED_VALUE"""),"stop無:1回目 0.50
stop無:2回目 0.83
stop無:3回目 1.16
stop無:4回目 1.50")</f>
        <v/>
      </c>
      <c r="Y210">
        <f>IFERROR(__xludf.DUMMYFUNCTION("""COMPUTED_VALUE"""),"使用しない")</f>
        <v/>
      </c>
      <c r="Z210">
        <f>IFERROR(__xludf.DUMMYFUNCTION("""COMPUTED_VALUE"""),"-")</f>
        <v/>
      </c>
      <c r="AB210">
        <f>IFERROR(__xludf.DUMMYFUNCTION("""COMPUTED_VALUE"""),"dageki_1")</f>
        <v/>
      </c>
    </row>
    <row r="211">
      <c r="B211">
        <f>IFERROR(__xludf.DUMMYFUNCTION("""COMPUTED_VALUE"""),"chara_osh_00601")</f>
        <v/>
      </c>
      <c r="C211">
        <f>IFERROR(__xludf.DUMMYFUNCTION("""COMPUTED_VALUE"""),"_osh1_boot_huku")</f>
        <v/>
      </c>
      <c r="D211">
        <f>IFERROR(__xludf.DUMMYFUNCTION("""COMPUTED_VALUE"""),"c_osh_00601_osh1_boot_huku_Boss_Colorless")</f>
        <v/>
      </c>
      <c r="E211">
        <f>IFERROR(__xludf.DUMMYFUNCTION("""COMPUTED_VALUE"""),"【推しの子】")</f>
        <v/>
      </c>
      <c r="F211">
        <f>IFERROR(__xludf.DUMMYFUNCTION("""COMPUTED_VALUE"""),"ぴえヨン")</f>
        <v/>
      </c>
      <c r="G211">
        <f>IFERROR(__xludf.DUMMYFUNCTION("""COMPUTED_VALUE"""),"ぴえヨン_osh1_boot_huku")</f>
        <v/>
      </c>
      <c r="H211">
        <f>IFERROR(__xludf.DUMMYFUNCTION("""COMPUTED_VALUE"""),"Boss")</f>
        <v/>
      </c>
      <c r="I211">
        <f>IFERROR(__xludf.DUMMYFUNCTION("""COMPUTED_VALUE"""),"Attack")</f>
        <v/>
      </c>
      <c r="J211">
        <f>IFERROR(__xludf.DUMMYFUNCTION("""COMPUTED_VALUE"""),"Colorless")</f>
        <v/>
      </c>
      <c r="K211">
        <f>IFERROR(__xludf.DUMMYFUNCTION("""COMPUTED_VALUE"""),10000.0)</f>
        <v/>
      </c>
      <c r="L211">
        <f>IFERROR(__xludf.DUMMYFUNCTION("""COMPUTED_VALUE"""),2.0)</f>
        <v/>
      </c>
      <c r="M211">
        <f>IFERROR(__xludf.DUMMYFUNCTION("""COMPUTED_VALUE"""),45.0)</f>
        <v/>
      </c>
      <c r="N211">
        <f>IFERROR(__xludf.DUMMYFUNCTION("""COMPUTED_VALUE"""),0.22)</f>
        <v/>
      </c>
      <c r="O211">
        <f>IFERROR(__xludf.DUMMYFUNCTION("""COMPUTED_VALUE"""),300.0)</f>
        <v/>
      </c>
      <c r="P211">
        <f>IFERROR(__xludf.DUMMYFUNCTION("""COMPUTED_VALUE"""),0.0)</f>
        <v/>
      </c>
      <c r="Q211">
        <f>IFERROR(__xludf.DUMMYFUNCTION("""COMPUTED_VALUE"""),0.3)</f>
        <v/>
      </c>
      <c r="R211">
        <f>IFERROR(__xludf.DUMMYFUNCTION("""COMPUTED_VALUE"""),1.0)</f>
        <v/>
      </c>
      <c r="S211">
        <f>IFERROR(__xludf.DUMMYFUNCTION("""COMPUTED_VALUE"""),500.0)</f>
        <v/>
      </c>
      <c r="T211">
        <f>IFERROR(__xludf.DUMMYFUNCTION("""COMPUTED_VALUE"""),"1.10")</f>
        <v/>
      </c>
      <c r="U211">
        <f>IFERROR(__xludf.DUMMYFUNCTION("""COMPUTED_VALUE"""),"stop無:1回目 0.28
stop無:2回目 0.70")</f>
        <v/>
      </c>
      <c r="V211">
        <f>IFERROR(__xludf.DUMMYFUNCTION("""COMPUTED_VALUE"""),60.0)</f>
        <v/>
      </c>
      <c r="W211">
        <f>IFERROR(__xludf.DUMMYFUNCTION("""COMPUTED_VALUE"""),"1.90")</f>
        <v/>
      </c>
      <c r="X211">
        <f>IFERROR(__xludf.DUMMYFUNCTION("""COMPUTED_VALUE"""),"stop無:1回目 0.50
stop無:2回目 0.83
stop無:3回目 1.16
stop無:4回目 1.50")</f>
        <v/>
      </c>
      <c r="Y211">
        <f>IFERROR(__xludf.DUMMYFUNCTION("""COMPUTED_VALUE"""),"特殊効果なし")</f>
        <v/>
      </c>
      <c r="Z211">
        <f>IFERROR(__xludf.DUMMYFUNCTION("""COMPUTED_VALUE"""),2.0)</f>
        <v/>
      </c>
      <c r="AB211">
        <f>IFERROR(__xludf.DUMMYFUNCTION("""COMPUTED_VALUE"""),"dageki_1")</f>
        <v/>
      </c>
    </row>
    <row r="212">
      <c r="B212">
        <f>IFERROR(__xludf.DUMMYFUNCTION("""COMPUTED_VALUE"""),"enemy_glo_00001")</f>
        <v/>
      </c>
      <c r="C212">
        <f>IFERROR(__xludf.DUMMYFUNCTION("""COMPUTED_VALUE"""),"_osh1_boot")</f>
        <v/>
      </c>
      <c r="D212">
        <f>IFERROR(__xludf.DUMMYFUNCTION("""COMPUTED_VALUE"""),"e_glo_00001_osh1_boot_Normal_Colorless")</f>
        <v/>
      </c>
      <c r="E212">
        <f>IFERROR(__xludf.DUMMYFUNCTION("""COMPUTED_VALUE"""),"GLOW")</f>
        <v/>
      </c>
      <c r="F212">
        <f>IFERROR(__xludf.DUMMYFUNCTION("""COMPUTED_VALUE"""),"ファントム")</f>
        <v/>
      </c>
      <c r="G212">
        <f>IFERROR(__xludf.DUMMYFUNCTION("""COMPUTED_VALUE"""),"ファントム_osh1_boot")</f>
        <v/>
      </c>
      <c r="H212">
        <f>IFERROR(__xludf.DUMMYFUNCTION("""COMPUTED_VALUE"""),"Normal")</f>
        <v/>
      </c>
      <c r="I212">
        <f>IFERROR(__xludf.DUMMYFUNCTION("""COMPUTED_VALUE"""),"Defense")</f>
        <v/>
      </c>
      <c r="J212">
        <f>IFERROR(__xludf.DUMMYFUNCTION("""COMPUTED_VALUE"""),"Colorless")</f>
        <v/>
      </c>
      <c r="K212">
        <f>IFERROR(__xludf.DUMMYFUNCTION("""COMPUTED_VALUE"""),10000.0)</f>
        <v/>
      </c>
      <c r="L212">
        <f>IFERROR(__xludf.DUMMYFUNCTION("""COMPUTED_VALUE"""),1.0)</f>
        <v/>
      </c>
      <c r="M212">
        <f>IFERROR(__xludf.DUMMYFUNCTION("""COMPUTED_VALUE"""),30.0)</f>
        <v/>
      </c>
      <c r="N212">
        <f>IFERROR(__xludf.DUMMYFUNCTION("""COMPUTED_VALUE"""),0.15)</f>
        <v/>
      </c>
      <c r="O212">
        <f>IFERROR(__xludf.DUMMYFUNCTION("""COMPUTED_VALUE"""),300.0)</f>
        <v/>
      </c>
      <c r="P212">
        <f>IFERROR(__xludf.DUMMYFUNCTION("""COMPUTED_VALUE"""),0.0)</f>
        <v/>
      </c>
      <c r="Q212">
        <f>IFERROR(__xludf.DUMMYFUNCTION("""COMPUTED_VALUE"""),0.18)</f>
        <v/>
      </c>
      <c r="R212">
        <f>IFERROR(__xludf.DUMMYFUNCTION("""COMPUTED_VALUE"""),1.0)</f>
        <v/>
      </c>
      <c r="S212">
        <f>IFERROR(__xludf.DUMMYFUNCTION("""COMPUTED_VALUE"""),100.0)</f>
        <v/>
      </c>
      <c r="T212">
        <f>IFERROR(__xludf.DUMMYFUNCTION("""COMPUTED_VALUE"""),"1.00")</f>
        <v/>
      </c>
      <c r="U212">
        <f>IFERROR(__xludf.DUMMYFUNCTION("""COMPUTED_VALUE"""),"0.50")</f>
        <v/>
      </c>
      <c r="V212">
        <f>IFERROR(__xludf.DUMMYFUNCTION("""COMPUTED_VALUE"""),100.0)</f>
        <v/>
      </c>
      <c r="Z212">
        <f>IFERROR(__xludf.DUMMYFUNCTION("""COMPUTED_VALUE"""),"-")</f>
        <v/>
      </c>
      <c r="AB212">
        <f>IFERROR(__xludf.DUMMYFUNCTION("""COMPUTED_VALUE"""),"dageki_1")</f>
        <v/>
      </c>
    </row>
    <row r="213">
      <c r="B213">
        <f>IFERROR(__xludf.DUMMYFUNCTION("""COMPUTED_VALUE"""),"chara_yuw_00601")</f>
        <v/>
      </c>
      <c r="C213">
        <f>IFERROR(__xludf.DUMMYFUNCTION("""COMPUTED_VALUE"""),"_savege02_yuw")</f>
        <v/>
      </c>
      <c r="D213">
        <f>IFERROR(__xludf.DUMMYFUNCTION("""COMPUTED_VALUE"""),"c_yuw_00601_savege02_yuw_Boss_Yellow")</f>
        <v/>
      </c>
      <c r="E213">
        <f>IFERROR(__xludf.DUMMYFUNCTION("""COMPUTED_VALUE"""),"2.5次元の誘惑")</f>
        <v/>
      </c>
      <c r="F213">
        <f>IFERROR(__xludf.DUMMYFUNCTION("""COMPUTED_VALUE"""),"奥村 正宗")</f>
        <v/>
      </c>
      <c r="G213">
        <f>IFERROR(__xludf.DUMMYFUNCTION("""COMPUTED_VALUE"""),"奥村 正宗_savege02_yuw")</f>
        <v/>
      </c>
      <c r="H213">
        <f>IFERROR(__xludf.DUMMYFUNCTION("""COMPUTED_VALUE"""),"Boss")</f>
        <v/>
      </c>
      <c r="I213">
        <f>IFERROR(__xludf.DUMMYFUNCTION("""COMPUTED_VALUE"""),"Defense")</f>
        <v/>
      </c>
      <c r="J213">
        <f>IFERROR(__xludf.DUMMYFUNCTION("""COMPUTED_VALUE"""),"Yellow")</f>
        <v/>
      </c>
      <c r="K213">
        <f>IFERROR(__xludf.DUMMYFUNCTION("""COMPUTED_VALUE"""),10000.0)</f>
        <v/>
      </c>
      <c r="L213">
        <f>IFERROR(__xludf.DUMMYFUNCTION("""COMPUTED_VALUE"""),2.0)</f>
        <v/>
      </c>
      <c r="M213">
        <f>IFERROR(__xludf.DUMMYFUNCTION("""COMPUTED_VALUE"""),30.0)</f>
        <v/>
      </c>
      <c r="N213">
        <f>IFERROR(__xludf.DUMMYFUNCTION("""COMPUTED_VALUE"""),0.2)</f>
        <v/>
      </c>
      <c r="O213">
        <f>IFERROR(__xludf.DUMMYFUNCTION("""COMPUTED_VALUE"""),500.0)</f>
        <v/>
      </c>
      <c r="P213">
        <f>IFERROR(__xludf.DUMMYFUNCTION("""COMPUTED_VALUE"""),0.0)</f>
        <v/>
      </c>
      <c r="Q213">
        <f>IFERROR(__xludf.DUMMYFUNCTION("""COMPUTED_VALUE"""),0.21)</f>
        <v/>
      </c>
      <c r="R213">
        <f>IFERROR(__xludf.DUMMYFUNCTION("""COMPUTED_VALUE"""),1.0)</f>
        <v/>
      </c>
      <c r="S213">
        <f>IFERROR(__xludf.DUMMYFUNCTION("""COMPUTED_VALUE"""),100.0)</f>
        <v/>
      </c>
      <c r="T213">
        <f>IFERROR(__xludf.DUMMYFUNCTION("""COMPUTED_VALUE"""),"1.20")</f>
        <v/>
      </c>
      <c r="U213">
        <f>IFERROR(__xludf.DUMMYFUNCTION("""COMPUTED_VALUE"""),"0.67")</f>
        <v/>
      </c>
      <c r="V213">
        <f>IFERROR(__xludf.DUMMYFUNCTION("""COMPUTED_VALUE"""),50.0)</f>
        <v/>
      </c>
      <c r="W213">
        <f>IFERROR(__xludf.DUMMYFUNCTION("""COMPUTED_VALUE"""),"1.84")</f>
        <v/>
      </c>
      <c r="X213">
        <f>IFERROR(__xludf.DUMMYFUNCTION("""COMPUTED_VALUE"""),"stop無: 1回目 0.68")</f>
        <v/>
      </c>
      <c r="Y213">
        <f>IFERROR(__xludf.DUMMYFUNCTION("""COMPUTED_VALUE"""),"20秒間、自身が受けるダメージ30%カット")</f>
        <v/>
      </c>
      <c r="Z213">
        <f>IFERROR(__xludf.DUMMYFUNCTION("""COMPUTED_VALUE"""),4.0)</f>
        <v/>
      </c>
      <c r="AA213">
        <f>IFERROR(__xludf.DUMMYFUNCTION("""COMPUTED_VALUE"""),"根性*3")</f>
        <v/>
      </c>
      <c r="AB213">
        <f>IFERROR(__xludf.DUMMYFUNCTION("""COMPUTED_VALUE"""),"dageki_1")</f>
        <v/>
      </c>
    </row>
    <row r="214">
      <c r="B214">
        <f>IFERROR(__xludf.DUMMYFUNCTION("""COMPUTED_VALUE"""),"enemy_glo_00001")</f>
        <v/>
      </c>
      <c r="C214">
        <f>IFERROR(__xludf.DUMMYFUNCTION("""COMPUTED_VALUE"""),"_savage02_yuw_tank")</f>
        <v/>
      </c>
      <c r="D214">
        <f>IFERROR(__xludf.DUMMYFUNCTION("""COMPUTED_VALUE"""),"e_glo_00001_savage02_yuw_tank_Normal_Yellow")</f>
        <v/>
      </c>
      <c r="E214">
        <f>IFERROR(__xludf.DUMMYFUNCTION("""COMPUTED_VALUE"""),"GLOW")</f>
        <v/>
      </c>
      <c r="F214">
        <f>IFERROR(__xludf.DUMMYFUNCTION("""COMPUTED_VALUE"""),"ファントム")</f>
        <v/>
      </c>
      <c r="G214">
        <f>IFERROR(__xludf.DUMMYFUNCTION("""COMPUTED_VALUE"""),"ファントム_savage02_yuw_tank")</f>
        <v/>
      </c>
      <c r="H214">
        <f>IFERROR(__xludf.DUMMYFUNCTION("""COMPUTED_VALUE"""),"Normal")</f>
        <v/>
      </c>
      <c r="I214">
        <f>IFERROR(__xludf.DUMMYFUNCTION("""COMPUTED_VALUE"""),"Attack")</f>
        <v/>
      </c>
      <c r="J214">
        <f>IFERROR(__xludf.DUMMYFUNCTION("""COMPUTED_VALUE"""),"Yellow")</f>
        <v/>
      </c>
      <c r="K214">
        <f>IFERROR(__xludf.DUMMYFUNCTION("""COMPUTED_VALUE"""),10000.0)</f>
        <v/>
      </c>
      <c r="L214">
        <f>IFERROR(__xludf.DUMMYFUNCTION("""COMPUTED_VALUE"""),2.0)</f>
        <v/>
      </c>
      <c r="M214">
        <f>IFERROR(__xludf.DUMMYFUNCTION("""COMPUTED_VALUE"""),37.0)</f>
        <v/>
      </c>
      <c r="N214">
        <f>IFERROR(__xludf.DUMMYFUNCTION("""COMPUTED_VALUE"""),0.2)</f>
        <v/>
      </c>
      <c r="O214">
        <f>IFERROR(__xludf.DUMMYFUNCTION("""COMPUTED_VALUE"""),500.0)</f>
        <v/>
      </c>
      <c r="P214">
        <f>IFERROR(__xludf.DUMMYFUNCTION("""COMPUTED_VALUE"""),0.0)</f>
        <v/>
      </c>
      <c r="Q214">
        <f>IFERROR(__xludf.DUMMYFUNCTION("""COMPUTED_VALUE"""),0.21)</f>
        <v/>
      </c>
      <c r="R214">
        <f>IFERROR(__xludf.DUMMYFUNCTION("""COMPUTED_VALUE"""),1.0)</f>
        <v/>
      </c>
      <c r="S214">
        <f>IFERROR(__xludf.DUMMYFUNCTION("""COMPUTED_VALUE"""),100.0)</f>
        <v/>
      </c>
      <c r="T214">
        <f>IFERROR(__xludf.DUMMYFUNCTION("""COMPUTED_VALUE"""),"1.00")</f>
        <v/>
      </c>
      <c r="U214">
        <f>IFERROR(__xludf.DUMMYFUNCTION("""COMPUTED_VALUE"""),"0.50")</f>
        <v/>
      </c>
      <c r="V214">
        <f>IFERROR(__xludf.DUMMYFUNCTION("""COMPUTED_VALUE"""),50.0)</f>
        <v/>
      </c>
      <c r="Z214">
        <f>IFERROR(__xludf.DUMMYFUNCTION("""COMPUTED_VALUE"""),"-")</f>
        <v/>
      </c>
      <c r="AB214">
        <f>IFERROR(__xludf.DUMMYFUNCTION("""COMPUTED_VALUE"""),"dageki_1")</f>
        <v/>
      </c>
    </row>
    <row r="215">
      <c r="B215">
        <f>IFERROR(__xludf.DUMMYFUNCTION("""COMPUTED_VALUE"""),"chara_osh_00001")</f>
        <v/>
      </c>
      <c r="C215">
        <f>IFERROR(__xludf.DUMMYFUNCTION("""COMPUTED_VALUE"""),"_charaget_repeat")</f>
        <v/>
      </c>
      <c r="D215">
        <f>IFERROR(__xludf.DUMMYFUNCTION("""COMPUTED_VALUE"""),"c_osh_00001_charaget_repeat_Boss_Colorless")</f>
        <v/>
      </c>
      <c r="E215">
        <f>IFERROR(__xludf.DUMMYFUNCTION("""COMPUTED_VALUE"""),"【推しの子】")</f>
        <v/>
      </c>
      <c r="F215">
        <f>IFERROR(__xludf.DUMMYFUNCTION("""COMPUTED_VALUE"""),"B小町不動のセンター アイ")</f>
        <v/>
      </c>
      <c r="G215">
        <f>IFERROR(__xludf.DUMMYFUNCTION("""COMPUTED_VALUE"""),"星野 アイ_charaget_repeat")</f>
        <v/>
      </c>
      <c r="H215">
        <f>IFERROR(__xludf.DUMMYFUNCTION("""COMPUTED_VALUE"""),"Boss")</f>
        <v/>
      </c>
      <c r="I215">
        <f>IFERROR(__xludf.DUMMYFUNCTION("""COMPUTED_VALUE"""),"Technical")</f>
        <v/>
      </c>
      <c r="J215">
        <f>IFERROR(__xludf.DUMMYFUNCTION("""COMPUTED_VALUE"""),"Colorless")</f>
        <v/>
      </c>
      <c r="K215">
        <f>IFERROR(__xludf.DUMMYFUNCTION("""COMPUTED_VALUE"""),10000.0)</f>
        <v/>
      </c>
      <c r="L215">
        <f>IFERROR(__xludf.DUMMYFUNCTION("""COMPUTED_VALUE"""),3.0)</f>
        <v/>
      </c>
      <c r="M215">
        <f>IFERROR(__xludf.DUMMYFUNCTION("""COMPUTED_VALUE"""),32.0)</f>
        <v/>
      </c>
      <c r="N215">
        <f>IFERROR(__xludf.DUMMYFUNCTION("""COMPUTED_VALUE"""),0.27)</f>
        <v/>
      </c>
      <c r="O215">
        <f>IFERROR(__xludf.DUMMYFUNCTION("""COMPUTED_VALUE"""),300.0)</f>
        <v/>
      </c>
      <c r="P215">
        <f>IFERROR(__xludf.DUMMYFUNCTION("""COMPUTED_VALUE"""),0.0)</f>
        <v/>
      </c>
      <c r="Q215">
        <f>IFERROR(__xludf.DUMMYFUNCTION("""COMPUTED_VALUE"""),0.3)</f>
        <v/>
      </c>
      <c r="R215">
        <f>IFERROR(__xludf.DUMMYFUNCTION("""COMPUTED_VALUE"""),1.0)</f>
        <v/>
      </c>
      <c r="S215">
        <f>IFERROR(__xludf.DUMMYFUNCTION("""COMPUTED_VALUE"""),100.0)</f>
        <v/>
      </c>
      <c r="T215">
        <f>IFERROR(__xludf.DUMMYFUNCTION("""COMPUTED_VALUE"""),"1.60")</f>
        <v/>
      </c>
      <c r="U215">
        <f>IFERROR(__xludf.DUMMYFUNCTION("""COMPUTED_VALUE"""),"stop有:1回目 0.43")</f>
        <v/>
      </c>
      <c r="V215">
        <f>IFERROR(__xludf.DUMMYFUNCTION("""COMPUTED_VALUE"""),60.0)</f>
        <v/>
      </c>
      <c r="W215">
        <f>IFERROR(__xludf.DUMMYFUNCTION("""COMPUTED_VALUE"""),"3.24")</f>
        <v/>
      </c>
      <c r="X215">
        <f>IFERROR(__xludf.DUMMYFUNCTION("""COMPUTED_VALUE"""),"stop無:1回目 1.83")</f>
        <v/>
      </c>
      <c r="Z215">
        <f>IFERROR(__xludf.DUMMYFUNCTION("""COMPUTED_VALUE"""),"-")</f>
        <v/>
      </c>
      <c r="AB215">
        <f>IFERROR(__xludf.DUMMYFUNCTION("""COMPUTED_VALUE"""),"shageki_1")</f>
        <v/>
      </c>
    </row>
    <row r="216">
      <c r="B216">
        <f>IFERROR(__xludf.DUMMYFUNCTION("""COMPUTED_VALUE"""),"enemy_glo_00002")</f>
        <v/>
      </c>
      <c r="C216">
        <f>IFERROR(__xludf.DUMMYFUNCTION("""COMPUTED_VALUE"""),"_charaget_repeat")</f>
        <v/>
      </c>
      <c r="D216">
        <f>IFERROR(__xludf.DUMMYFUNCTION("""COMPUTED_VALUE"""),"e_glo_00002_charaget_repeat_Normal_Colorless")</f>
        <v/>
      </c>
      <c r="E216">
        <f>IFERROR(__xludf.DUMMYFUNCTION("""COMPUTED_VALUE"""),"GLOW")</f>
        <v/>
      </c>
      <c r="F216">
        <f>IFERROR(__xludf.DUMMYFUNCTION("""COMPUTED_VALUE"""),"推し活ファントム")</f>
        <v/>
      </c>
      <c r="G216">
        <f>IFERROR(__xludf.DUMMYFUNCTION("""COMPUTED_VALUE"""),"サイリウム持ちファントム_charaget_repeat")</f>
        <v/>
      </c>
      <c r="H216">
        <f>IFERROR(__xludf.DUMMYFUNCTION("""COMPUTED_VALUE"""),"Normal")</f>
        <v/>
      </c>
      <c r="I216">
        <f>IFERROR(__xludf.DUMMYFUNCTION("""COMPUTED_VALUE"""),"Attack")</f>
        <v/>
      </c>
      <c r="J216">
        <f>IFERROR(__xludf.DUMMYFUNCTION("""COMPUTED_VALUE"""),"Colorless")</f>
        <v/>
      </c>
      <c r="K216">
        <f>IFERROR(__xludf.DUMMYFUNCTION("""COMPUTED_VALUE"""),10000.0)</f>
        <v/>
      </c>
      <c r="L216">
        <f>IFERROR(__xludf.DUMMYFUNCTION("""COMPUTED_VALUE"""),3.0)</f>
        <v/>
      </c>
      <c r="M216">
        <f>IFERROR(__xludf.DUMMYFUNCTION("""COMPUTED_VALUE"""),25.0)</f>
        <v/>
      </c>
      <c r="N216">
        <f>IFERROR(__xludf.DUMMYFUNCTION("""COMPUTED_VALUE"""),0.19)</f>
        <v/>
      </c>
      <c r="O216">
        <f>IFERROR(__xludf.DUMMYFUNCTION("""COMPUTED_VALUE"""),300.0)</f>
        <v/>
      </c>
      <c r="P216">
        <f>IFERROR(__xludf.DUMMYFUNCTION("""COMPUTED_VALUE"""),0.0)</f>
        <v/>
      </c>
      <c r="Q216">
        <f>IFERROR(__xludf.DUMMYFUNCTION("""COMPUTED_VALUE"""),0.25)</f>
        <v/>
      </c>
      <c r="R216">
        <f>IFERROR(__xludf.DUMMYFUNCTION("""COMPUTED_VALUE"""),1.0)</f>
        <v/>
      </c>
      <c r="S216">
        <f>IFERROR(__xludf.DUMMYFUNCTION("""COMPUTED_VALUE"""),100.0)</f>
        <v/>
      </c>
      <c r="T216">
        <f>IFERROR(__xludf.DUMMYFUNCTION("""COMPUTED_VALUE"""),"1.17")</f>
        <v/>
      </c>
      <c r="U216">
        <f>IFERROR(__xludf.DUMMYFUNCTION("""COMPUTED_VALUE"""),"stop有:1回目 0.6")</f>
        <v/>
      </c>
      <c r="V216">
        <f>IFERROR(__xludf.DUMMYFUNCTION("""COMPUTED_VALUE"""),60.0)</f>
        <v/>
      </c>
      <c r="Z216">
        <f>IFERROR(__xludf.DUMMYFUNCTION("""COMPUTED_VALUE"""),"-")</f>
        <v/>
      </c>
      <c r="AB216">
        <f>IFERROR(__xludf.DUMMYFUNCTION("""COMPUTED_VALUE"""),"dageki_1")</f>
        <v/>
      </c>
    </row>
    <row r="217">
      <c r="B217">
        <f>IFERROR(__xludf.DUMMYFUNCTION("""COMPUTED_VALUE"""),"chara_osh_00201")</f>
        <v/>
      </c>
      <c r="C217">
        <f>IFERROR(__xludf.DUMMYFUNCTION("""COMPUTED_VALUE"""),"_charaget_repeat")</f>
        <v/>
      </c>
      <c r="D217">
        <f>IFERROR(__xludf.DUMMYFUNCTION("""COMPUTED_VALUE"""),"c_osh_00201_charaget_repeat_Boss_Colorless")</f>
        <v/>
      </c>
      <c r="E217">
        <f>IFERROR(__xludf.DUMMYFUNCTION("""COMPUTED_VALUE"""),"【推しの子】")</f>
        <v/>
      </c>
      <c r="F217">
        <f>IFERROR(__xludf.DUMMYFUNCTION("""COMPUTED_VALUE"""),"星野 ルビー")</f>
        <v/>
      </c>
      <c r="G217">
        <f>IFERROR(__xludf.DUMMYFUNCTION("""COMPUTED_VALUE"""),"星野 ルビー_charaget_repeat")</f>
        <v/>
      </c>
      <c r="H217">
        <f>IFERROR(__xludf.DUMMYFUNCTION("""COMPUTED_VALUE"""),"Boss")</f>
        <v/>
      </c>
      <c r="I217">
        <f>IFERROR(__xludf.DUMMYFUNCTION("""COMPUTED_VALUE"""),"Attack")</f>
        <v/>
      </c>
      <c r="J217">
        <f>IFERROR(__xludf.DUMMYFUNCTION("""COMPUTED_VALUE"""),"Colorless")</f>
        <v/>
      </c>
      <c r="K217">
        <f>IFERROR(__xludf.DUMMYFUNCTION("""COMPUTED_VALUE"""),10000.0)</f>
        <v/>
      </c>
      <c r="L217">
        <f>IFERROR(__xludf.DUMMYFUNCTION("""COMPUTED_VALUE"""),3.0)</f>
        <v/>
      </c>
      <c r="M217">
        <f>IFERROR(__xludf.DUMMYFUNCTION("""COMPUTED_VALUE"""),30.0)</f>
        <v/>
      </c>
      <c r="N217">
        <f>IFERROR(__xludf.DUMMYFUNCTION("""COMPUTED_VALUE"""),0.22)</f>
        <v/>
      </c>
      <c r="O217">
        <f>IFERROR(__xludf.DUMMYFUNCTION("""COMPUTED_VALUE"""),300.0)</f>
        <v/>
      </c>
      <c r="P217">
        <f>IFERROR(__xludf.DUMMYFUNCTION("""COMPUTED_VALUE"""),0.0)</f>
        <v/>
      </c>
      <c r="Q217">
        <f>IFERROR(__xludf.DUMMYFUNCTION("""COMPUTED_VALUE"""),0.23)</f>
        <v/>
      </c>
      <c r="R217">
        <f>IFERROR(__xludf.DUMMYFUNCTION("""COMPUTED_VALUE"""),1.0)</f>
        <v/>
      </c>
      <c r="S217">
        <f>IFERROR(__xludf.DUMMYFUNCTION("""COMPUTED_VALUE"""),500.0)</f>
        <v/>
      </c>
      <c r="T217">
        <f>IFERROR(__xludf.DUMMYFUNCTION("""COMPUTED_VALUE"""),"1.37")</f>
        <v/>
      </c>
      <c r="U217">
        <f>IFERROR(__xludf.DUMMYFUNCTION("""COMPUTED_VALUE"""),"stop有:1回目 0.30
stop有:2回目 0.60")</f>
        <v/>
      </c>
      <c r="V217">
        <f>IFERROR(__xludf.DUMMYFUNCTION("""COMPUTED_VALUE"""),60.0)</f>
        <v/>
      </c>
      <c r="W217">
        <f>IFERROR(__xludf.DUMMYFUNCTION("""COMPUTED_VALUE"""),"3.00")</f>
        <v/>
      </c>
      <c r="X217">
        <f>IFERROR(__xludf.DUMMYFUNCTION("""COMPUTED_VALUE"""),"stop無:1回目 1.66")</f>
        <v/>
      </c>
      <c r="Z217">
        <f>IFERROR(__xludf.DUMMYFUNCTION("""COMPUTED_VALUE"""),"-")</f>
        <v/>
      </c>
      <c r="AB217">
        <f>IFERROR(__xludf.DUMMYFUNCTION("""COMPUTED_VALUE"""),"dageki_2")</f>
        <v/>
      </c>
    </row>
    <row r="218">
      <c r="B218">
        <f>IFERROR(__xludf.DUMMYFUNCTION("""COMPUTED_VALUE"""),"chara_osh_00401")</f>
        <v/>
      </c>
      <c r="C218">
        <f>IFERROR(__xludf.DUMMYFUNCTION("""COMPUTED_VALUE"""),"_charaget_repeat")</f>
        <v/>
      </c>
      <c r="D218">
        <f>IFERROR(__xludf.DUMMYFUNCTION("""COMPUTED_VALUE"""),"c_osh_00401_charaget_repeat_Boss_Colorless")</f>
        <v/>
      </c>
      <c r="E218">
        <f>IFERROR(__xludf.DUMMYFUNCTION("""COMPUTED_VALUE"""),"【推しの子】")</f>
        <v/>
      </c>
      <c r="F218">
        <f>IFERROR(__xludf.DUMMYFUNCTION("""COMPUTED_VALUE"""),"有馬 かな")</f>
        <v/>
      </c>
      <c r="G218">
        <f>IFERROR(__xludf.DUMMYFUNCTION("""COMPUTED_VALUE"""),"有馬 かな_charaget_repeat")</f>
        <v/>
      </c>
      <c r="H218">
        <f>IFERROR(__xludf.DUMMYFUNCTION("""COMPUTED_VALUE"""),"Boss")</f>
        <v/>
      </c>
      <c r="I218">
        <f>IFERROR(__xludf.DUMMYFUNCTION("""COMPUTED_VALUE"""),"Technical")</f>
        <v/>
      </c>
      <c r="J218">
        <f>IFERROR(__xludf.DUMMYFUNCTION("""COMPUTED_VALUE"""),"Colorless")</f>
        <v/>
      </c>
      <c r="K218">
        <f>IFERROR(__xludf.DUMMYFUNCTION("""COMPUTED_VALUE"""),10000.0)</f>
        <v/>
      </c>
      <c r="L218">
        <f>IFERROR(__xludf.DUMMYFUNCTION("""COMPUTED_VALUE"""),3.0)</f>
        <v/>
      </c>
      <c r="M218">
        <f>IFERROR(__xludf.DUMMYFUNCTION("""COMPUTED_VALUE"""),32.0)</f>
        <v/>
      </c>
      <c r="N218">
        <f>IFERROR(__xludf.DUMMYFUNCTION("""COMPUTED_VALUE"""),0.24)</f>
        <v/>
      </c>
      <c r="O218">
        <f>IFERROR(__xludf.DUMMYFUNCTION("""COMPUTED_VALUE"""),300.0)</f>
        <v/>
      </c>
      <c r="P218">
        <f>IFERROR(__xludf.DUMMYFUNCTION("""COMPUTED_VALUE"""),0.0)</f>
        <v/>
      </c>
      <c r="Q218">
        <f>IFERROR(__xludf.DUMMYFUNCTION("""COMPUTED_VALUE"""),0.25)</f>
        <v/>
      </c>
      <c r="R218">
        <f>IFERROR(__xludf.DUMMYFUNCTION("""COMPUTED_VALUE"""),1.0)</f>
        <v/>
      </c>
      <c r="S218">
        <f>IFERROR(__xludf.DUMMYFUNCTION("""COMPUTED_VALUE"""),500.0)</f>
        <v/>
      </c>
      <c r="T218">
        <f>IFERROR(__xludf.DUMMYFUNCTION("""COMPUTED_VALUE"""),"1.17")</f>
        <v/>
      </c>
      <c r="U218">
        <f>IFERROR(__xludf.DUMMYFUNCTION("""COMPUTED_VALUE"""),"0.5")</f>
        <v/>
      </c>
      <c r="V218">
        <f>IFERROR(__xludf.DUMMYFUNCTION("""COMPUTED_VALUE"""),60.0)</f>
        <v/>
      </c>
      <c r="W218">
        <f>IFERROR(__xludf.DUMMYFUNCTION("""COMPUTED_VALUE"""),"2.47")</f>
        <v/>
      </c>
      <c r="X218">
        <f>IFERROR(__xludf.DUMMYFUNCTION("""COMPUTED_VALUE"""),"stop無:1回目 1.00")</f>
        <v/>
      </c>
      <c r="Z218">
        <f>IFERROR(__xludf.DUMMYFUNCTION("""COMPUTED_VALUE"""),"-")</f>
        <v/>
      </c>
      <c r="AB218">
        <f>IFERROR(__xludf.DUMMYFUNCTION("""COMPUTED_VALUE"""),"dageki_2")</f>
        <v/>
      </c>
    </row>
    <row r="219">
      <c r="B219">
        <f>IFERROR(__xludf.DUMMYFUNCTION("""COMPUTED_VALUE"""),"chara_osh_00501")</f>
        <v/>
      </c>
      <c r="C219">
        <f>IFERROR(__xludf.DUMMYFUNCTION("""COMPUTED_VALUE"""),"_charaget_repeat")</f>
        <v/>
      </c>
      <c r="D219">
        <f>IFERROR(__xludf.DUMMYFUNCTION("""COMPUTED_VALUE"""),"c_osh_00501_charaget_repeat_Boss_Yellow")</f>
        <v/>
      </c>
      <c r="E219">
        <f>IFERROR(__xludf.DUMMYFUNCTION("""COMPUTED_VALUE"""),"【推しの子】")</f>
        <v/>
      </c>
      <c r="F219">
        <f>IFERROR(__xludf.DUMMYFUNCTION("""COMPUTED_VALUE"""),"黒川 あかね")</f>
        <v/>
      </c>
      <c r="G219">
        <f>IFERROR(__xludf.DUMMYFUNCTION("""COMPUTED_VALUE"""),"黒川 あかね_charaget_repeat")</f>
        <v/>
      </c>
      <c r="H219">
        <f>IFERROR(__xludf.DUMMYFUNCTION("""COMPUTED_VALUE"""),"Boss")</f>
        <v/>
      </c>
      <c r="I219">
        <f>IFERROR(__xludf.DUMMYFUNCTION("""COMPUTED_VALUE"""),"Technical")</f>
        <v/>
      </c>
      <c r="J219">
        <f>IFERROR(__xludf.DUMMYFUNCTION("""COMPUTED_VALUE"""),"Yellow")</f>
        <v/>
      </c>
      <c r="K219">
        <f>IFERROR(__xludf.DUMMYFUNCTION("""COMPUTED_VALUE"""),10000.0)</f>
        <v/>
      </c>
      <c r="L219">
        <f>IFERROR(__xludf.DUMMYFUNCTION("""COMPUTED_VALUE"""),3.0)</f>
        <v/>
      </c>
      <c r="M219">
        <f>IFERROR(__xludf.DUMMYFUNCTION("""COMPUTED_VALUE"""),30.0)</f>
        <v/>
      </c>
      <c r="N219">
        <f>IFERROR(__xludf.DUMMYFUNCTION("""COMPUTED_VALUE"""),0.26)</f>
        <v/>
      </c>
      <c r="O219">
        <f>IFERROR(__xludf.DUMMYFUNCTION("""COMPUTED_VALUE"""),300.0)</f>
        <v/>
      </c>
      <c r="P219">
        <f>IFERROR(__xludf.DUMMYFUNCTION("""COMPUTED_VALUE"""),0.0)</f>
        <v/>
      </c>
      <c r="Q219">
        <f>IFERROR(__xludf.DUMMYFUNCTION("""COMPUTED_VALUE"""),0.27)</f>
        <v/>
      </c>
      <c r="R219">
        <f>IFERROR(__xludf.DUMMYFUNCTION("""COMPUTED_VALUE"""),1.0)</f>
        <v/>
      </c>
      <c r="S219">
        <f>IFERROR(__xludf.DUMMYFUNCTION("""COMPUTED_VALUE"""),500.0)</f>
        <v/>
      </c>
      <c r="T219">
        <f>IFERROR(__xludf.DUMMYFUNCTION("""COMPUTED_VALUE"""),"1.06")</f>
        <v/>
      </c>
      <c r="U219">
        <f>IFERROR(__xludf.DUMMYFUNCTION("""COMPUTED_VALUE"""),"0.3")</f>
        <v/>
      </c>
      <c r="V219">
        <f>IFERROR(__xludf.DUMMYFUNCTION("""COMPUTED_VALUE"""),60.0)</f>
        <v/>
      </c>
      <c r="W219">
        <f>IFERROR(__xludf.DUMMYFUNCTION("""COMPUTED_VALUE"""),"2.67")</f>
        <v/>
      </c>
      <c r="X219">
        <f>IFERROR(__xludf.DUMMYFUNCTION("""COMPUTED_VALUE"""),"1.78")</f>
        <v/>
      </c>
      <c r="Z219">
        <f>IFERROR(__xludf.DUMMYFUNCTION("""COMPUTED_VALUE"""),"-")</f>
        <v/>
      </c>
      <c r="AB219">
        <f>IFERROR(__xludf.DUMMYFUNCTION("""COMPUTED_VALUE"""),"dageki_1")</f>
        <v/>
      </c>
    </row>
    <row r="220">
      <c r="B220">
        <f>IFERROR(__xludf.DUMMYFUNCTION("""COMPUTED_VALUE"""),"chara_osh_00301")</f>
        <v/>
      </c>
      <c r="C220">
        <f>IFERROR(__xludf.DUMMYFUNCTION("""COMPUTED_VALUE"""),"_charaget_repeat")</f>
        <v/>
      </c>
      <c r="D220">
        <f>IFERROR(__xludf.DUMMYFUNCTION("""COMPUTED_VALUE"""),"c_osh_00301_charaget_repeat_Boss_Yellow")</f>
        <v/>
      </c>
      <c r="E220">
        <f>IFERROR(__xludf.DUMMYFUNCTION("""COMPUTED_VALUE"""),"【推しの子】")</f>
        <v/>
      </c>
      <c r="F220">
        <f>IFERROR(__xludf.DUMMYFUNCTION("""COMPUTED_VALUE"""),"MEMちょ")</f>
        <v/>
      </c>
      <c r="G220">
        <f>IFERROR(__xludf.DUMMYFUNCTION("""COMPUTED_VALUE"""),"MEMちょ_charaget_repeat")</f>
        <v/>
      </c>
      <c r="H220">
        <f>IFERROR(__xludf.DUMMYFUNCTION("""COMPUTED_VALUE"""),"Boss")</f>
        <v/>
      </c>
      <c r="I220">
        <f>IFERROR(__xludf.DUMMYFUNCTION("""COMPUTED_VALUE"""),"Support")</f>
        <v/>
      </c>
      <c r="J220">
        <f>IFERROR(__xludf.DUMMYFUNCTION("""COMPUTED_VALUE"""),"Yellow")</f>
        <v/>
      </c>
      <c r="K220">
        <f>IFERROR(__xludf.DUMMYFUNCTION("""COMPUTED_VALUE"""),10000.0)</f>
        <v/>
      </c>
      <c r="L220">
        <f>IFERROR(__xludf.DUMMYFUNCTION("""COMPUTED_VALUE"""),3.0)</f>
        <v/>
      </c>
      <c r="M220">
        <f>IFERROR(__xludf.DUMMYFUNCTION("""COMPUTED_VALUE"""),30.0)</f>
        <v/>
      </c>
      <c r="N220">
        <f>IFERROR(__xludf.DUMMYFUNCTION("""COMPUTED_VALUE"""),0.27)</f>
        <v/>
      </c>
      <c r="O220">
        <f>IFERROR(__xludf.DUMMYFUNCTION("""COMPUTED_VALUE"""),300.0)</f>
        <v/>
      </c>
      <c r="P220">
        <f>IFERROR(__xludf.DUMMYFUNCTION("""COMPUTED_VALUE"""),0.0)</f>
        <v/>
      </c>
      <c r="Q220">
        <f>IFERROR(__xludf.DUMMYFUNCTION("""COMPUTED_VALUE"""),0.28)</f>
        <v/>
      </c>
      <c r="R220">
        <f>IFERROR(__xludf.DUMMYFUNCTION("""COMPUTED_VALUE"""),1.0)</f>
        <v/>
      </c>
      <c r="S220">
        <f>IFERROR(__xludf.DUMMYFUNCTION("""COMPUTED_VALUE"""),500.0)</f>
        <v/>
      </c>
      <c r="T220">
        <f>IFERROR(__xludf.DUMMYFUNCTION("""COMPUTED_VALUE"""),"1.13")</f>
        <v/>
      </c>
      <c r="U220">
        <f>IFERROR(__xludf.DUMMYFUNCTION("""COMPUTED_VALUE"""),"stop無:1回目 0.18
stop無:1回目 0.35
stop無:1回目 0.52")</f>
        <v/>
      </c>
      <c r="V220">
        <f>IFERROR(__xludf.DUMMYFUNCTION("""COMPUTED_VALUE"""),60.0)</f>
        <v/>
      </c>
      <c r="W220">
        <f>IFERROR(__xludf.DUMMYFUNCTION("""COMPUTED_VALUE"""),"3.33")</f>
        <v/>
      </c>
      <c r="X220">
        <f>IFERROR(__xludf.DUMMYFUNCTION("""COMPUTED_VALUE"""),"stop無:1回目 1.78")</f>
        <v/>
      </c>
      <c r="Y220">
        <f>IFERROR(__xludf.DUMMYFUNCTION("""COMPUTED_VALUE"""),"味方の攻撃10%Up")</f>
        <v/>
      </c>
      <c r="Z220">
        <f>IFERROR(__xludf.DUMMYFUNCTION("""COMPUTED_VALUE"""),"-")</f>
        <v/>
      </c>
      <c r="AB220">
        <f>IFERROR(__xludf.DUMMYFUNCTION("""COMPUTED_VALUE"""),"dageki_1")</f>
        <v/>
      </c>
    </row>
    <row r="221">
      <c r="B221">
        <f>IFERROR(__xludf.DUMMYFUNCTION("""COMPUTED_VALUE"""),"chara_yuw_00201")</f>
        <v/>
      </c>
      <c r="C221">
        <f>IFERROR(__xludf.DUMMYFUNCTION("""COMPUTED_VALUE"""),"_savage02_yuw_support")</f>
        <v/>
      </c>
      <c r="D221">
        <f>IFERROR(__xludf.DUMMYFUNCTION("""COMPUTED_VALUE"""),"c_yuw_00201_savage02_yuw_support_Boss_Yellow")</f>
        <v/>
      </c>
      <c r="E221">
        <f>IFERROR(__xludf.DUMMYFUNCTION("""COMPUTED_VALUE"""),"2.5次元の誘惑")</f>
        <v/>
      </c>
      <c r="F221">
        <f>IFERROR(__xludf.DUMMYFUNCTION("""COMPUTED_VALUE"""),"羽生 まゆり")</f>
        <v/>
      </c>
      <c r="G221">
        <f>IFERROR(__xludf.DUMMYFUNCTION("""COMPUTED_VALUE"""),"羽生 まゆり_savage02_yuw_support")</f>
        <v/>
      </c>
      <c r="H221">
        <f>IFERROR(__xludf.DUMMYFUNCTION("""COMPUTED_VALUE"""),"Boss")</f>
        <v/>
      </c>
      <c r="I221">
        <f>IFERROR(__xludf.DUMMYFUNCTION("""COMPUTED_VALUE"""),"Support")</f>
        <v/>
      </c>
      <c r="J221">
        <f>IFERROR(__xludf.DUMMYFUNCTION("""COMPUTED_VALUE"""),"Yellow")</f>
        <v/>
      </c>
      <c r="K221">
        <f>IFERROR(__xludf.DUMMYFUNCTION("""COMPUTED_VALUE"""),10000.0)</f>
        <v/>
      </c>
      <c r="L221">
        <f>IFERROR(__xludf.DUMMYFUNCTION("""COMPUTED_VALUE"""),3.0)</f>
        <v/>
      </c>
      <c r="M221">
        <f>IFERROR(__xludf.DUMMYFUNCTION("""COMPUTED_VALUE"""),27.0)</f>
        <v/>
      </c>
      <c r="N221">
        <f>IFERROR(__xludf.DUMMYFUNCTION("""COMPUTED_VALUE"""),0.26)</f>
        <v/>
      </c>
      <c r="O221">
        <f>IFERROR(__xludf.DUMMYFUNCTION("""COMPUTED_VALUE"""),300.0)</f>
        <v/>
      </c>
      <c r="P221">
        <f>IFERROR(__xludf.DUMMYFUNCTION("""COMPUTED_VALUE"""),0.0)</f>
        <v/>
      </c>
      <c r="Q221">
        <f>IFERROR(__xludf.DUMMYFUNCTION("""COMPUTED_VALUE"""),0.35)</f>
        <v/>
      </c>
      <c r="R221">
        <f>IFERROR(__xludf.DUMMYFUNCTION("""COMPUTED_VALUE"""),1.0)</f>
        <v/>
      </c>
      <c r="S221">
        <f>IFERROR(__xludf.DUMMYFUNCTION("""COMPUTED_VALUE"""),100.0)</f>
        <v/>
      </c>
      <c r="T221">
        <f>IFERROR(__xludf.DUMMYFUNCTION("""COMPUTED_VALUE"""),"1.06")</f>
        <v/>
      </c>
      <c r="U221">
        <f>IFERROR(__xludf.DUMMYFUNCTION("""COMPUTED_VALUE"""),"0.34")</f>
        <v/>
      </c>
      <c r="V221">
        <f>IFERROR(__xludf.DUMMYFUNCTION("""COMPUTED_VALUE"""),75.0)</f>
        <v/>
      </c>
      <c r="W221">
        <f>IFERROR(__xludf.DUMMYFUNCTION("""COMPUTED_VALUE"""),"4.67")</f>
        <v/>
      </c>
      <c r="X221">
        <f>IFERROR(__xludf.DUMMYFUNCTION("""COMPUTED_VALUE"""),"3.50")</f>
        <v/>
      </c>
      <c r="Y221">
        <f>IFERROR(__xludf.DUMMYFUNCTION("""COMPUTED_VALUE"""),"自身とその一つ前にいるコマの敵複数体の体力を30%回復+自身とその一つ前にいるコマの敵複数体の攻撃を20秒間30%UP")</f>
        <v/>
      </c>
      <c r="Z221">
        <f>IFERROR(__xludf.DUMMYFUNCTION("""COMPUTED_VALUE"""),4.0)</f>
        <v/>
      </c>
      <c r="AA221">
        <f>IFERROR(__xludf.DUMMYFUNCTION("""COMPUTED_VALUE"""),"根性*1")</f>
        <v/>
      </c>
      <c r="AB221">
        <f>IFERROR(__xludf.DUMMYFUNCTION("""COMPUTED_VALUE"""),"dageki_2")</f>
        <v/>
      </c>
    </row>
    <row r="222">
      <c r="B222">
        <f>IFERROR(__xludf.DUMMYFUNCTION("""COMPUTED_VALUE"""),"enemy_glo_00001")</f>
        <v/>
      </c>
      <c r="C222">
        <f>IFERROR(__xludf.DUMMYFUNCTION("""COMPUTED_VALUE"""),"_newyear_2026_1d1c")</f>
        <v/>
      </c>
      <c r="D222">
        <f>IFERROR(__xludf.DUMMYFUNCTION("""COMPUTED_VALUE"""),"e_glo_00001_newyear_2026_1d1c_Normal_Colorless")</f>
        <v/>
      </c>
      <c r="E222">
        <f>IFERROR(__xludf.DUMMYFUNCTION("""COMPUTED_VALUE"""),"GLOW")</f>
        <v/>
      </c>
      <c r="F222">
        <f>IFERROR(__xludf.DUMMYFUNCTION("""COMPUTED_VALUE"""),"ファントム")</f>
        <v/>
      </c>
      <c r="G222">
        <f>IFERROR(__xludf.DUMMYFUNCTION("""COMPUTED_VALUE"""),"ファントム_newyear_2026_1d1c")</f>
        <v/>
      </c>
      <c r="H222">
        <f>IFERROR(__xludf.DUMMYFUNCTION("""COMPUTED_VALUE"""),"Normal")</f>
        <v/>
      </c>
      <c r="I222">
        <f>IFERROR(__xludf.DUMMYFUNCTION("""COMPUTED_VALUE"""),"Attack")</f>
        <v/>
      </c>
      <c r="J222">
        <f>IFERROR(__xludf.DUMMYFUNCTION("""COMPUTED_VALUE"""),"Colorless")</f>
        <v/>
      </c>
      <c r="K222">
        <f>IFERROR(__xludf.DUMMYFUNCTION("""COMPUTED_VALUE"""),10000.0)</f>
        <v/>
      </c>
      <c r="L222">
        <f>IFERROR(__xludf.DUMMYFUNCTION("""COMPUTED_VALUE"""),1.0)</f>
        <v/>
      </c>
      <c r="M222">
        <f>IFERROR(__xludf.DUMMYFUNCTION("""COMPUTED_VALUE"""),30.0)</f>
        <v/>
      </c>
      <c r="N222">
        <f>IFERROR(__xludf.DUMMYFUNCTION("""COMPUTED_VALUE"""),0.15)</f>
        <v/>
      </c>
      <c r="O222">
        <f>IFERROR(__xludf.DUMMYFUNCTION("""COMPUTED_VALUE"""),300.0)</f>
        <v/>
      </c>
      <c r="P222">
        <f>IFERROR(__xludf.DUMMYFUNCTION("""COMPUTED_VALUE"""),0.0)</f>
        <v/>
      </c>
      <c r="Q222">
        <f>IFERROR(__xludf.DUMMYFUNCTION("""COMPUTED_VALUE"""),0.18)</f>
        <v/>
      </c>
      <c r="R222">
        <f>IFERROR(__xludf.DUMMYFUNCTION("""COMPUTED_VALUE"""),1.0)</f>
        <v/>
      </c>
      <c r="S222">
        <f>IFERROR(__xludf.DUMMYFUNCTION("""COMPUTED_VALUE"""),500.0)</f>
        <v/>
      </c>
      <c r="T222">
        <f>IFERROR(__xludf.DUMMYFUNCTION("""COMPUTED_VALUE"""),"1.00")</f>
        <v/>
      </c>
      <c r="U222">
        <f>IFERROR(__xludf.DUMMYFUNCTION("""COMPUTED_VALUE"""),"0.50")</f>
        <v/>
      </c>
      <c r="V222">
        <f>IFERROR(__xludf.DUMMYFUNCTION("""COMPUTED_VALUE"""),100.0)</f>
        <v/>
      </c>
      <c r="Z222">
        <f>IFERROR(__xludf.DUMMYFUNCTION("""COMPUTED_VALUE"""),"-")</f>
        <v/>
      </c>
      <c r="AB222">
        <f>IFERROR(__xludf.DUMMYFUNCTION("""COMPUTED_VALUE"""),"dageki_1")</f>
        <v/>
      </c>
    </row>
    <row r="223">
      <c r="B223">
        <f>IFERROR(__xludf.DUMMYFUNCTION("""COMPUTED_VALUE"""),"enemy_glo_00002")</f>
        <v/>
      </c>
      <c r="C223">
        <f>IFERROR(__xludf.DUMMYFUNCTION("""COMPUTED_VALUE"""),"_osh1savage02")</f>
        <v/>
      </c>
      <c r="D223">
        <f>IFERROR(__xludf.DUMMYFUNCTION("""COMPUTED_VALUE"""),"e_glo_00002_osh1savage02_Normal_Blue")</f>
        <v/>
      </c>
      <c r="E223">
        <f>IFERROR(__xludf.DUMMYFUNCTION("""COMPUTED_VALUE"""),"GLOW")</f>
        <v/>
      </c>
      <c r="F223">
        <f>IFERROR(__xludf.DUMMYFUNCTION("""COMPUTED_VALUE"""),"推し活ファントム")</f>
        <v/>
      </c>
      <c r="G223">
        <f>IFERROR(__xludf.DUMMYFUNCTION("""COMPUTED_VALUE"""),"サイリウム持ちファントム_osh1savage02")</f>
        <v/>
      </c>
      <c r="H223">
        <f>IFERROR(__xludf.DUMMYFUNCTION("""COMPUTED_VALUE"""),"Normal")</f>
        <v/>
      </c>
      <c r="I223">
        <f>IFERROR(__xludf.DUMMYFUNCTION("""COMPUTED_VALUE"""),"Attack")</f>
        <v/>
      </c>
      <c r="J223">
        <f>IFERROR(__xludf.DUMMYFUNCTION("""COMPUTED_VALUE"""),"Blue")</f>
        <v/>
      </c>
      <c r="K223">
        <f>IFERROR(__xludf.DUMMYFUNCTION("""COMPUTED_VALUE"""),10000.0)</f>
        <v/>
      </c>
      <c r="L223">
        <f>IFERROR(__xludf.DUMMYFUNCTION("""COMPUTED_VALUE"""),2.0)</f>
        <v/>
      </c>
      <c r="M223">
        <f>IFERROR(__xludf.DUMMYFUNCTION("""COMPUTED_VALUE"""),35.0)</f>
        <v/>
      </c>
      <c r="N223">
        <f>IFERROR(__xludf.DUMMYFUNCTION("""COMPUTED_VALUE"""),0.17)</f>
        <v/>
      </c>
      <c r="O223">
        <f>IFERROR(__xludf.DUMMYFUNCTION("""COMPUTED_VALUE"""),500.0)</f>
        <v/>
      </c>
      <c r="P223">
        <f>IFERROR(__xludf.DUMMYFUNCTION("""COMPUTED_VALUE"""),0.0)</f>
        <v/>
      </c>
      <c r="Q223">
        <f>IFERROR(__xludf.DUMMYFUNCTION("""COMPUTED_VALUE"""),0.18)</f>
        <v/>
      </c>
      <c r="R223">
        <f>IFERROR(__xludf.DUMMYFUNCTION("""COMPUTED_VALUE"""),1.0)</f>
        <v/>
      </c>
      <c r="S223">
        <f>IFERROR(__xludf.DUMMYFUNCTION("""COMPUTED_VALUE"""),100.0)</f>
        <v/>
      </c>
      <c r="T223">
        <f>IFERROR(__xludf.DUMMYFUNCTION("""COMPUTED_VALUE"""),"1.17")</f>
        <v/>
      </c>
      <c r="U223">
        <f>IFERROR(__xludf.DUMMYFUNCTION("""COMPUTED_VALUE"""),"stop有:1回目 0.6")</f>
        <v/>
      </c>
      <c r="V223">
        <f>IFERROR(__xludf.DUMMYFUNCTION("""COMPUTED_VALUE"""),65.0)</f>
        <v/>
      </c>
      <c r="Z223">
        <f>IFERROR(__xludf.DUMMYFUNCTION("""COMPUTED_VALUE"""),"-")</f>
        <v/>
      </c>
      <c r="AB223">
        <f>IFERROR(__xludf.DUMMYFUNCTION("""COMPUTED_VALUE"""),"dageki_1")</f>
        <v/>
      </c>
    </row>
    <row r="224">
      <c r="B224">
        <f>IFERROR(__xludf.DUMMYFUNCTION("""COMPUTED_VALUE"""),"enemy_glo_00002")</f>
        <v/>
      </c>
      <c r="C224">
        <f>IFERROR(__xludf.DUMMYFUNCTION("""COMPUTED_VALUE"""),"_osh1savage01")</f>
        <v/>
      </c>
      <c r="D224">
        <f>IFERROR(__xludf.DUMMYFUNCTION("""COMPUTED_VALUE"""),"e_glo_00002_osh1savage01_Normal_Yellow")</f>
        <v/>
      </c>
      <c r="E224">
        <f>IFERROR(__xludf.DUMMYFUNCTION("""COMPUTED_VALUE"""),"GLOW")</f>
        <v/>
      </c>
      <c r="F224">
        <f>IFERROR(__xludf.DUMMYFUNCTION("""COMPUTED_VALUE"""),"推し活ファントム")</f>
        <v/>
      </c>
      <c r="G224">
        <f>IFERROR(__xludf.DUMMYFUNCTION("""COMPUTED_VALUE"""),"サイリウム持ちファントム_osh1savage01")</f>
        <v/>
      </c>
      <c r="H224">
        <f>IFERROR(__xludf.DUMMYFUNCTION("""COMPUTED_VALUE"""),"Normal")</f>
        <v/>
      </c>
      <c r="I224">
        <f>IFERROR(__xludf.DUMMYFUNCTION("""COMPUTED_VALUE"""),"Attack")</f>
        <v/>
      </c>
      <c r="J224">
        <f>IFERROR(__xludf.DUMMYFUNCTION("""COMPUTED_VALUE"""),"Yellow")</f>
        <v/>
      </c>
      <c r="K224">
        <f>IFERROR(__xludf.DUMMYFUNCTION("""COMPUTED_VALUE"""),10000.0)</f>
        <v/>
      </c>
      <c r="L224">
        <f>IFERROR(__xludf.DUMMYFUNCTION("""COMPUTED_VALUE"""),2.0)</f>
        <v/>
      </c>
      <c r="M224">
        <f>IFERROR(__xludf.DUMMYFUNCTION("""COMPUTED_VALUE"""),35.0)</f>
        <v/>
      </c>
      <c r="N224">
        <f>IFERROR(__xludf.DUMMYFUNCTION("""COMPUTED_VALUE"""),0.17)</f>
        <v/>
      </c>
      <c r="O224">
        <f>IFERROR(__xludf.DUMMYFUNCTION("""COMPUTED_VALUE"""),500.0)</f>
        <v/>
      </c>
      <c r="P224">
        <f>IFERROR(__xludf.DUMMYFUNCTION("""COMPUTED_VALUE"""),0.0)</f>
        <v/>
      </c>
      <c r="Q224">
        <f>IFERROR(__xludf.DUMMYFUNCTION("""COMPUTED_VALUE"""),0.18)</f>
        <v/>
      </c>
      <c r="R224">
        <f>IFERROR(__xludf.DUMMYFUNCTION("""COMPUTED_VALUE"""),1.0)</f>
        <v/>
      </c>
      <c r="S224">
        <f>IFERROR(__xludf.DUMMYFUNCTION("""COMPUTED_VALUE"""),100.0)</f>
        <v/>
      </c>
      <c r="T224">
        <f>IFERROR(__xludf.DUMMYFUNCTION("""COMPUTED_VALUE"""),"1.17")</f>
        <v/>
      </c>
      <c r="U224">
        <f>IFERROR(__xludf.DUMMYFUNCTION("""COMPUTED_VALUE"""),"stop有:1回目 0.6")</f>
        <v/>
      </c>
      <c r="V224">
        <f>IFERROR(__xludf.DUMMYFUNCTION("""COMPUTED_VALUE"""),65.0)</f>
        <v/>
      </c>
      <c r="Z224">
        <f>IFERROR(__xludf.DUMMYFUNCTION("""COMPUTED_VALUE"""),"-")</f>
        <v/>
      </c>
      <c r="AB224">
        <f>IFERROR(__xludf.DUMMYFUNCTION("""COMPUTED_VALUE"""),"dageki_1")</f>
        <v/>
      </c>
    </row>
    <row r="225">
      <c r="B225">
        <f>IFERROR(__xludf.DUMMYFUNCTION("""COMPUTED_VALUE"""),"enemy_glo_00002")</f>
        <v/>
      </c>
      <c r="C225">
        <f>IFERROR(__xludf.DUMMYFUNCTION("""COMPUTED_VALUE"""),"_osh1savage03b")</f>
        <v/>
      </c>
      <c r="D225">
        <f>IFERROR(__xludf.DUMMYFUNCTION("""COMPUTED_VALUE"""),"e_glo_00002_osh1savage03b_Normal_Green")</f>
        <v/>
      </c>
      <c r="E225">
        <f>IFERROR(__xludf.DUMMYFUNCTION("""COMPUTED_VALUE"""),"GLOW")</f>
        <v/>
      </c>
      <c r="F225">
        <f>IFERROR(__xludf.DUMMYFUNCTION("""COMPUTED_VALUE"""),"推し活ファントム")</f>
        <v/>
      </c>
      <c r="G225">
        <f>IFERROR(__xludf.DUMMYFUNCTION("""COMPUTED_VALUE"""),"サイリウム持ちファントム_osh1savage03b")</f>
        <v/>
      </c>
      <c r="H225">
        <f>IFERROR(__xludf.DUMMYFUNCTION("""COMPUTED_VALUE"""),"Normal")</f>
        <v/>
      </c>
      <c r="I225">
        <f>IFERROR(__xludf.DUMMYFUNCTION("""COMPUTED_VALUE"""),"Attack")</f>
        <v/>
      </c>
      <c r="J225">
        <f>IFERROR(__xludf.DUMMYFUNCTION("""COMPUTED_VALUE"""),"Green")</f>
        <v/>
      </c>
      <c r="K225">
        <f>IFERROR(__xludf.DUMMYFUNCTION("""COMPUTED_VALUE"""),10000.0)</f>
        <v/>
      </c>
      <c r="L225">
        <f>IFERROR(__xludf.DUMMYFUNCTION("""COMPUTED_VALUE"""),2.0)</f>
        <v/>
      </c>
      <c r="M225">
        <f>IFERROR(__xludf.DUMMYFUNCTION("""COMPUTED_VALUE"""),35.0)</f>
        <v/>
      </c>
      <c r="N225">
        <f>IFERROR(__xludf.DUMMYFUNCTION("""COMPUTED_VALUE"""),0.17)</f>
        <v/>
      </c>
      <c r="O225">
        <f>IFERROR(__xludf.DUMMYFUNCTION("""COMPUTED_VALUE"""),500.0)</f>
        <v/>
      </c>
      <c r="P225">
        <f>IFERROR(__xludf.DUMMYFUNCTION("""COMPUTED_VALUE"""),0.0)</f>
        <v/>
      </c>
      <c r="Q225">
        <f>IFERROR(__xludf.DUMMYFUNCTION("""COMPUTED_VALUE"""),0.18)</f>
        <v/>
      </c>
      <c r="R225">
        <f>IFERROR(__xludf.DUMMYFUNCTION("""COMPUTED_VALUE"""),1.0)</f>
        <v/>
      </c>
      <c r="S225">
        <f>IFERROR(__xludf.DUMMYFUNCTION("""COMPUTED_VALUE"""),100.0)</f>
        <v/>
      </c>
      <c r="T225">
        <f>IFERROR(__xludf.DUMMYFUNCTION("""COMPUTED_VALUE"""),"1.17")</f>
        <v/>
      </c>
      <c r="U225">
        <f>IFERROR(__xludf.DUMMYFUNCTION("""COMPUTED_VALUE"""),"stop有:1回目 0.6")</f>
        <v/>
      </c>
      <c r="V225">
        <f>IFERROR(__xludf.DUMMYFUNCTION("""COMPUTED_VALUE"""),65.0)</f>
        <v/>
      </c>
      <c r="Z225">
        <f>IFERROR(__xludf.DUMMYFUNCTION("""COMPUTED_VALUE"""),"-")</f>
        <v/>
      </c>
      <c r="AB225">
        <f>IFERROR(__xludf.DUMMYFUNCTION("""COMPUTED_VALUE"""),"dageki_1")</f>
        <v/>
      </c>
    </row>
    <row r="226">
      <c r="B226">
        <f>IFERROR(__xludf.DUMMYFUNCTION("""COMPUTED_VALUE"""),"enemy_glo_00002")</f>
        <v/>
      </c>
      <c r="C226">
        <f>IFERROR(__xludf.DUMMYFUNCTION("""COMPUTED_VALUE"""),"_osh1savage01")</f>
        <v/>
      </c>
      <c r="D226">
        <f>IFERROR(__xludf.DUMMYFUNCTION("""COMPUTED_VALUE"""),"e_glo_00002_osh1savage01_Normal_Colorless")</f>
        <v/>
      </c>
      <c r="E226">
        <f>IFERROR(__xludf.DUMMYFUNCTION("""COMPUTED_VALUE"""),"GLOW")</f>
        <v/>
      </c>
      <c r="F226">
        <f>IFERROR(__xludf.DUMMYFUNCTION("""COMPUTED_VALUE"""),"推し活ファントム")</f>
        <v/>
      </c>
      <c r="G226">
        <f>IFERROR(__xludf.DUMMYFUNCTION("""COMPUTED_VALUE"""),"サイリウム持ちファントム_osh1savage01")</f>
        <v/>
      </c>
      <c r="H226">
        <f>IFERROR(__xludf.DUMMYFUNCTION("""COMPUTED_VALUE"""),"Normal")</f>
        <v/>
      </c>
      <c r="I226">
        <f>IFERROR(__xludf.DUMMYFUNCTION("""COMPUTED_VALUE"""),"Defense")</f>
        <v/>
      </c>
      <c r="J226">
        <f>IFERROR(__xludf.DUMMYFUNCTION("""COMPUTED_VALUE"""),"Colorless")</f>
        <v/>
      </c>
      <c r="K226">
        <f>IFERROR(__xludf.DUMMYFUNCTION("""COMPUTED_VALUE"""),50000.0)</f>
        <v/>
      </c>
      <c r="L226">
        <f>IFERROR(__xludf.DUMMYFUNCTION("""COMPUTED_VALUE"""),1.0)</f>
        <v/>
      </c>
      <c r="M226">
        <f>IFERROR(__xludf.DUMMYFUNCTION("""COMPUTED_VALUE"""),32.0)</f>
        <v/>
      </c>
      <c r="N226">
        <f>IFERROR(__xludf.DUMMYFUNCTION("""COMPUTED_VALUE"""),0.12)</f>
        <v/>
      </c>
      <c r="O226">
        <f>IFERROR(__xludf.DUMMYFUNCTION("""COMPUTED_VALUE"""),100.0)</f>
        <v/>
      </c>
      <c r="P226">
        <f>IFERROR(__xludf.DUMMYFUNCTION("""COMPUTED_VALUE"""),0.0)</f>
        <v/>
      </c>
      <c r="Q226">
        <f>IFERROR(__xludf.DUMMYFUNCTION("""COMPUTED_VALUE"""),0.13)</f>
        <v/>
      </c>
      <c r="R226">
        <f>IFERROR(__xludf.DUMMYFUNCTION("""COMPUTED_VALUE"""),1.0)</f>
        <v/>
      </c>
      <c r="S226">
        <f>IFERROR(__xludf.DUMMYFUNCTION("""COMPUTED_VALUE"""),100.0)</f>
        <v/>
      </c>
      <c r="T226">
        <f>IFERROR(__xludf.DUMMYFUNCTION("""COMPUTED_VALUE"""),"1.17")</f>
        <v/>
      </c>
      <c r="U226">
        <f>IFERROR(__xludf.DUMMYFUNCTION("""COMPUTED_VALUE"""),"stop有:1回目 0.6")</f>
        <v/>
      </c>
      <c r="V226">
        <f>IFERROR(__xludf.DUMMYFUNCTION("""COMPUTED_VALUE"""),80.0)</f>
        <v/>
      </c>
      <c r="Z226">
        <f>IFERROR(__xludf.DUMMYFUNCTION("""COMPUTED_VALUE"""),"-")</f>
        <v/>
      </c>
      <c r="AB226">
        <f>IFERROR(__xludf.DUMMYFUNCTION("""COMPUTED_VALUE"""),"dageki_1")</f>
        <v/>
      </c>
    </row>
    <row r="227">
      <c r="B227">
        <f>IFERROR(__xludf.DUMMYFUNCTION("""COMPUTED_VALUE"""),"enemy_glo_00002")</f>
        <v/>
      </c>
      <c r="C227">
        <f>IFERROR(__xludf.DUMMYFUNCTION("""COMPUTED_VALUE"""),"_osh1savage03a")</f>
        <v/>
      </c>
      <c r="D227">
        <f>IFERROR(__xludf.DUMMYFUNCTION("""COMPUTED_VALUE"""),"e_glo_00002_osh1savage03a_Normal_Green")</f>
        <v/>
      </c>
      <c r="E227">
        <f>IFERROR(__xludf.DUMMYFUNCTION("""COMPUTED_VALUE"""),"GLOW")</f>
        <v/>
      </c>
      <c r="F227">
        <f>IFERROR(__xludf.DUMMYFUNCTION("""COMPUTED_VALUE"""),"推し活ファントム")</f>
        <v/>
      </c>
      <c r="G227">
        <f>IFERROR(__xludf.DUMMYFUNCTION("""COMPUTED_VALUE"""),"サイリウム持ちファントム_osh1savage03a")</f>
        <v/>
      </c>
      <c r="H227">
        <f>IFERROR(__xludf.DUMMYFUNCTION("""COMPUTED_VALUE"""),"Normal")</f>
        <v/>
      </c>
      <c r="I227">
        <f>IFERROR(__xludf.DUMMYFUNCTION("""COMPUTED_VALUE"""),"Defense")</f>
        <v/>
      </c>
      <c r="J227">
        <f>IFERROR(__xludf.DUMMYFUNCTION("""COMPUTED_VALUE"""),"Green")</f>
        <v/>
      </c>
      <c r="K227">
        <f>IFERROR(__xludf.DUMMYFUNCTION("""COMPUTED_VALUE"""),50000.0)</f>
        <v/>
      </c>
      <c r="L227">
        <f>IFERROR(__xludf.DUMMYFUNCTION("""COMPUTED_VALUE"""),1.0)</f>
        <v/>
      </c>
      <c r="M227">
        <f>IFERROR(__xludf.DUMMYFUNCTION("""COMPUTED_VALUE"""),32.0)</f>
        <v/>
      </c>
      <c r="N227">
        <f>IFERROR(__xludf.DUMMYFUNCTION("""COMPUTED_VALUE"""),0.12)</f>
        <v/>
      </c>
      <c r="O227">
        <f>IFERROR(__xludf.DUMMYFUNCTION("""COMPUTED_VALUE"""),100.0)</f>
        <v/>
      </c>
      <c r="P227">
        <f>IFERROR(__xludf.DUMMYFUNCTION("""COMPUTED_VALUE"""),0.0)</f>
        <v/>
      </c>
      <c r="Q227">
        <f>IFERROR(__xludf.DUMMYFUNCTION("""COMPUTED_VALUE"""),0.13)</f>
        <v/>
      </c>
      <c r="R227">
        <f>IFERROR(__xludf.DUMMYFUNCTION("""COMPUTED_VALUE"""),1.0)</f>
        <v/>
      </c>
      <c r="S227">
        <f>IFERROR(__xludf.DUMMYFUNCTION("""COMPUTED_VALUE"""),100.0)</f>
        <v/>
      </c>
      <c r="T227">
        <f>IFERROR(__xludf.DUMMYFUNCTION("""COMPUTED_VALUE"""),"1.17")</f>
        <v/>
      </c>
      <c r="U227">
        <f>IFERROR(__xludf.DUMMYFUNCTION("""COMPUTED_VALUE"""),"stop有:1回目 0.6")</f>
        <v/>
      </c>
      <c r="V227">
        <f>IFERROR(__xludf.DUMMYFUNCTION("""COMPUTED_VALUE"""),50.0)</f>
        <v/>
      </c>
      <c r="Z227">
        <f>IFERROR(__xludf.DUMMYFUNCTION("""COMPUTED_VALUE"""),"-")</f>
        <v/>
      </c>
      <c r="AB227">
        <f>IFERROR(__xludf.DUMMYFUNCTION("""COMPUTED_VALUE"""),"dageki_1")</f>
        <v/>
      </c>
    </row>
    <row r="228">
      <c r="B228">
        <f>IFERROR(__xludf.DUMMYFUNCTION("""COMPUTED_VALUE"""),"chara_osh_00201")</f>
        <v/>
      </c>
      <c r="C228">
        <f>IFERROR(__xludf.DUMMYFUNCTION("""COMPUTED_VALUE"""),"_osh1savage02")</f>
        <v/>
      </c>
      <c r="D228">
        <f>IFERROR(__xludf.DUMMYFUNCTION("""COMPUTED_VALUE"""),"c_osh_00201_osh1savage02_Normal_Blue")</f>
        <v/>
      </c>
      <c r="E228">
        <f>IFERROR(__xludf.DUMMYFUNCTION("""COMPUTED_VALUE"""),"【推しの子】")</f>
        <v/>
      </c>
      <c r="F228">
        <f>IFERROR(__xludf.DUMMYFUNCTION("""COMPUTED_VALUE"""),"星野 ルビー")</f>
        <v/>
      </c>
      <c r="G228">
        <f>IFERROR(__xludf.DUMMYFUNCTION("""COMPUTED_VALUE"""),"星野 ルビー_osh1savage02")</f>
        <v/>
      </c>
      <c r="H228">
        <f>IFERROR(__xludf.DUMMYFUNCTION("""COMPUTED_VALUE"""),"Normal")</f>
        <v/>
      </c>
      <c r="I228">
        <f>IFERROR(__xludf.DUMMYFUNCTION("""COMPUTED_VALUE"""),"Attack")</f>
        <v/>
      </c>
      <c r="J228">
        <f>IFERROR(__xludf.DUMMYFUNCTION("""COMPUTED_VALUE"""),"Blue")</f>
        <v/>
      </c>
      <c r="K228">
        <f>IFERROR(__xludf.DUMMYFUNCTION("""COMPUTED_VALUE"""),50000.0)</f>
        <v/>
      </c>
      <c r="L228">
        <f>IFERROR(__xludf.DUMMYFUNCTION("""COMPUTED_VALUE"""),3.0)</f>
        <v/>
      </c>
      <c r="M228">
        <f>IFERROR(__xludf.DUMMYFUNCTION("""COMPUTED_VALUE"""),35.0)</f>
        <v/>
      </c>
      <c r="N228">
        <f>IFERROR(__xludf.DUMMYFUNCTION("""COMPUTED_VALUE"""),0.22)</f>
        <v/>
      </c>
      <c r="O228">
        <f>IFERROR(__xludf.DUMMYFUNCTION("""COMPUTED_VALUE"""),300.0)</f>
        <v/>
      </c>
      <c r="P228">
        <f>IFERROR(__xludf.DUMMYFUNCTION("""COMPUTED_VALUE"""),0.0)</f>
        <v/>
      </c>
      <c r="Q228">
        <f>IFERROR(__xludf.DUMMYFUNCTION("""COMPUTED_VALUE"""),0.23)</f>
        <v/>
      </c>
      <c r="R228">
        <f>IFERROR(__xludf.DUMMYFUNCTION("""COMPUTED_VALUE"""),1.0)</f>
        <v/>
      </c>
      <c r="S228">
        <f>IFERROR(__xludf.DUMMYFUNCTION("""COMPUTED_VALUE"""),200.0)</f>
        <v/>
      </c>
      <c r="T228">
        <f>IFERROR(__xludf.DUMMYFUNCTION("""COMPUTED_VALUE"""),"1.37")</f>
        <v/>
      </c>
      <c r="U228">
        <f>IFERROR(__xludf.DUMMYFUNCTION("""COMPUTED_VALUE"""),"stop有:1回目 0.30
stop有:2回目 0.60")</f>
        <v/>
      </c>
      <c r="V228">
        <f>IFERROR(__xludf.DUMMYFUNCTION("""COMPUTED_VALUE"""),75.0)</f>
        <v/>
      </c>
      <c r="W228">
        <f>IFERROR(__xludf.DUMMYFUNCTION("""COMPUTED_VALUE"""),"3.00")</f>
        <v/>
      </c>
      <c r="X228">
        <f>IFERROR(__xludf.DUMMYFUNCTION("""COMPUTED_VALUE"""),"stop無:1回目 1.66")</f>
        <v/>
      </c>
      <c r="Y228">
        <f>IFERROR(__xludf.DUMMYFUNCTION("""COMPUTED_VALUE"""),"自身の攻撃を10秒間、50%Up")</f>
        <v/>
      </c>
      <c r="Z228">
        <f>IFERROR(__xludf.DUMMYFUNCTION("""COMPUTED_VALUE"""),6.0)</f>
        <v/>
      </c>
      <c r="AB228">
        <f>IFERROR(__xludf.DUMMYFUNCTION("""COMPUTED_VALUE"""),"dageki_2")</f>
        <v/>
      </c>
    </row>
    <row r="229">
      <c r="B229">
        <f>IFERROR(__xludf.DUMMYFUNCTION("""COMPUTED_VALUE"""),"chara_osh_00201")</f>
        <v/>
      </c>
      <c r="C229">
        <f>IFERROR(__xludf.DUMMYFUNCTION("""COMPUTED_VALUE"""),"_osh1savage03")</f>
        <v/>
      </c>
      <c r="D229">
        <f>IFERROR(__xludf.DUMMYFUNCTION("""COMPUTED_VALUE"""),"c_osh_00201_osh1savage03_Normal_Green")</f>
        <v/>
      </c>
      <c r="E229">
        <f>IFERROR(__xludf.DUMMYFUNCTION("""COMPUTED_VALUE"""),"【推しの子】")</f>
        <v/>
      </c>
      <c r="F229">
        <f>IFERROR(__xludf.DUMMYFUNCTION("""COMPUTED_VALUE"""),"星野 ルビー")</f>
        <v/>
      </c>
      <c r="G229">
        <f>IFERROR(__xludf.DUMMYFUNCTION("""COMPUTED_VALUE"""),"星野 ルビー_osh1savage03")</f>
        <v/>
      </c>
      <c r="H229">
        <f>IFERROR(__xludf.DUMMYFUNCTION("""COMPUTED_VALUE"""),"Normal")</f>
        <v/>
      </c>
      <c r="I229">
        <f>IFERROR(__xludf.DUMMYFUNCTION("""COMPUTED_VALUE"""),"Attack")</f>
        <v/>
      </c>
      <c r="J229">
        <f>IFERROR(__xludf.DUMMYFUNCTION("""COMPUTED_VALUE"""),"Green")</f>
        <v/>
      </c>
      <c r="K229">
        <f>IFERROR(__xludf.DUMMYFUNCTION("""COMPUTED_VALUE"""),50000.0)</f>
        <v/>
      </c>
      <c r="L229">
        <f>IFERROR(__xludf.DUMMYFUNCTION("""COMPUTED_VALUE"""),3.0)</f>
        <v/>
      </c>
      <c r="M229">
        <f>IFERROR(__xludf.DUMMYFUNCTION("""COMPUTED_VALUE"""),35.0)</f>
        <v/>
      </c>
      <c r="N229">
        <f>IFERROR(__xludf.DUMMYFUNCTION("""COMPUTED_VALUE"""),0.22)</f>
        <v/>
      </c>
      <c r="O229">
        <f>IFERROR(__xludf.DUMMYFUNCTION("""COMPUTED_VALUE"""),300.0)</f>
        <v/>
      </c>
      <c r="P229">
        <f>IFERROR(__xludf.DUMMYFUNCTION("""COMPUTED_VALUE"""),0.0)</f>
        <v/>
      </c>
      <c r="Q229">
        <f>IFERROR(__xludf.DUMMYFUNCTION("""COMPUTED_VALUE"""),0.23)</f>
        <v/>
      </c>
      <c r="R229">
        <f>IFERROR(__xludf.DUMMYFUNCTION("""COMPUTED_VALUE"""),1.0)</f>
        <v/>
      </c>
      <c r="S229">
        <f>IFERROR(__xludf.DUMMYFUNCTION("""COMPUTED_VALUE"""),200.0)</f>
        <v/>
      </c>
      <c r="T229">
        <f>IFERROR(__xludf.DUMMYFUNCTION("""COMPUTED_VALUE"""),"1.37")</f>
        <v/>
      </c>
      <c r="U229">
        <f>IFERROR(__xludf.DUMMYFUNCTION("""COMPUTED_VALUE"""),"stop有:1回目 0.30
stop有:2回目 0.60")</f>
        <v/>
      </c>
      <c r="V229">
        <f>IFERROR(__xludf.DUMMYFUNCTION("""COMPUTED_VALUE"""),75.0)</f>
        <v/>
      </c>
      <c r="W229">
        <f>IFERROR(__xludf.DUMMYFUNCTION("""COMPUTED_VALUE"""),"3.00")</f>
        <v/>
      </c>
      <c r="X229">
        <f>IFERROR(__xludf.DUMMYFUNCTION("""COMPUTED_VALUE"""),"stop無:1回目 1.66")</f>
        <v/>
      </c>
      <c r="Y229">
        <f>IFERROR(__xludf.DUMMYFUNCTION("""COMPUTED_VALUE"""),"自身の攻撃を10秒間、50%Up")</f>
        <v/>
      </c>
      <c r="Z229">
        <f>IFERROR(__xludf.DUMMYFUNCTION("""COMPUTED_VALUE"""),6.0)</f>
        <v/>
      </c>
      <c r="AB229">
        <f>IFERROR(__xludf.DUMMYFUNCTION("""COMPUTED_VALUE"""),"dageki_2")</f>
        <v/>
      </c>
    </row>
    <row r="230">
      <c r="B230">
        <f>IFERROR(__xludf.DUMMYFUNCTION("""COMPUTED_VALUE"""),"chara_osh_00301")</f>
        <v/>
      </c>
      <c r="C230">
        <f>IFERROR(__xludf.DUMMYFUNCTION("""COMPUTED_VALUE"""),"_osh1savage02")</f>
        <v/>
      </c>
      <c r="D230">
        <f>IFERROR(__xludf.DUMMYFUNCTION("""COMPUTED_VALUE"""),"c_osh_00301_osh1savage02_Normal_Blue")</f>
        <v/>
      </c>
      <c r="E230">
        <f>IFERROR(__xludf.DUMMYFUNCTION("""COMPUTED_VALUE"""),"【推しの子】")</f>
        <v/>
      </c>
      <c r="F230">
        <f>IFERROR(__xludf.DUMMYFUNCTION("""COMPUTED_VALUE"""),"MEMちょ")</f>
        <v/>
      </c>
      <c r="G230">
        <f>IFERROR(__xludf.DUMMYFUNCTION("""COMPUTED_VALUE"""),"MEMちょ_osh1savage02")</f>
        <v/>
      </c>
      <c r="H230">
        <f>IFERROR(__xludf.DUMMYFUNCTION("""COMPUTED_VALUE"""),"Normal")</f>
        <v/>
      </c>
      <c r="I230">
        <f>IFERROR(__xludf.DUMMYFUNCTION("""COMPUTED_VALUE"""),"Support")</f>
        <v/>
      </c>
      <c r="J230">
        <f>IFERROR(__xludf.DUMMYFUNCTION("""COMPUTED_VALUE"""),"Blue")</f>
        <v/>
      </c>
      <c r="K230">
        <f>IFERROR(__xludf.DUMMYFUNCTION("""COMPUTED_VALUE"""),50000.0)</f>
        <v/>
      </c>
      <c r="L230">
        <f>IFERROR(__xludf.DUMMYFUNCTION("""COMPUTED_VALUE"""),2.0)</f>
        <v/>
      </c>
      <c r="M230">
        <f>IFERROR(__xludf.DUMMYFUNCTION("""COMPUTED_VALUE"""),30.0)</f>
        <v/>
      </c>
      <c r="N230">
        <f>IFERROR(__xludf.DUMMYFUNCTION("""COMPUTED_VALUE"""),0.27)</f>
        <v/>
      </c>
      <c r="O230">
        <f>IFERROR(__xludf.DUMMYFUNCTION("""COMPUTED_VALUE"""),300.0)</f>
        <v/>
      </c>
      <c r="P230">
        <f>IFERROR(__xludf.DUMMYFUNCTION("""COMPUTED_VALUE"""),0.0)</f>
        <v/>
      </c>
      <c r="Q230">
        <f>IFERROR(__xludf.DUMMYFUNCTION("""COMPUTED_VALUE"""),0.28)</f>
        <v/>
      </c>
      <c r="R230">
        <f>IFERROR(__xludf.DUMMYFUNCTION("""COMPUTED_VALUE"""),1.0)</f>
        <v/>
      </c>
      <c r="S230">
        <f>IFERROR(__xludf.DUMMYFUNCTION("""COMPUTED_VALUE"""),200.0)</f>
        <v/>
      </c>
      <c r="T230">
        <f>IFERROR(__xludf.DUMMYFUNCTION("""COMPUTED_VALUE"""),"1.13")</f>
        <v/>
      </c>
      <c r="U230">
        <f>IFERROR(__xludf.DUMMYFUNCTION("""COMPUTED_VALUE"""),"stop無:1回目 0.18
stop無:1回目 0.35
stop無:1回目 0.52")</f>
        <v/>
      </c>
      <c r="V230">
        <f>IFERROR(__xludf.DUMMYFUNCTION("""COMPUTED_VALUE"""),80.0)</f>
        <v/>
      </c>
      <c r="W230">
        <f>IFERROR(__xludf.DUMMYFUNCTION("""COMPUTED_VALUE"""),"3.33")</f>
        <v/>
      </c>
      <c r="X230">
        <f>IFERROR(__xludf.DUMMYFUNCTION("""COMPUTED_VALUE"""),"stop無:1回目 1.78")</f>
        <v/>
      </c>
      <c r="Y230">
        <f>IFERROR(__xludf.DUMMYFUNCTION("""COMPUTED_VALUE"""),"青属性の攻撃20秒間20%Up")</f>
        <v/>
      </c>
      <c r="Z230">
        <f>IFERROR(__xludf.DUMMYFUNCTION("""COMPUTED_VALUE"""),5.0)</f>
        <v/>
      </c>
      <c r="AB230">
        <f>IFERROR(__xludf.DUMMYFUNCTION("""COMPUTED_VALUE"""),"dageki_1")</f>
        <v/>
      </c>
    </row>
    <row r="231">
      <c r="B231">
        <f>IFERROR(__xludf.DUMMYFUNCTION("""COMPUTED_VALUE"""),"chara_osh_00301")</f>
        <v/>
      </c>
      <c r="C231">
        <f>IFERROR(__xludf.DUMMYFUNCTION("""COMPUTED_VALUE"""),"_osh1savage01")</f>
        <v/>
      </c>
      <c r="D231">
        <f>IFERROR(__xludf.DUMMYFUNCTION("""COMPUTED_VALUE"""),"c_osh_00301_osh1savage01_Normal_Yellow")</f>
        <v/>
      </c>
      <c r="E231">
        <f>IFERROR(__xludf.DUMMYFUNCTION("""COMPUTED_VALUE"""),"【推しの子】")</f>
        <v/>
      </c>
      <c r="F231">
        <f>IFERROR(__xludf.DUMMYFUNCTION("""COMPUTED_VALUE"""),"MEMちょ")</f>
        <v/>
      </c>
      <c r="G231">
        <f>IFERROR(__xludf.DUMMYFUNCTION("""COMPUTED_VALUE"""),"MEMちょ_osh1savage01")</f>
        <v/>
      </c>
      <c r="H231">
        <f>IFERROR(__xludf.DUMMYFUNCTION("""COMPUTED_VALUE"""),"Normal")</f>
        <v/>
      </c>
      <c r="I231">
        <f>IFERROR(__xludf.DUMMYFUNCTION("""COMPUTED_VALUE"""),"Support")</f>
        <v/>
      </c>
      <c r="J231">
        <f>IFERROR(__xludf.DUMMYFUNCTION("""COMPUTED_VALUE"""),"Yellow")</f>
        <v/>
      </c>
      <c r="K231">
        <f>IFERROR(__xludf.DUMMYFUNCTION("""COMPUTED_VALUE"""),50000.0)</f>
        <v/>
      </c>
      <c r="L231">
        <f>IFERROR(__xludf.DUMMYFUNCTION("""COMPUTED_VALUE"""),2.0)</f>
        <v/>
      </c>
      <c r="M231">
        <f>IFERROR(__xludf.DUMMYFUNCTION("""COMPUTED_VALUE"""),30.0)</f>
        <v/>
      </c>
      <c r="N231">
        <f>IFERROR(__xludf.DUMMYFUNCTION("""COMPUTED_VALUE"""),0.27)</f>
        <v/>
      </c>
      <c r="O231">
        <f>IFERROR(__xludf.DUMMYFUNCTION("""COMPUTED_VALUE"""),300.0)</f>
        <v/>
      </c>
      <c r="P231">
        <f>IFERROR(__xludf.DUMMYFUNCTION("""COMPUTED_VALUE"""),0.0)</f>
        <v/>
      </c>
      <c r="Q231">
        <f>IFERROR(__xludf.DUMMYFUNCTION("""COMPUTED_VALUE"""),0.28)</f>
        <v/>
      </c>
      <c r="R231">
        <f>IFERROR(__xludf.DUMMYFUNCTION("""COMPUTED_VALUE"""),1.0)</f>
        <v/>
      </c>
      <c r="S231">
        <f>IFERROR(__xludf.DUMMYFUNCTION("""COMPUTED_VALUE"""),200.0)</f>
        <v/>
      </c>
      <c r="T231">
        <f>IFERROR(__xludf.DUMMYFUNCTION("""COMPUTED_VALUE"""),"1.13")</f>
        <v/>
      </c>
      <c r="U231">
        <f>IFERROR(__xludf.DUMMYFUNCTION("""COMPUTED_VALUE"""),"stop無:1回目 0.18
stop無:1回目 0.35
stop無:1回目 0.52")</f>
        <v/>
      </c>
      <c r="V231">
        <f>IFERROR(__xludf.DUMMYFUNCTION("""COMPUTED_VALUE"""),80.0)</f>
        <v/>
      </c>
      <c r="W231">
        <f>IFERROR(__xludf.DUMMYFUNCTION("""COMPUTED_VALUE"""),"3.33")</f>
        <v/>
      </c>
      <c r="X231">
        <f>IFERROR(__xludf.DUMMYFUNCTION("""COMPUTED_VALUE"""),"stop無:1回目 1.78")</f>
        <v/>
      </c>
      <c r="Y231">
        <f>IFERROR(__xludf.DUMMYFUNCTION("""COMPUTED_VALUE"""),"黄属性の攻撃20秒間20%Up")</f>
        <v/>
      </c>
      <c r="Z231">
        <f>IFERROR(__xludf.DUMMYFUNCTION("""COMPUTED_VALUE"""),5.0)</f>
        <v/>
      </c>
      <c r="AB231">
        <f>IFERROR(__xludf.DUMMYFUNCTION("""COMPUTED_VALUE"""),"dageki_1")</f>
        <v/>
      </c>
    </row>
    <row r="232">
      <c r="B232">
        <f>IFERROR(__xludf.DUMMYFUNCTION("""COMPUTED_VALUE"""),"chara_osh_00301")</f>
        <v/>
      </c>
      <c r="C232">
        <f>IFERROR(__xludf.DUMMYFUNCTION("""COMPUTED_VALUE"""),"_osh1savage03")</f>
        <v/>
      </c>
      <c r="D232">
        <f>IFERROR(__xludf.DUMMYFUNCTION("""COMPUTED_VALUE"""),"c_osh_00301_osh1savage03_Normal_Green")</f>
        <v/>
      </c>
      <c r="E232">
        <f>IFERROR(__xludf.DUMMYFUNCTION("""COMPUTED_VALUE"""),"【推しの子】")</f>
        <v/>
      </c>
      <c r="F232">
        <f>IFERROR(__xludf.DUMMYFUNCTION("""COMPUTED_VALUE"""),"MEMちょ")</f>
        <v/>
      </c>
      <c r="G232">
        <f>IFERROR(__xludf.DUMMYFUNCTION("""COMPUTED_VALUE"""),"MEMちょ_osh1savage03")</f>
        <v/>
      </c>
      <c r="H232">
        <f>IFERROR(__xludf.DUMMYFUNCTION("""COMPUTED_VALUE"""),"Normal")</f>
        <v/>
      </c>
      <c r="I232">
        <f>IFERROR(__xludf.DUMMYFUNCTION("""COMPUTED_VALUE"""),"Support")</f>
        <v/>
      </c>
      <c r="J232">
        <f>IFERROR(__xludf.DUMMYFUNCTION("""COMPUTED_VALUE"""),"Green")</f>
        <v/>
      </c>
      <c r="K232">
        <f>IFERROR(__xludf.DUMMYFUNCTION("""COMPUTED_VALUE"""),50000.0)</f>
        <v/>
      </c>
      <c r="L232">
        <f>IFERROR(__xludf.DUMMYFUNCTION("""COMPUTED_VALUE"""),2.0)</f>
        <v/>
      </c>
      <c r="M232">
        <f>IFERROR(__xludf.DUMMYFUNCTION("""COMPUTED_VALUE"""),30.0)</f>
        <v/>
      </c>
      <c r="N232">
        <f>IFERROR(__xludf.DUMMYFUNCTION("""COMPUTED_VALUE"""),0.27)</f>
        <v/>
      </c>
      <c r="O232">
        <f>IFERROR(__xludf.DUMMYFUNCTION("""COMPUTED_VALUE"""),300.0)</f>
        <v/>
      </c>
      <c r="P232">
        <f>IFERROR(__xludf.DUMMYFUNCTION("""COMPUTED_VALUE"""),0.0)</f>
        <v/>
      </c>
      <c r="Q232">
        <f>IFERROR(__xludf.DUMMYFUNCTION("""COMPUTED_VALUE"""),0.28)</f>
        <v/>
      </c>
      <c r="R232">
        <f>IFERROR(__xludf.DUMMYFUNCTION("""COMPUTED_VALUE"""),1.0)</f>
        <v/>
      </c>
      <c r="S232">
        <f>IFERROR(__xludf.DUMMYFUNCTION("""COMPUTED_VALUE"""),200.0)</f>
        <v/>
      </c>
      <c r="T232">
        <f>IFERROR(__xludf.DUMMYFUNCTION("""COMPUTED_VALUE"""),"1.13")</f>
        <v/>
      </c>
      <c r="U232">
        <f>IFERROR(__xludf.DUMMYFUNCTION("""COMPUTED_VALUE"""),"stop無:1回目 0.18
stop無:1回目 0.35
stop無:1回目 0.52")</f>
        <v/>
      </c>
      <c r="V232">
        <f>IFERROR(__xludf.DUMMYFUNCTION("""COMPUTED_VALUE"""),80.0)</f>
        <v/>
      </c>
      <c r="W232">
        <f>IFERROR(__xludf.DUMMYFUNCTION("""COMPUTED_VALUE"""),"3.33")</f>
        <v/>
      </c>
      <c r="X232">
        <f>IFERROR(__xludf.DUMMYFUNCTION("""COMPUTED_VALUE"""),"stop無:1回目 1.78")</f>
        <v/>
      </c>
      <c r="Y232">
        <f>IFERROR(__xludf.DUMMYFUNCTION("""COMPUTED_VALUE"""),"緑属性の攻撃20秒間20%Up")</f>
        <v/>
      </c>
      <c r="Z232">
        <f>IFERROR(__xludf.DUMMYFUNCTION("""COMPUTED_VALUE"""),5.0)</f>
        <v/>
      </c>
      <c r="AB232">
        <f>IFERROR(__xludf.DUMMYFUNCTION("""COMPUTED_VALUE"""),"dageki_1")</f>
        <v/>
      </c>
    </row>
    <row r="233">
      <c r="B233">
        <f>IFERROR(__xludf.DUMMYFUNCTION("""COMPUTED_VALUE"""),"chara_osh_00401")</f>
        <v/>
      </c>
      <c r="C233">
        <f>IFERROR(__xludf.DUMMYFUNCTION("""COMPUTED_VALUE"""),"_osh1savage02")</f>
        <v/>
      </c>
      <c r="D233">
        <f>IFERROR(__xludf.DUMMYFUNCTION("""COMPUTED_VALUE"""),"c_osh_00401_osh1savage02_Normal_Blue")</f>
        <v/>
      </c>
      <c r="E233">
        <f>IFERROR(__xludf.DUMMYFUNCTION("""COMPUTED_VALUE"""),"【推しの子】")</f>
        <v/>
      </c>
      <c r="F233">
        <f>IFERROR(__xludf.DUMMYFUNCTION("""COMPUTED_VALUE"""),"有馬 かな")</f>
        <v/>
      </c>
      <c r="G233">
        <f>IFERROR(__xludf.DUMMYFUNCTION("""COMPUTED_VALUE"""),"有馬 かな_osh1savage02")</f>
        <v/>
      </c>
      <c r="H233">
        <f>IFERROR(__xludf.DUMMYFUNCTION("""COMPUTED_VALUE"""),"Normal")</f>
        <v/>
      </c>
      <c r="I233">
        <f>IFERROR(__xludf.DUMMYFUNCTION("""COMPUTED_VALUE"""),"Technical")</f>
        <v/>
      </c>
      <c r="J233">
        <f>IFERROR(__xludf.DUMMYFUNCTION("""COMPUTED_VALUE"""),"Blue")</f>
        <v/>
      </c>
      <c r="K233">
        <f>IFERROR(__xludf.DUMMYFUNCTION("""COMPUTED_VALUE"""),50000.0)</f>
        <v/>
      </c>
      <c r="L233">
        <f>IFERROR(__xludf.DUMMYFUNCTION("""COMPUTED_VALUE"""),2.0)</f>
        <v/>
      </c>
      <c r="M233">
        <f>IFERROR(__xludf.DUMMYFUNCTION("""COMPUTED_VALUE"""),36.0)</f>
        <v/>
      </c>
      <c r="N233">
        <f>IFERROR(__xludf.DUMMYFUNCTION("""COMPUTED_VALUE"""),0.24)</f>
        <v/>
      </c>
      <c r="O233">
        <f>IFERROR(__xludf.DUMMYFUNCTION("""COMPUTED_VALUE"""),300.0)</f>
        <v/>
      </c>
      <c r="P233">
        <f>IFERROR(__xludf.DUMMYFUNCTION("""COMPUTED_VALUE"""),0.0)</f>
        <v/>
      </c>
      <c r="Q233">
        <f>IFERROR(__xludf.DUMMYFUNCTION("""COMPUTED_VALUE"""),0.25)</f>
        <v/>
      </c>
      <c r="R233">
        <f>IFERROR(__xludf.DUMMYFUNCTION("""COMPUTED_VALUE"""),1.0)</f>
        <v/>
      </c>
      <c r="S233">
        <f>IFERROR(__xludf.DUMMYFUNCTION("""COMPUTED_VALUE"""),200.0)</f>
        <v/>
      </c>
      <c r="T233">
        <f>IFERROR(__xludf.DUMMYFUNCTION("""COMPUTED_VALUE"""),"1.17")</f>
        <v/>
      </c>
      <c r="U233">
        <f>IFERROR(__xludf.DUMMYFUNCTION("""COMPUTED_VALUE"""),"0.5")</f>
        <v/>
      </c>
      <c r="V233">
        <f>IFERROR(__xludf.DUMMYFUNCTION("""COMPUTED_VALUE"""),60.0)</f>
        <v/>
      </c>
      <c r="W233">
        <f>IFERROR(__xludf.DUMMYFUNCTION("""COMPUTED_VALUE"""),"2.47")</f>
        <v/>
      </c>
      <c r="X233">
        <f>IFERROR(__xludf.DUMMYFUNCTION("""COMPUTED_VALUE"""),"stop無:1回目 1.00")</f>
        <v/>
      </c>
      <c r="Y233">
        <f>IFERROR(__xludf.DUMMYFUNCTION("""COMPUTED_VALUE"""),"中範囲に100%ダメージ + 5秒間のスタン効果付与")</f>
        <v/>
      </c>
      <c r="Z233">
        <f>IFERROR(__xludf.DUMMYFUNCTION("""COMPUTED_VALUE"""),6.0)</f>
        <v/>
      </c>
      <c r="AB233">
        <f>IFERROR(__xludf.DUMMYFUNCTION("""COMPUTED_VALUE"""),"dageki_2")</f>
        <v/>
      </c>
    </row>
    <row r="234">
      <c r="B234">
        <f>IFERROR(__xludf.DUMMYFUNCTION("""COMPUTED_VALUE"""),"chara_osh_00401")</f>
        <v/>
      </c>
      <c r="C234">
        <f>IFERROR(__xludf.DUMMYFUNCTION("""COMPUTED_VALUE"""),"_osh1savage01")</f>
        <v/>
      </c>
      <c r="D234">
        <f>IFERROR(__xludf.DUMMYFUNCTION("""COMPUTED_VALUE"""),"c_osh_00401_osh1savage01_Normal_Yellow")</f>
        <v/>
      </c>
      <c r="E234">
        <f>IFERROR(__xludf.DUMMYFUNCTION("""COMPUTED_VALUE"""),"【推しの子】")</f>
        <v/>
      </c>
      <c r="F234">
        <f>IFERROR(__xludf.DUMMYFUNCTION("""COMPUTED_VALUE"""),"有馬 かな")</f>
        <v/>
      </c>
      <c r="G234">
        <f>IFERROR(__xludf.DUMMYFUNCTION("""COMPUTED_VALUE"""),"有馬 かな_osh1savage01")</f>
        <v/>
      </c>
      <c r="H234">
        <f>IFERROR(__xludf.DUMMYFUNCTION("""COMPUTED_VALUE"""),"Normal")</f>
        <v/>
      </c>
      <c r="I234">
        <f>IFERROR(__xludf.DUMMYFUNCTION("""COMPUTED_VALUE"""),"Technical")</f>
        <v/>
      </c>
      <c r="J234">
        <f>IFERROR(__xludf.DUMMYFUNCTION("""COMPUTED_VALUE"""),"Yellow")</f>
        <v/>
      </c>
      <c r="K234">
        <f>IFERROR(__xludf.DUMMYFUNCTION("""COMPUTED_VALUE"""),50000.0)</f>
        <v/>
      </c>
      <c r="L234">
        <f>IFERROR(__xludf.DUMMYFUNCTION("""COMPUTED_VALUE"""),2.0)</f>
        <v/>
      </c>
      <c r="M234">
        <f>IFERROR(__xludf.DUMMYFUNCTION("""COMPUTED_VALUE"""),36.0)</f>
        <v/>
      </c>
      <c r="N234">
        <f>IFERROR(__xludf.DUMMYFUNCTION("""COMPUTED_VALUE"""),0.24)</f>
        <v/>
      </c>
      <c r="O234">
        <f>IFERROR(__xludf.DUMMYFUNCTION("""COMPUTED_VALUE"""),300.0)</f>
        <v/>
      </c>
      <c r="P234">
        <f>IFERROR(__xludf.DUMMYFUNCTION("""COMPUTED_VALUE"""),0.0)</f>
        <v/>
      </c>
      <c r="Q234">
        <f>IFERROR(__xludf.DUMMYFUNCTION("""COMPUTED_VALUE"""),0.25)</f>
        <v/>
      </c>
      <c r="R234">
        <f>IFERROR(__xludf.DUMMYFUNCTION("""COMPUTED_VALUE"""),1.0)</f>
        <v/>
      </c>
      <c r="S234">
        <f>IFERROR(__xludf.DUMMYFUNCTION("""COMPUTED_VALUE"""),200.0)</f>
        <v/>
      </c>
      <c r="T234">
        <f>IFERROR(__xludf.DUMMYFUNCTION("""COMPUTED_VALUE"""),"1.17")</f>
        <v/>
      </c>
      <c r="U234">
        <f>IFERROR(__xludf.DUMMYFUNCTION("""COMPUTED_VALUE"""),"0.5")</f>
        <v/>
      </c>
      <c r="V234">
        <f>IFERROR(__xludf.DUMMYFUNCTION("""COMPUTED_VALUE"""),60.0)</f>
        <v/>
      </c>
      <c r="W234">
        <f>IFERROR(__xludf.DUMMYFUNCTION("""COMPUTED_VALUE"""),"2.47")</f>
        <v/>
      </c>
      <c r="X234">
        <f>IFERROR(__xludf.DUMMYFUNCTION("""COMPUTED_VALUE"""),"stop無:1回目 1.00")</f>
        <v/>
      </c>
      <c r="Y234">
        <f>IFERROR(__xludf.DUMMYFUNCTION("""COMPUTED_VALUE"""),"中範囲に100%ダメージ + 5秒間のスタン効果付与")</f>
        <v/>
      </c>
      <c r="Z234">
        <f>IFERROR(__xludf.DUMMYFUNCTION("""COMPUTED_VALUE"""),6.0)</f>
        <v/>
      </c>
      <c r="AB234">
        <f>IFERROR(__xludf.DUMMYFUNCTION("""COMPUTED_VALUE"""),"dageki_2")</f>
        <v/>
      </c>
    </row>
    <row r="235">
      <c r="B235">
        <f>IFERROR(__xludf.DUMMYFUNCTION("""COMPUTED_VALUE"""),"chara_osh_00401")</f>
        <v/>
      </c>
      <c r="C235">
        <f>IFERROR(__xludf.DUMMYFUNCTION("""COMPUTED_VALUE"""),"_osh1savage03")</f>
        <v/>
      </c>
      <c r="D235">
        <f>IFERROR(__xludf.DUMMYFUNCTION("""COMPUTED_VALUE"""),"c_osh_00401_osh1savage03_Normal_Green")</f>
        <v/>
      </c>
      <c r="E235">
        <f>IFERROR(__xludf.DUMMYFUNCTION("""COMPUTED_VALUE"""),"【推しの子】")</f>
        <v/>
      </c>
      <c r="F235">
        <f>IFERROR(__xludf.DUMMYFUNCTION("""COMPUTED_VALUE"""),"有馬 かな")</f>
        <v/>
      </c>
      <c r="G235">
        <f>IFERROR(__xludf.DUMMYFUNCTION("""COMPUTED_VALUE"""),"有馬 かな_osh1savage03")</f>
        <v/>
      </c>
      <c r="H235">
        <f>IFERROR(__xludf.DUMMYFUNCTION("""COMPUTED_VALUE"""),"Normal")</f>
        <v/>
      </c>
      <c r="I235">
        <f>IFERROR(__xludf.DUMMYFUNCTION("""COMPUTED_VALUE"""),"Technical")</f>
        <v/>
      </c>
      <c r="J235">
        <f>IFERROR(__xludf.DUMMYFUNCTION("""COMPUTED_VALUE"""),"Green")</f>
        <v/>
      </c>
      <c r="K235">
        <f>IFERROR(__xludf.DUMMYFUNCTION("""COMPUTED_VALUE"""),50000.0)</f>
        <v/>
      </c>
      <c r="L235">
        <f>IFERROR(__xludf.DUMMYFUNCTION("""COMPUTED_VALUE"""),2.0)</f>
        <v/>
      </c>
      <c r="M235">
        <f>IFERROR(__xludf.DUMMYFUNCTION("""COMPUTED_VALUE"""),36.0)</f>
        <v/>
      </c>
      <c r="N235">
        <f>IFERROR(__xludf.DUMMYFUNCTION("""COMPUTED_VALUE"""),0.24)</f>
        <v/>
      </c>
      <c r="O235">
        <f>IFERROR(__xludf.DUMMYFUNCTION("""COMPUTED_VALUE"""),300.0)</f>
        <v/>
      </c>
      <c r="P235">
        <f>IFERROR(__xludf.DUMMYFUNCTION("""COMPUTED_VALUE"""),0.0)</f>
        <v/>
      </c>
      <c r="Q235">
        <f>IFERROR(__xludf.DUMMYFUNCTION("""COMPUTED_VALUE"""),0.25)</f>
        <v/>
      </c>
      <c r="R235">
        <f>IFERROR(__xludf.DUMMYFUNCTION("""COMPUTED_VALUE"""),1.0)</f>
        <v/>
      </c>
      <c r="S235">
        <f>IFERROR(__xludf.DUMMYFUNCTION("""COMPUTED_VALUE"""),200.0)</f>
        <v/>
      </c>
      <c r="T235">
        <f>IFERROR(__xludf.DUMMYFUNCTION("""COMPUTED_VALUE"""),"1.17")</f>
        <v/>
      </c>
      <c r="U235">
        <f>IFERROR(__xludf.DUMMYFUNCTION("""COMPUTED_VALUE"""),"0.5")</f>
        <v/>
      </c>
      <c r="V235">
        <f>IFERROR(__xludf.DUMMYFUNCTION("""COMPUTED_VALUE"""),60.0)</f>
        <v/>
      </c>
      <c r="W235">
        <f>IFERROR(__xludf.DUMMYFUNCTION("""COMPUTED_VALUE"""),"2.47")</f>
        <v/>
      </c>
      <c r="X235">
        <f>IFERROR(__xludf.DUMMYFUNCTION("""COMPUTED_VALUE"""),"stop無:1回目 1.00")</f>
        <v/>
      </c>
      <c r="Y235">
        <f>IFERROR(__xludf.DUMMYFUNCTION("""COMPUTED_VALUE"""),"中範囲に100%ダメージ + 5秒間のスタン効果付与")</f>
        <v/>
      </c>
      <c r="Z235">
        <f>IFERROR(__xludf.DUMMYFUNCTION("""COMPUTED_VALUE"""),6.0)</f>
        <v/>
      </c>
      <c r="AB235">
        <f>IFERROR(__xludf.DUMMYFUNCTION("""COMPUTED_VALUE"""),"dageki_2")</f>
        <v/>
      </c>
    </row>
    <row r="236">
      <c r="B236">
        <f>IFERROR(__xludf.DUMMYFUNCTION("""COMPUTED_VALUE"""),"chara_osh_00501")</f>
        <v/>
      </c>
      <c r="C236">
        <f>IFERROR(__xludf.DUMMYFUNCTION("""COMPUTED_VALUE"""),"_osh1savage01")</f>
        <v/>
      </c>
      <c r="D236">
        <f>IFERROR(__xludf.DUMMYFUNCTION("""COMPUTED_VALUE"""),"c_osh_00501_osh1savage01_Boss_Yellow")</f>
        <v/>
      </c>
      <c r="E236">
        <f>IFERROR(__xludf.DUMMYFUNCTION("""COMPUTED_VALUE"""),"【推しの子】")</f>
        <v/>
      </c>
      <c r="F236">
        <f>IFERROR(__xludf.DUMMYFUNCTION("""COMPUTED_VALUE"""),"黒川 あかね")</f>
        <v/>
      </c>
      <c r="G236">
        <f>IFERROR(__xludf.DUMMYFUNCTION("""COMPUTED_VALUE"""),"黒川 あかね_osh1savage01")</f>
        <v/>
      </c>
      <c r="H236">
        <f>IFERROR(__xludf.DUMMYFUNCTION("""COMPUTED_VALUE"""),"Boss")</f>
        <v/>
      </c>
      <c r="I236">
        <f>IFERROR(__xludf.DUMMYFUNCTION("""COMPUTED_VALUE"""),"Technical")</f>
        <v/>
      </c>
      <c r="J236">
        <f>IFERROR(__xludf.DUMMYFUNCTION("""COMPUTED_VALUE"""),"Yellow")</f>
        <v/>
      </c>
      <c r="K236">
        <f>IFERROR(__xludf.DUMMYFUNCTION("""COMPUTED_VALUE"""),100000.0)</f>
        <v/>
      </c>
      <c r="L236">
        <f>IFERROR(__xludf.DUMMYFUNCTION("""COMPUTED_VALUE"""),1.0)</f>
        <v/>
      </c>
      <c r="M236">
        <f>IFERROR(__xludf.DUMMYFUNCTION("""COMPUTED_VALUE"""),30.0)</f>
        <v/>
      </c>
      <c r="N236">
        <f>IFERROR(__xludf.DUMMYFUNCTION("""COMPUTED_VALUE"""),0.26)</f>
        <v/>
      </c>
      <c r="O236">
        <f>IFERROR(__xludf.DUMMYFUNCTION("""COMPUTED_VALUE"""),300.0)</f>
        <v/>
      </c>
      <c r="P236">
        <f>IFERROR(__xludf.DUMMYFUNCTION("""COMPUTED_VALUE"""),0.0)</f>
        <v/>
      </c>
      <c r="Q236">
        <f>IFERROR(__xludf.DUMMYFUNCTION("""COMPUTED_VALUE"""),0.27)</f>
        <v/>
      </c>
      <c r="R236">
        <f>IFERROR(__xludf.DUMMYFUNCTION("""COMPUTED_VALUE"""),1.0)</f>
        <v/>
      </c>
      <c r="S236">
        <f>IFERROR(__xludf.DUMMYFUNCTION("""COMPUTED_VALUE"""),200.0)</f>
        <v/>
      </c>
      <c r="T236">
        <f>IFERROR(__xludf.DUMMYFUNCTION("""COMPUTED_VALUE"""),"1.06")</f>
        <v/>
      </c>
      <c r="U236">
        <f>IFERROR(__xludf.DUMMYFUNCTION("""COMPUTED_VALUE"""),"0.3")</f>
        <v/>
      </c>
      <c r="V236">
        <f>IFERROR(__xludf.DUMMYFUNCTION("""COMPUTED_VALUE"""),50.0)</f>
        <v/>
      </c>
      <c r="W236">
        <f>IFERROR(__xludf.DUMMYFUNCTION("""COMPUTED_VALUE"""),"2.67")</f>
        <v/>
      </c>
      <c r="X236">
        <f>IFERROR(__xludf.DUMMYFUNCTION("""COMPUTED_VALUE"""),"1.78")</f>
        <v/>
      </c>
      <c r="Y236">
        <f>IFERROR(__xludf.DUMMYFUNCTION("""COMPUTED_VALUE"""),"中範囲に100%ダメージ + 7秒間のスタン効果付与")</f>
        <v/>
      </c>
      <c r="Z236">
        <f>IFERROR(__xludf.DUMMYFUNCTION("""COMPUTED_VALUE"""),8.0)</f>
        <v/>
      </c>
      <c r="AB236">
        <f>IFERROR(__xludf.DUMMYFUNCTION("""COMPUTED_VALUE"""),"dageki_1")</f>
        <v/>
      </c>
    </row>
    <row r="237">
      <c r="B237">
        <f>IFERROR(__xludf.DUMMYFUNCTION("""COMPUTED_VALUE"""),"chara_osh_00001")</f>
        <v/>
      </c>
      <c r="C237">
        <f>IFERROR(__xludf.DUMMYFUNCTION("""COMPUTED_VALUE"""),"_osh1savage02")</f>
        <v/>
      </c>
      <c r="D237">
        <f>IFERROR(__xludf.DUMMYFUNCTION("""COMPUTED_VALUE"""),"c_osh_00001_osh1savage02_Boss_Blue")</f>
        <v/>
      </c>
      <c r="E237">
        <f>IFERROR(__xludf.DUMMYFUNCTION("""COMPUTED_VALUE"""),"【推しの子】")</f>
        <v/>
      </c>
      <c r="F237">
        <f>IFERROR(__xludf.DUMMYFUNCTION("""COMPUTED_VALUE"""),"B小町不動のセンター アイ")</f>
        <v/>
      </c>
      <c r="G237">
        <f>IFERROR(__xludf.DUMMYFUNCTION("""COMPUTED_VALUE"""),"星野 アイ_osh1savage02")</f>
        <v/>
      </c>
      <c r="H237">
        <f>IFERROR(__xludf.DUMMYFUNCTION("""COMPUTED_VALUE"""),"Boss")</f>
        <v/>
      </c>
      <c r="I237">
        <f>IFERROR(__xludf.DUMMYFUNCTION("""COMPUTED_VALUE"""),"Support")</f>
        <v/>
      </c>
      <c r="J237">
        <f>IFERROR(__xludf.DUMMYFUNCTION("""COMPUTED_VALUE"""),"Blue")</f>
        <v/>
      </c>
      <c r="K237">
        <f>IFERROR(__xludf.DUMMYFUNCTION("""COMPUTED_VALUE"""),100000.0)</f>
        <v/>
      </c>
      <c r="L237">
        <f>IFERROR(__xludf.DUMMYFUNCTION("""COMPUTED_VALUE"""),2.0)</f>
        <v/>
      </c>
      <c r="M237">
        <f>IFERROR(__xludf.DUMMYFUNCTION("""COMPUTED_VALUE"""),25.0)</f>
        <v/>
      </c>
      <c r="N237">
        <f>IFERROR(__xludf.DUMMYFUNCTION("""COMPUTED_VALUE"""),0.35)</f>
        <v/>
      </c>
      <c r="O237">
        <f>IFERROR(__xludf.DUMMYFUNCTION("""COMPUTED_VALUE"""),300.0)</f>
        <v/>
      </c>
      <c r="P237">
        <f>IFERROR(__xludf.DUMMYFUNCTION("""COMPUTED_VALUE"""),0.0)</f>
        <v/>
      </c>
      <c r="Q237">
        <f>IFERROR(__xludf.DUMMYFUNCTION("""COMPUTED_VALUE"""),0.36)</f>
        <v/>
      </c>
      <c r="R237">
        <f>IFERROR(__xludf.DUMMYFUNCTION("""COMPUTED_VALUE"""),1.0)</f>
        <v/>
      </c>
      <c r="S237">
        <f>IFERROR(__xludf.DUMMYFUNCTION("""COMPUTED_VALUE"""),200.0)</f>
        <v/>
      </c>
      <c r="T237">
        <f>IFERROR(__xludf.DUMMYFUNCTION("""COMPUTED_VALUE"""),"1.60")</f>
        <v/>
      </c>
      <c r="U237">
        <f>IFERROR(__xludf.DUMMYFUNCTION("""COMPUTED_VALUE"""),"stop有:1回目 0.43")</f>
        <v/>
      </c>
      <c r="V237">
        <f>IFERROR(__xludf.DUMMYFUNCTION("""COMPUTED_VALUE"""),30.0)</f>
        <v/>
      </c>
      <c r="W237">
        <f>IFERROR(__xludf.DUMMYFUNCTION("""COMPUTED_VALUE"""),"3.24")</f>
        <v/>
      </c>
      <c r="X237">
        <f>IFERROR(__xludf.DUMMYFUNCTION("""COMPUTED_VALUE"""),"stop無:1回目 1.83")</f>
        <v/>
      </c>
      <c r="Y237">
        <f>IFERROR(__xludf.DUMMYFUNCTION("""COMPUTED_VALUE"""),"青属性の味方の体力10%回復")</f>
        <v/>
      </c>
      <c r="Z237">
        <f>IFERROR(__xludf.DUMMYFUNCTION("""COMPUTED_VALUE"""),5.0)</f>
        <v/>
      </c>
      <c r="AB237">
        <f>IFERROR(__xludf.DUMMYFUNCTION("""COMPUTED_VALUE"""),"shageki_1")</f>
        <v/>
      </c>
    </row>
    <row r="238">
      <c r="B238">
        <f>IFERROR(__xludf.DUMMYFUNCTION("""COMPUTED_VALUE"""),"chara_osh_00001")</f>
        <v/>
      </c>
      <c r="C238">
        <f>IFERROR(__xludf.DUMMYFUNCTION("""COMPUTED_VALUE"""),"_osh1savage03")</f>
        <v/>
      </c>
      <c r="D238">
        <f>IFERROR(__xludf.DUMMYFUNCTION("""COMPUTED_VALUE"""),"c_osh_00001_osh1savage03_Boss_Green")</f>
        <v/>
      </c>
      <c r="E238">
        <f>IFERROR(__xludf.DUMMYFUNCTION("""COMPUTED_VALUE"""),"【推しの子】")</f>
        <v/>
      </c>
      <c r="F238">
        <f>IFERROR(__xludf.DUMMYFUNCTION("""COMPUTED_VALUE"""),"B小町不動のセンター アイ")</f>
        <v/>
      </c>
      <c r="G238">
        <f>IFERROR(__xludf.DUMMYFUNCTION("""COMPUTED_VALUE"""),"星野 アイ_osh1savage03")</f>
        <v/>
      </c>
      <c r="H238">
        <f>IFERROR(__xludf.DUMMYFUNCTION("""COMPUTED_VALUE"""),"Boss")</f>
        <v/>
      </c>
      <c r="I238">
        <f>IFERROR(__xludf.DUMMYFUNCTION("""COMPUTED_VALUE"""),"Support")</f>
        <v/>
      </c>
      <c r="J238">
        <f>IFERROR(__xludf.DUMMYFUNCTION("""COMPUTED_VALUE"""),"Green")</f>
        <v/>
      </c>
      <c r="K238">
        <f>IFERROR(__xludf.DUMMYFUNCTION("""COMPUTED_VALUE"""),100000.0)</f>
        <v/>
      </c>
      <c r="L238">
        <f>IFERROR(__xludf.DUMMYFUNCTION("""COMPUTED_VALUE"""),2.0)</f>
        <v/>
      </c>
      <c r="M238">
        <f>IFERROR(__xludf.DUMMYFUNCTION("""COMPUTED_VALUE"""),25.0)</f>
        <v/>
      </c>
      <c r="N238">
        <f>IFERROR(__xludf.DUMMYFUNCTION("""COMPUTED_VALUE"""),0.35)</f>
        <v/>
      </c>
      <c r="O238">
        <f>IFERROR(__xludf.DUMMYFUNCTION("""COMPUTED_VALUE"""),300.0)</f>
        <v/>
      </c>
      <c r="P238">
        <f>IFERROR(__xludf.DUMMYFUNCTION("""COMPUTED_VALUE"""),0.0)</f>
        <v/>
      </c>
      <c r="Q238">
        <f>IFERROR(__xludf.DUMMYFUNCTION("""COMPUTED_VALUE"""),0.36)</f>
        <v/>
      </c>
      <c r="R238">
        <f>IFERROR(__xludf.DUMMYFUNCTION("""COMPUTED_VALUE"""),1.0)</f>
        <v/>
      </c>
      <c r="S238">
        <f>IFERROR(__xludf.DUMMYFUNCTION("""COMPUTED_VALUE"""),200.0)</f>
        <v/>
      </c>
      <c r="T238">
        <f>IFERROR(__xludf.DUMMYFUNCTION("""COMPUTED_VALUE"""),"1.60")</f>
        <v/>
      </c>
      <c r="U238">
        <f>IFERROR(__xludf.DUMMYFUNCTION("""COMPUTED_VALUE"""),"stop有:1回目 0.43")</f>
        <v/>
      </c>
      <c r="V238">
        <f>IFERROR(__xludf.DUMMYFUNCTION("""COMPUTED_VALUE"""),30.0)</f>
        <v/>
      </c>
      <c r="W238">
        <f>IFERROR(__xludf.DUMMYFUNCTION("""COMPUTED_VALUE"""),"3.24")</f>
        <v/>
      </c>
      <c r="X238">
        <f>IFERROR(__xludf.DUMMYFUNCTION("""COMPUTED_VALUE"""),"stop無:1回目 1.83")</f>
        <v/>
      </c>
      <c r="Y238">
        <f>IFERROR(__xludf.DUMMYFUNCTION("""COMPUTED_VALUE"""),"緑属性の味方の体力10%回復")</f>
        <v/>
      </c>
      <c r="Z238">
        <f>IFERROR(__xludf.DUMMYFUNCTION("""COMPUTED_VALUE"""),5.0)</f>
        <v/>
      </c>
      <c r="AB238">
        <f>IFERROR(__xludf.DUMMYFUNCTION("""COMPUTED_VALUE"""),"shageki_1")</f>
        <v/>
      </c>
    </row>
    <row r="239">
      <c r="B239">
        <f>IFERROR(__xludf.DUMMYFUNCTION("""COMPUTED_VALUE"""),"chara_osh_00301")</f>
        <v/>
      </c>
      <c r="C239">
        <f>IFERROR(__xludf.DUMMYFUNCTION("""COMPUTED_VALUE"""),"_challenge")</f>
        <v/>
      </c>
      <c r="D239">
        <f>IFERROR(__xludf.DUMMYFUNCTION("""COMPUTED_VALUE"""),"c_osh_00301_challenge_Boss_Yellow")</f>
        <v/>
      </c>
      <c r="E239">
        <f>IFERROR(__xludf.DUMMYFUNCTION("""COMPUTED_VALUE"""),"【推しの子】")</f>
        <v/>
      </c>
      <c r="F239">
        <f>IFERROR(__xludf.DUMMYFUNCTION("""COMPUTED_VALUE"""),"MEMちょ")</f>
        <v/>
      </c>
      <c r="G239">
        <f>IFERROR(__xludf.DUMMYFUNCTION("""COMPUTED_VALUE"""),"MEMちょ_challenge")</f>
        <v/>
      </c>
      <c r="H239">
        <f>IFERROR(__xludf.DUMMYFUNCTION("""COMPUTED_VALUE"""),"Boss")</f>
        <v/>
      </c>
      <c r="I239">
        <f>IFERROR(__xludf.DUMMYFUNCTION("""COMPUTED_VALUE"""),"Support")</f>
        <v/>
      </c>
      <c r="J239">
        <f>IFERROR(__xludf.DUMMYFUNCTION("""COMPUTED_VALUE"""),"Yellow")</f>
        <v/>
      </c>
      <c r="K239">
        <f>IFERROR(__xludf.DUMMYFUNCTION("""COMPUTED_VALUE"""),50000.0)</f>
        <v/>
      </c>
      <c r="L239">
        <f>IFERROR(__xludf.DUMMYFUNCTION("""COMPUTED_VALUE"""),3.0)</f>
        <v/>
      </c>
      <c r="M239">
        <f>IFERROR(__xludf.DUMMYFUNCTION("""COMPUTED_VALUE"""),30.0)</f>
        <v/>
      </c>
      <c r="N239">
        <f>IFERROR(__xludf.DUMMYFUNCTION("""COMPUTED_VALUE"""),0.27)</f>
        <v/>
      </c>
      <c r="O239">
        <f>IFERROR(__xludf.DUMMYFUNCTION("""COMPUTED_VALUE"""),300.0)</f>
        <v/>
      </c>
      <c r="P239">
        <f>IFERROR(__xludf.DUMMYFUNCTION("""COMPUTED_VALUE"""),0.0)</f>
        <v/>
      </c>
      <c r="Q239">
        <f>IFERROR(__xludf.DUMMYFUNCTION("""COMPUTED_VALUE"""),0.28)</f>
        <v/>
      </c>
      <c r="R239">
        <f>IFERROR(__xludf.DUMMYFUNCTION("""COMPUTED_VALUE"""),1.0)</f>
        <v/>
      </c>
      <c r="S239">
        <f>IFERROR(__xludf.DUMMYFUNCTION("""COMPUTED_VALUE"""),500.0)</f>
        <v/>
      </c>
      <c r="T239">
        <f>IFERROR(__xludf.DUMMYFUNCTION("""COMPUTED_VALUE"""),"1.13")</f>
        <v/>
      </c>
      <c r="U239">
        <f>IFERROR(__xludf.DUMMYFUNCTION("""COMPUTED_VALUE"""),"stop無:1回目 0.18
stop無:1回目 0.35
stop無:1回目 0.52")</f>
        <v/>
      </c>
      <c r="V239">
        <f>IFERROR(__xludf.DUMMYFUNCTION("""COMPUTED_VALUE"""),60.0)</f>
        <v/>
      </c>
      <c r="W239">
        <f>IFERROR(__xludf.DUMMYFUNCTION("""COMPUTED_VALUE"""),"3.33")</f>
        <v/>
      </c>
      <c r="X239">
        <f>IFERROR(__xludf.DUMMYFUNCTION("""COMPUTED_VALUE"""),"stop無:1回目 1.78")</f>
        <v/>
      </c>
      <c r="Y239">
        <f>IFERROR(__xludf.DUMMYFUNCTION("""COMPUTED_VALUE"""),"味方の攻撃10%Up")</f>
        <v/>
      </c>
      <c r="Z239">
        <f>IFERROR(__xludf.DUMMYFUNCTION("""COMPUTED_VALUE"""),"-")</f>
        <v/>
      </c>
      <c r="AB239">
        <f>IFERROR(__xludf.DUMMYFUNCTION("""COMPUTED_VALUE"""),"dageki_1")</f>
        <v/>
      </c>
    </row>
    <row r="240">
      <c r="B240">
        <f>IFERROR(__xludf.DUMMYFUNCTION("""COMPUTED_VALUE"""),"chara_osh_00201")</f>
        <v/>
      </c>
      <c r="C240">
        <f>IFERROR(__xludf.DUMMYFUNCTION("""COMPUTED_VALUE"""),"_challenge")</f>
        <v/>
      </c>
      <c r="D240">
        <f>IFERROR(__xludf.DUMMYFUNCTION("""COMPUTED_VALUE"""),"c_osh_00201_challenge_Boss_Red")</f>
        <v/>
      </c>
      <c r="E240">
        <f>IFERROR(__xludf.DUMMYFUNCTION("""COMPUTED_VALUE"""),"【推しの子】")</f>
        <v/>
      </c>
      <c r="F240">
        <f>IFERROR(__xludf.DUMMYFUNCTION("""COMPUTED_VALUE"""),"星野 ルビー")</f>
        <v/>
      </c>
      <c r="G240">
        <f>IFERROR(__xludf.DUMMYFUNCTION("""COMPUTED_VALUE"""),"星野 ルビー_challenge")</f>
        <v/>
      </c>
      <c r="H240">
        <f>IFERROR(__xludf.DUMMYFUNCTION("""COMPUTED_VALUE"""),"Boss")</f>
        <v/>
      </c>
      <c r="I240">
        <f>IFERROR(__xludf.DUMMYFUNCTION("""COMPUTED_VALUE"""),"Attack")</f>
        <v/>
      </c>
      <c r="J240">
        <f>IFERROR(__xludf.DUMMYFUNCTION("""COMPUTED_VALUE"""),"Red")</f>
        <v/>
      </c>
      <c r="K240">
        <f>IFERROR(__xludf.DUMMYFUNCTION("""COMPUTED_VALUE"""),50000.0)</f>
        <v/>
      </c>
      <c r="L240">
        <f>IFERROR(__xludf.DUMMYFUNCTION("""COMPUTED_VALUE"""),3.0)</f>
        <v/>
      </c>
      <c r="M240">
        <f>IFERROR(__xludf.DUMMYFUNCTION("""COMPUTED_VALUE"""),30.0)</f>
        <v/>
      </c>
      <c r="N240">
        <f>IFERROR(__xludf.DUMMYFUNCTION("""COMPUTED_VALUE"""),0.22)</f>
        <v/>
      </c>
      <c r="O240">
        <f>IFERROR(__xludf.DUMMYFUNCTION("""COMPUTED_VALUE"""),300.0)</f>
        <v/>
      </c>
      <c r="P240">
        <f>IFERROR(__xludf.DUMMYFUNCTION("""COMPUTED_VALUE"""),0.0)</f>
        <v/>
      </c>
      <c r="Q240">
        <f>IFERROR(__xludf.DUMMYFUNCTION("""COMPUTED_VALUE"""),0.23)</f>
        <v/>
      </c>
      <c r="R240">
        <f>IFERROR(__xludf.DUMMYFUNCTION("""COMPUTED_VALUE"""),1.0)</f>
        <v/>
      </c>
      <c r="S240">
        <f>IFERROR(__xludf.DUMMYFUNCTION("""COMPUTED_VALUE"""),500.0)</f>
        <v/>
      </c>
      <c r="T240">
        <f>IFERROR(__xludf.DUMMYFUNCTION("""COMPUTED_VALUE"""),"1.37")</f>
        <v/>
      </c>
      <c r="U240">
        <f>IFERROR(__xludf.DUMMYFUNCTION("""COMPUTED_VALUE"""),"stop有:1回目 0.30
stop有:2回目 0.60")</f>
        <v/>
      </c>
      <c r="V240">
        <f>IFERROR(__xludf.DUMMYFUNCTION("""COMPUTED_VALUE"""),60.0)</f>
        <v/>
      </c>
      <c r="W240">
        <f>IFERROR(__xludf.DUMMYFUNCTION("""COMPUTED_VALUE"""),"3.00")</f>
        <v/>
      </c>
      <c r="X240">
        <f>IFERROR(__xludf.DUMMYFUNCTION("""COMPUTED_VALUE"""),"stop無:1回目 1.66")</f>
        <v/>
      </c>
      <c r="Y240">
        <f>IFERROR(__xludf.DUMMYFUNCTION("""COMPUTED_VALUE"""),"自身の攻撃50%Up")</f>
        <v/>
      </c>
      <c r="Z240">
        <f>IFERROR(__xludf.DUMMYFUNCTION("""COMPUTED_VALUE"""),"-")</f>
        <v/>
      </c>
      <c r="AB240">
        <f>IFERROR(__xludf.DUMMYFUNCTION("""COMPUTED_VALUE"""),"dageki_2")</f>
        <v/>
      </c>
    </row>
    <row r="241">
      <c r="B241">
        <f>IFERROR(__xludf.DUMMYFUNCTION("""COMPUTED_VALUE"""),"chara_osh_00401")</f>
        <v/>
      </c>
      <c r="C241">
        <f>IFERROR(__xludf.DUMMYFUNCTION("""COMPUTED_VALUE"""),"_challenge")</f>
        <v/>
      </c>
      <c r="D241">
        <f>IFERROR(__xludf.DUMMYFUNCTION("""COMPUTED_VALUE"""),"c_osh_00401_challenge_Boss_Green")</f>
        <v/>
      </c>
      <c r="E241">
        <f>IFERROR(__xludf.DUMMYFUNCTION("""COMPUTED_VALUE"""),"【推しの子】")</f>
        <v/>
      </c>
      <c r="F241">
        <f>IFERROR(__xludf.DUMMYFUNCTION("""COMPUTED_VALUE"""),"有馬 かな")</f>
        <v/>
      </c>
      <c r="G241">
        <f>IFERROR(__xludf.DUMMYFUNCTION("""COMPUTED_VALUE"""),"有馬 かな_challenge")</f>
        <v/>
      </c>
      <c r="H241">
        <f>IFERROR(__xludf.DUMMYFUNCTION("""COMPUTED_VALUE"""),"Boss")</f>
        <v/>
      </c>
      <c r="I241">
        <f>IFERROR(__xludf.DUMMYFUNCTION("""COMPUTED_VALUE"""),"Technical")</f>
        <v/>
      </c>
      <c r="J241">
        <f>IFERROR(__xludf.DUMMYFUNCTION("""COMPUTED_VALUE"""),"Green")</f>
        <v/>
      </c>
      <c r="K241">
        <f>IFERROR(__xludf.DUMMYFUNCTION("""COMPUTED_VALUE"""),50000.0)</f>
        <v/>
      </c>
      <c r="L241">
        <f>IFERROR(__xludf.DUMMYFUNCTION("""COMPUTED_VALUE"""),3.0)</f>
        <v/>
      </c>
      <c r="M241">
        <f>IFERROR(__xludf.DUMMYFUNCTION("""COMPUTED_VALUE"""),32.0)</f>
        <v/>
      </c>
      <c r="N241">
        <f>IFERROR(__xludf.DUMMYFUNCTION("""COMPUTED_VALUE"""),0.24)</f>
        <v/>
      </c>
      <c r="O241">
        <f>IFERROR(__xludf.DUMMYFUNCTION("""COMPUTED_VALUE"""),300.0)</f>
        <v/>
      </c>
      <c r="P241">
        <f>IFERROR(__xludf.DUMMYFUNCTION("""COMPUTED_VALUE"""),0.0)</f>
        <v/>
      </c>
      <c r="Q241">
        <f>IFERROR(__xludf.DUMMYFUNCTION("""COMPUTED_VALUE"""),0.25)</f>
        <v/>
      </c>
      <c r="R241">
        <f>IFERROR(__xludf.DUMMYFUNCTION("""COMPUTED_VALUE"""),1.0)</f>
        <v/>
      </c>
      <c r="S241">
        <f>IFERROR(__xludf.DUMMYFUNCTION("""COMPUTED_VALUE"""),500.0)</f>
        <v/>
      </c>
      <c r="T241">
        <f>IFERROR(__xludf.DUMMYFUNCTION("""COMPUTED_VALUE"""),"1.17")</f>
        <v/>
      </c>
      <c r="U241">
        <f>IFERROR(__xludf.DUMMYFUNCTION("""COMPUTED_VALUE"""),"0.5")</f>
        <v/>
      </c>
      <c r="V241">
        <f>IFERROR(__xludf.DUMMYFUNCTION("""COMPUTED_VALUE"""),60.0)</f>
        <v/>
      </c>
      <c r="W241">
        <f>IFERROR(__xludf.DUMMYFUNCTION("""COMPUTED_VALUE"""),"2.47")</f>
        <v/>
      </c>
      <c r="X241">
        <f>IFERROR(__xludf.DUMMYFUNCTION("""COMPUTED_VALUE"""),"stop無:1回目 1.00")</f>
        <v/>
      </c>
      <c r="Y241">
        <f>IFERROR(__xludf.DUMMYFUNCTION("""COMPUTED_VALUE"""),"スタン")</f>
        <v/>
      </c>
      <c r="Z241">
        <f>IFERROR(__xludf.DUMMYFUNCTION("""COMPUTED_VALUE"""),"-")</f>
        <v/>
      </c>
      <c r="AB241">
        <f>IFERROR(__xludf.DUMMYFUNCTION("""COMPUTED_VALUE"""),"dageki_2")</f>
        <v/>
      </c>
    </row>
    <row r="242">
      <c r="B242">
        <f>IFERROR(__xludf.DUMMYFUNCTION("""COMPUTED_VALUE"""),"chara_osh_00001")</f>
        <v/>
      </c>
      <c r="C242">
        <f>IFERROR(__xludf.DUMMYFUNCTION("""COMPUTED_VALUE"""),"_challenge")</f>
        <v/>
      </c>
      <c r="D242">
        <f>IFERROR(__xludf.DUMMYFUNCTION("""COMPUTED_VALUE"""),"c_osh_00001_challenge_Boss_Red")</f>
        <v/>
      </c>
      <c r="E242">
        <f>IFERROR(__xludf.DUMMYFUNCTION("""COMPUTED_VALUE"""),"【推しの子】")</f>
        <v/>
      </c>
      <c r="F242">
        <f>IFERROR(__xludf.DUMMYFUNCTION("""COMPUTED_VALUE"""),"B小町不動のセンター アイ")</f>
        <v/>
      </c>
      <c r="G242">
        <f>IFERROR(__xludf.DUMMYFUNCTION("""COMPUTED_VALUE"""),"星野 アイ_challenge")</f>
        <v/>
      </c>
      <c r="H242">
        <f>IFERROR(__xludf.DUMMYFUNCTION("""COMPUTED_VALUE"""),"Boss")</f>
        <v/>
      </c>
      <c r="I242">
        <f>IFERROR(__xludf.DUMMYFUNCTION("""COMPUTED_VALUE"""),"Technical")</f>
        <v/>
      </c>
      <c r="J242">
        <f>IFERROR(__xludf.DUMMYFUNCTION("""COMPUTED_VALUE"""),"Red")</f>
        <v/>
      </c>
      <c r="K242">
        <f>IFERROR(__xludf.DUMMYFUNCTION("""COMPUTED_VALUE"""),50000.0)</f>
        <v/>
      </c>
      <c r="L242">
        <f>IFERROR(__xludf.DUMMYFUNCTION("""COMPUTED_VALUE"""),3.0)</f>
        <v/>
      </c>
      <c r="M242">
        <f>IFERROR(__xludf.DUMMYFUNCTION("""COMPUTED_VALUE"""),32.0)</f>
        <v/>
      </c>
      <c r="N242">
        <f>IFERROR(__xludf.DUMMYFUNCTION("""COMPUTED_VALUE"""),0.27)</f>
        <v/>
      </c>
      <c r="O242">
        <f>IFERROR(__xludf.DUMMYFUNCTION("""COMPUTED_VALUE"""),300.0)</f>
        <v/>
      </c>
      <c r="P242">
        <f>IFERROR(__xludf.DUMMYFUNCTION("""COMPUTED_VALUE"""),0.0)</f>
        <v/>
      </c>
      <c r="Q242">
        <f>IFERROR(__xludf.DUMMYFUNCTION("""COMPUTED_VALUE"""),0.3)</f>
        <v/>
      </c>
      <c r="R242">
        <f>IFERROR(__xludf.DUMMYFUNCTION("""COMPUTED_VALUE"""),1.0)</f>
        <v/>
      </c>
      <c r="S242">
        <f>IFERROR(__xludf.DUMMYFUNCTION("""COMPUTED_VALUE"""),500.0)</f>
        <v/>
      </c>
      <c r="T242">
        <f>IFERROR(__xludf.DUMMYFUNCTION("""COMPUTED_VALUE"""),"1.60")</f>
        <v/>
      </c>
      <c r="U242">
        <f>IFERROR(__xludf.DUMMYFUNCTION("""COMPUTED_VALUE"""),"stop有:1回目 0.43")</f>
        <v/>
      </c>
      <c r="V242">
        <f>IFERROR(__xludf.DUMMYFUNCTION("""COMPUTED_VALUE"""),60.0)</f>
        <v/>
      </c>
      <c r="W242">
        <f>IFERROR(__xludf.DUMMYFUNCTION("""COMPUTED_VALUE"""),"3.24")</f>
        <v/>
      </c>
      <c r="X242">
        <f>IFERROR(__xludf.DUMMYFUNCTION("""COMPUTED_VALUE"""),"stop無:1回目 1.83")</f>
        <v/>
      </c>
      <c r="Y242">
        <f>IFERROR(__xludf.DUMMYFUNCTION("""COMPUTED_VALUE"""),"スタン")</f>
        <v/>
      </c>
      <c r="Z242">
        <f>IFERROR(__xludf.DUMMYFUNCTION("""COMPUTED_VALUE"""),"-")</f>
        <v/>
      </c>
      <c r="AB242">
        <f>IFERROR(__xludf.DUMMYFUNCTION("""COMPUTED_VALUE"""),"shageki_1")</f>
        <v/>
      </c>
    </row>
    <row r="243">
      <c r="B243">
        <f>IFERROR(__xludf.DUMMYFUNCTION("""COMPUTED_VALUE"""),"enemy_glo_00002")</f>
        <v/>
      </c>
      <c r="C243">
        <f>IFERROR(__xludf.DUMMYFUNCTION("""COMPUTED_VALUE"""),"_challenge")</f>
        <v/>
      </c>
      <c r="D243">
        <f>IFERROR(__xludf.DUMMYFUNCTION("""COMPUTED_VALUE"""),"e_glo_00002_challenge_Normal_Colorless")</f>
        <v/>
      </c>
      <c r="E243">
        <f>IFERROR(__xludf.DUMMYFUNCTION("""COMPUTED_VALUE"""),"GLOW")</f>
        <v/>
      </c>
      <c r="F243">
        <f>IFERROR(__xludf.DUMMYFUNCTION("""COMPUTED_VALUE"""),"推し活ファントム")</f>
        <v/>
      </c>
      <c r="G243">
        <f>IFERROR(__xludf.DUMMYFUNCTION("""COMPUTED_VALUE"""),"サイリウム持ちファントム_challenge")</f>
        <v/>
      </c>
      <c r="H243">
        <f>IFERROR(__xludf.DUMMYFUNCTION("""COMPUTED_VALUE"""),"Normal")</f>
        <v/>
      </c>
      <c r="I243">
        <f>IFERROR(__xludf.DUMMYFUNCTION("""COMPUTED_VALUE"""),"Attack")</f>
        <v/>
      </c>
      <c r="J243">
        <f>IFERROR(__xludf.DUMMYFUNCTION("""COMPUTED_VALUE"""),"Colorless")</f>
        <v/>
      </c>
      <c r="K243">
        <f>IFERROR(__xludf.DUMMYFUNCTION("""COMPUTED_VALUE"""),10000.0)</f>
        <v/>
      </c>
      <c r="L243">
        <f>IFERROR(__xludf.DUMMYFUNCTION("""COMPUTED_VALUE"""),3.0)</f>
        <v/>
      </c>
      <c r="M243">
        <f>IFERROR(__xludf.DUMMYFUNCTION("""COMPUTED_VALUE"""),25.0)</f>
        <v/>
      </c>
      <c r="N243">
        <f>IFERROR(__xludf.DUMMYFUNCTION("""COMPUTED_VALUE"""),0.19)</f>
        <v/>
      </c>
      <c r="O243">
        <f>IFERROR(__xludf.DUMMYFUNCTION("""COMPUTED_VALUE"""),300.0)</f>
        <v/>
      </c>
      <c r="P243">
        <f>IFERROR(__xludf.DUMMYFUNCTION("""COMPUTED_VALUE"""),0.0)</f>
        <v/>
      </c>
      <c r="Q243">
        <f>IFERROR(__xludf.DUMMYFUNCTION("""COMPUTED_VALUE"""),0.25)</f>
        <v/>
      </c>
      <c r="R243">
        <f>IFERROR(__xludf.DUMMYFUNCTION("""COMPUTED_VALUE"""),1.0)</f>
        <v/>
      </c>
      <c r="S243">
        <f>IFERROR(__xludf.DUMMYFUNCTION("""COMPUTED_VALUE"""),100.0)</f>
        <v/>
      </c>
      <c r="T243">
        <f>IFERROR(__xludf.DUMMYFUNCTION("""COMPUTED_VALUE"""),"1.17")</f>
        <v/>
      </c>
      <c r="U243">
        <f>IFERROR(__xludf.DUMMYFUNCTION("""COMPUTED_VALUE"""),"stop有:1回目 0.6")</f>
        <v/>
      </c>
      <c r="V243">
        <f>IFERROR(__xludf.DUMMYFUNCTION("""COMPUTED_VALUE"""),60.0)</f>
        <v/>
      </c>
      <c r="Z243">
        <f>IFERROR(__xludf.DUMMYFUNCTION("""COMPUTED_VALUE"""),"-")</f>
        <v/>
      </c>
      <c r="AB243">
        <f>IFERROR(__xludf.DUMMYFUNCTION("""COMPUTED_VALUE"""),"dageki_1")</f>
        <v/>
      </c>
    </row>
    <row r="244">
      <c r="B244">
        <f>IFERROR(__xludf.DUMMYFUNCTION("""COMPUTED_VALUE"""),"chara_jig_00001")</f>
        <v/>
      </c>
      <c r="C244">
        <f>IFERROR(__xludf.DUMMYFUNCTION("""COMPUTED_VALUE"""),"_jig1_1d1c")</f>
        <v/>
      </c>
      <c r="D244">
        <f>IFERROR(__xludf.DUMMYFUNCTION("""COMPUTED_VALUE"""),"c_jig_00001_jig1_1d1c_Normal_Colorless")</f>
        <v/>
      </c>
      <c r="E244">
        <f>IFERROR(__xludf.DUMMYFUNCTION("""COMPUTED_VALUE"""),"地獄楽")</f>
        <v/>
      </c>
      <c r="F244">
        <f>IFERROR(__xludf.DUMMYFUNCTION("""COMPUTED_VALUE"""),"がらんの画眉丸")</f>
        <v/>
      </c>
      <c r="G244">
        <f>IFERROR(__xludf.DUMMYFUNCTION("""COMPUTED_VALUE"""),"がらんの画眉丸_jig1_1d1c")</f>
        <v/>
      </c>
      <c r="H244">
        <f>IFERROR(__xludf.DUMMYFUNCTION("""COMPUTED_VALUE"""),"Normal")</f>
        <v/>
      </c>
      <c r="I244">
        <f>IFERROR(__xludf.DUMMYFUNCTION("""COMPUTED_VALUE"""),"Technical")</f>
        <v/>
      </c>
      <c r="J244">
        <f>IFERROR(__xludf.DUMMYFUNCTION("""COMPUTED_VALUE"""),"Colorless")</f>
        <v/>
      </c>
      <c r="K244">
        <f>IFERROR(__xludf.DUMMYFUNCTION("""COMPUTED_VALUE"""),10000.0)</f>
        <v/>
      </c>
      <c r="L244">
        <f>IFERROR(__xludf.DUMMYFUNCTION("""COMPUTED_VALUE"""),2.0)</f>
        <v/>
      </c>
      <c r="M244">
        <f>IFERROR(__xludf.DUMMYFUNCTION("""COMPUTED_VALUE"""),41.0)</f>
        <v/>
      </c>
      <c r="N244">
        <f>IFERROR(__xludf.DUMMYFUNCTION("""COMPUTED_VALUE"""),0.24)</f>
        <v/>
      </c>
      <c r="O244">
        <f>IFERROR(__xludf.DUMMYFUNCTION("""COMPUTED_VALUE"""),100.0)</f>
        <v/>
      </c>
      <c r="P244">
        <f>IFERROR(__xludf.DUMMYFUNCTION("""COMPUTED_VALUE"""),0.0)</f>
        <v/>
      </c>
      <c r="Q244">
        <f>IFERROR(__xludf.DUMMYFUNCTION("""COMPUTED_VALUE"""),0.25)</f>
        <v/>
      </c>
      <c r="R244">
        <f>IFERROR(__xludf.DUMMYFUNCTION("""COMPUTED_VALUE"""),1.0)</f>
        <v/>
      </c>
      <c r="S244">
        <f>IFERROR(__xludf.DUMMYFUNCTION("""COMPUTED_VALUE"""),300.0)</f>
        <v/>
      </c>
      <c r="T244">
        <f>IFERROR(__xludf.DUMMYFUNCTION("""COMPUTED_VALUE"""),"1.17")</f>
        <v/>
      </c>
      <c r="U244">
        <f>IFERROR(__xludf.DUMMYFUNCTION("""COMPUTED_VALUE"""),"stop有:1回目0.20")</f>
        <v/>
      </c>
      <c r="V244">
        <f>IFERROR(__xludf.DUMMYFUNCTION("""COMPUTED_VALUE"""),60.0)</f>
        <v/>
      </c>
      <c r="W244">
        <f>IFERROR(__xludf.DUMMYFUNCTION("""COMPUTED_VALUE"""),"2.30")</f>
        <v/>
      </c>
      <c r="X244">
        <f>IFERROR(__xludf.DUMMYFUNCTION("""COMPUTED_VALUE"""),"stop有:1回目 0.08
stop有:2回目 0.90
stop有:3回目 1.50")</f>
        <v/>
      </c>
      <c r="Y244">
        <f>IFERROR(__xludf.DUMMYFUNCTION("""COMPUTED_VALUE"""),"複数体に200%の攻撃")</f>
        <v/>
      </c>
      <c r="Z244">
        <f>IFERROR(__xludf.DUMMYFUNCTION("""COMPUTED_VALUE"""),5.0)</f>
        <v/>
      </c>
      <c r="AB244">
        <f>IFERROR(__xludf.DUMMYFUNCTION("""COMPUTED_VALUE"""),"dageki_1")</f>
        <v/>
      </c>
    </row>
    <row r="245">
      <c r="B245">
        <f>IFERROR(__xludf.DUMMYFUNCTION("""COMPUTED_VALUE"""),"chara_jig_00601")</f>
        <v/>
      </c>
      <c r="C245">
        <f>IFERROR(__xludf.DUMMYFUNCTION("""COMPUTED_VALUE"""),"_jig1_charaget02")</f>
        <v/>
      </c>
      <c r="D245">
        <f>IFERROR(__xludf.DUMMYFUNCTION("""COMPUTED_VALUE"""),"c_jig_00601_jig1_charaget02_Boss_Red")</f>
        <v/>
      </c>
      <c r="E245">
        <f>IFERROR(__xludf.DUMMYFUNCTION("""COMPUTED_VALUE"""),"地獄楽")</f>
        <v/>
      </c>
      <c r="F245">
        <f>IFERROR(__xludf.DUMMYFUNCTION("""COMPUTED_VALUE"""),"民谷 巌鉄斎")</f>
        <v/>
      </c>
      <c r="G245">
        <f>IFERROR(__xludf.DUMMYFUNCTION("""COMPUTED_VALUE"""),"民谷 巌鉄斎_jig1_charaget02")</f>
        <v/>
      </c>
      <c r="H245">
        <f>IFERROR(__xludf.DUMMYFUNCTION("""COMPUTED_VALUE"""),"Boss")</f>
        <v/>
      </c>
      <c r="I245">
        <f>IFERROR(__xludf.DUMMYFUNCTION("""COMPUTED_VALUE"""),"Defense")</f>
        <v/>
      </c>
      <c r="J245">
        <f>IFERROR(__xludf.DUMMYFUNCTION("""COMPUTED_VALUE"""),"Red")</f>
        <v/>
      </c>
      <c r="K245">
        <f>IFERROR(__xludf.DUMMYFUNCTION("""COMPUTED_VALUE"""),10000.0)</f>
        <v/>
      </c>
      <c r="L245">
        <f>IFERROR(__xludf.DUMMYFUNCTION("""COMPUTED_VALUE"""),1.0)</f>
        <v/>
      </c>
      <c r="M245">
        <f>IFERROR(__xludf.DUMMYFUNCTION("""COMPUTED_VALUE"""),35.0)</f>
        <v/>
      </c>
      <c r="N245">
        <f>IFERROR(__xludf.DUMMYFUNCTION("""COMPUTED_VALUE"""),0.31)</f>
        <v/>
      </c>
      <c r="O245">
        <f>IFERROR(__xludf.DUMMYFUNCTION("""COMPUTED_VALUE"""),100.0)</f>
        <v/>
      </c>
      <c r="P245">
        <f>IFERROR(__xludf.DUMMYFUNCTION("""COMPUTED_VALUE"""),0.0)</f>
        <v/>
      </c>
      <c r="Q245">
        <f>IFERROR(__xludf.DUMMYFUNCTION("""COMPUTED_VALUE"""),0.22)</f>
        <v/>
      </c>
      <c r="R245">
        <f>IFERROR(__xludf.DUMMYFUNCTION("""COMPUTED_VALUE"""),1.0)</f>
        <v/>
      </c>
      <c r="S245">
        <f>IFERROR(__xludf.DUMMYFUNCTION("""COMPUTED_VALUE"""),500.0)</f>
        <v/>
      </c>
      <c r="T245">
        <f>IFERROR(__xludf.DUMMYFUNCTION("""COMPUTED_VALUE"""),"1.67")</f>
        <v/>
      </c>
      <c r="U245">
        <f>IFERROR(__xludf.DUMMYFUNCTION("""COMPUTED_VALUE"""),"stop有:1回目0.6")</f>
        <v/>
      </c>
      <c r="V245">
        <f>IFERROR(__xludf.DUMMYFUNCTION("""COMPUTED_VALUE"""),60.0)</f>
        <v/>
      </c>
      <c r="W245">
        <f>IFERROR(__xludf.DUMMYFUNCTION("""COMPUTED_VALUE"""),"2.67")</f>
        <v/>
      </c>
      <c r="X245">
        <f>IFERROR(__xludf.DUMMYFUNCTION("""COMPUTED_VALUE"""),"stop有:1.5")</f>
        <v/>
      </c>
      <c r="Y245">
        <f>IFERROR(__xludf.DUMMYFUNCTION("""COMPUTED_VALUE"""),"単体に200%の攻撃+小ノックバック攻撃")</f>
        <v/>
      </c>
      <c r="Z245">
        <f>IFERROR(__xludf.DUMMYFUNCTION("""COMPUTED_VALUE"""),4.0)</f>
        <v/>
      </c>
      <c r="AB245">
        <f>IFERROR(__xludf.DUMMYFUNCTION("""COMPUTED_VALUE"""),"zangeki_1")</f>
        <v/>
      </c>
    </row>
    <row r="246">
      <c r="B246">
        <f>IFERROR(__xludf.DUMMYFUNCTION("""COMPUTED_VALUE"""),"enemy_jig_00402")</f>
        <v/>
      </c>
      <c r="C246">
        <f>IFERROR(__xludf.DUMMYFUNCTION("""COMPUTED_VALUE"""),"_jig1_charaget02")</f>
        <v/>
      </c>
      <c r="D246">
        <f>IFERROR(__xludf.DUMMYFUNCTION("""COMPUTED_VALUE"""),"e_jig_00402_jig1_charaget02_Normal_Colorless")</f>
        <v/>
      </c>
      <c r="E246">
        <f>IFERROR(__xludf.DUMMYFUNCTION("""COMPUTED_VALUE"""),"地獄楽")</f>
        <v/>
      </c>
      <c r="F246">
        <f>IFERROR(__xludf.DUMMYFUNCTION("""COMPUTED_VALUE"""),"極楽蝶")</f>
        <v/>
      </c>
      <c r="G246">
        <f>IFERROR(__xludf.DUMMYFUNCTION("""COMPUTED_VALUE"""),"極楽蝶_jig1_charaget02")</f>
        <v/>
      </c>
      <c r="H246">
        <f>IFERROR(__xludf.DUMMYFUNCTION("""COMPUTED_VALUE"""),"Normal")</f>
        <v/>
      </c>
      <c r="I246">
        <f>IFERROR(__xludf.DUMMYFUNCTION("""COMPUTED_VALUE"""),"Attack")</f>
        <v/>
      </c>
      <c r="J246">
        <f>IFERROR(__xludf.DUMMYFUNCTION("""COMPUTED_VALUE"""),"Colorless")</f>
        <v/>
      </c>
      <c r="K246">
        <f>IFERROR(__xludf.DUMMYFUNCTION("""COMPUTED_VALUE"""),1000.0)</f>
        <v/>
      </c>
      <c r="L246">
        <f>IFERROR(__xludf.DUMMYFUNCTION("""COMPUTED_VALUE"""),2.0)</f>
        <v/>
      </c>
      <c r="M246">
        <f>IFERROR(__xludf.DUMMYFUNCTION("""COMPUTED_VALUE"""),37.0)</f>
        <v/>
      </c>
      <c r="N246">
        <f>IFERROR(__xludf.DUMMYFUNCTION("""COMPUTED_VALUE"""),0.27)</f>
        <v/>
      </c>
      <c r="O246">
        <f>IFERROR(__xludf.DUMMYFUNCTION("""COMPUTED_VALUE"""),100.0)</f>
        <v/>
      </c>
      <c r="P246">
        <f>IFERROR(__xludf.DUMMYFUNCTION("""COMPUTED_VALUE"""),0.0)</f>
        <v/>
      </c>
      <c r="Q246">
        <f>IFERROR(__xludf.DUMMYFUNCTION("""COMPUTED_VALUE"""),0.37)</f>
        <v/>
      </c>
      <c r="R246">
        <f>IFERROR(__xludf.DUMMYFUNCTION("""COMPUTED_VALUE"""),100.0)</f>
        <v/>
      </c>
      <c r="S246">
        <f>IFERROR(__xludf.DUMMYFUNCTION("""COMPUTED_VALUE"""),200.0)</f>
        <v/>
      </c>
      <c r="T246">
        <f>IFERROR(__xludf.DUMMYFUNCTION("""COMPUTED_VALUE"""),"2.10")</f>
        <v/>
      </c>
      <c r="U246">
        <f>IFERROR(__xludf.DUMMYFUNCTION("""COMPUTED_VALUE"""),"0.60")</f>
        <v/>
      </c>
      <c r="V246">
        <f>IFERROR(__xludf.DUMMYFUNCTION("""COMPUTED_VALUE"""),100.0)</f>
        <v/>
      </c>
      <c r="W246">
        <f>IFERROR(__xludf.DUMMYFUNCTION("""COMPUTED_VALUE"""),"-")</f>
        <v/>
      </c>
      <c r="X246">
        <f>IFERROR(__xludf.DUMMYFUNCTION("""COMPUTED_VALUE"""),"-")</f>
        <v/>
      </c>
      <c r="Z246">
        <f>IFERROR(__xludf.DUMMYFUNCTION("""COMPUTED_VALUE"""),"-")</f>
        <v/>
      </c>
      <c r="AB246">
        <f>IFERROR(__xludf.DUMMYFUNCTION("""COMPUTED_VALUE"""),"dageki_2")</f>
        <v/>
      </c>
    </row>
    <row r="247">
      <c r="B247">
        <f>IFERROR(__xludf.DUMMYFUNCTION("""COMPUTED_VALUE"""),"enemy_jig_00301")</f>
        <v/>
      </c>
      <c r="C247">
        <f>IFERROR(__xludf.DUMMYFUNCTION("""COMPUTED_VALUE"""),"_jig1_charaget02")</f>
        <v/>
      </c>
      <c r="D247">
        <f>IFERROR(__xludf.DUMMYFUNCTION("""COMPUTED_VALUE"""),"e_jig_00301_jig1_charaget02_Normal_Red")</f>
        <v/>
      </c>
      <c r="E247">
        <f>IFERROR(__xludf.DUMMYFUNCTION("""COMPUTED_VALUE"""),"地獄楽")</f>
        <v/>
      </c>
      <c r="F247">
        <f>IFERROR(__xludf.DUMMYFUNCTION("""COMPUTED_VALUE"""),"竈神 魚")</f>
        <v/>
      </c>
      <c r="G247">
        <f>IFERROR(__xludf.DUMMYFUNCTION("""COMPUTED_VALUE"""),"竈神 魚_jig1_charaget02")</f>
        <v/>
      </c>
      <c r="H247">
        <f>IFERROR(__xludf.DUMMYFUNCTION("""COMPUTED_VALUE"""),"Normal")</f>
        <v/>
      </c>
      <c r="I247">
        <f>IFERROR(__xludf.DUMMYFUNCTION("""COMPUTED_VALUE"""),"Attack")</f>
        <v/>
      </c>
      <c r="J247">
        <f>IFERROR(__xludf.DUMMYFUNCTION("""COMPUTED_VALUE"""),"Red")</f>
        <v/>
      </c>
      <c r="K247">
        <f>IFERROR(__xludf.DUMMYFUNCTION("""COMPUTED_VALUE"""),1000.0)</f>
        <v/>
      </c>
      <c r="L247">
        <f>IFERROR(__xludf.DUMMYFUNCTION("""COMPUTED_VALUE"""),2.0)</f>
        <v/>
      </c>
      <c r="M247">
        <f>IFERROR(__xludf.DUMMYFUNCTION("""COMPUTED_VALUE"""),50.0)</f>
        <v/>
      </c>
      <c r="N247">
        <f>IFERROR(__xludf.DUMMYFUNCTION("""COMPUTED_VALUE"""),0.22)</f>
        <v/>
      </c>
      <c r="O247">
        <f>IFERROR(__xludf.DUMMYFUNCTION("""COMPUTED_VALUE"""),100.0)</f>
        <v/>
      </c>
      <c r="P247">
        <f>IFERROR(__xludf.DUMMYFUNCTION("""COMPUTED_VALUE"""),0.0)</f>
        <v/>
      </c>
      <c r="Q247">
        <f>IFERROR(__xludf.DUMMYFUNCTION("""COMPUTED_VALUE"""),0.23)</f>
        <v/>
      </c>
      <c r="R247">
        <f>IFERROR(__xludf.DUMMYFUNCTION("""COMPUTED_VALUE"""),1.0)</f>
        <v/>
      </c>
      <c r="S247">
        <f>IFERROR(__xludf.DUMMYFUNCTION("""COMPUTED_VALUE"""),200.0)</f>
        <v/>
      </c>
      <c r="T247">
        <f>IFERROR(__xludf.DUMMYFUNCTION("""COMPUTED_VALUE"""),"1.50")</f>
        <v/>
      </c>
      <c r="U247">
        <f>IFERROR(__xludf.DUMMYFUNCTION("""COMPUTED_VALUE"""),"0.66")</f>
        <v/>
      </c>
      <c r="V247">
        <f>IFERROR(__xludf.DUMMYFUNCTION("""COMPUTED_VALUE"""),85.0)</f>
        <v/>
      </c>
      <c r="W247">
        <f>IFERROR(__xludf.DUMMYFUNCTION("""COMPUTED_VALUE"""),"-")</f>
        <v/>
      </c>
      <c r="X247">
        <f>IFERROR(__xludf.DUMMYFUNCTION("""COMPUTED_VALUE"""),"-")</f>
        <v/>
      </c>
      <c r="Z247">
        <f>IFERROR(__xludf.DUMMYFUNCTION("""COMPUTED_VALUE"""),"-")</f>
        <v/>
      </c>
      <c r="AB247">
        <f>IFERROR(__xludf.DUMMYFUNCTION("""COMPUTED_VALUE"""),"dageki_1")</f>
        <v/>
      </c>
    </row>
    <row r="248">
      <c r="B248">
        <f>IFERROR(__xludf.DUMMYFUNCTION("""COMPUTED_VALUE"""),"chara_jig_00401")</f>
        <v/>
      </c>
      <c r="C248">
        <f>IFERROR(__xludf.DUMMYFUNCTION("""COMPUTED_VALUE"""),"_jig1_charaget02")</f>
        <v/>
      </c>
      <c r="D248">
        <f>IFERROR(__xludf.DUMMYFUNCTION("""COMPUTED_VALUE"""),"c_jig_00401_jig1_charaget02_Boss_Red")</f>
        <v/>
      </c>
      <c r="E248">
        <f>IFERROR(__xludf.DUMMYFUNCTION("""COMPUTED_VALUE"""),"地獄楽")</f>
        <v/>
      </c>
      <c r="F248">
        <f>IFERROR(__xludf.DUMMYFUNCTION("""COMPUTED_VALUE"""),"賊王 亜左 弔兵衛")</f>
        <v/>
      </c>
      <c r="G248">
        <f>IFERROR(__xludf.DUMMYFUNCTION("""COMPUTED_VALUE"""),"賊王 亜左 弔兵衛_jig1_charaget02")</f>
        <v/>
      </c>
      <c r="H248">
        <f>IFERROR(__xludf.DUMMYFUNCTION("""COMPUTED_VALUE"""),"Boss")</f>
        <v/>
      </c>
      <c r="I248">
        <f>IFERROR(__xludf.DUMMYFUNCTION("""COMPUTED_VALUE"""),"Technical")</f>
        <v/>
      </c>
      <c r="J248">
        <f>IFERROR(__xludf.DUMMYFUNCTION("""COMPUTED_VALUE"""),"Red")</f>
        <v/>
      </c>
      <c r="K248">
        <f>IFERROR(__xludf.DUMMYFUNCTION("""COMPUTED_VALUE"""),10000.0)</f>
        <v/>
      </c>
      <c r="L248">
        <f>IFERROR(__xludf.DUMMYFUNCTION("""COMPUTED_VALUE"""),2.0)</f>
        <v/>
      </c>
      <c r="M248">
        <f>IFERROR(__xludf.DUMMYFUNCTION("""COMPUTED_VALUE"""),30.0)</f>
        <v/>
      </c>
      <c r="N248">
        <f>IFERROR(__xludf.DUMMYFUNCTION("""COMPUTED_VALUE"""),0.31)</f>
        <v/>
      </c>
      <c r="O248">
        <f>IFERROR(__xludf.DUMMYFUNCTION("""COMPUTED_VALUE"""),100.0)</f>
        <v/>
      </c>
      <c r="P248">
        <f>IFERROR(__xludf.DUMMYFUNCTION("""COMPUTED_VALUE"""),0.0)</f>
        <v/>
      </c>
      <c r="Q248">
        <f>IFERROR(__xludf.DUMMYFUNCTION("""COMPUTED_VALUE"""),0.32)</f>
        <v/>
      </c>
      <c r="R248">
        <f>IFERROR(__xludf.DUMMYFUNCTION("""COMPUTED_VALUE"""),1.0)</f>
        <v/>
      </c>
      <c r="S248">
        <f>IFERROR(__xludf.DUMMYFUNCTION("""COMPUTED_VALUE"""),500.0)</f>
        <v/>
      </c>
      <c r="T248">
        <f>IFERROR(__xludf.DUMMYFUNCTION("""COMPUTED_VALUE"""),"1.67")</f>
        <v/>
      </c>
      <c r="U248">
        <f>IFERROR(__xludf.DUMMYFUNCTION("""COMPUTED_VALUE"""),"stop有:1回目0.50")</f>
        <v/>
      </c>
      <c r="V248">
        <f>IFERROR(__xludf.DUMMYFUNCTION("""COMPUTED_VALUE"""),60.0)</f>
        <v/>
      </c>
      <c r="W248">
        <f>IFERROR(__xludf.DUMMYFUNCTION("""COMPUTED_VALUE"""),"2.67")</f>
        <v/>
      </c>
      <c r="X248">
        <f>IFERROR(__xludf.DUMMYFUNCTION("""COMPUTED_VALUE"""),"stop有:1回目1.57")</f>
        <v/>
      </c>
      <c r="Y248">
        <f>IFERROR(__xludf.DUMMYFUNCTION("""COMPUTED_VALUE"""),"100%中ノックバック")</f>
        <v/>
      </c>
      <c r="Z248">
        <f>IFERROR(__xludf.DUMMYFUNCTION("""COMPUTED_VALUE"""),4.0)</f>
        <v/>
      </c>
      <c r="AB248">
        <f>IFERROR(__xludf.DUMMYFUNCTION("""COMPUTED_VALUE"""),"zangeki_1")</f>
        <v/>
      </c>
    </row>
    <row r="249">
      <c r="B249">
        <f>IFERROR(__xludf.DUMMYFUNCTION("""COMPUTED_VALUE"""),"chara_jig_00501")</f>
        <v/>
      </c>
      <c r="C249">
        <f>IFERROR(__xludf.DUMMYFUNCTION("""COMPUTED_VALUE"""),"_jig1_charaget02")</f>
        <v/>
      </c>
      <c r="D249">
        <f>IFERROR(__xludf.DUMMYFUNCTION("""COMPUTED_VALUE"""),"c_jig_00501_jig1_charaget02_Normal_Red")</f>
        <v/>
      </c>
      <c r="E249">
        <f>IFERROR(__xludf.DUMMYFUNCTION("""COMPUTED_VALUE"""),"地獄楽")</f>
        <v/>
      </c>
      <c r="F249">
        <f>IFERROR(__xludf.DUMMYFUNCTION("""COMPUTED_VALUE"""),"山田浅ェ門 桐馬")</f>
        <v/>
      </c>
      <c r="G249">
        <f>IFERROR(__xludf.DUMMYFUNCTION("""COMPUTED_VALUE"""),"山田浅ェ門 桐馬_jig1_charaget02")</f>
        <v/>
      </c>
      <c r="H249">
        <f>IFERROR(__xludf.DUMMYFUNCTION("""COMPUTED_VALUE"""),"Normal")</f>
        <v/>
      </c>
      <c r="I249">
        <f>IFERROR(__xludf.DUMMYFUNCTION("""COMPUTED_VALUE"""),"Support")</f>
        <v/>
      </c>
      <c r="J249">
        <f>IFERROR(__xludf.DUMMYFUNCTION("""COMPUTED_VALUE"""),"Red")</f>
        <v/>
      </c>
      <c r="K249">
        <f>IFERROR(__xludf.DUMMYFUNCTION("""COMPUTED_VALUE"""),10000.0)</f>
        <v/>
      </c>
      <c r="L249">
        <f>IFERROR(__xludf.DUMMYFUNCTION("""COMPUTED_VALUE"""),2.0)</f>
        <v/>
      </c>
      <c r="M249">
        <f>IFERROR(__xludf.DUMMYFUNCTION("""COMPUTED_VALUE"""),35.0)</f>
        <v/>
      </c>
      <c r="N249">
        <f>IFERROR(__xludf.DUMMYFUNCTION("""COMPUTED_VALUE"""),0.21)</f>
        <v/>
      </c>
      <c r="O249">
        <f>IFERROR(__xludf.DUMMYFUNCTION("""COMPUTED_VALUE"""),100.0)</f>
        <v/>
      </c>
      <c r="P249">
        <f>IFERROR(__xludf.DUMMYFUNCTION("""COMPUTED_VALUE"""),0.0)</f>
        <v/>
      </c>
      <c r="Q249">
        <f>IFERROR(__xludf.DUMMYFUNCTION("""COMPUTED_VALUE"""),0.33)</f>
        <v/>
      </c>
      <c r="R249">
        <f>IFERROR(__xludf.DUMMYFUNCTION("""COMPUTED_VALUE"""),1.0)</f>
        <v/>
      </c>
      <c r="S249">
        <f>IFERROR(__xludf.DUMMYFUNCTION("""COMPUTED_VALUE"""),300.0)</f>
        <v/>
      </c>
      <c r="T249">
        <f>IFERROR(__xludf.DUMMYFUNCTION("""COMPUTED_VALUE"""),"1.6")</f>
        <v/>
      </c>
      <c r="U249">
        <f>IFERROR(__xludf.DUMMYFUNCTION("""COMPUTED_VALUE"""),"stop有:1回目0.4")</f>
        <v/>
      </c>
      <c r="V249">
        <f>IFERROR(__xludf.DUMMYFUNCTION("""COMPUTED_VALUE"""),60.0)</f>
        <v/>
      </c>
      <c r="W249">
        <f>IFERROR(__xludf.DUMMYFUNCTION("""COMPUTED_VALUE"""),"3.33")</f>
        <v/>
      </c>
      <c r="X249">
        <f>IFERROR(__xludf.DUMMYFUNCTION("""COMPUTED_VALUE"""),"stop無:1.67")</f>
        <v/>
      </c>
      <c r="Z249">
        <f>IFERROR(__xludf.DUMMYFUNCTION("""COMPUTED_VALUE"""),"-")</f>
        <v/>
      </c>
      <c r="AB249">
        <f>IFERROR(__xludf.DUMMYFUNCTION("""COMPUTED_VALUE"""),"zangeki_1")</f>
        <v/>
      </c>
    </row>
    <row r="250">
      <c r="B250">
        <f>IFERROR(__xludf.DUMMYFUNCTION("""COMPUTED_VALUE"""),"chara_jig_00001")</f>
        <v/>
      </c>
      <c r="C250">
        <f>IFERROR(__xludf.DUMMYFUNCTION("""COMPUTED_VALUE"""),"_jig1_charaget02")</f>
        <v/>
      </c>
      <c r="D250">
        <f>IFERROR(__xludf.DUMMYFUNCTION("""COMPUTED_VALUE"""),"c_jig_00001_jig1_charaget02_Boss_Red")</f>
        <v/>
      </c>
      <c r="E250">
        <f>IFERROR(__xludf.DUMMYFUNCTION("""COMPUTED_VALUE"""),"地獄楽")</f>
        <v/>
      </c>
      <c r="F250">
        <f>IFERROR(__xludf.DUMMYFUNCTION("""COMPUTED_VALUE"""),"がらんの画眉丸")</f>
        <v/>
      </c>
      <c r="G250">
        <f>IFERROR(__xludf.DUMMYFUNCTION("""COMPUTED_VALUE"""),"がらんの画眉丸_jig1_charaget02")</f>
        <v/>
      </c>
      <c r="H250">
        <f>IFERROR(__xludf.DUMMYFUNCTION("""COMPUTED_VALUE"""),"Boss")</f>
        <v/>
      </c>
      <c r="I250">
        <f>IFERROR(__xludf.DUMMYFUNCTION("""COMPUTED_VALUE"""),"Technical")</f>
        <v/>
      </c>
      <c r="J250">
        <f>IFERROR(__xludf.DUMMYFUNCTION("""COMPUTED_VALUE"""),"Red")</f>
        <v/>
      </c>
      <c r="K250">
        <f>IFERROR(__xludf.DUMMYFUNCTION("""COMPUTED_VALUE"""),10000.0)</f>
        <v/>
      </c>
      <c r="L250">
        <f>IFERROR(__xludf.DUMMYFUNCTION("""COMPUTED_VALUE"""),2.0)</f>
        <v/>
      </c>
      <c r="M250">
        <f>IFERROR(__xludf.DUMMYFUNCTION("""COMPUTED_VALUE"""),41.0)</f>
        <v/>
      </c>
      <c r="N250">
        <f>IFERROR(__xludf.DUMMYFUNCTION("""COMPUTED_VALUE"""),0.24)</f>
        <v/>
      </c>
      <c r="O250">
        <f>IFERROR(__xludf.DUMMYFUNCTION("""COMPUTED_VALUE"""),100.0)</f>
        <v/>
      </c>
      <c r="P250">
        <f>IFERROR(__xludf.DUMMYFUNCTION("""COMPUTED_VALUE"""),0.0)</f>
        <v/>
      </c>
      <c r="Q250">
        <f>IFERROR(__xludf.DUMMYFUNCTION("""COMPUTED_VALUE"""),0.25)</f>
        <v/>
      </c>
      <c r="R250">
        <f>IFERROR(__xludf.DUMMYFUNCTION("""COMPUTED_VALUE"""),1.0)</f>
        <v/>
      </c>
      <c r="S250">
        <f>IFERROR(__xludf.DUMMYFUNCTION("""COMPUTED_VALUE"""),300.0)</f>
        <v/>
      </c>
      <c r="T250">
        <f>IFERROR(__xludf.DUMMYFUNCTION("""COMPUTED_VALUE"""),"1.17")</f>
        <v/>
      </c>
      <c r="U250">
        <f>IFERROR(__xludf.DUMMYFUNCTION("""COMPUTED_VALUE"""),"stop有:1回目0.20")</f>
        <v/>
      </c>
      <c r="V250">
        <f>IFERROR(__xludf.DUMMYFUNCTION("""COMPUTED_VALUE"""),60.0)</f>
        <v/>
      </c>
      <c r="W250">
        <f>IFERROR(__xludf.DUMMYFUNCTION("""COMPUTED_VALUE"""),"2.30")</f>
        <v/>
      </c>
      <c r="X250">
        <f>IFERROR(__xludf.DUMMYFUNCTION("""COMPUTED_VALUE"""),"stop有:1回目 0.08
stop有:2回目 0.90
stop有:3回目 1.50")</f>
        <v/>
      </c>
      <c r="Y250">
        <f>IFERROR(__xludf.DUMMYFUNCTION("""COMPUTED_VALUE"""),"範囲に300%攻撃+単体に中ノックバック")</f>
        <v/>
      </c>
      <c r="Z250">
        <f>IFERROR(__xludf.DUMMYFUNCTION("""COMPUTED_VALUE"""),4.0)</f>
        <v/>
      </c>
      <c r="AB250">
        <f>IFERROR(__xludf.DUMMYFUNCTION("""COMPUTED_VALUE"""),"dageki_1")</f>
        <v/>
      </c>
    </row>
    <row r="251">
      <c r="B251">
        <f>IFERROR(__xludf.DUMMYFUNCTION("""COMPUTED_VALUE"""),"enemy_jig_00401")</f>
        <v/>
      </c>
      <c r="C251">
        <f>IFERROR(__xludf.DUMMYFUNCTION("""COMPUTED_VALUE"""),"_jig1_charaget01")</f>
        <v/>
      </c>
      <c r="D251">
        <f>IFERROR(__xludf.DUMMYFUNCTION("""COMPUTED_VALUE"""),"e_jig_00401_jig1_charaget01_Normal_Green")</f>
        <v/>
      </c>
      <c r="E251">
        <f>IFERROR(__xludf.DUMMYFUNCTION("""COMPUTED_VALUE"""),"地獄楽")</f>
        <v/>
      </c>
      <c r="F251">
        <f>IFERROR(__xludf.DUMMYFUNCTION("""COMPUTED_VALUE"""),"極楽蝶")</f>
        <v/>
      </c>
      <c r="G251">
        <f>IFERROR(__xludf.DUMMYFUNCTION("""COMPUTED_VALUE"""),"極楽蝶_jig1_charaget01")</f>
        <v/>
      </c>
      <c r="H251">
        <f>IFERROR(__xludf.DUMMYFUNCTION("""COMPUTED_VALUE"""),"Normal")</f>
        <v/>
      </c>
      <c r="I251">
        <f>IFERROR(__xludf.DUMMYFUNCTION("""COMPUTED_VALUE"""),"Technical")</f>
        <v/>
      </c>
      <c r="J251">
        <f>IFERROR(__xludf.DUMMYFUNCTION("""COMPUTED_VALUE"""),"Green")</f>
        <v/>
      </c>
      <c r="K251">
        <f>IFERROR(__xludf.DUMMYFUNCTION("""COMPUTED_VALUE"""),1000.0)</f>
        <v/>
      </c>
      <c r="L251">
        <f>IFERROR(__xludf.DUMMYFUNCTION("""COMPUTED_VALUE"""),2.0)</f>
        <v/>
      </c>
      <c r="M251">
        <f>IFERROR(__xludf.DUMMYFUNCTION("""COMPUTED_VALUE"""),33.0)</f>
        <v/>
      </c>
      <c r="N251">
        <f>IFERROR(__xludf.DUMMYFUNCTION("""COMPUTED_VALUE"""),0.24)</f>
        <v/>
      </c>
      <c r="O251">
        <f>IFERROR(__xludf.DUMMYFUNCTION("""COMPUTED_VALUE"""),100.0)</f>
        <v/>
      </c>
      <c r="P251">
        <f>IFERROR(__xludf.DUMMYFUNCTION("""COMPUTED_VALUE"""),0.0)</f>
        <v/>
      </c>
      <c r="Q251">
        <f>IFERROR(__xludf.DUMMYFUNCTION("""COMPUTED_VALUE"""),0.25)</f>
        <v/>
      </c>
      <c r="R251">
        <f>IFERROR(__xludf.DUMMYFUNCTION("""COMPUTED_VALUE"""),1.0)</f>
        <v/>
      </c>
      <c r="S251">
        <f>IFERROR(__xludf.DUMMYFUNCTION("""COMPUTED_VALUE"""),50.0)</f>
        <v/>
      </c>
      <c r="T251">
        <f>IFERROR(__xludf.DUMMYFUNCTION("""COMPUTED_VALUE"""),"1.30")</f>
        <v/>
      </c>
      <c r="U251">
        <f>IFERROR(__xludf.DUMMYFUNCTION("""COMPUTED_VALUE"""),"0.66")</f>
        <v/>
      </c>
      <c r="V251">
        <f>IFERROR(__xludf.DUMMYFUNCTION("""COMPUTED_VALUE"""),125.0)</f>
        <v/>
      </c>
      <c r="W251">
        <f>IFERROR(__xludf.DUMMYFUNCTION("""COMPUTED_VALUE"""),"-")</f>
        <v/>
      </c>
      <c r="X251">
        <f>IFERROR(__xludf.DUMMYFUNCTION("""COMPUTED_VALUE"""),"-")</f>
        <v/>
      </c>
      <c r="Z251">
        <f>IFERROR(__xludf.DUMMYFUNCTION("""COMPUTED_VALUE"""),"-")</f>
        <v/>
      </c>
      <c r="AB251">
        <f>IFERROR(__xludf.DUMMYFUNCTION("""COMPUTED_VALUE"""),"dageki_2")</f>
        <v/>
      </c>
      <c r="AC251">
        <f>IFERROR(__xludf.DUMMYFUNCTION("""COMPUTED_VALUE"""),"100%の確率で6秒間1%の毒にする")</f>
        <v/>
      </c>
    </row>
    <row r="252">
      <c r="B252">
        <f>IFERROR(__xludf.DUMMYFUNCTION("""COMPUTED_VALUE"""),"enemy_jig_00402")</f>
        <v/>
      </c>
      <c r="C252">
        <f>IFERROR(__xludf.DUMMYFUNCTION("""COMPUTED_VALUE"""),"_jig1_charaget01")</f>
        <v/>
      </c>
      <c r="D252">
        <f>IFERROR(__xludf.DUMMYFUNCTION("""COMPUTED_VALUE"""),"e_jig_00402_jig1_charaget01_Normal_Colorless")</f>
        <v/>
      </c>
      <c r="E252">
        <f>IFERROR(__xludf.DUMMYFUNCTION("""COMPUTED_VALUE"""),"地獄楽")</f>
        <v/>
      </c>
      <c r="F252">
        <f>IFERROR(__xludf.DUMMYFUNCTION("""COMPUTED_VALUE"""),"極楽蝶")</f>
        <v/>
      </c>
      <c r="G252">
        <f>IFERROR(__xludf.DUMMYFUNCTION("""COMPUTED_VALUE"""),"極楽蝶_jig1_charaget01")</f>
        <v/>
      </c>
      <c r="H252">
        <f>IFERROR(__xludf.DUMMYFUNCTION("""COMPUTED_VALUE"""),"Normal")</f>
        <v/>
      </c>
      <c r="I252">
        <f>IFERROR(__xludf.DUMMYFUNCTION("""COMPUTED_VALUE"""),"Defense")</f>
        <v/>
      </c>
      <c r="J252">
        <f>IFERROR(__xludf.DUMMYFUNCTION("""COMPUTED_VALUE"""),"Colorless")</f>
        <v/>
      </c>
      <c r="K252">
        <f>IFERROR(__xludf.DUMMYFUNCTION("""COMPUTED_VALUE"""),1000.0)</f>
        <v/>
      </c>
      <c r="L252">
        <f>IFERROR(__xludf.DUMMYFUNCTION("""COMPUTED_VALUE"""),2.0)</f>
        <v/>
      </c>
      <c r="M252">
        <f>IFERROR(__xludf.DUMMYFUNCTION("""COMPUTED_VALUE"""),25.0)</f>
        <v/>
      </c>
      <c r="N252">
        <f>IFERROR(__xludf.DUMMYFUNCTION("""COMPUTED_VALUE"""),0.22)</f>
        <v/>
      </c>
      <c r="O252">
        <f>IFERROR(__xludf.DUMMYFUNCTION("""COMPUTED_VALUE"""),100.0)</f>
        <v/>
      </c>
      <c r="P252">
        <f>IFERROR(__xludf.DUMMYFUNCTION("""COMPUTED_VALUE"""),0.0)</f>
        <v/>
      </c>
      <c r="Q252">
        <f>IFERROR(__xludf.DUMMYFUNCTION("""COMPUTED_VALUE"""),0.23)</f>
        <v/>
      </c>
      <c r="R252">
        <f>IFERROR(__xludf.DUMMYFUNCTION("""COMPUTED_VALUE"""),100.0)</f>
        <v/>
      </c>
      <c r="S252">
        <f>IFERROR(__xludf.DUMMYFUNCTION("""COMPUTED_VALUE"""),50.0)</f>
        <v/>
      </c>
      <c r="T252">
        <f>IFERROR(__xludf.DUMMYFUNCTION("""COMPUTED_VALUE"""),"2.10")</f>
        <v/>
      </c>
      <c r="U252">
        <f>IFERROR(__xludf.DUMMYFUNCTION("""COMPUTED_VALUE"""),"0.60")</f>
        <v/>
      </c>
      <c r="V252">
        <f>IFERROR(__xludf.DUMMYFUNCTION("""COMPUTED_VALUE"""),200.0)</f>
        <v/>
      </c>
      <c r="W252">
        <f>IFERROR(__xludf.DUMMYFUNCTION("""COMPUTED_VALUE"""),"-")</f>
        <v/>
      </c>
      <c r="X252">
        <f>IFERROR(__xludf.DUMMYFUNCTION("""COMPUTED_VALUE"""),"-")</f>
        <v/>
      </c>
      <c r="Z252">
        <f>IFERROR(__xludf.DUMMYFUNCTION("""COMPUTED_VALUE"""),"-")</f>
        <v/>
      </c>
      <c r="AB252">
        <f>IFERROR(__xludf.DUMMYFUNCTION("""COMPUTED_VALUE"""),"dageki_2")</f>
        <v/>
      </c>
    </row>
    <row r="253">
      <c r="B253">
        <f>IFERROR(__xludf.DUMMYFUNCTION("""COMPUTED_VALUE"""),"enemy_jig_00001")</f>
        <v/>
      </c>
      <c r="C253">
        <f>IFERROR(__xludf.DUMMYFUNCTION("""COMPUTED_VALUE"""),"_jig1_charaget01")</f>
        <v/>
      </c>
      <c r="D253">
        <f>IFERROR(__xludf.DUMMYFUNCTION("""COMPUTED_VALUE"""),"e_jig_00001_jig1_charaget01_Normal_Colorless")</f>
        <v/>
      </c>
      <c r="E253">
        <f>IFERROR(__xludf.DUMMYFUNCTION("""COMPUTED_VALUE"""),"地獄楽")</f>
        <v/>
      </c>
      <c r="F253">
        <f>IFERROR(__xludf.DUMMYFUNCTION("""COMPUTED_VALUE"""),"門神")</f>
        <v/>
      </c>
      <c r="G253">
        <f>IFERROR(__xludf.DUMMYFUNCTION("""COMPUTED_VALUE"""),"門神_jig1_charaget01")</f>
        <v/>
      </c>
      <c r="H253">
        <f>IFERROR(__xludf.DUMMYFUNCTION("""COMPUTED_VALUE"""),"Normal")</f>
        <v/>
      </c>
      <c r="I253">
        <f>IFERROR(__xludf.DUMMYFUNCTION("""COMPUTED_VALUE"""),"Defense")</f>
        <v/>
      </c>
      <c r="J253">
        <f>IFERROR(__xludf.DUMMYFUNCTION("""COMPUTED_VALUE"""),"Colorless")</f>
        <v/>
      </c>
      <c r="K253">
        <f>IFERROR(__xludf.DUMMYFUNCTION("""COMPUTED_VALUE"""),1000.0)</f>
        <v/>
      </c>
      <c r="L253">
        <f>IFERROR(__xludf.DUMMYFUNCTION("""COMPUTED_VALUE"""),1.0)</f>
        <v/>
      </c>
      <c r="M253">
        <f>IFERROR(__xludf.DUMMYFUNCTION("""COMPUTED_VALUE"""),27.0)</f>
        <v/>
      </c>
      <c r="N253">
        <f>IFERROR(__xludf.DUMMYFUNCTION("""COMPUTED_VALUE"""),0.22)</f>
        <v/>
      </c>
      <c r="O253">
        <f>IFERROR(__xludf.DUMMYFUNCTION("""COMPUTED_VALUE"""),100.0)</f>
        <v/>
      </c>
      <c r="P253">
        <f>IFERROR(__xludf.DUMMYFUNCTION("""COMPUTED_VALUE"""),0.0)</f>
        <v/>
      </c>
      <c r="Q253">
        <f>IFERROR(__xludf.DUMMYFUNCTION("""COMPUTED_VALUE"""),0.27)</f>
        <v/>
      </c>
      <c r="R253">
        <f>IFERROR(__xludf.DUMMYFUNCTION("""COMPUTED_VALUE"""),100.0)</f>
        <v/>
      </c>
      <c r="S253">
        <f>IFERROR(__xludf.DUMMYFUNCTION("""COMPUTED_VALUE"""),50.0)</f>
        <v/>
      </c>
      <c r="T253">
        <f>IFERROR(__xludf.DUMMYFUNCTION("""COMPUTED_VALUE"""),"1.83")</f>
        <v/>
      </c>
      <c r="U253">
        <f>IFERROR(__xludf.DUMMYFUNCTION("""COMPUTED_VALUE"""),"0.83")</f>
        <v/>
      </c>
      <c r="V253">
        <f>IFERROR(__xludf.DUMMYFUNCTION("""COMPUTED_VALUE"""),100.0)</f>
        <v/>
      </c>
      <c r="W253">
        <f>IFERROR(__xludf.DUMMYFUNCTION("""COMPUTED_VALUE"""),"-")</f>
        <v/>
      </c>
      <c r="X253">
        <f>IFERROR(__xludf.DUMMYFUNCTION("""COMPUTED_VALUE"""),"-")</f>
        <v/>
      </c>
      <c r="Z253">
        <f>IFERROR(__xludf.DUMMYFUNCTION("""COMPUTED_VALUE"""),"-")</f>
        <v/>
      </c>
      <c r="AB253">
        <f>IFERROR(__xludf.DUMMYFUNCTION("""COMPUTED_VALUE"""),"dageki_1")</f>
        <v/>
      </c>
    </row>
    <row r="254">
      <c r="B254">
        <f>IFERROR(__xludf.DUMMYFUNCTION("""COMPUTED_VALUE"""),"enemy_jig_00301")</f>
        <v/>
      </c>
      <c r="C254">
        <f>IFERROR(__xludf.DUMMYFUNCTION("""COMPUTED_VALUE"""),"_jig1_charaget01")</f>
        <v/>
      </c>
      <c r="D254">
        <f>IFERROR(__xludf.DUMMYFUNCTION("""COMPUTED_VALUE"""),"e_jig_00301_jig1_charaget01_Normal_Green")</f>
        <v/>
      </c>
      <c r="E254">
        <f>IFERROR(__xludf.DUMMYFUNCTION("""COMPUTED_VALUE"""),"地獄楽")</f>
        <v/>
      </c>
      <c r="F254">
        <f>IFERROR(__xludf.DUMMYFUNCTION("""COMPUTED_VALUE"""),"竈神 魚")</f>
        <v/>
      </c>
      <c r="G254">
        <f>IFERROR(__xludf.DUMMYFUNCTION("""COMPUTED_VALUE"""),"竈神 魚_jig1_charaget01")</f>
        <v/>
      </c>
      <c r="H254">
        <f>IFERROR(__xludf.DUMMYFUNCTION("""COMPUTED_VALUE"""),"Normal")</f>
        <v/>
      </c>
      <c r="I254">
        <f>IFERROR(__xludf.DUMMYFUNCTION("""COMPUTED_VALUE"""),"Attack")</f>
        <v/>
      </c>
      <c r="J254">
        <f>IFERROR(__xludf.DUMMYFUNCTION("""COMPUTED_VALUE"""),"Green")</f>
        <v/>
      </c>
      <c r="K254">
        <f>IFERROR(__xludf.DUMMYFUNCTION("""COMPUTED_VALUE"""),1000.0)</f>
        <v/>
      </c>
      <c r="L254">
        <f>IFERROR(__xludf.DUMMYFUNCTION("""COMPUTED_VALUE"""),4.0)</f>
        <v/>
      </c>
      <c r="M254">
        <f>IFERROR(__xludf.DUMMYFUNCTION("""COMPUTED_VALUE"""),37.0)</f>
        <v/>
      </c>
      <c r="N254">
        <f>IFERROR(__xludf.DUMMYFUNCTION("""COMPUTED_VALUE"""),0.22)</f>
        <v/>
      </c>
      <c r="O254">
        <f>IFERROR(__xludf.DUMMYFUNCTION("""COMPUTED_VALUE"""),100.0)</f>
        <v/>
      </c>
      <c r="P254">
        <f>IFERROR(__xludf.DUMMYFUNCTION("""COMPUTED_VALUE"""),0.0)</f>
        <v/>
      </c>
      <c r="Q254">
        <f>IFERROR(__xludf.DUMMYFUNCTION("""COMPUTED_VALUE"""),0.23)</f>
        <v/>
      </c>
      <c r="R254">
        <f>IFERROR(__xludf.DUMMYFUNCTION("""COMPUTED_VALUE"""),1.0)</f>
        <v/>
      </c>
      <c r="S254">
        <f>IFERROR(__xludf.DUMMYFUNCTION("""COMPUTED_VALUE"""),50.0)</f>
        <v/>
      </c>
      <c r="T254">
        <f>IFERROR(__xludf.DUMMYFUNCTION("""COMPUTED_VALUE"""),"1.50")</f>
        <v/>
      </c>
      <c r="U254">
        <f>IFERROR(__xludf.DUMMYFUNCTION("""COMPUTED_VALUE"""),"0.66")</f>
        <v/>
      </c>
      <c r="V254">
        <f>IFERROR(__xludf.DUMMYFUNCTION("""COMPUTED_VALUE"""),10.0)</f>
        <v/>
      </c>
      <c r="W254">
        <f>IFERROR(__xludf.DUMMYFUNCTION("""COMPUTED_VALUE"""),"-")</f>
        <v/>
      </c>
      <c r="X254">
        <f>IFERROR(__xludf.DUMMYFUNCTION("""COMPUTED_VALUE"""),"-")</f>
        <v/>
      </c>
      <c r="Z254">
        <f>IFERROR(__xludf.DUMMYFUNCTION("""COMPUTED_VALUE"""),"-")</f>
        <v/>
      </c>
      <c r="AB254">
        <f>IFERROR(__xludf.DUMMYFUNCTION("""COMPUTED_VALUE"""),"dageki_1")</f>
        <v/>
      </c>
    </row>
    <row r="255">
      <c r="B255">
        <f>IFERROR(__xludf.DUMMYFUNCTION("""COMPUTED_VALUE"""),"chara_jig_00201")</f>
        <v/>
      </c>
      <c r="C255">
        <f>IFERROR(__xludf.DUMMYFUNCTION("""COMPUTED_VALUE"""),"_jig1_charaget01")</f>
        <v/>
      </c>
      <c r="D255">
        <f>IFERROR(__xludf.DUMMYFUNCTION("""COMPUTED_VALUE"""),"c_jig_00201_jig1_charaget01_Boss_Green")</f>
        <v/>
      </c>
      <c r="E255">
        <f>IFERROR(__xludf.DUMMYFUNCTION("""COMPUTED_VALUE"""),"地獄楽")</f>
        <v/>
      </c>
      <c r="F255">
        <f>IFERROR(__xludf.DUMMYFUNCTION("""COMPUTED_VALUE"""),"杠")</f>
        <v/>
      </c>
      <c r="G255">
        <f>IFERROR(__xludf.DUMMYFUNCTION("""COMPUTED_VALUE"""),"杠_jig1_charaget01")</f>
        <v/>
      </c>
      <c r="H255">
        <f>IFERROR(__xludf.DUMMYFUNCTION("""COMPUTED_VALUE"""),"Boss")</f>
        <v/>
      </c>
      <c r="I255">
        <f>IFERROR(__xludf.DUMMYFUNCTION("""COMPUTED_VALUE"""),"Technical")</f>
        <v/>
      </c>
      <c r="J255">
        <f>IFERROR(__xludf.DUMMYFUNCTION("""COMPUTED_VALUE"""),"Green")</f>
        <v/>
      </c>
      <c r="K255">
        <f>IFERROR(__xludf.DUMMYFUNCTION("""COMPUTED_VALUE"""),10000.0)</f>
        <v/>
      </c>
      <c r="L255">
        <f>IFERROR(__xludf.DUMMYFUNCTION("""COMPUTED_VALUE"""),3.0)</f>
        <v/>
      </c>
      <c r="M255">
        <f>IFERROR(__xludf.DUMMYFUNCTION("""COMPUTED_VALUE"""),34.0)</f>
        <v/>
      </c>
      <c r="O255">
        <f>IFERROR(__xludf.DUMMYFUNCTION("""COMPUTED_VALUE"""),100.0)</f>
        <v/>
      </c>
      <c r="S255">
        <f>IFERROR(__xludf.DUMMYFUNCTION("""COMPUTED_VALUE"""),100.0)</f>
        <v/>
      </c>
      <c r="T255">
        <f>IFERROR(__xludf.DUMMYFUNCTION("""COMPUTED_VALUE"""),"1.67")</f>
        <v/>
      </c>
      <c r="U255">
        <f>IFERROR(__xludf.DUMMYFUNCTION("""COMPUTED_VALUE"""),"stop有:1回目 1")</f>
        <v/>
      </c>
      <c r="W255">
        <f>IFERROR(__xludf.DUMMYFUNCTION("""COMPUTED_VALUE"""),"2.56")</f>
        <v/>
      </c>
      <c r="X255">
        <f>IFERROR(__xludf.DUMMYFUNCTION("""COMPUTED_VALUE"""),"stop有:1回目1.66")</f>
        <v/>
      </c>
      <c r="Z255">
        <f>IFERROR(__xludf.DUMMYFUNCTION("""COMPUTED_VALUE"""),"-")</f>
        <v/>
      </c>
      <c r="AB255">
        <f>IFERROR(__xludf.DUMMYFUNCTION("""COMPUTED_VALUE"""),"shageki_1")</f>
        <v/>
      </c>
      <c r="AC255">
        <f>IFERROR(__xludf.DUMMYFUNCTION("""COMPUTED_VALUE"""),"100%の確率で3秒間1%の毒にする")</f>
        <v/>
      </c>
    </row>
    <row r="256">
      <c r="B256">
        <f>IFERROR(__xludf.DUMMYFUNCTION("""COMPUTED_VALUE"""),"chara_jig_00101")</f>
        <v/>
      </c>
      <c r="C256">
        <f>IFERROR(__xludf.DUMMYFUNCTION("""COMPUTED_VALUE"""),"_jig1_charaget01")</f>
        <v/>
      </c>
      <c r="D256">
        <f>IFERROR(__xludf.DUMMYFUNCTION("""COMPUTED_VALUE"""),"c_jig_00101_jig1_charaget01_Boss_Yellow")</f>
        <v/>
      </c>
      <c r="E256">
        <f>IFERROR(__xludf.DUMMYFUNCTION("""COMPUTED_VALUE"""),"地獄楽")</f>
        <v/>
      </c>
      <c r="F256">
        <f>IFERROR(__xludf.DUMMYFUNCTION("""COMPUTED_VALUE"""),"山田浅ェ門 佐切")</f>
        <v/>
      </c>
      <c r="G256">
        <f>IFERROR(__xludf.DUMMYFUNCTION("""COMPUTED_VALUE"""),"山田浅ェ門 佐切_jig1_charaget01")</f>
        <v/>
      </c>
      <c r="H256">
        <f>IFERROR(__xludf.DUMMYFUNCTION("""COMPUTED_VALUE"""),"Boss")</f>
        <v/>
      </c>
      <c r="I256">
        <f>IFERROR(__xludf.DUMMYFUNCTION("""COMPUTED_VALUE"""),"Attack")</f>
        <v/>
      </c>
      <c r="J256">
        <f>IFERROR(__xludf.DUMMYFUNCTION("""COMPUTED_VALUE"""),"Yellow")</f>
        <v/>
      </c>
      <c r="K256">
        <f>IFERROR(__xludf.DUMMYFUNCTION("""COMPUTED_VALUE"""),10000.0)</f>
        <v/>
      </c>
      <c r="L256">
        <f>IFERROR(__xludf.DUMMYFUNCTION("""COMPUTED_VALUE"""),2.0)</f>
        <v/>
      </c>
      <c r="M256">
        <f>IFERROR(__xludf.DUMMYFUNCTION("""COMPUTED_VALUE"""),34.0)</f>
        <v/>
      </c>
      <c r="N256">
        <f>IFERROR(__xludf.DUMMYFUNCTION("""COMPUTED_VALUE"""),0.22)</f>
        <v/>
      </c>
      <c r="O256">
        <f>IFERROR(__xludf.DUMMYFUNCTION("""COMPUTED_VALUE"""),100.0)</f>
        <v/>
      </c>
      <c r="P256">
        <f>IFERROR(__xludf.DUMMYFUNCTION("""COMPUTED_VALUE"""),0.0)</f>
        <v/>
      </c>
      <c r="Q256">
        <f>IFERROR(__xludf.DUMMYFUNCTION("""COMPUTED_VALUE"""),0.23)</f>
        <v/>
      </c>
      <c r="R256">
        <f>IFERROR(__xludf.DUMMYFUNCTION("""COMPUTED_VALUE"""),1.0)</f>
        <v/>
      </c>
      <c r="S256">
        <f>IFERROR(__xludf.DUMMYFUNCTION("""COMPUTED_VALUE"""),100.0)</f>
        <v/>
      </c>
      <c r="T256">
        <f>IFERROR(__xludf.DUMMYFUNCTION("""COMPUTED_VALUE"""),"1.5")</f>
        <v/>
      </c>
      <c r="U256">
        <f>IFERROR(__xludf.DUMMYFUNCTION("""COMPUTED_VALUE"""),"0.50")</f>
        <v/>
      </c>
      <c r="V256">
        <f>IFERROR(__xludf.DUMMYFUNCTION("""COMPUTED_VALUE"""),75.0)</f>
        <v/>
      </c>
      <c r="W256">
        <f>IFERROR(__xludf.DUMMYFUNCTION("""COMPUTED_VALUE"""),"2.50")</f>
        <v/>
      </c>
      <c r="X256">
        <f>IFERROR(__xludf.DUMMYFUNCTION("""COMPUTED_VALUE"""),"1.20")</f>
        <v/>
      </c>
      <c r="Y256">
        <f>IFERROR(__xludf.DUMMYFUNCTION("""COMPUTED_VALUE"""),"中範囲攻撃")</f>
        <v/>
      </c>
      <c r="Z256">
        <f>IFERROR(__xludf.DUMMYFUNCTION("""COMPUTED_VALUE"""),6.0)</f>
        <v/>
      </c>
      <c r="AB256">
        <f>IFERROR(__xludf.DUMMYFUNCTION("""COMPUTED_VALUE"""),"zangeki_1")</f>
        <v/>
      </c>
    </row>
    <row r="257">
      <c r="B257">
        <f>IFERROR(__xludf.DUMMYFUNCTION("""COMPUTED_VALUE"""),"enemy_jig_00501")</f>
        <v/>
      </c>
      <c r="C257">
        <f>IFERROR(__xludf.DUMMYFUNCTION("""COMPUTED_VALUE"""),"_jig1_charaget01")</f>
        <v/>
      </c>
      <c r="D257">
        <f>IFERROR(__xludf.DUMMYFUNCTION("""COMPUTED_VALUE"""),"e_jig_00501_jig1_charaget01_Boss_Colorless")</f>
        <v/>
      </c>
      <c r="E257">
        <f>IFERROR(__xludf.DUMMYFUNCTION("""COMPUTED_VALUE"""),"地獄楽")</f>
        <v/>
      </c>
      <c r="F257">
        <f>IFERROR(__xludf.DUMMYFUNCTION("""COMPUTED_VALUE"""),"山田浅ェ門 源嗣")</f>
        <v/>
      </c>
      <c r="G257">
        <f>IFERROR(__xludf.DUMMYFUNCTION("""COMPUTED_VALUE"""),"山田浅ェ門 源嗣_jig1_charaget01")</f>
        <v/>
      </c>
      <c r="H257">
        <f>IFERROR(__xludf.DUMMYFUNCTION("""COMPUTED_VALUE"""),"Boss")</f>
        <v/>
      </c>
      <c r="I257">
        <f>IFERROR(__xludf.DUMMYFUNCTION("""COMPUTED_VALUE"""),"Defense")</f>
        <v/>
      </c>
      <c r="J257">
        <f>IFERROR(__xludf.DUMMYFUNCTION("""COMPUTED_VALUE"""),"Colorless")</f>
        <v/>
      </c>
      <c r="K257">
        <f>IFERROR(__xludf.DUMMYFUNCTION("""COMPUTED_VALUE"""),10000.0)</f>
        <v/>
      </c>
      <c r="L257">
        <f>IFERROR(__xludf.DUMMYFUNCTION("""COMPUTED_VALUE"""),1.0)</f>
        <v/>
      </c>
      <c r="M257">
        <f>IFERROR(__xludf.DUMMYFUNCTION("""COMPUTED_VALUE"""),34.0)</f>
        <v/>
      </c>
      <c r="O257">
        <f>IFERROR(__xludf.DUMMYFUNCTION("""COMPUTED_VALUE"""),100.0)</f>
        <v/>
      </c>
      <c r="S257">
        <f>IFERROR(__xludf.DUMMYFUNCTION("""COMPUTED_VALUE"""),100.0)</f>
        <v/>
      </c>
      <c r="T257">
        <f>IFERROR(__xludf.DUMMYFUNCTION("""COMPUTED_VALUE"""),"1.43")</f>
        <v/>
      </c>
      <c r="U257">
        <f>IFERROR(__xludf.DUMMYFUNCTION("""COMPUTED_VALUE"""),"0.66")</f>
        <v/>
      </c>
      <c r="W257">
        <f>IFERROR(__xludf.DUMMYFUNCTION("""COMPUTED_VALUE"""),"-")</f>
        <v/>
      </c>
      <c r="X257">
        <f>IFERROR(__xludf.DUMMYFUNCTION("""COMPUTED_VALUE"""),"-")</f>
        <v/>
      </c>
      <c r="Z257">
        <f>IFERROR(__xludf.DUMMYFUNCTION("""COMPUTED_VALUE"""),"-")</f>
        <v/>
      </c>
      <c r="AB257">
        <f>IFERROR(__xludf.DUMMYFUNCTION("""COMPUTED_VALUE"""),"zangeki_1")</f>
        <v/>
      </c>
    </row>
    <row r="258">
      <c r="B258">
        <f>IFERROR(__xludf.DUMMYFUNCTION("""COMPUTED_VALUE"""),"chara_jig_00001")</f>
        <v/>
      </c>
      <c r="C258">
        <f>IFERROR(__xludf.DUMMYFUNCTION("""COMPUTED_VALUE"""),"_jig1_charaget01")</f>
        <v/>
      </c>
      <c r="D258">
        <f>IFERROR(__xludf.DUMMYFUNCTION("""COMPUTED_VALUE"""),"c_jig_00001_jig1_charaget01_Boss_Yellow")</f>
        <v/>
      </c>
      <c r="E258">
        <f>IFERROR(__xludf.DUMMYFUNCTION("""COMPUTED_VALUE"""),"地獄楽")</f>
        <v/>
      </c>
      <c r="F258">
        <f>IFERROR(__xludf.DUMMYFUNCTION("""COMPUTED_VALUE"""),"がらんの画眉丸")</f>
        <v/>
      </c>
      <c r="G258">
        <f>IFERROR(__xludf.DUMMYFUNCTION("""COMPUTED_VALUE"""),"がらんの画眉丸_jig1_charaget01")</f>
        <v/>
      </c>
      <c r="H258">
        <f>IFERROR(__xludf.DUMMYFUNCTION("""COMPUTED_VALUE"""),"Boss")</f>
        <v/>
      </c>
      <c r="I258">
        <f>IFERROR(__xludf.DUMMYFUNCTION("""COMPUTED_VALUE"""),"Technical")</f>
        <v/>
      </c>
      <c r="J258">
        <f>IFERROR(__xludf.DUMMYFUNCTION("""COMPUTED_VALUE"""),"Yellow")</f>
        <v/>
      </c>
      <c r="K258">
        <f>IFERROR(__xludf.DUMMYFUNCTION("""COMPUTED_VALUE"""),10000.0)</f>
        <v/>
      </c>
      <c r="L258">
        <f>IFERROR(__xludf.DUMMYFUNCTION("""COMPUTED_VALUE"""),3.0)</f>
        <v/>
      </c>
      <c r="M258">
        <f>IFERROR(__xludf.DUMMYFUNCTION("""COMPUTED_VALUE"""),41.0)</f>
        <v/>
      </c>
      <c r="N258">
        <f>IFERROR(__xludf.DUMMYFUNCTION("""COMPUTED_VALUE"""),0.24)</f>
        <v/>
      </c>
      <c r="O258">
        <f>IFERROR(__xludf.DUMMYFUNCTION("""COMPUTED_VALUE"""),100.0)</f>
        <v/>
      </c>
      <c r="P258">
        <f>IFERROR(__xludf.DUMMYFUNCTION("""COMPUTED_VALUE"""),0.0)</f>
        <v/>
      </c>
      <c r="Q258">
        <f>IFERROR(__xludf.DUMMYFUNCTION("""COMPUTED_VALUE"""),0.25)</f>
        <v/>
      </c>
      <c r="R258">
        <f>IFERROR(__xludf.DUMMYFUNCTION("""COMPUTED_VALUE"""),1.0)</f>
        <v/>
      </c>
      <c r="S258">
        <f>IFERROR(__xludf.DUMMYFUNCTION("""COMPUTED_VALUE"""),100.0)</f>
        <v/>
      </c>
      <c r="T258">
        <f>IFERROR(__xludf.DUMMYFUNCTION("""COMPUTED_VALUE"""),"1.17")</f>
        <v/>
      </c>
      <c r="U258">
        <f>IFERROR(__xludf.DUMMYFUNCTION("""COMPUTED_VALUE"""),"stop有:1回目0.20")</f>
        <v/>
      </c>
      <c r="V258">
        <f>IFERROR(__xludf.DUMMYFUNCTION("""COMPUTED_VALUE"""),80.0)</f>
        <v/>
      </c>
      <c r="W258">
        <f>IFERROR(__xludf.DUMMYFUNCTION("""COMPUTED_VALUE"""),"2.30")</f>
        <v/>
      </c>
      <c r="X258">
        <f>IFERROR(__xludf.DUMMYFUNCTION("""COMPUTED_VALUE"""),"stop有:1回目 0.08
stop有:2回目 0.90
stop有:3回目 1.50")</f>
        <v/>
      </c>
      <c r="Y258">
        <f>IFERROR(__xludf.DUMMYFUNCTION("""COMPUTED_VALUE"""),"100%の確率で3秒間500ダメージの火傷にする")</f>
        <v/>
      </c>
      <c r="Z258">
        <f>IFERROR(__xludf.DUMMYFUNCTION("""COMPUTED_VALUE"""),5.0)</f>
        <v/>
      </c>
      <c r="AB258">
        <f>IFERROR(__xludf.DUMMYFUNCTION("""COMPUTED_VALUE"""),"dageki_1")</f>
        <v/>
      </c>
    </row>
    <row r="259">
      <c r="B259">
        <f>IFERROR(__xludf.DUMMYFUNCTION("""COMPUTED_VALUE"""),"chara_jig_00301")</f>
        <v/>
      </c>
      <c r="C259">
        <f>IFERROR(__xludf.DUMMYFUNCTION("""COMPUTED_VALUE"""),"_jig1_charaget01")</f>
        <v/>
      </c>
      <c r="D259">
        <f>IFERROR(__xludf.DUMMYFUNCTION("""COMPUTED_VALUE"""),"c_jig_00301_jig1_charaget01_Boss_Colorless")</f>
        <v/>
      </c>
      <c r="E259">
        <f>IFERROR(__xludf.DUMMYFUNCTION("""COMPUTED_VALUE"""),"地獄楽")</f>
        <v/>
      </c>
      <c r="F259">
        <f>IFERROR(__xludf.DUMMYFUNCTION("""COMPUTED_VALUE"""),"山田浅ェ門 仙汰")</f>
        <v/>
      </c>
      <c r="G259">
        <f>IFERROR(__xludf.DUMMYFUNCTION("""COMPUTED_VALUE"""),"山田浅ェ門 仙汰_jig1_charaget01")</f>
        <v/>
      </c>
      <c r="H259">
        <f>IFERROR(__xludf.DUMMYFUNCTION("""COMPUTED_VALUE"""),"Boss")</f>
        <v/>
      </c>
      <c r="I259">
        <f>IFERROR(__xludf.DUMMYFUNCTION("""COMPUTED_VALUE"""),"Defense")</f>
        <v/>
      </c>
      <c r="J259">
        <f>IFERROR(__xludf.DUMMYFUNCTION("""COMPUTED_VALUE"""),"Colorless")</f>
        <v/>
      </c>
      <c r="K259">
        <f>IFERROR(__xludf.DUMMYFUNCTION("""COMPUTED_VALUE"""),10000.0)</f>
        <v/>
      </c>
      <c r="L259">
        <f>IFERROR(__xludf.DUMMYFUNCTION("""COMPUTED_VALUE"""),1.0)</f>
        <v/>
      </c>
      <c r="M259">
        <f>IFERROR(__xludf.DUMMYFUNCTION("""COMPUTED_VALUE"""),21.0)</f>
        <v/>
      </c>
      <c r="N259">
        <f>IFERROR(__xludf.DUMMYFUNCTION("""COMPUTED_VALUE"""),0.18)</f>
        <v/>
      </c>
      <c r="O259">
        <f>IFERROR(__xludf.DUMMYFUNCTION("""COMPUTED_VALUE"""),100.0)</f>
        <v/>
      </c>
      <c r="P259">
        <f>IFERROR(__xludf.DUMMYFUNCTION("""COMPUTED_VALUE"""),0.0)</f>
        <v/>
      </c>
      <c r="Q259">
        <f>IFERROR(__xludf.DUMMYFUNCTION("""COMPUTED_VALUE"""),0.19)</f>
        <v/>
      </c>
      <c r="R259">
        <f>IFERROR(__xludf.DUMMYFUNCTION("""COMPUTED_VALUE"""),1.0)</f>
        <v/>
      </c>
      <c r="S259">
        <f>IFERROR(__xludf.DUMMYFUNCTION("""COMPUTED_VALUE"""),100.0)</f>
        <v/>
      </c>
      <c r="T259">
        <f>IFERROR(__xludf.DUMMYFUNCTION("""COMPUTED_VALUE"""),"1.80")</f>
        <v/>
      </c>
      <c r="U259">
        <f>IFERROR(__xludf.DUMMYFUNCTION("""COMPUTED_VALUE"""),"stop有0.50")</f>
        <v/>
      </c>
      <c r="V259">
        <f>IFERROR(__xludf.DUMMYFUNCTION("""COMPUTED_VALUE"""),100.0)</f>
        <v/>
      </c>
      <c r="W259">
        <f>IFERROR(__xludf.DUMMYFUNCTION("""COMPUTED_VALUE"""),"2.34")</f>
        <v/>
      </c>
      <c r="X259">
        <f>IFERROR(__xludf.DUMMYFUNCTION("""COMPUTED_VALUE"""),"stop無:1回目：0.35
stop無:2回目：0.50
stop無:3回目 0.62
stop無:4回目 0.78
stop有:5回目 1.00")</f>
        <v/>
      </c>
      <c r="Y259">
        <f>IFERROR(__xludf.DUMMYFUNCTION("""COMPUTED_VALUE"""),"中範囲攻撃")</f>
        <v/>
      </c>
      <c r="Z259">
        <f>IFERROR(__xludf.DUMMYFUNCTION("""COMPUTED_VALUE"""),5.0)</f>
        <v/>
      </c>
      <c r="AB259">
        <f>IFERROR(__xludf.DUMMYFUNCTION("""COMPUTED_VALUE"""),"zangeki_1")</f>
        <v/>
      </c>
    </row>
    <row r="260">
      <c r="B260">
        <f>IFERROR(__xludf.DUMMYFUNCTION("""COMPUTED_VALUE"""),"enemy_jig_00601")</f>
        <v/>
      </c>
      <c r="C260">
        <f>IFERROR(__xludf.DUMMYFUNCTION("""COMPUTED_VALUE"""),"_jig1_charaget01")</f>
        <v/>
      </c>
      <c r="D260">
        <f>IFERROR(__xludf.DUMMYFUNCTION("""COMPUTED_VALUE"""),"e_jig_00601_jig1_charaget01_Boss_Colorless")</f>
        <v/>
      </c>
      <c r="E260">
        <f>IFERROR(__xludf.DUMMYFUNCTION("""COMPUTED_VALUE"""),"地獄楽")</f>
        <v/>
      </c>
      <c r="F260">
        <f>IFERROR(__xludf.DUMMYFUNCTION("""COMPUTED_VALUE"""),"朱槿")</f>
        <v/>
      </c>
      <c r="G260">
        <f>IFERROR(__xludf.DUMMYFUNCTION("""COMPUTED_VALUE"""),"朱槿_jig1_charaget01")</f>
        <v/>
      </c>
      <c r="H260">
        <f>IFERROR(__xludf.DUMMYFUNCTION("""COMPUTED_VALUE"""),"Boss")</f>
        <v/>
      </c>
      <c r="I260">
        <f>IFERROR(__xludf.DUMMYFUNCTION("""COMPUTED_VALUE"""),"Attack")</f>
        <v/>
      </c>
      <c r="J260">
        <f>IFERROR(__xludf.DUMMYFUNCTION("""COMPUTED_VALUE"""),"Colorless")</f>
        <v/>
      </c>
      <c r="K260">
        <f>IFERROR(__xludf.DUMMYFUNCTION("""COMPUTED_VALUE"""),10000.0)</f>
        <v/>
      </c>
      <c r="L260">
        <f>IFERROR(__xludf.DUMMYFUNCTION("""COMPUTED_VALUE"""),3.0)</f>
        <v/>
      </c>
      <c r="M260">
        <f>IFERROR(__xludf.DUMMYFUNCTION("""COMPUTED_VALUE"""),37.0)</f>
        <v/>
      </c>
      <c r="O260">
        <f>IFERROR(__xludf.DUMMYFUNCTION("""COMPUTED_VALUE"""),100.0)</f>
        <v/>
      </c>
      <c r="T260">
        <f>IFERROR(__xludf.DUMMYFUNCTION("""COMPUTED_VALUE"""),"1.5")</f>
        <v/>
      </c>
      <c r="U260">
        <f>IFERROR(__xludf.DUMMYFUNCTION("""COMPUTED_VALUE"""),"0.75")</f>
        <v/>
      </c>
      <c r="W260">
        <f>IFERROR(__xludf.DUMMYFUNCTION("""COMPUTED_VALUE"""),"-")</f>
        <v/>
      </c>
      <c r="X260">
        <f>IFERROR(__xludf.DUMMYFUNCTION("""COMPUTED_VALUE"""),"-")</f>
        <v/>
      </c>
      <c r="Z260">
        <f>IFERROR(__xludf.DUMMYFUNCTION("""COMPUTED_VALUE"""),"-")</f>
        <v/>
      </c>
    </row>
    <row r="261">
      <c r="B261">
        <f>IFERROR(__xludf.DUMMYFUNCTION("""COMPUTED_VALUE"""),"chara_jig_00601")</f>
        <v/>
      </c>
      <c r="C261">
        <f>IFERROR(__xludf.DUMMYFUNCTION("""COMPUTED_VALUE"""),"_jig1_challenge")</f>
        <v/>
      </c>
      <c r="D261">
        <f>IFERROR(__xludf.DUMMYFUNCTION("""COMPUTED_VALUE"""),"c_jig_00601_jig1_challenge_Boss_Colorless")</f>
        <v/>
      </c>
      <c r="E261">
        <f>IFERROR(__xludf.DUMMYFUNCTION("""COMPUTED_VALUE"""),"地獄楽")</f>
        <v/>
      </c>
      <c r="F261">
        <f>IFERROR(__xludf.DUMMYFUNCTION("""COMPUTED_VALUE"""),"民谷 巌鉄斎")</f>
        <v/>
      </c>
      <c r="G261">
        <f>IFERROR(__xludf.DUMMYFUNCTION("""COMPUTED_VALUE"""),"民谷 巌鉄斎_jig1_challenge")</f>
        <v/>
      </c>
      <c r="H261">
        <f>IFERROR(__xludf.DUMMYFUNCTION("""COMPUTED_VALUE"""),"Boss")</f>
        <v/>
      </c>
      <c r="I261">
        <f>IFERROR(__xludf.DUMMYFUNCTION("""COMPUTED_VALUE"""),"Defense")</f>
        <v/>
      </c>
      <c r="J261">
        <f>IFERROR(__xludf.DUMMYFUNCTION("""COMPUTED_VALUE"""),"Colorless")</f>
        <v/>
      </c>
      <c r="K261">
        <f>IFERROR(__xludf.DUMMYFUNCTION("""COMPUTED_VALUE"""),50000.0)</f>
        <v/>
      </c>
      <c r="L261">
        <f>IFERROR(__xludf.DUMMYFUNCTION("""COMPUTED_VALUE"""),3.0)</f>
        <v/>
      </c>
      <c r="M261">
        <f>IFERROR(__xludf.DUMMYFUNCTION("""COMPUTED_VALUE"""),32.0)</f>
        <v/>
      </c>
      <c r="N261">
        <f>IFERROR(__xludf.DUMMYFUNCTION("""COMPUTED_VALUE"""),0.31)</f>
        <v/>
      </c>
      <c r="O261">
        <f>IFERROR(__xludf.DUMMYFUNCTION("""COMPUTED_VALUE"""),100.0)</f>
        <v/>
      </c>
      <c r="P261">
        <f>IFERROR(__xludf.DUMMYFUNCTION("""COMPUTED_VALUE"""),0.0)</f>
        <v/>
      </c>
      <c r="Q261">
        <f>IFERROR(__xludf.DUMMYFUNCTION("""COMPUTED_VALUE"""),0.22)</f>
        <v/>
      </c>
      <c r="R261">
        <f>IFERROR(__xludf.DUMMYFUNCTION("""COMPUTED_VALUE"""),1.0)</f>
        <v/>
      </c>
      <c r="S261">
        <f>IFERROR(__xludf.DUMMYFUNCTION("""COMPUTED_VALUE"""),300.0)</f>
        <v/>
      </c>
      <c r="T261">
        <f>IFERROR(__xludf.DUMMYFUNCTION("""COMPUTED_VALUE"""),"1.67")</f>
        <v/>
      </c>
      <c r="U261">
        <f>IFERROR(__xludf.DUMMYFUNCTION("""COMPUTED_VALUE"""),"stop有:1回目0.6")</f>
        <v/>
      </c>
      <c r="W261">
        <f>IFERROR(__xludf.DUMMYFUNCTION("""COMPUTED_VALUE"""),"2.67")</f>
        <v/>
      </c>
      <c r="X261">
        <f>IFERROR(__xludf.DUMMYFUNCTION("""COMPUTED_VALUE"""),"stop有:1.5")</f>
        <v/>
      </c>
      <c r="Z261">
        <f>IFERROR(__xludf.DUMMYFUNCTION("""COMPUTED_VALUE"""),"-")</f>
        <v/>
      </c>
      <c r="AB261">
        <f>IFERROR(__xludf.DUMMYFUNCTION("""COMPUTED_VALUE"""),"zangeki_1")</f>
        <v/>
      </c>
    </row>
    <row r="262">
      <c r="B262">
        <f>IFERROR(__xludf.DUMMYFUNCTION("""COMPUTED_VALUE"""),"enemy_jig_00501")</f>
        <v/>
      </c>
      <c r="C262">
        <f>IFERROR(__xludf.DUMMYFUNCTION("""COMPUTED_VALUE"""),"_jig1_challenge")</f>
        <v/>
      </c>
      <c r="D262">
        <f>IFERROR(__xludf.DUMMYFUNCTION("""COMPUTED_VALUE"""),"e_jig_00501_jig1_challenge_Boss_Colorless")</f>
        <v/>
      </c>
      <c r="E262">
        <f>IFERROR(__xludf.DUMMYFUNCTION("""COMPUTED_VALUE"""),"地獄楽")</f>
        <v/>
      </c>
      <c r="F262">
        <f>IFERROR(__xludf.DUMMYFUNCTION("""COMPUTED_VALUE"""),"山田浅ェ門 源嗣")</f>
        <v/>
      </c>
      <c r="G262">
        <f>IFERROR(__xludf.DUMMYFUNCTION("""COMPUTED_VALUE"""),"山田浅ェ門 源嗣_jig1_challenge")</f>
        <v/>
      </c>
      <c r="H262">
        <f>IFERROR(__xludf.DUMMYFUNCTION("""COMPUTED_VALUE"""),"Boss")</f>
        <v/>
      </c>
      <c r="I262">
        <f>IFERROR(__xludf.DUMMYFUNCTION("""COMPUTED_VALUE"""),"Defense")</f>
        <v/>
      </c>
      <c r="J262">
        <f>IFERROR(__xludf.DUMMYFUNCTION("""COMPUTED_VALUE"""),"Colorless")</f>
        <v/>
      </c>
      <c r="K262">
        <f>IFERROR(__xludf.DUMMYFUNCTION("""COMPUTED_VALUE"""),50000.0)</f>
        <v/>
      </c>
      <c r="L262">
        <f>IFERROR(__xludf.DUMMYFUNCTION("""COMPUTED_VALUE"""),3.0)</f>
        <v/>
      </c>
      <c r="M262">
        <f>IFERROR(__xludf.DUMMYFUNCTION("""COMPUTED_VALUE"""),32.0)</f>
        <v/>
      </c>
      <c r="N262">
        <f>IFERROR(__xludf.DUMMYFUNCTION("""COMPUTED_VALUE"""),0.22)</f>
        <v/>
      </c>
      <c r="O262">
        <f>IFERROR(__xludf.DUMMYFUNCTION("""COMPUTED_VALUE"""),300.0)</f>
        <v/>
      </c>
      <c r="P262">
        <f>IFERROR(__xludf.DUMMYFUNCTION("""COMPUTED_VALUE"""),0.0)</f>
        <v/>
      </c>
      <c r="Q262">
        <f>IFERROR(__xludf.DUMMYFUNCTION("""COMPUTED_VALUE"""),0.23)</f>
        <v/>
      </c>
      <c r="R262">
        <f>IFERROR(__xludf.DUMMYFUNCTION("""COMPUTED_VALUE"""),1.0)</f>
        <v/>
      </c>
      <c r="S262">
        <f>IFERROR(__xludf.DUMMYFUNCTION("""COMPUTED_VALUE"""),300.0)</f>
        <v/>
      </c>
      <c r="T262">
        <f>IFERROR(__xludf.DUMMYFUNCTION("""COMPUTED_VALUE"""),"1.43")</f>
        <v/>
      </c>
      <c r="U262">
        <f>IFERROR(__xludf.DUMMYFUNCTION("""COMPUTED_VALUE"""),"0.66")</f>
        <v/>
      </c>
      <c r="W262">
        <f>IFERROR(__xludf.DUMMYFUNCTION("""COMPUTED_VALUE"""),"-")</f>
        <v/>
      </c>
      <c r="X262">
        <f>IFERROR(__xludf.DUMMYFUNCTION("""COMPUTED_VALUE"""),"-")</f>
        <v/>
      </c>
      <c r="Z262">
        <f>IFERROR(__xludf.DUMMYFUNCTION("""COMPUTED_VALUE"""),"-")</f>
        <v/>
      </c>
      <c r="AB262">
        <f>IFERROR(__xludf.DUMMYFUNCTION("""COMPUTED_VALUE"""),"zangeki_1")</f>
        <v/>
      </c>
    </row>
    <row r="263">
      <c r="B263">
        <f>IFERROR(__xludf.DUMMYFUNCTION("""COMPUTED_VALUE"""),"chara_jig_00201")</f>
        <v/>
      </c>
      <c r="C263">
        <f>IFERROR(__xludf.DUMMYFUNCTION("""COMPUTED_VALUE"""),"_jig1_challenge")</f>
        <v/>
      </c>
      <c r="D263">
        <f>IFERROR(__xludf.DUMMYFUNCTION("""COMPUTED_VALUE"""),"c_jig_00201_jig1_challenge_Boss_Green")</f>
        <v/>
      </c>
      <c r="E263">
        <f>IFERROR(__xludf.DUMMYFUNCTION("""COMPUTED_VALUE"""),"地獄楽")</f>
        <v/>
      </c>
      <c r="F263">
        <f>IFERROR(__xludf.DUMMYFUNCTION("""COMPUTED_VALUE"""),"杠")</f>
        <v/>
      </c>
      <c r="G263">
        <f>IFERROR(__xludf.DUMMYFUNCTION("""COMPUTED_VALUE"""),"杠_jig1_challenge")</f>
        <v/>
      </c>
      <c r="H263">
        <f>IFERROR(__xludf.DUMMYFUNCTION("""COMPUTED_VALUE"""),"Boss")</f>
        <v/>
      </c>
      <c r="I263">
        <f>IFERROR(__xludf.DUMMYFUNCTION("""COMPUTED_VALUE"""),"Technical")</f>
        <v/>
      </c>
      <c r="J263">
        <f>IFERROR(__xludf.DUMMYFUNCTION("""COMPUTED_VALUE"""),"Green")</f>
        <v/>
      </c>
      <c r="K263">
        <f>IFERROR(__xludf.DUMMYFUNCTION("""COMPUTED_VALUE"""),50000.0)</f>
        <v/>
      </c>
      <c r="L263">
        <f>IFERROR(__xludf.DUMMYFUNCTION("""COMPUTED_VALUE"""),3.0)</f>
        <v/>
      </c>
      <c r="M263">
        <f>IFERROR(__xludf.DUMMYFUNCTION("""COMPUTED_VALUE"""),34.0)</f>
        <v/>
      </c>
      <c r="N263">
        <f>IFERROR(__xludf.DUMMYFUNCTION("""COMPUTED_VALUE"""),0.24)</f>
        <v/>
      </c>
      <c r="O263">
        <f>IFERROR(__xludf.DUMMYFUNCTION("""COMPUTED_VALUE"""),100.0)</f>
        <v/>
      </c>
      <c r="Q263">
        <f>IFERROR(__xludf.DUMMYFUNCTION("""COMPUTED_VALUE"""),0.23)</f>
        <v/>
      </c>
      <c r="S263">
        <f>IFERROR(__xludf.DUMMYFUNCTION("""COMPUTED_VALUE"""),300.0)</f>
        <v/>
      </c>
      <c r="T263">
        <f>IFERROR(__xludf.DUMMYFUNCTION("""COMPUTED_VALUE"""),"1.67")</f>
        <v/>
      </c>
      <c r="U263">
        <f>IFERROR(__xludf.DUMMYFUNCTION("""COMPUTED_VALUE"""),"stop有:1回目 1")</f>
        <v/>
      </c>
      <c r="W263">
        <f>IFERROR(__xludf.DUMMYFUNCTION("""COMPUTED_VALUE"""),"2.56")</f>
        <v/>
      </c>
      <c r="X263">
        <f>IFERROR(__xludf.DUMMYFUNCTION("""COMPUTED_VALUE"""),"stop有:1回目1.66")</f>
        <v/>
      </c>
      <c r="Z263">
        <f>IFERROR(__xludf.DUMMYFUNCTION("""COMPUTED_VALUE"""),"-")</f>
        <v/>
      </c>
      <c r="AB263">
        <f>IFERROR(__xludf.DUMMYFUNCTION("""COMPUTED_VALUE"""),"shageki_1")</f>
        <v/>
      </c>
    </row>
    <row r="264">
      <c r="B264">
        <f>IFERROR(__xludf.DUMMYFUNCTION("""COMPUTED_VALUE"""),"chara_jig_00301")</f>
        <v/>
      </c>
      <c r="C264">
        <f>IFERROR(__xludf.DUMMYFUNCTION("""COMPUTED_VALUE"""),"_jig1_challenge")</f>
        <v/>
      </c>
      <c r="D264">
        <f>IFERROR(__xludf.DUMMYFUNCTION("""COMPUTED_VALUE"""),"c_jig_00301_jig1_challenge_Boss_Green")</f>
        <v/>
      </c>
      <c r="E264">
        <f>IFERROR(__xludf.DUMMYFUNCTION("""COMPUTED_VALUE"""),"地獄楽")</f>
        <v/>
      </c>
      <c r="F264">
        <f>IFERROR(__xludf.DUMMYFUNCTION("""COMPUTED_VALUE"""),"山田浅ェ門 仙汰")</f>
        <v/>
      </c>
      <c r="G264">
        <f>IFERROR(__xludf.DUMMYFUNCTION("""COMPUTED_VALUE"""),"山田浅ェ門 仙汰_jig1_challenge")</f>
        <v/>
      </c>
      <c r="H264">
        <f>IFERROR(__xludf.DUMMYFUNCTION("""COMPUTED_VALUE"""),"Boss")</f>
        <v/>
      </c>
      <c r="I264">
        <f>IFERROR(__xludf.DUMMYFUNCTION("""COMPUTED_VALUE"""),"Defense")</f>
        <v/>
      </c>
      <c r="J264">
        <f>IFERROR(__xludf.DUMMYFUNCTION("""COMPUTED_VALUE"""),"Green")</f>
        <v/>
      </c>
      <c r="K264">
        <f>IFERROR(__xludf.DUMMYFUNCTION("""COMPUTED_VALUE"""),50000.0)</f>
        <v/>
      </c>
      <c r="L264">
        <f>IFERROR(__xludf.DUMMYFUNCTION("""COMPUTED_VALUE"""),3.0)</f>
        <v/>
      </c>
      <c r="M264">
        <f>IFERROR(__xludf.DUMMYFUNCTION("""COMPUTED_VALUE"""),21.0)</f>
        <v/>
      </c>
      <c r="N264">
        <f>IFERROR(__xludf.DUMMYFUNCTION("""COMPUTED_VALUE"""),0.18)</f>
        <v/>
      </c>
      <c r="O264">
        <f>IFERROR(__xludf.DUMMYFUNCTION("""COMPUTED_VALUE"""),100.0)</f>
        <v/>
      </c>
      <c r="P264">
        <f>IFERROR(__xludf.DUMMYFUNCTION("""COMPUTED_VALUE"""),0.0)</f>
        <v/>
      </c>
      <c r="Q264">
        <f>IFERROR(__xludf.DUMMYFUNCTION("""COMPUTED_VALUE"""),0.19)</f>
        <v/>
      </c>
      <c r="R264">
        <f>IFERROR(__xludf.DUMMYFUNCTION("""COMPUTED_VALUE"""),1.0)</f>
        <v/>
      </c>
      <c r="S264">
        <f>IFERROR(__xludf.DUMMYFUNCTION("""COMPUTED_VALUE"""),300.0)</f>
        <v/>
      </c>
      <c r="T264">
        <f>IFERROR(__xludf.DUMMYFUNCTION("""COMPUTED_VALUE"""),"1.80")</f>
        <v/>
      </c>
      <c r="U264">
        <f>IFERROR(__xludf.DUMMYFUNCTION("""COMPUTED_VALUE"""),"stop有0.50")</f>
        <v/>
      </c>
      <c r="V264">
        <f>IFERROR(__xludf.DUMMYFUNCTION("""COMPUTED_VALUE"""),100.0)</f>
        <v/>
      </c>
      <c r="W264">
        <f>IFERROR(__xludf.DUMMYFUNCTION("""COMPUTED_VALUE"""),"2.34")</f>
        <v/>
      </c>
      <c r="X264">
        <f>IFERROR(__xludf.DUMMYFUNCTION("""COMPUTED_VALUE"""),"stop無:1回目：0.35
stop無:2回目：0.50
stop無:3回目 0.62
stop無:4回目 0.78
stop有:5回目 1.00")</f>
        <v/>
      </c>
      <c r="Z264">
        <f>IFERROR(__xludf.DUMMYFUNCTION("""COMPUTED_VALUE"""),5.0)</f>
        <v/>
      </c>
      <c r="AB264">
        <f>IFERROR(__xludf.DUMMYFUNCTION("""COMPUTED_VALUE"""),"zangeki_1")</f>
        <v/>
      </c>
    </row>
    <row r="265">
      <c r="B265">
        <f>IFERROR(__xludf.DUMMYFUNCTION("""COMPUTED_VALUE"""),"chara_jig_00401")</f>
        <v/>
      </c>
      <c r="C265">
        <f>IFERROR(__xludf.DUMMYFUNCTION("""COMPUTED_VALUE"""),"_jig1_challenge")</f>
        <v/>
      </c>
      <c r="D265">
        <f>IFERROR(__xludf.DUMMYFUNCTION("""COMPUTED_VALUE"""),"c_jig_00401_jig1_challenge_Boss_Colorless")</f>
        <v/>
      </c>
      <c r="E265">
        <f>IFERROR(__xludf.DUMMYFUNCTION("""COMPUTED_VALUE"""),"地獄楽")</f>
        <v/>
      </c>
      <c r="F265">
        <f>IFERROR(__xludf.DUMMYFUNCTION("""COMPUTED_VALUE"""),"賊王 亜左 弔兵衛")</f>
        <v/>
      </c>
      <c r="G265">
        <f>IFERROR(__xludf.DUMMYFUNCTION("""COMPUTED_VALUE"""),"賊王 亜左 弔兵衛_jig1_challenge")</f>
        <v/>
      </c>
      <c r="H265">
        <f>IFERROR(__xludf.DUMMYFUNCTION("""COMPUTED_VALUE"""),"Boss")</f>
        <v/>
      </c>
      <c r="I265">
        <f>IFERROR(__xludf.DUMMYFUNCTION("""COMPUTED_VALUE"""),"Technical")</f>
        <v/>
      </c>
      <c r="J265">
        <f>IFERROR(__xludf.DUMMYFUNCTION("""COMPUTED_VALUE"""),"Colorless")</f>
        <v/>
      </c>
      <c r="K265">
        <f>IFERROR(__xludf.DUMMYFUNCTION("""COMPUTED_VALUE"""),50000.0)</f>
        <v/>
      </c>
      <c r="L265">
        <f>IFERROR(__xludf.DUMMYFUNCTION("""COMPUTED_VALUE"""),3.0)</f>
        <v/>
      </c>
      <c r="M265">
        <f>IFERROR(__xludf.DUMMYFUNCTION("""COMPUTED_VALUE"""),30.0)</f>
        <v/>
      </c>
      <c r="N265">
        <f>IFERROR(__xludf.DUMMYFUNCTION("""COMPUTED_VALUE"""),0.31)</f>
        <v/>
      </c>
      <c r="O265">
        <f>IFERROR(__xludf.DUMMYFUNCTION("""COMPUTED_VALUE"""),100.0)</f>
        <v/>
      </c>
      <c r="P265">
        <f>IFERROR(__xludf.DUMMYFUNCTION("""COMPUTED_VALUE"""),0.0)</f>
        <v/>
      </c>
      <c r="Q265">
        <f>IFERROR(__xludf.DUMMYFUNCTION("""COMPUTED_VALUE"""),0.32)</f>
        <v/>
      </c>
      <c r="R265">
        <f>IFERROR(__xludf.DUMMYFUNCTION("""COMPUTED_VALUE"""),1.0)</f>
        <v/>
      </c>
      <c r="S265">
        <f>IFERROR(__xludf.DUMMYFUNCTION("""COMPUTED_VALUE"""),300.0)</f>
        <v/>
      </c>
      <c r="T265">
        <f>IFERROR(__xludf.DUMMYFUNCTION("""COMPUTED_VALUE"""),"1.67")</f>
        <v/>
      </c>
      <c r="U265">
        <f>IFERROR(__xludf.DUMMYFUNCTION("""COMPUTED_VALUE"""),"stop有:1回目0.50")</f>
        <v/>
      </c>
      <c r="V265">
        <f>IFERROR(__xludf.DUMMYFUNCTION("""COMPUTED_VALUE"""),60.0)</f>
        <v/>
      </c>
      <c r="W265">
        <f>IFERROR(__xludf.DUMMYFUNCTION("""COMPUTED_VALUE"""),"2.67")</f>
        <v/>
      </c>
      <c r="X265">
        <f>IFERROR(__xludf.DUMMYFUNCTION("""COMPUTED_VALUE"""),"stop有:1回目1.57")</f>
        <v/>
      </c>
      <c r="Z265">
        <f>IFERROR(__xludf.DUMMYFUNCTION("""COMPUTED_VALUE"""),4.0)</f>
        <v/>
      </c>
      <c r="AB265">
        <f>IFERROR(__xludf.DUMMYFUNCTION("""COMPUTED_VALUE"""),"zangeki_1")</f>
        <v/>
      </c>
    </row>
    <row r="266">
      <c r="B266">
        <f>IFERROR(__xludf.DUMMYFUNCTION("""COMPUTED_VALUE"""),"chara_jig_00501")</f>
        <v/>
      </c>
      <c r="C266">
        <f>IFERROR(__xludf.DUMMYFUNCTION("""COMPUTED_VALUE"""),"_jig1_challenge")</f>
        <v/>
      </c>
      <c r="D266">
        <f>IFERROR(__xludf.DUMMYFUNCTION("""COMPUTED_VALUE"""),"c_jig_00501_jig1_challenge_Boss_Green")</f>
        <v/>
      </c>
      <c r="E266">
        <f>IFERROR(__xludf.DUMMYFUNCTION("""COMPUTED_VALUE"""),"地獄楽")</f>
        <v/>
      </c>
      <c r="F266">
        <f>IFERROR(__xludf.DUMMYFUNCTION("""COMPUTED_VALUE"""),"山田浅ェ門 桐馬")</f>
        <v/>
      </c>
      <c r="G266">
        <f>IFERROR(__xludf.DUMMYFUNCTION("""COMPUTED_VALUE"""),"山田浅ェ門 桐馬_jig1_challenge")</f>
        <v/>
      </c>
      <c r="H266">
        <f>IFERROR(__xludf.DUMMYFUNCTION("""COMPUTED_VALUE"""),"Boss")</f>
        <v/>
      </c>
      <c r="I266">
        <f>IFERROR(__xludf.DUMMYFUNCTION("""COMPUTED_VALUE"""),"Support")</f>
        <v/>
      </c>
      <c r="J266">
        <f>IFERROR(__xludf.DUMMYFUNCTION("""COMPUTED_VALUE"""),"Green")</f>
        <v/>
      </c>
      <c r="K266">
        <f>IFERROR(__xludf.DUMMYFUNCTION("""COMPUTED_VALUE"""),50000.0)</f>
        <v/>
      </c>
      <c r="L266">
        <f>IFERROR(__xludf.DUMMYFUNCTION("""COMPUTED_VALUE"""),2.0)</f>
        <v/>
      </c>
      <c r="M266">
        <f>IFERROR(__xludf.DUMMYFUNCTION("""COMPUTED_VALUE"""),35.0)</f>
        <v/>
      </c>
      <c r="N266">
        <f>IFERROR(__xludf.DUMMYFUNCTION("""COMPUTED_VALUE"""),0.21)</f>
        <v/>
      </c>
      <c r="O266">
        <f>IFERROR(__xludf.DUMMYFUNCTION("""COMPUTED_VALUE"""),100.0)</f>
        <v/>
      </c>
      <c r="P266">
        <f>IFERROR(__xludf.DUMMYFUNCTION("""COMPUTED_VALUE"""),0.0)</f>
        <v/>
      </c>
      <c r="Q266">
        <f>IFERROR(__xludf.DUMMYFUNCTION("""COMPUTED_VALUE"""),0.33)</f>
        <v/>
      </c>
      <c r="R266">
        <f>IFERROR(__xludf.DUMMYFUNCTION("""COMPUTED_VALUE"""),1.0)</f>
        <v/>
      </c>
      <c r="S266">
        <f>IFERROR(__xludf.DUMMYFUNCTION("""COMPUTED_VALUE"""),300.0)</f>
        <v/>
      </c>
      <c r="T266">
        <f>IFERROR(__xludf.DUMMYFUNCTION("""COMPUTED_VALUE"""),"1.6")</f>
        <v/>
      </c>
      <c r="U266">
        <f>IFERROR(__xludf.DUMMYFUNCTION("""COMPUTED_VALUE"""),"stop有:1回目0.4")</f>
        <v/>
      </c>
      <c r="V266">
        <f>IFERROR(__xludf.DUMMYFUNCTION("""COMPUTED_VALUE"""),60.0)</f>
        <v/>
      </c>
      <c r="W266">
        <f>IFERROR(__xludf.DUMMYFUNCTION("""COMPUTED_VALUE"""),"3.33")</f>
        <v/>
      </c>
      <c r="X266">
        <f>IFERROR(__xludf.DUMMYFUNCTION("""COMPUTED_VALUE"""),"stop無:1.67")</f>
        <v/>
      </c>
      <c r="Z266">
        <f>IFERROR(__xludf.DUMMYFUNCTION("""COMPUTED_VALUE"""),"-")</f>
        <v/>
      </c>
      <c r="AB266">
        <f>IFERROR(__xludf.DUMMYFUNCTION("""COMPUTED_VALUE"""),"zangeki_1")</f>
        <v/>
      </c>
    </row>
    <row r="267">
      <c r="B267">
        <f>IFERROR(__xludf.DUMMYFUNCTION("""COMPUTED_VALUE"""),"chara_jig_00001")</f>
        <v/>
      </c>
      <c r="C267">
        <f>IFERROR(__xludf.DUMMYFUNCTION("""COMPUTED_VALUE"""),"_jig1_challenge")</f>
        <v/>
      </c>
      <c r="D267">
        <f>IFERROR(__xludf.DUMMYFUNCTION("""COMPUTED_VALUE"""),"c_jig_00001_jig1_challenge_Boss_Red")</f>
        <v/>
      </c>
      <c r="E267">
        <f>IFERROR(__xludf.DUMMYFUNCTION("""COMPUTED_VALUE"""),"地獄楽")</f>
        <v/>
      </c>
      <c r="F267">
        <f>IFERROR(__xludf.DUMMYFUNCTION("""COMPUTED_VALUE"""),"がらんの画眉丸")</f>
        <v/>
      </c>
      <c r="G267">
        <f>IFERROR(__xludf.DUMMYFUNCTION("""COMPUTED_VALUE"""),"がらんの画眉丸_jig1_challenge")</f>
        <v/>
      </c>
      <c r="H267">
        <f>IFERROR(__xludf.DUMMYFUNCTION("""COMPUTED_VALUE"""),"Boss")</f>
        <v/>
      </c>
      <c r="I267">
        <f>IFERROR(__xludf.DUMMYFUNCTION("""COMPUTED_VALUE"""),"Technical")</f>
        <v/>
      </c>
      <c r="J267">
        <f>IFERROR(__xludf.DUMMYFUNCTION("""COMPUTED_VALUE"""),"Red")</f>
        <v/>
      </c>
      <c r="K267">
        <f>IFERROR(__xludf.DUMMYFUNCTION("""COMPUTED_VALUE"""),50000.0)</f>
        <v/>
      </c>
      <c r="L267">
        <f>IFERROR(__xludf.DUMMYFUNCTION("""COMPUTED_VALUE"""),2.0)</f>
        <v/>
      </c>
      <c r="M267">
        <f>IFERROR(__xludf.DUMMYFUNCTION("""COMPUTED_VALUE"""),41.0)</f>
        <v/>
      </c>
      <c r="N267">
        <f>IFERROR(__xludf.DUMMYFUNCTION("""COMPUTED_VALUE"""),0.24)</f>
        <v/>
      </c>
      <c r="O267">
        <f>IFERROR(__xludf.DUMMYFUNCTION("""COMPUTED_VALUE"""),100.0)</f>
        <v/>
      </c>
      <c r="P267">
        <f>IFERROR(__xludf.DUMMYFUNCTION("""COMPUTED_VALUE"""),0.0)</f>
        <v/>
      </c>
      <c r="Q267">
        <f>IFERROR(__xludf.DUMMYFUNCTION("""COMPUTED_VALUE"""),0.25)</f>
        <v/>
      </c>
      <c r="R267">
        <f>IFERROR(__xludf.DUMMYFUNCTION("""COMPUTED_VALUE"""),1.0)</f>
        <v/>
      </c>
      <c r="S267">
        <f>IFERROR(__xludf.DUMMYFUNCTION("""COMPUTED_VALUE"""),300.0)</f>
        <v/>
      </c>
      <c r="T267">
        <f>IFERROR(__xludf.DUMMYFUNCTION("""COMPUTED_VALUE"""),"1.17")</f>
        <v/>
      </c>
      <c r="U267">
        <f>IFERROR(__xludf.DUMMYFUNCTION("""COMPUTED_VALUE"""),"stop有:1回目0.20")</f>
        <v/>
      </c>
      <c r="V267">
        <f>IFERROR(__xludf.DUMMYFUNCTION("""COMPUTED_VALUE"""),60.0)</f>
        <v/>
      </c>
      <c r="W267">
        <f>IFERROR(__xludf.DUMMYFUNCTION("""COMPUTED_VALUE"""),"2.30")</f>
        <v/>
      </c>
      <c r="X267">
        <f>IFERROR(__xludf.DUMMYFUNCTION("""COMPUTED_VALUE"""),"stop有:1回目 0.08
stop有:2回目 0.90
stop有:3回目 1.50")</f>
        <v/>
      </c>
      <c r="Z267">
        <f>IFERROR(__xludf.DUMMYFUNCTION("""COMPUTED_VALUE"""),4.0)</f>
        <v/>
      </c>
      <c r="AB267">
        <f>IFERROR(__xludf.DUMMYFUNCTION("""COMPUTED_VALUE"""),"dageki_1")</f>
        <v/>
      </c>
    </row>
    <row r="268">
      <c r="B268">
        <f>IFERROR(__xludf.DUMMYFUNCTION("""COMPUTED_VALUE"""),"chara_jig_00101")</f>
        <v/>
      </c>
      <c r="C268">
        <f>IFERROR(__xludf.DUMMYFUNCTION("""COMPUTED_VALUE"""),"_jig1_challenge")</f>
        <v/>
      </c>
      <c r="D268">
        <f>IFERROR(__xludf.DUMMYFUNCTION("""COMPUTED_VALUE"""),"c_jig_00101_jig1_challenge_Boss_Red")</f>
        <v/>
      </c>
      <c r="E268">
        <f>IFERROR(__xludf.DUMMYFUNCTION("""COMPUTED_VALUE"""),"地獄楽")</f>
        <v/>
      </c>
      <c r="F268">
        <f>IFERROR(__xludf.DUMMYFUNCTION("""COMPUTED_VALUE"""),"山田浅ェ門 佐切")</f>
        <v/>
      </c>
      <c r="G268">
        <f>IFERROR(__xludf.DUMMYFUNCTION("""COMPUTED_VALUE"""),"山田浅ェ門 佐切_jig1_challenge")</f>
        <v/>
      </c>
      <c r="H268">
        <f>IFERROR(__xludf.DUMMYFUNCTION("""COMPUTED_VALUE"""),"Boss")</f>
        <v/>
      </c>
      <c r="I268">
        <f>IFERROR(__xludf.DUMMYFUNCTION("""COMPUTED_VALUE"""),"Attack")</f>
        <v/>
      </c>
      <c r="J268">
        <f>IFERROR(__xludf.DUMMYFUNCTION("""COMPUTED_VALUE"""),"Red")</f>
        <v/>
      </c>
      <c r="K268">
        <f>IFERROR(__xludf.DUMMYFUNCTION("""COMPUTED_VALUE"""),50000.0)</f>
        <v/>
      </c>
      <c r="L268">
        <f>IFERROR(__xludf.DUMMYFUNCTION("""COMPUTED_VALUE"""),2.0)</f>
        <v/>
      </c>
      <c r="M268">
        <f>IFERROR(__xludf.DUMMYFUNCTION("""COMPUTED_VALUE"""),34.0)</f>
        <v/>
      </c>
      <c r="N268">
        <f>IFERROR(__xludf.DUMMYFUNCTION("""COMPUTED_VALUE"""),0.22)</f>
        <v/>
      </c>
      <c r="O268">
        <f>IFERROR(__xludf.DUMMYFUNCTION("""COMPUTED_VALUE"""),100.0)</f>
        <v/>
      </c>
      <c r="P268">
        <f>IFERROR(__xludf.DUMMYFUNCTION("""COMPUTED_VALUE"""),0.0)</f>
        <v/>
      </c>
      <c r="Q268">
        <f>IFERROR(__xludf.DUMMYFUNCTION("""COMPUTED_VALUE"""),0.23)</f>
        <v/>
      </c>
      <c r="R268">
        <f>IFERROR(__xludf.DUMMYFUNCTION("""COMPUTED_VALUE"""),1.0)</f>
        <v/>
      </c>
      <c r="S268">
        <f>IFERROR(__xludf.DUMMYFUNCTION("""COMPUTED_VALUE"""),300.0)</f>
        <v/>
      </c>
      <c r="T268">
        <f>IFERROR(__xludf.DUMMYFUNCTION("""COMPUTED_VALUE"""),"1.5")</f>
        <v/>
      </c>
      <c r="U268">
        <f>IFERROR(__xludf.DUMMYFUNCTION("""COMPUTED_VALUE"""),"0.50")</f>
        <v/>
      </c>
      <c r="V268">
        <f>IFERROR(__xludf.DUMMYFUNCTION("""COMPUTED_VALUE"""),75.0)</f>
        <v/>
      </c>
      <c r="W268">
        <f>IFERROR(__xludf.DUMMYFUNCTION("""COMPUTED_VALUE"""),"2.50")</f>
        <v/>
      </c>
      <c r="X268">
        <f>IFERROR(__xludf.DUMMYFUNCTION("""COMPUTED_VALUE"""),"1.20")</f>
        <v/>
      </c>
      <c r="Z268">
        <f>IFERROR(__xludf.DUMMYFUNCTION("""COMPUTED_VALUE"""),6.0)</f>
        <v/>
      </c>
      <c r="AB268">
        <f>IFERROR(__xludf.DUMMYFUNCTION("""COMPUTED_VALUE"""),"zangeki_1")</f>
        <v/>
      </c>
    </row>
    <row r="269">
      <c r="B269">
        <f>IFERROR(__xludf.DUMMYFUNCTION("""COMPUTED_VALUE"""),"enemy_jig_00301")</f>
        <v/>
      </c>
      <c r="C269">
        <f>IFERROR(__xludf.DUMMYFUNCTION("""COMPUTED_VALUE"""),"_jig1_challenge")</f>
        <v/>
      </c>
      <c r="D269">
        <f>IFERROR(__xludf.DUMMYFUNCTION("""COMPUTED_VALUE"""),"e_jig_00301_jig1_challenge_Normal_Red")</f>
        <v/>
      </c>
      <c r="E269">
        <f>IFERROR(__xludf.DUMMYFUNCTION("""COMPUTED_VALUE"""),"地獄楽")</f>
        <v/>
      </c>
      <c r="F269">
        <f>IFERROR(__xludf.DUMMYFUNCTION("""COMPUTED_VALUE"""),"竈神 魚")</f>
        <v/>
      </c>
      <c r="G269">
        <f>IFERROR(__xludf.DUMMYFUNCTION("""COMPUTED_VALUE"""),"竈神 魚_jig1_challenge")</f>
        <v/>
      </c>
      <c r="H269">
        <f>IFERROR(__xludf.DUMMYFUNCTION("""COMPUTED_VALUE"""),"Normal")</f>
        <v/>
      </c>
      <c r="I269">
        <f>IFERROR(__xludf.DUMMYFUNCTION("""COMPUTED_VALUE"""),"Attack")</f>
        <v/>
      </c>
      <c r="J269">
        <f>IFERROR(__xludf.DUMMYFUNCTION("""COMPUTED_VALUE"""),"Red")</f>
        <v/>
      </c>
      <c r="K269">
        <f>IFERROR(__xludf.DUMMYFUNCTION("""COMPUTED_VALUE"""),10000.0)</f>
        <v/>
      </c>
      <c r="L269">
        <f>IFERROR(__xludf.DUMMYFUNCTION("""COMPUTED_VALUE"""),3.0)</f>
        <v/>
      </c>
      <c r="M269">
        <f>IFERROR(__xludf.DUMMYFUNCTION("""COMPUTED_VALUE"""),37.0)</f>
        <v/>
      </c>
      <c r="N269">
        <f>IFERROR(__xludf.DUMMYFUNCTION("""COMPUTED_VALUE"""),0.22)</f>
        <v/>
      </c>
      <c r="O269">
        <f>IFERROR(__xludf.DUMMYFUNCTION("""COMPUTED_VALUE"""),100.0)</f>
        <v/>
      </c>
      <c r="P269">
        <f>IFERROR(__xludf.DUMMYFUNCTION("""COMPUTED_VALUE"""),0.0)</f>
        <v/>
      </c>
      <c r="Q269">
        <f>IFERROR(__xludf.DUMMYFUNCTION("""COMPUTED_VALUE"""),0.23)</f>
        <v/>
      </c>
      <c r="R269">
        <f>IFERROR(__xludf.DUMMYFUNCTION("""COMPUTED_VALUE"""),1.0)</f>
        <v/>
      </c>
      <c r="S269">
        <f>IFERROR(__xludf.DUMMYFUNCTION("""COMPUTED_VALUE"""),100.0)</f>
        <v/>
      </c>
      <c r="T269">
        <f>IFERROR(__xludf.DUMMYFUNCTION("""COMPUTED_VALUE"""),"1.50")</f>
        <v/>
      </c>
      <c r="U269">
        <f>IFERROR(__xludf.DUMMYFUNCTION("""COMPUTED_VALUE"""),"0.66")</f>
        <v/>
      </c>
      <c r="V269">
        <f>IFERROR(__xludf.DUMMYFUNCTION("""COMPUTED_VALUE"""),10.0)</f>
        <v/>
      </c>
      <c r="W269">
        <f>IFERROR(__xludf.DUMMYFUNCTION("""COMPUTED_VALUE"""),"-")</f>
        <v/>
      </c>
      <c r="X269">
        <f>IFERROR(__xludf.DUMMYFUNCTION("""COMPUTED_VALUE"""),"-")</f>
        <v/>
      </c>
      <c r="Z269">
        <f>IFERROR(__xludf.DUMMYFUNCTION("""COMPUTED_VALUE"""),"-")</f>
        <v/>
      </c>
      <c r="AB269">
        <f>IFERROR(__xludf.DUMMYFUNCTION("""COMPUTED_VALUE"""),"dageki_1")</f>
        <v/>
      </c>
    </row>
    <row r="270">
      <c r="B270">
        <f>IFERROR(__xludf.DUMMYFUNCTION("""COMPUTED_VALUE"""),"enemy_jig_00301")</f>
        <v/>
      </c>
      <c r="C270">
        <f>IFERROR(__xludf.DUMMYFUNCTION("""COMPUTED_VALUE"""),"_jig1_challenge")</f>
        <v/>
      </c>
      <c r="D270">
        <f>IFERROR(__xludf.DUMMYFUNCTION("""COMPUTED_VALUE"""),"e_jig_00301_jig1_challenge_Normal_Yellow")</f>
        <v/>
      </c>
      <c r="E270">
        <f>IFERROR(__xludf.DUMMYFUNCTION("""COMPUTED_VALUE"""),"地獄楽")</f>
        <v/>
      </c>
      <c r="F270">
        <f>IFERROR(__xludf.DUMMYFUNCTION("""COMPUTED_VALUE"""),"竈神 魚")</f>
        <v/>
      </c>
      <c r="G270">
        <f>IFERROR(__xludf.DUMMYFUNCTION("""COMPUTED_VALUE"""),"竈神 魚_jig1_challenge")</f>
        <v/>
      </c>
      <c r="H270">
        <f>IFERROR(__xludf.DUMMYFUNCTION("""COMPUTED_VALUE"""),"Normal")</f>
        <v/>
      </c>
      <c r="I270">
        <f>IFERROR(__xludf.DUMMYFUNCTION("""COMPUTED_VALUE"""),"Attack")</f>
        <v/>
      </c>
      <c r="J270">
        <f>IFERROR(__xludf.DUMMYFUNCTION("""COMPUTED_VALUE"""),"Yellow")</f>
        <v/>
      </c>
      <c r="K270">
        <f>IFERROR(__xludf.DUMMYFUNCTION("""COMPUTED_VALUE"""),10000.0)</f>
        <v/>
      </c>
      <c r="L270">
        <f>IFERROR(__xludf.DUMMYFUNCTION("""COMPUTED_VALUE"""),3.0)</f>
        <v/>
      </c>
      <c r="M270">
        <f>IFERROR(__xludf.DUMMYFUNCTION("""COMPUTED_VALUE"""),37.0)</f>
        <v/>
      </c>
      <c r="N270">
        <f>IFERROR(__xludf.DUMMYFUNCTION("""COMPUTED_VALUE"""),0.22)</f>
        <v/>
      </c>
      <c r="O270">
        <f>IFERROR(__xludf.DUMMYFUNCTION("""COMPUTED_VALUE"""),100.0)</f>
        <v/>
      </c>
      <c r="P270">
        <f>IFERROR(__xludf.DUMMYFUNCTION("""COMPUTED_VALUE"""),0.0)</f>
        <v/>
      </c>
      <c r="Q270">
        <f>IFERROR(__xludf.DUMMYFUNCTION("""COMPUTED_VALUE"""),0.23)</f>
        <v/>
      </c>
      <c r="R270">
        <f>IFERROR(__xludf.DUMMYFUNCTION("""COMPUTED_VALUE"""),1.0)</f>
        <v/>
      </c>
      <c r="S270">
        <f>IFERROR(__xludf.DUMMYFUNCTION("""COMPUTED_VALUE"""),100.0)</f>
        <v/>
      </c>
      <c r="T270">
        <f>IFERROR(__xludf.DUMMYFUNCTION("""COMPUTED_VALUE"""),"1.50")</f>
        <v/>
      </c>
      <c r="U270">
        <f>IFERROR(__xludf.DUMMYFUNCTION("""COMPUTED_VALUE"""),"0.66")</f>
        <v/>
      </c>
      <c r="V270">
        <f>IFERROR(__xludf.DUMMYFUNCTION("""COMPUTED_VALUE"""),10.0)</f>
        <v/>
      </c>
      <c r="W270">
        <f>IFERROR(__xludf.DUMMYFUNCTION("""COMPUTED_VALUE"""),"-")</f>
        <v/>
      </c>
      <c r="X270">
        <f>IFERROR(__xludf.DUMMYFUNCTION("""COMPUTED_VALUE"""),"-")</f>
        <v/>
      </c>
      <c r="Z270">
        <f>IFERROR(__xludf.DUMMYFUNCTION("""COMPUTED_VALUE"""),"-")</f>
        <v/>
      </c>
      <c r="AB270">
        <f>IFERROR(__xludf.DUMMYFUNCTION("""COMPUTED_VALUE"""),"dageki_1")</f>
        <v/>
      </c>
    </row>
    <row r="271">
      <c r="B271">
        <f>IFERROR(__xludf.DUMMYFUNCTION("""COMPUTED_VALUE"""),"enemy_jig_00401")</f>
        <v/>
      </c>
      <c r="C271">
        <f>IFERROR(__xludf.DUMMYFUNCTION("""COMPUTED_VALUE"""),"_jig1_challenge01")</f>
        <v/>
      </c>
      <c r="D271">
        <f>IFERROR(__xludf.DUMMYFUNCTION("""COMPUTED_VALUE"""),"e_jig_00401_jig1_challenge01_Normal_Red")</f>
        <v/>
      </c>
      <c r="E271">
        <f>IFERROR(__xludf.DUMMYFUNCTION("""COMPUTED_VALUE"""),"地獄楽")</f>
        <v/>
      </c>
      <c r="F271">
        <f>IFERROR(__xludf.DUMMYFUNCTION("""COMPUTED_VALUE"""),"極楽蝶")</f>
        <v/>
      </c>
      <c r="G271">
        <f>IFERROR(__xludf.DUMMYFUNCTION("""COMPUTED_VALUE"""),"極楽蝶_jig1_challenge01")</f>
        <v/>
      </c>
      <c r="H271">
        <f>IFERROR(__xludf.DUMMYFUNCTION("""COMPUTED_VALUE"""),"Normal")</f>
        <v/>
      </c>
      <c r="I271">
        <f>IFERROR(__xludf.DUMMYFUNCTION("""COMPUTED_VALUE"""),"Attack")</f>
        <v/>
      </c>
      <c r="J271">
        <f>IFERROR(__xludf.DUMMYFUNCTION("""COMPUTED_VALUE"""),"Red")</f>
        <v/>
      </c>
      <c r="K271">
        <f>IFERROR(__xludf.DUMMYFUNCTION("""COMPUTED_VALUE"""),10000.0)</f>
        <v/>
      </c>
      <c r="L271">
        <f>IFERROR(__xludf.DUMMYFUNCTION("""COMPUTED_VALUE"""),1.0)</f>
        <v/>
      </c>
      <c r="M271">
        <f>IFERROR(__xludf.DUMMYFUNCTION("""COMPUTED_VALUE"""),33.0)</f>
        <v/>
      </c>
      <c r="N271">
        <f>IFERROR(__xludf.DUMMYFUNCTION("""COMPUTED_VALUE"""),0.24)</f>
        <v/>
      </c>
      <c r="O271">
        <f>IFERROR(__xludf.DUMMYFUNCTION("""COMPUTED_VALUE"""),100.0)</f>
        <v/>
      </c>
      <c r="P271">
        <f>IFERROR(__xludf.DUMMYFUNCTION("""COMPUTED_VALUE"""),0.0)</f>
        <v/>
      </c>
      <c r="Q271">
        <f>IFERROR(__xludf.DUMMYFUNCTION("""COMPUTED_VALUE"""),0.25)</f>
        <v/>
      </c>
      <c r="R271">
        <f>IFERROR(__xludf.DUMMYFUNCTION("""COMPUTED_VALUE"""),1.0)</f>
        <v/>
      </c>
      <c r="S271">
        <f>IFERROR(__xludf.DUMMYFUNCTION("""COMPUTED_VALUE"""),50.0)</f>
        <v/>
      </c>
      <c r="T271">
        <f>IFERROR(__xludf.DUMMYFUNCTION("""COMPUTED_VALUE"""),"1.30")</f>
        <v/>
      </c>
      <c r="U271">
        <f>IFERROR(__xludf.DUMMYFUNCTION("""COMPUTED_VALUE"""),"0.66")</f>
        <v/>
      </c>
      <c r="V271">
        <f>IFERROR(__xludf.DUMMYFUNCTION("""COMPUTED_VALUE"""),125.0)</f>
        <v/>
      </c>
      <c r="W271">
        <f>IFERROR(__xludf.DUMMYFUNCTION("""COMPUTED_VALUE"""),"-")</f>
        <v/>
      </c>
      <c r="X271">
        <f>IFERROR(__xludf.DUMMYFUNCTION("""COMPUTED_VALUE"""),"-")</f>
        <v/>
      </c>
      <c r="Z271">
        <f>IFERROR(__xludf.DUMMYFUNCTION("""COMPUTED_VALUE"""),"-")</f>
        <v/>
      </c>
      <c r="AB271">
        <f>IFERROR(__xludf.DUMMYFUNCTION("""COMPUTED_VALUE"""),"dageki_2")</f>
        <v/>
      </c>
    </row>
    <row r="272">
      <c r="B272">
        <f>IFERROR(__xludf.DUMMYFUNCTION("""COMPUTED_VALUE"""),"enemy_jig_00401")</f>
        <v/>
      </c>
      <c r="C272">
        <f>IFERROR(__xludf.DUMMYFUNCTION("""COMPUTED_VALUE"""),"_jig1_challenge02")</f>
        <v/>
      </c>
      <c r="D272">
        <f>IFERROR(__xludf.DUMMYFUNCTION("""COMPUTED_VALUE"""),"e_jig_00401_jig1_challenge02_Normal_Red")</f>
        <v/>
      </c>
      <c r="E272">
        <f>IFERROR(__xludf.DUMMYFUNCTION("""COMPUTED_VALUE"""),"地獄楽")</f>
        <v/>
      </c>
      <c r="F272">
        <f>IFERROR(__xludf.DUMMYFUNCTION("""COMPUTED_VALUE"""),"極楽蝶")</f>
        <v/>
      </c>
      <c r="G272">
        <f>IFERROR(__xludf.DUMMYFUNCTION("""COMPUTED_VALUE"""),"極楽蝶_jig1_challenge02")</f>
        <v/>
      </c>
      <c r="H272">
        <f>IFERROR(__xludf.DUMMYFUNCTION("""COMPUTED_VALUE"""),"Normal")</f>
        <v/>
      </c>
      <c r="I272">
        <f>IFERROR(__xludf.DUMMYFUNCTION("""COMPUTED_VALUE"""),"Attack")</f>
        <v/>
      </c>
      <c r="J272">
        <f>IFERROR(__xludf.DUMMYFUNCTION("""COMPUTED_VALUE"""),"Red")</f>
        <v/>
      </c>
      <c r="K272">
        <f>IFERROR(__xludf.DUMMYFUNCTION("""COMPUTED_VALUE"""),10000.0)</f>
        <v/>
      </c>
      <c r="L272">
        <f>IFERROR(__xludf.DUMMYFUNCTION("""COMPUTED_VALUE"""),1.0)</f>
        <v/>
      </c>
      <c r="M272">
        <f>IFERROR(__xludf.DUMMYFUNCTION("""COMPUTED_VALUE"""),33.0)</f>
        <v/>
      </c>
      <c r="N272">
        <f>IFERROR(__xludf.DUMMYFUNCTION("""COMPUTED_VALUE"""),0.24)</f>
        <v/>
      </c>
      <c r="O272">
        <f>IFERROR(__xludf.DUMMYFUNCTION("""COMPUTED_VALUE"""),100.0)</f>
        <v/>
      </c>
      <c r="P272">
        <f>IFERROR(__xludf.DUMMYFUNCTION("""COMPUTED_VALUE"""),0.0)</f>
        <v/>
      </c>
      <c r="Q272">
        <f>IFERROR(__xludf.DUMMYFUNCTION("""COMPUTED_VALUE"""),0.25)</f>
        <v/>
      </c>
      <c r="R272">
        <f>IFERROR(__xludf.DUMMYFUNCTION("""COMPUTED_VALUE"""),1.0)</f>
        <v/>
      </c>
      <c r="S272">
        <f>IFERROR(__xludf.DUMMYFUNCTION("""COMPUTED_VALUE"""),50.0)</f>
        <v/>
      </c>
      <c r="T272">
        <f>IFERROR(__xludf.DUMMYFUNCTION("""COMPUTED_VALUE"""),"1.30")</f>
        <v/>
      </c>
      <c r="U272">
        <f>IFERROR(__xludf.DUMMYFUNCTION("""COMPUTED_VALUE"""),"0.66")</f>
        <v/>
      </c>
      <c r="V272">
        <f>IFERROR(__xludf.DUMMYFUNCTION("""COMPUTED_VALUE"""),125.0)</f>
        <v/>
      </c>
      <c r="W272">
        <f>IFERROR(__xludf.DUMMYFUNCTION("""COMPUTED_VALUE"""),"-")</f>
        <v/>
      </c>
      <c r="X272">
        <f>IFERROR(__xludf.DUMMYFUNCTION("""COMPUTED_VALUE"""),"-")</f>
        <v/>
      </c>
      <c r="Z272">
        <f>IFERROR(__xludf.DUMMYFUNCTION("""COMPUTED_VALUE"""),"-")</f>
        <v/>
      </c>
      <c r="AB272">
        <f>IFERROR(__xludf.DUMMYFUNCTION("""COMPUTED_VALUE"""),"dageki_2")</f>
        <v/>
      </c>
    </row>
    <row r="273">
      <c r="B273">
        <f>IFERROR(__xludf.DUMMYFUNCTION("""COMPUTED_VALUE"""),"enemy_jig_00401")</f>
        <v/>
      </c>
      <c r="C273">
        <f>IFERROR(__xludf.DUMMYFUNCTION("""COMPUTED_VALUE"""),"_jig1_challenge")</f>
        <v/>
      </c>
      <c r="D273">
        <f>IFERROR(__xludf.DUMMYFUNCTION("""COMPUTED_VALUE"""),"e_jig_00401_jig1_challenge_Normal_Yellow")</f>
        <v/>
      </c>
      <c r="E273">
        <f>IFERROR(__xludf.DUMMYFUNCTION("""COMPUTED_VALUE"""),"地獄楽")</f>
        <v/>
      </c>
      <c r="F273">
        <f>IFERROR(__xludf.DUMMYFUNCTION("""COMPUTED_VALUE"""),"極楽蝶")</f>
        <v/>
      </c>
      <c r="G273">
        <f>IFERROR(__xludf.DUMMYFUNCTION("""COMPUTED_VALUE"""),"極楽蝶_jig1_challenge")</f>
        <v/>
      </c>
      <c r="H273">
        <f>IFERROR(__xludf.DUMMYFUNCTION("""COMPUTED_VALUE"""),"Normal")</f>
        <v/>
      </c>
      <c r="I273">
        <f>IFERROR(__xludf.DUMMYFUNCTION("""COMPUTED_VALUE"""),"Attack")</f>
        <v/>
      </c>
      <c r="J273">
        <f>IFERROR(__xludf.DUMMYFUNCTION("""COMPUTED_VALUE"""),"Yellow")</f>
        <v/>
      </c>
      <c r="K273">
        <f>IFERROR(__xludf.DUMMYFUNCTION("""COMPUTED_VALUE"""),10000.0)</f>
        <v/>
      </c>
      <c r="L273">
        <f>IFERROR(__xludf.DUMMYFUNCTION("""COMPUTED_VALUE"""),1.0)</f>
        <v/>
      </c>
      <c r="M273">
        <f>IFERROR(__xludf.DUMMYFUNCTION("""COMPUTED_VALUE"""),33.0)</f>
        <v/>
      </c>
      <c r="N273">
        <f>IFERROR(__xludf.DUMMYFUNCTION("""COMPUTED_VALUE"""),0.24)</f>
        <v/>
      </c>
      <c r="O273">
        <f>IFERROR(__xludf.DUMMYFUNCTION("""COMPUTED_VALUE"""),100.0)</f>
        <v/>
      </c>
      <c r="P273">
        <f>IFERROR(__xludf.DUMMYFUNCTION("""COMPUTED_VALUE"""),0.0)</f>
        <v/>
      </c>
      <c r="Q273">
        <f>IFERROR(__xludf.DUMMYFUNCTION("""COMPUTED_VALUE"""),0.25)</f>
        <v/>
      </c>
      <c r="R273">
        <f>IFERROR(__xludf.DUMMYFUNCTION("""COMPUTED_VALUE"""),1.0)</f>
        <v/>
      </c>
      <c r="S273">
        <f>IFERROR(__xludf.DUMMYFUNCTION("""COMPUTED_VALUE"""),50.0)</f>
        <v/>
      </c>
      <c r="T273">
        <f>IFERROR(__xludf.DUMMYFUNCTION("""COMPUTED_VALUE"""),"1.30")</f>
        <v/>
      </c>
      <c r="U273">
        <f>IFERROR(__xludf.DUMMYFUNCTION("""COMPUTED_VALUE"""),"0.66")</f>
        <v/>
      </c>
      <c r="V273">
        <f>IFERROR(__xludf.DUMMYFUNCTION("""COMPUTED_VALUE"""),125.0)</f>
        <v/>
      </c>
      <c r="W273">
        <f>IFERROR(__xludf.DUMMYFUNCTION("""COMPUTED_VALUE"""),"-")</f>
        <v/>
      </c>
      <c r="X273">
        <f>IFERROR(__xludf.DUMMYFUNCTION("""COMPUTED_VALUE"""),"-")</f>
        <v/>
      </c>
      <c r="Z273">
        <f>IFERROR(__xludf.DUMMYFUNCTION("""COMPUTED_VALUE"""),"-")</f>
        <v/>
      </c>
      <c r="AB273">
        <f>IFERROR(__xludf.DUMMYFUNCTION("""COMPUTED_VALUE"""),"dageki_2")</f>
        <v/>
      </c>
    </row>
    <row r="274">
      <c r="B274">
        <f>IFERROR(__xludf.DUMMYFUNCTION("""COMPUTED_VALUE"""),"enemy_jig_00401")</f>
        <v/>
      </c>
      <c r="C274">
        <f>IFERROR(__xludf.DUMMYFUNCTION("""COMPUTED_VALUE"""),"_jig1_challenge")</f>
        <v/>
      </c>
      <c r="D274">
        <f>IFERROR(__xludf.DUMMYFUNCTION("""COMPUTED_VALUE"""),"e_jig_00401_jig1_challenge_Normal_Colorless")</f>
        <v/>
      </c>
      <c r="E274">
        <f>IFERROR(__xludf.DUMMYFUNCTION("""COMPUTED_VALUE"""),"地獄楽")</f>
        <v/>
      </c>
      <c r="F274">
        <f>IFERROR(__xludf.DUMMYFUNCTION("""COMPUTED_VALUE"""),"極楽蝶")</f>
        <v/>
      </c>
      <c r="G274">
        <f>IFERROR(__xludf.DUMMYFUNCTION("""COMPUTED_VALUE"""),"極楽蝶_jig1_challenge")</f>
        <v/>
      </c>
      <c r="H274">
        <f>IFERROR(__xludf.DUMMYFUNCTION("""COMPUTED_VALUE"""),"Normal")</f>
        <v/>
      </c>
      <c r="I274">
        <f>IFERROR(__xludf.DUMMYFUNCTION("""COMPUTED_VALUE"""),"Attack")</f>
        <v/>
      </c>
      <c r="J274">
        <f>IFERROR(__xludf.DUMMYFUNCTION("""COMPUTED_VALUE"""),"Colorless")</f>
        <v/>
      </c>
      <c r="K274">
        <f>IFERROR(__xludf.DUMMYFUNCTION("""COMPUTED_VALUE"""),10000.0)</f>
        <v/>
      </c>
      <c r="L274">
        <f>IFERROR(__xludf.DUMMYFUNCTION("""COMPUTED_VALUE"""),1.0)</f>
        <v/>
      </c>
      <c r="M274">
        <f>IFERROR(__xludf.DUMMYFUNCTION("""COMPUTED_VALUE"""),33.0)</f>
        <v/>
      </c>
      <c r="N274">
        <f>IFERROR(__xludf.DUMMYFUNCTION("""COMPUTED_VALUE"""),0.24)</f>
        <v/>
      </c>
      <c r="O274">
        <f>IFERROR(__xludf.DUMMYFUNCTION("""COMPUTED_VALUE"""),100.0)</f>
        <v/>
      </c>
      <c r="P274">
        <f>IFERROR(__xludf.DUMMYFUNCTION("""COMPUTED_VALUE"""),0.0)</f>
        <v/>
      </c>
      <c r="Q274">
        <f>IFERROR(__xludf.DUMMYFUNCTION("""COMPUTED_VALUE"""),0.25)</f>
        <v/>
      </c>
      <c r="R274">
        <f>IFERROR(__xludf.DUMMYFUNCTION("""COMPUTED_VALUE"""),100.0)</f>
        <v/>
      </c>
      <c r="S274">
        <f>IFERROR(__xludf.DUMMYFUNCTION("""COMPUTED_VALUE"""),50.0)</f>
        <v/>
      </c>
      <c r="T274">
        <f>IFERROR(__xludf.DUMMYFUNCTION("""COMPUTED_VALUE"""),"1.30")</f>
        <v/>
      </c>
      <c r="U274">
        <f>IFERROR(__xludf.DUMMYFUNCTION("""COMPUTED_VALUE"""),"0.66")</f>
        <v/>
      </c>
      <c r="V274">
        <f>IFERROR(__xludf.DUMMYFUNCTION("""COMPUTED_VALUE"""),125.0)</f>
        <v/>
      </c>
      <c r="W274">
        <f>IFERROR(__xludf.DUMMYFUNCTION("""COMPUTED_VALUE"""),"-")</f>
        <v/>
      </c>
      <c r="X274">
        <f>IFERROR(__xludf.DUMMYFUNCTION("""COMPUTED_VALUE"""),"-")</f>
        <v/>
      </c>
      <c r="Z274">
        <f>IFERROR(__xludf.DUMMYFUNCTION("""COMPUTED_VALUE"""),"-")</f>
        <v/>
      </c>
      <c r="AB274">
        <f>IFERROR(__xludf.DUMMYFUNCTION("""COMPUTED_VALUE"""),"dageki_2")</f>
        <v/>
      </c>
    </row>
    <row r="275">
      <c r="B275">
        <f>IFERROR(__xludf.DUMMYFUNCTION("""COMPUTED_VALUE"""),"enemy_jig_00001")</f>
        <v/>
      </c>
      <c r="C275">
        <f>IFERROR(__xludf.DUMMYFUNCTION("""COMPUTED_VALUE"""),"_jig1_challenge")</f>
        <v/>
      </c>
      <c r="D275">
        <f>IFERROR(__xludf.DUMMYFUNCTION("""COMPUTED_VALUE"""),"e_jig_00001_jig1_challenge_Normal_Red")</f>
        <v/>
      </c>
      <c r="E275">
        <f>IFERROR(__xludf.DUMMYFUNCTION("""COMPUTED_VALUE"""),"地獄楽")</f>
        <v/>
      </c>
      <c r="F275">
        <f>IFERROR(__xludf.DUMMYFUNCTION("""COMPUTED_VALUE"""),"門神")</f>
        <v/>
      </c>
      <c r="G275">
        <f>IFERROR(__xludf.DUMMYFUNCTION("""COMPUTED_VALUE"""),"門神_jig1_challenge")</f>
        <v/>
      </c>
      <c r="H275">
        <f>IFERROR(__xludf.DUMMYFUNCTION("""COMPUTED_VALUE"""),"Normal")</f>
        <v/>
      </c>
      <c r="I275">
        <f>IFERROR(__xludf.DUMMYFUNCTION("""COMPUTED_VALUE"""),"Defense")</f>
        <v/>
      </c>
      <c r="J275">
        <f>IFERROR(__xludf.DUMMYFUNCTION("""COMPUTED_VALUE"""),"Red")</f>
        <v/>
      </c>
      <c r="K275">
        <f>IFERROR(__xludf.DUMMYFUNCTION("""COMPUTED_VALUE"""),10000.0)</f>
        <v/>
      </c>
      <c r="L275">
        <f>IFERROR(__xludf.DUMMYFUNCTION("""COMPUTED_VALUE"""),3.0)</f>
        <v/>
      </c>
      <c r="M275">
        <f>IFERROR(__xludf.DUMMYFUNCTION("""COMPUTED_VALUE"""),27.0)</f>
        <v/>
      </c>
      <c r="N275">
        <f>IFERROR(__xludf.DUMMYFUNCTION("""COMPUTED_VALUE"""),0.22)</f>
        <v/>
      </c>
      <c r="O275">
        <f>IFERROR(__xludf.DUMMYFUNCTION("""COMPUTED_VALUE"""),100.0)</f>
        <v/>
      </c>
      <c r="P275">
        <f>IFERROR(__xludf.DUMMYFUNCTION("""COMPUTED_VALUE"""),0.0)</f>
        <v/>
      </c>
      <c r="Q275">
        <f>IFERROR(__xludf.DUMMYFUNCTION("""COMPUTED_VALUE"""),0.27)</f>
        <v/>
      </c>
      <c r="R275">
        <f>IFERROR(__xludf.DUMMYFUNCTION("""COMPUTED_VALUE"""),100.0)</f>
        <v/>
      </c>
      <c r="S275">
        <f>IFERROR(__xludf.DUMMYFUNCTION("""COMPUTED_VALUE"""),100.0)</f>
        <v/>
      </c>
      <c r="T275">
        <f>IFERROR(__xludf.DUMMYFUNCTION("""COMPUTED_VALUE"""),"1.83")</f>
        <v/>
      </c>
      <c r="U275">
        <f>IFERROR(__xludf.DUMMYFUNCTION("""COMPUTED_VALUE"""),"0.83")</f>
        <v/>
      </c>
      <c r="V275">
        <f>IFERROR(__xludf.DUMMYFUNCTION("""COMPUTED_VALUE"""),100.0)</f>
        <v/>
      </c>
      <c r="W275">
        <f>IFERROR(__xludf.DUMMYFUNCTION("""COMPUTED_VALUE"""),"-")</f>
        <v/>
      </c>
      <c r="X275">
        <f>IFERROR(__xludf.DUMMYFUNCTION("""COMPUTED_VALUE"""),"-")</f>
        <v/>
      </c>
      <c r="Z275">
        <f>IFERROR(__xludf.DUMMYFUNCTION("""COMPUTED_VALUE"""),"-")</f>
        <v/>
      </c>
      <c r="AB275">
        <f>IFERROR(__xludf.DUMMYFUNCTION("""COMPUTED_VALUE"""),"dageki_1")</f>
        <v/>
      </c>
    </row>
    <row r="276">
      <c r="B276">
        <f>IFERROR(__xludf.DUMMYFUNCTION("""COMPUTED_VALUE"""),"enemy_jig_00001")</f>
        <v/>
      </c>
      <c r="C276">
        <f>IFERROR(__xludf.DUMMYFUNCTION("""COMPUTED_VALUE"""),"_jig1_challenge")</f>
        <v/>
      </c>
      <c r="D276">
        <f>IFERROR(__xludf.DUMMYFUNCTION("""COMPUTED_VALUE"""),"e_jig_00001_jig1_challenge_Normal_Colorless")</f>
        <v/>
      </c>
      <c r="E276">
        <f>IFERROR(__xludf.DUMMYFUNCTION("""COMPUTED_VALUE"""),"地獄楽")</f>
        <v/>
      </c>
      <c r="F276">
        <f>IFERROR(__xludf.DUMMYFUNCTION("""COMPUTED_VALUE"""),"門神")</f>
        <v/>
      </c>
      <c r="G276">
        <f>IFERROR(__xludf.DUMMYFUNCTION("""COMPUTED_VALUE"""),"門神_jig1_challenge")</f>
        <v/>
      </c>
      <c r="H276">
        <f>IFERROR(__xludf.DUMMYFUNCTION("""COMPUTED_VALUE"""),"Normal")</f>
        <v/>
      </c>
      <c r="I276">
        <f>IFERROR(__xludf.DUMMYFUNCTION("""COMPUTED_VALUE"""),"Defense")</f>
        <v/>
      </c>
      <c r="J276">
        <f>IFERROR(__xludf.DUMMYFUNCTION("""COMPUTED_VALUE"""),"Colorless")</f>
        <v/>
      </c>
      <c r="K276">
        <f>IFERROR(__xludf.DUMMYFUNCTION("""COMPUTED_VALUE"""),10000.0)</f>
        <v/>
      </c>
      <c r="L276">
        <f>IFERROR(__xludf.DUMMYFUNCTION("""COMPUTED_VALUE"""),3.0)</f>
        <v/>
      </c>
      <c r="M276">
        <f>IFERROR(__xludf.DUMMYFUNCTION("""COMPUTED_VALUE"""),27.0)</f>
        <v/>
      </c>
      <c r="N276">
        <f>IFERROR(__xludf.DUMMYFUNCTION("""COMPUTED_VALUE"""),0.22)</f>
        <v/>
      </c>
      <c r="O276">
        <f>IFERROR(__xludf.DUMMYFUNCTION("""COMPUTED_VALUE"""),100.0)</f>
        <v/>
      </c>
      <c r="P276">
        <f>IFERROR(__xludf.DUMMYFUNCTION("""COMPUTED_VALUE"""),0.0)</f>
        <v/>
      </c>
      <c r="Q276">
        <f>IFERROR(__xludf.DUMMYFUNCTION("""COMPUTED_VALUE"""),0.27)</f>
        <v/>
      </c>
      <c r="R276">
        <f>IFERROR(__xludf.DUMMYFUNCTION("""COMPUTED_VALUE"""),100.0)</f>
        <v/>
      </c>
      <c r="S276">
        <f>IFERROR(__xludf.DUMMYFUNCTION("""COMPUTED_VALUE"""),100.0)</f>
        <v/>
      </c>
      <c r="T276">
        <f>IFERROR(__xludf.DUMMYFUNCTION("""COMPUTED_VALUE"""),"1.83")</f>
        <v/>
      </c>
      <c r="U276">
        <f>IFERROR(__xludf.DUMMYFUNCTION("""COMPUTED_VALUE"""),"0.83")</f>
        <v/>
      </c>
      <c r="V276">
        <f>IFERROR(__xludf.DUMMYFUNCTION("""COMPUTED_VALUE"""),100.0)</f>
        <v/>
      </c>
      <c r="W276">
        <f>IFERROR(__xludf.DUMMYFUNCTION("""COMPUTED_VALUE"""),"-")</f>
        <v/>
      </c>
      <c r="X276">
        <f>IFERROR(__xludf.DUMMYFUNCTION("""COMPUTED_VALUE"""),"-")</f>
        <v/>
      </c>
      <c r="Z276">
        <f>IFERROR(__xludf.DUMMYFUNCTION("""COMPUTED_VALUE"""),"-")</f>
        <v/>
      </c>
      <c r="AB276">
        <f>IFERROR(__xludf.DUMMYFUNCTION("""COMPUTED_VALUE"""),"dageki_1")</f>
        <v/>
      </c>
    </row>
    <row r="277">
      <c r="B277">
        <f>IFERROR(__xludf.DUMMYFUNCTION("""COMPUTED_VALUE"""),"chara_jig_00501")</f>
        <v/>
      </c>
      <c r="C277">
        <f>IFERROR(__xludf.DUMMYFUNCTION("""COMPUTED_VALUE"""),"_jig1_savage")</f>
        <v/>
      </c>
      <c r="D277">
        <f>IFERROR(__xludf.DUMMYFUNCTION("""COMPUTED_VALUE"""),"c_jig_00501_jig1_savage_Boss_Yellow")</f>
        <v/>
      </c>
      <c r="E277">
        <f>IFERROR(__xludf.DUMMYFUNCTION("""COMPUTED_VALUE"""),"地獄楽")</f>
        <v/>
      </c>
      <c r="F277">
        <f>IFERROR(__xludf.DUMMYFUNCTION("""COMPUTED_VALUE"""),"山田浅ェ門 桐馬")</f>
        <v/>
      </c>
      <c r="G277">
        <f>IFERROR(__xludf.DUMMYFUNCTION("""COMPUTED_VALUE"""),"山田浅ェ門 桐馬_jig1_savage")</f>
        <v/>
      </c>
      <c r="H277">
        <f>IFERROR(__xludf.DUMMYFUNCTION("""COMPUTED_VALUE"""),"Boss")</f>
        <v/>
      </c>
      <c r="I277">
        <f>IFERROR(__xludf.DUMMYFUNCTION("""COMPUTED_VALUE"""),"Support")</f>
        <v/>
      </c>
      <c r="J277">
        <f>IFERROR(__xludf.DUMMYFUNCTION("""COMPUTED_VALUE"""),"Yellow")</f>
        <v/>
      </c>
      <c r="K277">
        <f>IFERROR(__xludf.DUMMYFUNCTION("""COMPUTED_VALUE"""),10000.0)</f>
        <v/>
      </c>
      <c r="L277">
        <f>IFERROR(__xludf.DUMMYFUNCTION("""COMPUTED_VALUE"""),2.0)</f>
        <v/>
      </c>
      <c r="M277">
        <f>IFERROR(__xludf.DUMMYFUNCTION("""COMPUTED_VALUE"""),35.0)</f>
        <v/>
      </c>
      <c r="N277">
        <f>IFERROR(__xludf.DUMMYFUNCTION("""COMPUTED_VALUE"""),0.21)</f>
        <v/>
      </c>
      <c r="O277">
        <f>IFERROR(__xludf.DUMMYFUNCTION("""COMPUTED_VALUE"""),100.0)</f>
        <v/>
      </c>
      <c r="P277">
        <f>IFERROR(__xludf.DUMMYFUNCTION("""COMPUTED_VALUE"""),0.0)</f>
        <v/>
      </c>
      <c r="Q277">
        <f>IFERROR(__xludf.DUMMYFUNCTION("""COMPUTED_VALUE"""),0.33)</f>
        <v/>
      </c>
      <c r="R277">
        <f>IFERROR(__xludf.DUMMYFUNCTION("""COMPUTED_VALUE"""),1.0)</f>
        <v/>
      </c>
      <c r="S277">
        <f>IFERROR(__xludf.DUMMYFUNCTION("""COMPUTED_VALUE"""),300.0)</f>
        <v/>
      </c>
      <c r="T277">
        <f>IFERROR(__xludf.DUMMYFUNCTION("""COMPUTED_VALUE"""),"1.6")</f>
        <v/>
      </c>
      <c r="U277">
        <f>IFERROR(__xludf.DUMMYFUNCTION("""COMPUTED_VALUE"""),"stop有:1回目0.4")</f>
        <v/>
      </c>
      <c r="V277">
        <f>IFERROR(__xludf.DUMMYFUNCTION("""COMPUTED_VALUE"""),75.0)</f>
        <v/>
      </c>
      <c r="W277">
        <f>IFERROR(__xludf.DUMMYFUNCTION("""COMPUTED_VALUE"""),"3.33")</f>
        <v/>
      </c>
      <c r="X277">
        <f>IFERROR(__xludf.DUMMYFUNCTION("""COMPUTED_VALUE"""),"stop無:1.67")</f>
        <v/>
      </c>
      <c r="Y277">
        <f>IFERROR(__xludf.DUMMYFUNCTION("""COMPUTED_VALUE"""),"コマ内の味方のHPを10%回復+アタック20%UP(20秒間)+ダメージカット10%(20秒間)")</f>
        <v/>
      </c>
      <c r="Z277">
        <f>IFERROR(__xludf.DUMMYFUNCTION("""COMPUTED_VALUE"""),4.0)</f>
        <v/>
      </c>
      <c r="AB277">
        <f>IFERROR(__xludf.DUMMYFUNCTION("""COMPUTED_VALUE"""),"zangeki_1")</f>
        <v/>
      </c>
    </row>
    <row r="278">
      <c r="B278">
        <f>IFERROR(__xludf.DUMMYFUNCTION("""COMPUTED_VALUE"""),"chara_jig_00101")</f>
        <v/>
      </c>
      <c r="C278">
        <f>IFERROR(__xludf.DUMMYFUNCTION("""COMPUTED_VALUE"""),"_jig1_savage")</f>
        <v/>
      </c>
      <c r="D278">
        <f>IFERROR(__xludf.DUMMYFUNCTION("""COMPUTED_VALUE"""),"c_jig_00101_jig1_savage_Boss_Colorless")</f>
        <v/>
      </c>
      <c r="E278">
        <f>IFERROR(__xludf.DUMMYFUNCTION("""COMPUTED_VALUE"""),"地獄楽")</f>
        <v/>
      </c>
      <c r="F278">
        <f>IFERROR(__xludf.DUMMYFUNCTION("""COMPUTED_VALUE"""),"山田浅ェ門 佐切")</f>
        <v/>
      </c>
      <c r="G278">
        <f>IFERROR(__xludf.DUMMYFUNCTION("""COMPUTED_VALUE"""),"山田浅ェ門 佐切_jig1_savage")</f>
        <v/>
      </c>
      <c r="H278">
        <f>IFERROR(__xludf.DUMMYFUNCTION("""COMPUTED_VALUE"""),"Boss")</f>
        <v/>
      </c>
      <c r="I278">
        <f>IFERROR(__xludf.DUMMYFUNCTION("""COMPUTED_VALUE"""),"Attack")</f>
        <v/>
      </c>
      <c r="J278">
        <f>IFERROR(__xludf.DUMMYFUNCTION("""COMPUTED_VALUE"""),"Colorless")</f>
        <v/>
      </c>
      <c r="K278">
        <f>IFERROR(__xludf.DUMMYFUNCTION("""COMPUTED_VALUE"""),10000.0)</f>
        <v/>
      </c>
      <c r="L278">
        <f>IFERROR(__xludf.DUMMYFUNCTION("""COMPUTED_VALUE"""),2.0)</f>
        <v/>
      </c>
      <c r="M278">
        <f>IFERROR(__xludf.DUMMYFUNCTION("""COMPUTED_VALUE"""),34.0)</f>
        <v/>
      </c>
      <c r="N278">
        <f>IFERROR(__xludf.DUMMYFUNCTION("""COMPUTED_VALUE"""),0.22)</f>
        <v/>
      </c>
      <c r="O278">
        <f>IFERROR(__xludf.DUMMYFUNCTION("""COMPUTED_VALUE"""),100.0)</f>
        <v/>
      </c>
      <c r="P278">
        <f>IFERROR(__xludf.DUMMYFUNCTION("""COMPUTED_VALUE"""),0.0)</f>
        <v/>
      </c>
      <c r="Q278">
        <f>IFERROR(__xludf.DUMMYFUNCTION("""COMPUTED_VALUE"""),0.23)</f>
        <v/>
      </c>
      <c r="R278">
        <f>IFERROR(__xludf.DUMMYFUNCTION("""COMPUTED_VALUE"""),1.0)</f>
        <v/>
      </c>
      <c r="S278">
        <f>IFERROR(__xludf.DUMMYFUNCTION("""COMPUTED_VALUE"""),300.0)</f>
        <v/>
      </c>
      <c r="T278">
        <f>IFERROR(__xludf.DUMMYFUNCTION("""COMPUTED_VALUE"""),"1.5")</f>
        <v/>
      </c>
      <c r="U278">
        <f>IFERROR(__xludf.DUMMYFUNCTION("""COMPUTED_VALUE"""),"0.50")</f>
        <v/>
      </c>
      <c r="V278">
        <f>IFERROR(__xludf.DUMMYFUNCTION("""COMPUTED_VALUE"""),125.0)</f>
        <v/>
      </c>
      <c r="W278">
        <f>IFERROR(__xludf.DUMMYFUNCTION("""COMPUTED_VALUE"""),"2.50")</f>
        <v/>
      </c>
      <c r="X278">
        <f>IFERROR(__xludf.DUMMYFUNCTION("""COMPUTED_VALUE"""),"1.20")</f>
        <v/>
      </c>
      <c r="Y278">
        <f>IFERROR(__xludf.DUMMYFUNCTION("""COMPUTED_VALUE"""),"範囲攻撃(500%)")</f>
        <v/>
      </c>
      <c r="Z278">
        <f>IFERROR(__xludf.DUMMYFUNCTION("""COMPUTED_VALUE"""),7.0)</f>
        <v/>
      </c>
      <c r="AB278">
        <f>IFERROR(__xludf.DUMMYFUNCTION("""COMPUTED_VALUE"""),"zangeki_1")</f>
        <v/>
      </c>
    </row>
    <row r="279">
      <c r="B279">
        <f>IFERROR(__xludf.DUMMYFUNCTION("""COMPUTED_VALUE"""),"chara_jig_00001")</f>
        <v/>
      </c>
      <c r="C279">
        <f>IFERROR(__xludf.DUMMYFUNCTION("""COMPUTED_VALUE"""),"_jig1_savage")</f>
        <v/>
      </c>
      <c r="D279">
        <f>IFERROR(__xludf.DUMMYFUNCTION("""COMPUTED_VALUE"""),"c_jig_00001_jig1_savage_Boss_Colorless")</f>
        <v/>
      </c>
      <c r="E279">
        <f>IFERROR(__xludf.DUMMYFUNCTION("""COMPUTED_VALUE"""),"地獄楽")</f>
        <v/>
      </c>
      <c r="F279">
        <f>IFERROR(__xludf.DUMMYFUNCTION("""COMPUTED_VALUE"""),"がらんの画眉丸")</f>
        <v/>
      </c>
      <c r="G279">
        <f>IFERROR(__xludf.DUMMYFUNCTION("""COMPUTED_VALUE"""),"がらんの画眉丸_jig1_savage")</f>
        <v/>
      </c>
      <c r="H279">
        <f>IFERROR(__xludf.DUMMYFUNCTION("""COMPUTED_VALUE"""),"Boss")</f>
        <v/>
      </c>
      <c r="I279">
        <f>IFERROR(__xludf.DUMMYFUNCTION("""COMPUTED_VALUE"""),"Technical")</f>
        <v/>
      </c>
      <c r="J279">
        <f>IFERROR(__xludf.DUMMYFUNCTION("""COMPUTED_VALUE"""),"Colorless")</f>
        <v/>
      </c>
      <c r="K279">
        <f>IFERROR(__xludf.DUMMYFUNCTION("""COMPUTED_VALUE"""),10000.0)</f>
        <v/>
      </c>
      <c r="L279">
        <f>IFERROR(__xludf.DUMMYFUNCTION("""COMPUTED_VALUE"""),2.0)</f>
        <v/>
      </c>
      <c r="M279">
        <f>IFERROR(__xludf.DUMMYFUNCTION("""COMPUTED_VALUE"""),41.0)</f>
        <v/>
      </c>
      <c r="N279">
        <f>IFERROR(__xludf.DUMMYFUNCTION("""COMPUTED_VALUE"""),0.24)</f>
        <v/>
      </c>
      <c r="O279">
        <f>IFERROR(__xludf.DUMMYFUNCTION("""COMPUTED_VALUE"""),100.0)</f>
        <v/>
      </c>
      <c r="P279">
        <f>IFERROR(__xludf.DUMMYFUNCTION("""COMPUTED_VALUE"""),0.0)</f>
        <v/>
      </c>
      <c r="Q279">
        <f>IFERROR(__xludf.DUMMYFUNCTION("""COMPUTED_VALUE"""),0.25)</f>
        <v/>
      </c>
      <c r="R279">
        <f>IFERROR(__xludf.DUMMYFUNCTION("""COMPUTED_VALUE"""),1.0)</f>
        <v/>
      </c>
      <c r="S279">
        <f>IFERROR(__xludf.DUMMYFUNCTION("""COMPUTED_VALUE"""),300.0)</f>
        <v/>
      </c>
      <c r="T279">
        <f>IFERROR(__xludf.DUMMYFUNCTION("""COMPUTED_VALUE"""),"1.17")</f>
        <v/>
      </c>
      <c r="U279">
        <f>IFERROR(__xludf.DUMMYFUNCTION("""COMPUTED_VALUE"""),"stop有:1回目0.20")</f>
        <v/>
      </c>
      <c r="V279">
        <f>IFERROR(__xludf.DUMMYFUNCTION("""COMPUTED_VALUE"""),80.0)</f>
        <v/>
      </c>
      <c r="W279">
        <f>IFERROR(__xludf.DUMMYFUNCTION("""COMPUTED_VALUE"""),"2.30")</f>
        <v/>
      </c>
      <c r="X279">
        <f>IFERROR(__xludf.DUMMYFUNCTION("""COMPUTED_VALUE"""),"stop有:1回目 0.08
stop有:2回目 0.90
stop有:3回目 1.50")</f>
        <v/>
      </c>
      <c r="Y279">
        <f>IFERROR(__xludf.DUMMYFUNCTION("""COMPUTED_VALUE"""),"6秒間2000の火傷にする")</f>
        <v/>
      </c>
      <c r="Z279">
        <f>IFERROR(__xludf.DUMMYFUNCTION("""COMPUTED_VALUE"""),5.0)</f>
        <v/>
      </c>
      <c r="AB279">
        <f>IFERROR(__xludf.DUMMYFUNCTION("""COMPUTED_VALUE"""),"dageki_1")</f>
        <v/>
      </c>
    </row>
    <row r="280">
      <c r="B280">
        <f>IFERROR(__xludf.DUMMYFUNCTION("""COMPUTED_VALUE"""),"chara_jig_00401")</f>
        <v/>
      </c>
      <c r="C280">
        <f>IFERROR(__xludf.DUMMYFUNCTION("""COMPUTED_VALUE"""),"_jig1_savage")</f>
        <v/>
      </c>
      <c r="D280">
        <f>IFERROR(__xludf.DUMMYFUNCTION("""COMPUTED_VALUE"""),"c_jig_00401_jig1_savage_Normal_Colorless")</f>
        <v/>
      </c>
      <c r="E280">
        <f>IFERROR(__xludf.DUMMYFUNCTION("""COMPUTED_VALUE"""),"地獄楽")</f>
        <v/>
      </c>
      <c r="F280">
        <f>IFERROR(__xludf.DUMMYFUNCTION("""COMPUTED_VALUE"""),"賊王 亜左 弔兵衛")</f>
        <v/>
      </c>
      <c r="G280">
        <f>IFERROR(__xludf.DUMMYFUNCTION("""COMPUTED_VALUE"""),"賊王 亜左 弔兵衛_jig1_savage")</f>
        <v/>
      </c>
      <c r="H280">
        <f>IFERROR(__xludf.DUMMYFUNCTION("""COMPUTED_VALUE"""),"Normal")</f>
        <v/>
      </c>
      <c r="I280">
        <f>IFERROR(__xludf.DUMMYFUNCTION("""COMPUTED_VALUE"""),"Technical")</f>
        <v/>
      </c>
      <c r="J280">
        <f>IFERROR(__xludf.DUMMYFUNCTION("""COMPUTED_VALUE"""),"Colorless")</f>
        <v/>
      </c>
      <c r="K280">
        <f>IFERROR(__xludf.DUMMYFUNCTION("""COMPUTED_VALUE"""),1000.0)</f>
        <v/>
      </c>
      <c r="L280">
        <f>IFERROR(__xludf.DUMMYFUNCTION("""COMPUTED_VALUE"""),0.0)</f>
        <v/>
      </c>
      <c r="M280">
        <f>IFERROR(__xludf.DUMMYFUNCTION("""COMPUTED_VALUE"""),30.0)</f>
        <v/>
      </c>
      <c r="N280">
        <f>IFERROR(__xludf.DUMMYFUNCTION("""COMPUTED_VALUE"""),0.31)</f>
        <v/>
      </c>
      <c r="O280">
        <f>IFERROR(__xludf.DUMMYFUNCTION("""COMPUTED_VALUE"""),100.0)</f>
        <v/>
      </c>
      <c r="P280">
        <f>IFERROR(__xludf.DUMMYFUNCTION("""COMPUTED_VALUE"""),0.0)</f>
        <v/>
      </c>
      <c r="Q280">
        <f>IFERROR(__xludf.DUMMYFUNCTION("""COMPUTED_VALUE"""),0.32)</f>
        <v/>
      </c>
      <c r="R280">
        <f>IFERROR(__xludf.DUMMYFUNCTION("""COMPUTED_VALUE"""),1.0)</f>
        <v/>
      </c>
      <c r="S280">
        <f>IFERROR(__xludf.DUMMYFUNCTION("""COMPUTED_VALUE"""),100.0)</f>
        <v/>
      </c>
      <c r="T280">
        <f>IFERROR(__xludf.DUMMYFUNCTION("""COMPUTED_VALUE"""),"1.67")</f>
        <v/>
      </c>
      <c r="U280">
        <f>IFERROR(__xludf.DUMMYFUNCTION("""COMPUTED_VALUE"""),"stop有:1回目0.50")</f>
        <v/>
      </c>
      <c r="V280">
        <f>IFERROR(__xludf.DUMMYFUNCTION("""COMPUTED_VALUE"""),50.0)</f>
        <v/>
      </c>
      <c r="W280">
        <f>IFERROR(__xludf.DUMMYFUNCTION("""COMPUTED_VALUE"""),"2.67")</f>
        <v/>
      </c>
      <c r="X280">
        <f>IFERROR(__xludf.DUMMYFUNCTION("""COMPUTED_VALUE"""),"stop有:1回目1.57")</f>
        <v/>
      </c>
      <c r="Y280">
        <f>IFERROR(__xludf.DUMMYFUNCTION("""COMPUTED_VALUE"""),"範囲内10秒間20%の弱体化")</f>
        <v/>
      </c>
      <c r="Z280">
        <f>IFERROR(__xludf.DUMMYFUNCTION("""COMPUTED_VALUE"""),3.0)</f>
        <v/>
      </c>
      <c r="AA280">
        <f>IFERROR(__xludf.DUMMYFUNCTION("""COMPUTED_VALUE"""),"ノックバック無効")</f>
        <v/>
      </c>
      <c r="AB280">
        <f>IFERROR(__xludf.DUMMYFUNCTION("""COMPUTED_VALUE"""),"zangeki_1")</f>
        <v/>
      </c>
    </row>
    <row r="281">
      <c r="B281">
        <f>IFERROR(__xludf.DUMMYFUNCTION("""COMPUTED_VALUE"""),"chara_jig_00001")</f>
        <v/>
      </c>
      <c r="C281">
        <f>IFERROR(__xludf.DUMMYFUNCTION("""COMPUTED_VALUE"""),"_jig1_savage")</f>
        <v/>
      </c>
      <c r="D281">
        <f>IFERROR(__xludf.DUMMYFUNCTION("""COMPUTED_VALUE"""),"c_jig_00001_jig1_savage_Normal_Yellow")</f>
        <v/>
      </c>
      <c r="E281">
        <f>IFERROR(__xludf.DUMMYFUNCTION("""COMPUTED_VALUE"""),"地獄楽")</f>
        <v/>
      </c>
      <c r="F281">
        <f>IFERROR(__xludf.DUMMYFUNCTION("""COMPUTED_VALUE"""),"がらんの画眉丸")</f>
        <v/>
      </c>
      <c r="G281">
        <f>IFERROR(__xludf.DUMMYFUNCTION("""COMPUTED_VALUE"""),"がらんの画眉丸_jig1_savage")</f>
        <v/>
      </c>
      <c r="H281">
        <f>IFERROR(__xludf.DUMMYFUNCTION("""COMPUTED_VALUE"""),"Normal")</f>
        <v/>
      </c>
      <c r="I281">
        <f>IFERROR(__xludf.DUMMYFUNCTION("""COMPUTED_VALUE"""),"Technical")</f>
        <v/>
      </c>
      <c r="J281">
        <f>IFERROR(__xludf.DUMMYFUNCTION("""COMPUTED_VALUE"""),"Yellow")</f>
        <v/>
      </c>
      <c r="K281">
        <f>IFERROR(__xludf.DUMMYFUNCTION("""COMPUTED_VALUE"""),1000.0)</f>
        <v/>
      </c>
      <c r="L281">
        <f>IFERROR(__xludf.DUMMYFUNCTION("""COMPUTED_VALUE"""),2.0)</f>
        <v/>
      </c>
      <c r="M281">
        <f>IFERROR(__xludf.DUMMYFUNCTION("""COMPUTED_VALUE"""),41.0)</f>
        <v/>
      </c>
      <c r="N281">
        <f>IFERROR(__xludf.DUMMYFUNCTION("""COMPUTED_VALUE"""),0.24)</f>
        <v/>
      </c>
      <c r="O281">
        <f>IFERROR(__xludf.DUMMYFUNCTION("""COMPUTED_VALUE"""),100.0)</f>
        <v/>
      </c>
      <c r="P281">
        <f>IFERROR(__xludf.DUMMYFUNCTION("""COMPUTED_VALUE"""),0.0)</f>
        <v/>
      </c>
      <c r="Q281">
        <f>IFERROR(__xludf.DUMMYFUNCTION("""COMPUTED_VALUE"""),0.25)</f>
        <v/>
      </c>
      <c r="R281">
        <f>IFERROR(__xludf.DUMMYFUNCTION("""COMPUTED_VALUE"""),1.0)</f>
        <v/>
      </c>
      <c r="S281">
        <f>IFERROR(__xludf.DUMMYFUNCTION("""COMPUTED_VALUE"""),100.0)</f>
        <v/>
      </c>
      <c r="T281">
        <f>IFERROR(__xludf.DUMMYFUNCTION("""COMPUTED_VALUE"""),"1.17")</f>
        <v/>
      </c>
      <c r="U281">
        <f>IFERROR(__xludf.DUMMYFUNCTION("""COMPUTED_VALUE"""),"stop有:1回目0.20")</f>
        <v/>
      </c>
      <c r="V281">
        <f>IFERROR(__xludf.DUMMYFUNCTION("""COMPUTED_VALUE"""),50.0)</f>
        <v/>
      </c>
      <c r="W281">
        <f>IFERROR(__xludf.DUMMYFUNCTION("""COMPUTED_VALUE"""),"2.30")</f>
        <v/>
      </c>
      <c r="X281">
        <f>IFERROR(__xludf.DUMMYFUNCTION("""COMPUTED_VALUE"""),"stop有:1回目 0.08
stop有:2回目 0.90
stop有:3回目 1.50")</f>
        <v/>
      </c>
      <c r="Y281">
        <f>IFERROR(__xludf.DUMMYFUNCTION("""COMPUTED_VALUE"""),"3秒間1000の火傷にする")</f>
        <v/>
      </c>
      <c r="Z281">
        <f>IFERROR(__xludf.DUMMYFUNCTION("""COMPUTED_VALUE"""),5.0)</f>
        <v/>
      </c>
      <c r="AB281">
        <f>IFERROR(__xludf.DUMMYFUNCTION("""COMPUTED_VALUE"""),"dageki_1")</f>
        <v/>
      </c>
    </row>
    <row r="282">
      <c r="B282">
        <f>IFERROR(__xludf.DUMMYFUNCTION("""COMPUTED_VALUE"""),"enemy_jig_00601")</f>
        <v/>
      </c>
      <c r="C282">
        <f>IFERROR(__xludf.DUMMYFUNCTION("""COMPUTED_VALUE"""),"_jig1_savage")</f>
        <v/>
      </c>
      <c r="D282">
        <f>IFERROR(__xludf.DUMMYFUNCTION("""COMPUTED_VALUE"""),"e_jig_00601_jig1_savage_Normal_Yellow")</f>
        <v/>
      </c>
      <c r="E282">
        <f>IFERROR(__xludf.DUMMYFUNCTION("""COMPUTED_VALUE"""),"地獄楽")</f>
        <v/>
      </c>
      <c r="F282">
        <f>IFERROR(__xludf.DUMMYFUNCTION("""COMPUTED_VALUE"""),"朱槿")</f>
        <v/>
      </c>
      <c r="G282">
        <f>IFERROR(__xludf.DUMMYFUNCTION("""COMPUTED_VALUE"""),"朱槿_jig1_savage")</f>
        <v/>
      </c>
      <c r="H282">
        <f>IFERROR(__xludf.DUMMYFUNCTION("""COMPUTED_VALUE"""),"Normal")</f>
        <v/>
      </c>
      <c r="I282">
        <f>IFERROR(__xludf.DUMMYFUNCTION("""COMPUTED_VALUE"""),"Attack")</f>
        <v/>
      </c>
      <c r="J282">
        <f>IFERROR(__xludf.DUMMYFUNCTION("""COMPUTED_VALUE"""),"Yellow")</f>
        <v/>
      </c>
      <c r="K282">
        <f>IFERROR(__xludf.DUMMYFUNCTION("""COMPUTED_VALUE"""),1000.0)</f>
        <v/>
      </c>
      <c r="L282">
        <f>IFERROR(__xludf.DUMMYFUNCTION("""COMPUTED_VALUE"""),1.0)</f>
        <v/>
      </c>
      <c r="M282">
        <f>IFERROR(__xludf.DUMMYFUNCTION("""COMPUTED_VALUE"""),37.0)</f>
        <v/>
      </c>
      <c r="N282">
        <f>IFERROR(__xludf.DUMMYFUNCTION("""COMPUTED_VALUE"""),0.31)</f>
        <v/>
      </c>
      <c r="O282">
        <f>IFERROR(__xludf.DUMMYFUNCTION("""COMPUTED_VALUE"""),100.0)</f>
        <v/>
      </c>
      <c r="S282">
        <f>IFERROR(__xludf.DUMMYFUNCTION("""COMPUTED_VALUE"""),100.0)</f>
        <v/>
      </c>
      <c r="T282">
        <f>IFERROR(__xludf.DUMMYFUNCTION("""COMPUTED_VALUE"""),"1.5")</f>
        <v/>
      </c>
      <c r="U282">
        <f>IFERROR(__xludf.DUMMYFUNCTION("""COMPUTED_VALUE"""),"0.75")</f>
        <v/>
      </c>
      <c r="V282">
        <f>IFERROR(__xludf.DUMMYFUNCTION("""COMPUTED_VALUE"""),60.0)</f>
        <v/>
      </c>
      <c r="W282">
        <f>IFERROR(__xludf.DUMMYFUNCTION("""COMPUTED_VALUE"""),"-")</f>
        <v/>
      </c>
      <c r="X282">
        <f>IFERROR(__xludf.DUMMYFUNCTION("""COMPUTED_VALUE"""),"-")</f>
        <v/>
      </c>
      <c r="Z282">
        <f>IFERROR(__xludf.DUMMYFUNCTION("""COMPUTED_VALUE"""),"-")</f>
        <v/>
      </c>
    </row>
    <row r="283">
      <c r="B283">
        <f>IFERROR(__xludf.DUMMYFUNCTION("""COMPUTED_VALUE"""),"enemy_jig_00001")</f>
        <v/>
      </c>
      <c r="C283">
        <f>IFERROR(__xludf.DUMMYFUNCTION("""COMPUTED_VALUE"""),"_jig1_savage")</f>
        <v/>
      </c>
      <c r="D283">
        <f>IFERROR(__xludf.DUMMYFUNCTION("""COMPUTED_VALUE"""),"e_jig_00001_jig1_savage_Normal_Colorless")</f>
        <v/>
      </c>
      <c r="E283">
        <f>IFERROR(__xludf.DUMMYFUNCTION("""COMPUTED_VALUE"""),"地獄楽")</f>
        <v/>
      </c>
      <c r="F283">
        <f>IFERROR(__xludf.DUMMYFUNCTION("""COMPUTED_VALUE"""),"門神")</f>
        <v/>
      </c>
      <c r="G283">
        <f>IFERROR(__xludf.DUMMYFUNCTION("""COMPUTED_VALUE"""),"門神_jig1_savage")</f>
        <v/>
      </c>
      <c r="H283">
        <f>IFERROR(__xludf.DUMMYFUNCTION("""COMPUTED_VALUE"""),"Normal")</f>
        <v/>
      </c>
      <c r="I283">
        <f>IFERROR(__xludf.DUMMYFUNCTION("""COMPUTED_VALUE"""),"Attack")</f>
        <v/>
      </c>
      <c r="J283">
        <f>IFERROR(__xludf.DUMMYFUNCTION("""COMPUTED_VALUE"""),"Colorless")</f>
        <v/>
      </c>
      <c r="K283">
        <f>IFERROR(__xludf.DUMMYFUNCTION("""COMPUTED_VALUE"""),1000.0)</f>
        <v/>
      </c>
      <c r="L283">
        <f>IFERROR(__xludf.DUMMYFUNCTION("""COMPUTED_VALUE"""),1.0)</f>
        <v/>
      </c>
      <c r="M283">
        <f>IFERROR(__xludf.DUMMYFUNCTION("""COMPUTED_VALUE"""),27.0)</f>
        <v/>
      </c>
      <c r="N283">
        <f>IFERROR(__xludf.DUMMYFUNCTION("""COMPUTED_VALUE"""),0.21)</f>
        <v/>
      </c>
      <c r="O283">
        <f>IFERROR(__xludf.DUMMYFUNCTION("""COMPUTED_VALUE"""),100.0)</f>
        <v/>
      </c>
      <c r="P283">
        <f>IFERROR(__xludf.DUMMYFUNCTION("""COMPUTED_VALUE"""),0.0)</f>
        <v/>
      </c>
      <c r="Q283">
        <f>IFERROR(__xludf.DUMMYFUNCTION("""COMPUTED_VALUE"""),0.27)</f>
        <v/>
      </c>
      <c r="R283">
        <f>IFERROR(__xludf.DUMMYFUNCTION("""COMPUTED_VALUE"""),100.0)</f>
        <v/>
      </c>
      <c r="S283">
        <f>IFERROR(__xludf.DUMMYFUNCTION("""COMPUTED_VALUE"""),50.0)</f>
        <v/>
      </c>
      <c r="T283">
        <f>IFERROR(__xludf.DUMMYFUNCTION("""COMPUTED_VALUE"""),"1.83")</f>
        <v/>
      </c>
      <c r="U283">
        <f>IFERROR(__xludf.DUMMYFUNCTION("""COMPUTED_VALUE"""),"0.83")</f>
        <v/>
      </c>
      <c r="V283">
        <f>IFERROR(__xludf.DUMMYFUNCTION("""COMPUTED_VALUE"""),100.0)</f>
        <v/>
      </c>
      <c r="W283">
        <f>IFERROR(__xludf.DUMMYFUNCTION("""COMPUTED_VALUE"""),"-")</f>
        <v/>
      </c>
      <c r="X283">
        <f>IFERROR(__xludf.DUMMYFUNCTION("""COMPUTED_VALUE"""),"-")</f>
        <v/>
      </c>
      <c r="Z283">
        <f>IFERROR(__xludf.DUMMYFUNCTION("""COMPUTED_VALUE"""),"-")</f>
        <v/>
      </c>
      <c r="AB283">
        <f>IFERROR(__xludf.DUMMYFUNCTION("""COMPUTED_VALUE"""),"dageki_1")</f>
        <v/>
      </c>
    </row>
    <row r="284">
      <c r="B284">
        <f>IFERROR(__xludf.DUMMYFUNCTION("""COMPUTED_VALUE"""),"enemy_jig_00001")</f>
        <v/>
      </c>
      <c r="C284">
        <f>IFERROR(__xludf.DUMMYFUNCTION("""COMPUTED_VALUE"""),"_jig1_savage")</f>
        <v/>
      </c>
      <c r="D284">
        <f>IFERROR(__xludf.DUMMYFUNCTION("""COMPUTED_VALUE"""),"e_jig_00001_jig1_savage_Normal_Yellow")</f>
        <v/>
      </c>
      <c r="E284">
        <f>IFERROR(__xludf.DUMMYFUNCTION("""COMPUTED_VALUE"""),"地獄楽")</f>
        <v/>
      </c>
      <c r="F284">
        <f>IFERROR(__xludf.DUMMYFUNCTION("""COMPUTED_VALUE"""),"門神")</f>
        <v/>
      </c>
      <c r="G284">
        <f>IFERROR(__xludf.DUMMYFUNCTION("""COMPUTED_VALUE"""),"門神_jig1_savage")</f>
        <v/>
      </c>
      <c r="H284">
        <f>IFERROR(__xludf.DUMMYFUNCTION("""COMPUTED_VALUE"""),"Normal")</f>
        <v/>
      </c>
      <c r="I284">
        <f>IFERROR(__xludf.DUMMYFUNCTION("""COMPUTED_VALUE"""),"Defense")</f>
        <v/>
      </c>
      <c r="J284">
        <f>IFERROR(__xludf.DUMMYFUNCTION("""COMPUTED_VALUE"""),"Yellow")</f>
        <v/>
      </c>
      <c r="K284">
        <f>IFERROR(__xludf.DUMMYFUNCTION("""COMPUTED_VALUE"""),1000.0)</f>
        <v/>
      </c>
      <c r="L284">
        <f>IFERROR(__xludf.DUMMYFUNCTION("""COMPUTED_VALUE"""),3.0)</f>
        <v/>
      </c>
      <c r="M284">
        <f>IFERROR(__xludf.DUMMYFUNCTION("""COMPUTED_VALUE"""),27.0)</f>
        <v/>
      </c>
      <c r="N284">
        <f>IFERROR(__xludf.DUMMYFUNCTION("""COMPUTED_VALUE"""),0.21)</f>
        <v/>
      </c>
      <c r="O284">
        <f>IFERROR(__xludf.DUMMYFUNCTION("""COMPUTED_VALUE"""),100.0)</f>
        <v/>
      </c>
      <c r="P284">
        <f>IFERROR(__xludf.DUMMYFUNCTION("""COMPUTED_VALUE"""),0.0)</f>
        <v/>
      </c>
      <c r="Q284">
        <f>IFERROR(__xludf.DUMMYFUNCTION("""COMPUTED_VALUE"""),0.27)</f>
        <v/>
      </c>
      <c r="R284">
        <f>IFERROR(__xludf.DUMMYFUNCTION("""COMPUTED_VALUE"""),100.0)</f>
        <v/>
      </c>
      <c r="S284">
        <f>IFERROR(__xludf.DUMMYFUNCTION("""COMPUTED_VALUE"""),50.0)</f>
        <v/>
      </c>
      <c r="T284">
        <f>IFERROR(__xludf.DUMMYFUNCTION("""COMPUTED_VALUE"""),"1.83")</f>
        <v/>
      </c>
      <c r="U284">
        <f>IFERROR(__xludf.DUMMYFUNCTION("""COMPUTED_VALUE"""),"0.83")</f>
        <v/>
      </c>
      <c r="V284">
        <f>IFERROR(__xludf.DUMMYFUNCTION("""COMPUTED_VALUE"""),100.0)</f>
        <v/>
      </c>
      <c r="W284">
        <f>IFERROR(__xludf.DUMMYFUNCTION("""COMPUTED_VALUE"""),"-")</f>
        <v/>
      </c>
      <c r="X284">
        <f>IFERROR(__xludf.DUMMYFUNCTION("""COMPUTED_VALUE"""),"-")</f>
        <v/>
      </c>
      <c r="Z284">
        <f>IFERROR(__xludf.DUMMYFUNCTION("""COMPUTED_VALUE"""),"-")</f>
        <v/>
      </c>
      <c r="AB284">
        <f>IFERROR(__xludf.DUMMYFUNCTION("""COMPUTED_VALUE"""),"dageki_1")</f>
        <v/>
      </c>
    </row>
    <row r="285">
      <c r="D285">
        <f>IFERROR(__xludf.DUMMYFUNCTION("""COMPUTED_VALUE"""),"___")</f>
        <v/>
      </c>
      <c r="E285">
        <f>IFERROR(__xludf.DUMMYFUNCTION("""COMPUTED_VALUE"""),"none")</f>
        <v/>
      </c>
      <c r="F285">
        <f>IFERROR(__xludf.DUMMYFUNCTION("""COMPUTED_VALUE"""),"none")</f>
        <v/>
      </c>
      <c r="G285">
        <f>IFERROR(__xludf.DUMMYFUNCTION("""COMPUTED_VALUE"""),"none")</f>
        <v/>
      </c>
      <c r="I285">
        <f>IFERROR(__xludf.DUMMYFUNCTION("""COMPUTED_VALUE"""),"none")</f>
        <v/>
      </c>
      <c r="T285">
        <f>IFERROR(__xludf.DUMMYFUNCTION("""COMPUTED_VALUE"""),"none")</f>
        <v/>
      </c>
      <c r="U285">
        <f>IFERROR(__xludf.DUMMYFUNCTION("""COMPUTED_VALUE"""),"none")</f>
        <v/>
      </c>
      <c r="W285">
        <f>IFERROR(__xludf.DUMMYFUNCTION("""COMPUTED_VALUE"""),"none")</f>
        <v/>
      </c>
      <c r="X285">
        <f>IFERROR(__xludf.DUMMYFUNCTION("""COMPUTED_VALUE"""),"none")</f>
        <v/>
      </c>
      <c r="Z285">
        <f>IFERROR(__xludf.DUMMYFUNCTION("""COMPUTED_VALUE"""),"-")</f>
        <v/>
      </c>
      <c r="AB285">
        <f>IFERROR(__xludf.DUMMYFUNCTION("""COMPUTED_VALUE"""),"none")</f>
        <v/>
      </c>
    </row>
    <row r="286">
      <c r="D286">
        <f>IFERROR(__xludf.DUMMYFUNCTION("""COMPUTED_VALUE"""),"___")</f>
        <v/>
      </c>
      <c r="E286">
        <f>IFERROR(__xludf.DUMMYFUNCTION("""COMPUTED_VALUE"""),"none")</f>
        <v/>
      </c>
      <c r="F286">
        <f>IFERROR(__xludf.DUMMYFUNCTION("""COMPUTED_VALUE"""),"none")</f>
        <v/>
      </c>
      <c r="G286">
        <f>IFERROR(__xludf.DUMMYFUNCTION("""COMPUTED_VALUE"""),"none")</f>
        <v/>
      </c>
      <c r="I286">
        <f>IFERROR(__xludf.DUMMYFUNCTION("""COMPUTED_VALUE"""),"none")</f>
        <v/>
      </c>
      <c r="T286">
        <f>IFERROR(__xludf.DUMMYFUNCTION("""COMPUTED_VALUE"""),"none")</f>
        <v/>
      </c>
      <c r="U286">
        <f>IFERROR(__xludf.DUMMYFUNCTION("""COMPUTED_VALUE"""),"none")</f>
        <v/>
      </c>
      <c r="W286">
        <f>IFERROR(__xludf.DUMMYFUNCTION("""COMPUTED_VALUE"""),"none")</f>
        <v/>
      </c>
      <c r="X286">
        <f>IFERROR(__xludf.DUMMYFUNCTION("""COMPUTED_VALUE"""),"none")</f>
        <v/>
      </c>
      <c r="Z286">
        <f>IFERROR(__xludf.DUMMYFUNCTION("""COMPUTED_VALUE"""),"-")</f>
        <v/>
      </c>
      <c r="AB286">
        <f>IFERROR(__xludf.DUMMYFUNCTION("""COMPUTED_VALUE"""),"none")</f>
        <v/>
      </c>
    </row>
    <row r="287">
      <c r="D287">
        <f>IFERROR(__xludf.DUMMYFUNCTION("""COMPUTED_VALUE"""),"___")</f>
        <v/>
      </c>
      <c r="E287">
        <f>IFERROR(__xludf.DUMMYFUNCTION("""COMPUTED_VALUE"""),"none")</f>
        <v/>
      </c>
      <c r="F287">
        <f>IFERROR(__xludf.DUMMYFUNCTION("""COMPUTED_VALUE"""),"none")</f>
        <v/>
      </c>
      <c r="G287">
        <f>IFERROR(__xludf.DUMMYFUNCTION("""COMPUTED_VALUE"""),"none")</f>
        <v/>
      </c>
      <c r="I287">
        <f>IFERROR(__xludf.DUMMYFUNCTION("""COMPUTED_VALUE"""),"none")</f>
        <v/>
      </c>
      <c r="T287">
        <f>IFERROR(__xludf.DUMMYFUNCTION("""COMPUTED_VALUE"""),"none")</f>
        <v/>
      </c>
      <c r="U287">
        <f>IFERROR(__xludf.DUMMYFUNCTION("""COMPUTED_VALUE"""),"none")</f>
        <v/>
      </c>
      <c r="W287">
        <f>IFERROR(__xludf.DUMMYFUNCTION("""COMPUTED_VALUE"""),"none")</f>
        <v/>
      </c>
      <c r="X287">
        <f>IFERROR(__xludf.DUMMYFUNCTION("""COMPUTED_VALUE"""),"none")</f>
        <v/>
      </c>
      <c r="Z287">
        <f>IFERROR(__xludf.DUMMYFUNCTION("""COMPUTED_VALUE"""),"-")</f>
        <v/>
      </c>
      <c r="AB287">
        <f>IFERROR(__xludf.DUMMYFUNCTION("""COMPUTED_VALUE"""),"none")</f>
        <v/>
      </c>
    </row>
    <row r="288">
      <c r="D288">
        <f>IFERROR(__xludf.DUMMYFUNCTION("""COMPUTED_VALUE"""),"___")</f>
        <v/>
      </c>
      <c r="E288">
        <f>IFERROR(__xludf.DUMMYFUNCTION("""COMPUTED_VALUE"""),"none")</f>
        <v/>
      </c>
      <c r="F288">
        <f>IFERROR(__xludf.DUMMYFUNCTION("""COMPUTED_VALUE"""),"none")</f>
        <v/>
      </c>
      <c r="G288">
        <f>IFERROR(__xludf.DUMMYFUNCTION("""COMPUTED_VALUE"""),"none")</f>
        <v/>
      </c>
      <c r="I288">
        <f>IFERROR(__xludf.DUMMYFUNCTION("""COMPUTED_VALUE"""),"none")</f>
        <v/>
      </c>
      <c r="T288">
        <f>IFERROR(__xludf.DUMMYFUNCTION("""COMPUTED_VALUE"""),"none")</f>
        <v/>
      </c>
      <c r="U288">
        <f>IFERROR(__xludf.DUMMYFUNCTION("""COMPUTED_VALUE"""),"none")</f>
        <v/>
      </c>
      <c r="W288">
        <f>IFERROR(__xludf.DUMMYFUNCTION("""COMPUTED_VALUE"""),"none")</f>
        <v/>
      </c>
      <c r="X288">
        <f>IFERROR(__xludf.DUMMYFUNCTION("""COMPUTED_VALUE"""),"none")</f>
        <v/>
      </c>
      <c r="Z288">
        <f>IFERROR(__xludf.DUMMYFUNCTION("""COMPUTED_VALUE"""),"-")</f>
        <v/>
      </c>
      <c r="AB288">
        <f>IFERROR(__xludf.DUMMYFUNCTION("""COMPUTED_VALUE"""),"none")</f>
        <v/>
      </c>
    </row>
    <row r="289">
      <c r="D289">
        <f>IFERROR(__xludf.DUMMYFUNCTION("""COMPUTED_VALUE"""),"___")</f>
        <v/>
      </c>
      <c r="E289">
        <f>IFERROR(__xludf.DUMMYFUNCTION("""COMPUTED_VALUE"""),"none")</f>
        <v/>
      </c>
      <c r="F289">
        <f>IFERROR(__xludf.DUMMYFUNCTION("""COMPUTED_VALUE"""),"none")</f>
        <v/>
      </c>
      <c r="G289">
        <f>IFERROR(__xludf.DUMMYFUNCTION("""COMPUTED_VALUE"""),"none")</f>
        <v/>
      </c>
      <c r="I289">
        <f>IFERROR(__xludf.DUMMYFUNCTION("""COMPUTED_VALUE"""),"none")</f>
        <v/>
      </c>
      <c r="T289">
        <f>IFERROR(__xludf.DUMMYFUNCTION("""COMPUTED_VALUE"""),"none")</f>
        <v/>
      </c>
      <c r="U289">
        <f>IFERROR(__xludf.DUMMYFUNCTION("""COMPUTED_VALUE"""),"none")</f>
        <v/>
      </c>
      <c r="W289">
        <f>IFERROR(__xludf.DUMMYFUNCTION("""COMPUTED_VALUE"""),"none")</f>
        <v/>
      </c>
      <c r="X289">
        <f>IFERROR(__xludf.DUMMYFUNCTION("""COMPUTED_VALUE"""),"none")</f>
        <v/>
      </c>
      <c r="Z289">
        <f>IFERROR(__xludf.DUMMYFUNCTION("""COMPUTED_VALUE"""),"-")</f>
        <v/>
      </c>
      <c r="AB289">
        <f>IFERROR(__xludf.DUMMYFUNCTION("""COMPUTED_VALUE"""),"none")</f>
        <v/>
      </c>
    </row>
    <row r="290">
      <c r="D290">
        <f>IFERROR(__xludf.DUMMYFUNCTION("""COMPUTED_VALUE"""),"___")</f>
        <v/>
      </c>
      <c r="E290">
        <f>IFERROR(__xludf.DUMMYFUNCTION("""COMPUTED_VALUE"""),"none")</f>
        <v/>
      </c>
      <c r="F290">
        <f>IFERROR(__xludf.DUMMYFUNCTION("""COMPUTED_VALUE"""),"none")</f>
        <v/>
      </c>
      <c r="G290">
        <f>IFERROR(__xludf.DUMMYFUNCTION("""COMPUTED_VALUE"""),"none")</f>
        <v/>
      </c>
      <c r="I290">
        <f>IFERROR(__xludf.DUMMYFUNCTION("""COMPUTED_VALUE"""),"none")</f>
        <v/>
      </c>
      <c r="T290">
        <f>IFERROR(__xludf.DUMMYFUNCTION("""COMPUTED_VALUE"""),"none")</f>
        <v/>
      </c>
      <c r="U290">
        <f>IFERROR(__xludf.DUMMYFUNCTION("""COMPUTED_VALUE"""),"none")</f>
        <v/>
      </c>
      <c r="W290">
        <f>IFERROR(__xludf.DUMMYFUNCTION("""COMPUTED_VALUE"""),"none")</f>
        <v/>
      </c>
      <c r="X290">
        <f>IFERROR(__xludf.DUMMYFUNCTION("""COMPUTED_VALUE"""),"none")</f>
        <v/>
      </c>
      <c r="Z290">
        <f>IFERROR(__xludf.DUMMYFUNCTION("""COMPUTED_VALUE"""),"-")</f>
        <v/>
      </c>
      <c r="AB290">
        <f>IFERROR(__xludf.DUMMYFUNCTION("""COMPUTED_VALUE"""),"none")</f>
        <v/>
      </c>
    </row>
    <row r="291">
      <c r="B291">
        <f>IFERROR(__xludf.DUMMYFUNCTION("""COMPUTED_VALUE"""),"chara_you_00001")</f>
        <v/>
      </c>
      <c r="C291">
        <f>IFERROR(__xludf.DUMMYFUNCTION("""COMPUTED_VALUE"""),"_you1_1d1c")</f>
        <v/>
      </c>
      <c r="D291">
        <f>IFERROR(__xludf.DUMMYFUNCTION("""COMPUTED_VALUE"""),"c_you_00001_you1_1d1c_Normal_Colorless")</f>
        <v/>
      </c>
      <c r="E291">
        <f>IFERROR(__xludf.DUMMYFUNCTION("""COMPUTED_VALUE"""),"幼稚園WARS")</f>
        <v/>
      </c>
      <c r="F291">
        <f>IFERROR(__xludf.DUMMYFUNCTION("""COMPUTED_VALUE"""),"元殺し屋の新人教諭 リタ")</f>
        <v/>
      </c>
      <c r="G291">
        <f>IFERROR(__xludf.DUMMYFUNCTION("""COMPUTED_VALUE"""),"リタ_you1_1d1c")</f>
        <v/>
      </c>
      <c r="H291">
        <f>IFERROR(__xludf.DUMMYFUNCTION("""COMPUTED_VALUE"""),"Normal")</f>
        <v/>
      </c>
      <c r="I291">
        <f>IFERROR(__xludf.DUMMYFUNCTION("""COMPUTED_VALUE"""),"Attack")</f>
        <v/>
      </c>
      <c r="J291">
        <f>IFERROR(__xludf.DUMMYFUNCTION("""COMPUTED_VALUE"""),"Colorless")</f>
        <v/>
      </c>
      <c r="K291">
        <f>IFERROR(__xludf.DUMMYFUNCTION("""COMPUTED_VALUE"""),10000.0)</f>
        <v/>
      </c>
      <c r="L291">
        <f>IFERROR(__xludf.DUMMYFUNCTION("""COMPUTED_VALUE"""),2.0)</f>
        <v/>
      </c>
      <c r="M291">
        <f>IFERROR(__xludf.DUMMYFUNCTION("""COMPUTED_VALUE"""),45.0)</f>
        <v/>
      </c>
      <c r="N291">
        <f>IFERROR(__xludf.DUMMYFUNCTION("""COMPUTED_VALUE"""),0.34)</f>
        <v/>
      </c>
      <c r="O291">
        <f>IFERROR(__xludf.DUMMYFUNCTION("""COMPUTED_VALUE"""),100.0)</f>
        <v/>
      </c>
      <c r="P291">
        <f>IFERROR(__xludf.DUMMYFUNCTION("""COMPUTED_VALUE"""),0.0)</f>
        <v/>
      </c>
      <c r="Q291">
        <f>IFERROR(__xludf.DUMMYFUNCTION("""COMPUTED_VALUE"""),0.35)</f>
        <v/>
      </c>
      <c r="R291">
        <f>IFERROR(__xludf.DUMMYFUNCTION("""COMPUTED_VALUE"""),1.0)</f>
        <v/>
      </c>
      <c r="S291">
        <f>IFERROR(__xludf.DUMMYFUNCTION("""COMPUTED_VALUE"""),300.0)</f>
        <v/>
      </c>
      <c r="T291">
        <f>IFERROR(__xludf.DUMMYFUNCTION("""COMPUTED_VALUE"""),"1.34")</f>
        <v/>
      </c>
      <c r="U291">
        <f>IFERROR(__xludf.DUMMYFUNCTION("""COMPUTED_VALUE"""),"stop有:1回目 0.45")</f>
        <v/>
      </c>
      <c r="V291">
        <f>IFERROR(__xludf.DUMMYFUNCTION("""COMPUTED_VALUE"""),50.0)</f>
        <v/>
      </c>
      <c r="W291">
        <f>IFERROR(__xludf.DUMMYFUNCTION("""COMPUTED_VALUE"""),"1.77")</f>
        <v/>
      </c>
      <c r="X291">
        <f>IFERROR(__xludf.DUMMYFUNCTION("""COMPUTED_VALUE"""),"stop無:1回目 0.72
stop無:2回目 0.88
stop有:3回目 1.12")</f>
        <v/>
      </c>
      <c r="Y291">
        <f>IFERROR(__xludf.DUMMYFUNCTION("""COMPUTED_VALUE"""),"複数体に300%の攻撃")</f>
        <v/>
      </c>
      <c r="Z291">
        <f>IFERROR(__xludf.DUMMYFUNCTION("""COMPUTED_VALUE"""),5.0)</f>
        <v/>
      </c>
      <c r="AB291">
        <f>IFERROR(__xludf.DUMMYFUNCTION("""COMPUTED_VALUE"""),"dageki_1")</f>
        <v/>
      </c>
    </row>
    <row r="292">
      <c r="B292">
        <f>IFERROR(__xludf.DUMMYFUNCTION("""COMPUTED_VALUE"""),"chara_you_00001")</f>
        <v/>
      </c>
      <c r="C292">
        <f>IFERROR(__xludf.DUMMYFUNCTION("""COMPUTED_VALUE"""),"_you1_charaget01")</f>
        <v/>
      </c>
      <c r="D292">
        <f>IFERROR(__xludf.DUMMYFUNCTION("""COMPUTED_VALUE"""),"c_you_00001_you1_charaget01_Boss_Colorless")</f>
        <v/>
      </c>
      <c r="E292">
        <f>IFERROR(__xludf.DUMMYFUNCTION("""COMPUTED_VALUE"""),"幼稚園WARS")</f>
        <v/>
      </c>
      <c r="F292">
        <f>IFERROR(__xludf.DUMMYFUNCTION("""COMPUTED_VALUE"""),"元殺し屋の新人教諭 リタ")</f>
        <v/>
      </c>
      <c r="G292">
        <f>IFERROR(__xludf.DUMMYFUNCTION("""COMPUTED_VALUE"""),"リタ_you1_charaget01")</f>
        <v/>
      </c>
      <c r="H292">
        <f>IFERROR(__xludf.DUMMYFUNCTION("""COMPUTED_VALUE"""),"Boss")</f>
        <v/>
      </c>
      <c r="I292">
        <f>IFERROR(__xludf.DUMMYFUNCTION("""COMPUTED_VALUE"""),"Attack")</f>
        <v/>
      </c>
      <c r="J292">
        <f>IFERROR(__xludf.DUMMYFUNCTION("""COMPUTED_VALUE"""),"Colorless")</f>
        <v/>
      </c>
      <c r="K292">
        <f>IFERROR(__xludf.DUMMYFUNCTION("""COMPUTED_VALUE"""),10000.0)</f>
        <v/>
      </c>
      <c r="L292">
        <f>IFERROR(__xludf.DUMMYFUNCTION("""COMPUTED_VALUE"""),2.0)</f>
        <v/>
      </c>
      <c r="M292">
        <f>IFERROR(__xludf.DUMMYFUNCTION("""COMPUTED_VALUE"""),45.0)</f>
        <v/>
      </c>
      <c r="N292">
        <f>IFERROR(__xludf.DUMMYFUNCTION("""COMPUTED_VALUE"""),0.34)</f>
        <v/>
      </c>
      <c r="O292">
        <f>IFERROR(__xludf.DUMMYFUNCTION("""COMPUTED_VALUE"""),100.0)</f>
        <v/>
      </c>
      <c r="P292">
        <f>IFERROR(__xludf.DUMMYFUNCTION("""COMPUTED_VALUE"""),0.0)</f>
        <v/>
      </c>
      <c r="Q292">
        <f>IFERROR(__xludf.DUMMYFUNCTION("""COMPUTED_VALUE"""),0.35)</f>
        <v/>
      </c>
      <c r="R292">
        <f>IFERROR(__xludf.DUMMYFUNCTION("""COMPUTED_VALUE"""),1.0)</f>
        <v/>
      </c>
      <c r="S292">
        <f>IFERROR(__xludf.DUMMYFUNCTION("""COMPUTED_VALUE"""),300.0)</f>
        <v/>
      </c>
      <c r="T292">
        <f>IFERROR(__xludf.DUMMYFUNCTION("""COMPUTED_VALUE"""),"1.34")</f>
        <v/>
      </c>
      <c r="U292">
        <f>IFERROR(__xludf.DUMMYFUNCTION("""COMPUTED_VALUE"""),"stop有:1回目 0.45")</f>
        <v/>
      </c>
      <c r="V292">
        <f>IFERROR(__xludf.DUMMYFUNCTION("""COMPUTED_VALUE"""),50.0)</f>
        <v/>
      </c>
      <c r="W292">
        <f>IFERROR(__xludf.DUMMYFUNCTION("""COMPUTED_VALUE"""),"1.77")</f>
        <v/>
      </c>
      <c r="X292">
        <f>IFERROR(__xludf.DUMMYFUNCTION("""COMPUTED_VALUE"""),"stop無:1回目 0.72
stop無:2回目 0.88
stop有:3回目 1.12")</f>
        <v/>
      </c>
      <c r="Y292">
        <f>IFERROR(__xludf.DUMMYFUNCTION("""COMPUTED_VALUE"""),"複数体に300%の攻撃")</f>
        <v/>
      </c>
      <c r="Z292">
        <f>IFERROR(__xludf.DUMMYFUNCTION("""COMPUTED_VALUE"""),5.0)</f>
        <v/>
      </c>
      <c r="AB292">
        <f>IFERROR(__xludf.DUMMYFUNCTION("""COMPUTED_VALUE"""),"dageki_1")</f>
        <v/>
      </c>
    </row>
    <row r="293">
      <c r="B293">
        <f>IFERROR(__xludf.DUMMYFUNCTION("""COMPUTED_VALUE"""),"chara_you_00201")</f>
        <v/>
      </c>
      <c r="C293">
        <f>IFERROR(__xludf.DUMMYFUNCTION("""COMPUTED_VALUE"""),"_you1_charaget01")</f>
        <v/>
      </c>
      <c r="D293">
        <f>IFERROR(__xludf.DUMMYFUNCTION("""COMPUTED_VALUE"""),"c_you_00201_you1_charaget01_Boss_Yellow")</f>
        <v/>
      </c>
      <c r="E293">
        <f>IFERROR(__xludf.DUMMYFUNCTION("""COMPUTED_VALUE"""),"幼稚園WARS")</f>
        <v/>
      </c>
      <c r="F293">
        <f>IFERROR(__xludf.DUMMYFUNCTION("""COMPUTED_VALUE"""),"ダグ")</f>
        <v/>
      </c>
      <c r="G293">
        <f>IFERROR(__xludf.DUMMYFUNCTION("""COMPUTED_VALUE"""),"ダグ_you1_charaget01")</f>
        <v/>
      </c>
      <c r="H293">
        <f>IFERROR(__xludf.DUMMYFUNCTION("""COMPUTED_VALUE"""),"Boss")</f>
        <v/>
      </c>
      <c r="I293">
        <f>IFERROR(__xludf.DUMMYFUNCTION("""COMPUTED_VALUE"""),"Technical")</f>
        <v/>
      </c>
      <c r="J293">
        <f>IFERROR(__xludf.DUMMYFUNCTION("""COMPUTED_VALUE"""),"Yellow")</f>
        <v/>
      </c>
      <c r="K293">
        <f>IFERROR(__xludf.DUMMYFUNCTION("""COMPUTED_VALUE"""),10000.0)</f>
        <v/>
      </c>
      <c r="L293">
        <f>IFERROR(__xludf.DUMMYFUNCTION("""COMPUTED_VALUE"""),1.0)</f>
        <v/>
      </c>
      <c r="M293">
        <f>IFERROR(__xludf.DUMMYFUNCTION("""COMPUTED_VALUE"""),35.0)</f>
        <v/>
      </c>
      <c r="N293">
        <f>IFERROR(__xludf.DUMMYFUNCTION("""COMPUTED_VALUE"""),0.36)</f>
        <v/>
      </c>
      <c r="O293">
        <f>IFERROR(__xludf.DUMMYFUNCTION("""COMPUTED_VALUE"""),100.0)</f>
        <v/>
      </c>
      <c r="P293">
        <f>IFERROR(__xludf.DUMMYFUNCTION("""COMPUTED_VALUE"""),0.0)</f>
        <v/>
      </c>
      <c r="Q293">
        <f>IFERROR(__xludf.DUMMYFUNCTION("""COMPUTED_VALUE"""),0.37)</f>
        <v/>
      </c>
      <c r="R293">
        <f>IFERROR(__xludf.DUMMYFUNCTION("""COMPUTED_VALUE"""),1.0)</f>
        <v/>
      </c>
      <c r="S293">
        <f>IFERROR(__xludf.DUMMYFUNCTION("""COMPUTED_VALUE"""),500.0)</f>
        <v/>
      </c>
      <c r="T293">
        <f>IFERROR(__xludf.DUMMYFUNCTION("""COMPUTED_VALUE"""),"1.67")</f>
        <v/>
      </c>
      <c r="U293">
        <f>IFERROR(__xludf.DUMMYFUNCTION("""COMPUTED_VALUE"""),"stop有:1回目 0.63")</f>
        <v/>
      </c>
      <c r="V293">
        <f>IFERROR(__xludf.DUMMYFUNCTION("""COMPUTED_VALUE"""),50.0)</f>
        <v/>
      </c>
      <c r="W293">
        <f>IFERROR(__xludf.DUMMYFUNCTION("""COMPUTED_VALUE"""),"3.17")</f>
        <v/>
      </c>
      <c r="X293">
        <f>IFERROR(__xludf.DUMMYFUNCTION("""COMPUTED_VALUE"""),"stop無:1回目 1.00
stop無:2回目 1.26
stop無:3回目 1.50
stop有:4回目 1.70")</f>
        <v/>
      </c>
      <c r="Y293">
        <f>IFERROR(__xludf.DUMMYFUNCTION("""COMPUTED_VALUE"""),"スタン")</f>
        <v/>
      </c>
      <c r="Z293">
        <f>IFERROR(__xludf.DUMMYFUNCTION("""COMPUTED_VALUE"""),4.0)</f>
        <v/>
      </c>
      <c r="AB293">
        <f>IFERROR(__xludf.DUMMYFUNCTION("""COMPUTED_VALUE"""),"shageki_1")</f>
        <v/>
      </c>
    </row>
    <row r="294">
      <c r="B294">
        <f>IFERROR(__xludf.DUMMYFUNCTION("""COMPUTED_VALUE"""),"enemy_you_00001")</f>
        <v/>
      </c>
      <c r="C294">
        <f>IFERROR(__xludf.DUMMYFUNCTION("""COMPUTED_VALUE"""),"_you1_charaget01")</f>
        <v/>
      </c>
      <c r="D294">
        <f>IFERROR(__xludf.DUMMYFUNCTION("""COMPUTED_VALUE"""),"e_you_00001_you1_charaget01_Normal_Colorless")</f>
        <v/>
      </c>
      <c r="E294">
        <f>IFERROR(__xludf.DUMMYFUNCTION("""COMPUTED_VALUE"""),"幼稚園WARS")</f>
        <v/>
      </c>
      <c r="F294">
        <f>IFERROR(__xludf.DUMMYFUNCTION("""COMPUTED_VALUE"""),"不良系金髪イケメン")</f>
        <v/>
      </c>
      <c r="G294">
        <f>IFERROR(__xludf.DUMMYFUNCTION("""COMPUTED_VALUE"""),"暗殺者（近）_you1_charaget01")</f>
        <v/>
      </c>
      <c r="H294">
        <f>IFERROR(__xludf.DUMMYFUNCTION("""COMPUTED_VALUE"""),"Normal")</f>
        <v/>
      </c>
      <c r="I294">
        <f>IFERROR(__xludf.DUMMYFUNCTION("""COMPUTED_VALUE"""),"Attack")</f>
        <v/>
      </c>
      <c r="J294">
        <f>IFERROR(__xludf.DUMMYFUNCTION("""COMPUTED_VALUE"""),"Colorless")</f>
        <v/>
      </c>
      <c r="K294">
        <f>IFERROR(__xludf.DUMMYFUNCTION("""COMPUTED_VALUE"""),1000.0)</f>
        <v/>
      </c>
      <c r="L294">
        <f>IFERROR(__xludf.DUMMYFUNCTION("""COMPUTED_VALUE"""),2.0)</f>
        <v/>
      </c>
      <c r="M294">
        <f>IFERROR(__xludf.DUMMYFUNCTION("""COMPUTED_VALUE"""),37.0)</f>
        <v/>
      </c>
      <c r="N294">
        <f>IFERROR(__xludf.DUMMYFUNCTION("""COMPUTED_VALUE"""),0.2)</f>
        <v/>
      </c>
      <c r="O294">
        <f>IFERROR(__xludf.DUMMYFUNCTION("""COMPUTED_VALUE"""),100.0)</f>
        <v/>
      </c>
      <c r="P294">
        <f>IFERROR(__xludf.DUMMYFUNCTION("""COMPUTED_VALUE"""),0.0)</f>
        <v/>
      </c>
      <c r="Q294">
        <f>IFERROR(__xludf.DUMMYFUNCTION("""COMPUTED_VALUE"""),0.22)</f>
        <v/>
      </c>
      <c r="R294">
        <f>IFERROR(__xludf.DUMMYFUNCTION("""COMPUTED_VALUE"""),1.0)</f>
        <v/>
      </c>
      <c r="S294">
        <f>IFERROR(__xludf.DUMMYFUNCTION("""COMPUTED_VALUE"""),100.0)</f>
        <v/>
      </c>
      <c r="T294">
        <f>IFERROR(__xludf.DUMMYFUNCTION("""COMPUTED_VALUE"""),"1.27")</f>
        <v/>
      </c>
      <c r="U294">
        <f>IFERROR(__xludf.DUMMYFUNCTION("""COMPUTED_VALUE"""),"stop有0.5")</f>
        <v/>
      </c>
      <c r="V294">
        <f>IFERROR(__xludf.DUMMYFUNCTION("""COMPUTED_VALUE"""),70.0)</f>
        <v/>
      </c>
      <c r="W294">
        <f>IFERROR(__xludf.DUMMYFUNCTION("""COMPUTED_VALUE"""),"-")</f>
        <v/>
      </c>
      <c r="X294">
        <f>IFERROR(__xludf.DUMMYFUNCTION("""COMPUTED_VALUE"""),"-")</f>
        <v/>
      </c>
      <c r="Z294">
        <f>IFERROR(__xludf.DUMMYFUNCTION("""COMPUTED_VALUE"""),"-")</f>
        <v/>
      </c>
      <c r="AB294">
        <f>IFERROR(__xludf.DUMMYFUNCTION("""COMPUTED_VALUE"""),"zangeki_1")</f>
        <v/>
      </c>
    </row>
    <row r="295">
      <c r="B295">
        <f>IFERROR(__xludf.DUMMYFUNCTION("""COMPUTED_VALUE"""),"enemy_you_00101")</f>
        <v/>
      </c>
      <c r="C295">
        <f>IFERROR(__xludf.DUMMYFUNCTION("""COMPUTED_VALUE"""),"_you1_charaget01")</f>
        <v/>
      </c>
      <c r="D295">
        <f>IFERROR(__xludf.DUMMYFUNCTION("""COMPUTED_VALUE"""),"e_you_00101_you1_charaget01_Normal_Yellow")</f>
        <v/>
      </c>
      <c r="E295">
        <f>IFERROR(__xludf.DUMMYFUNCTION("""COMPUTED_VALUE"""),"幼稚園WARS")</f>
        <v/>
      </c>
      <c r="F295">
        <f>IFERROR(__xludf.DUMMYFUNCTION("""COMPUTED_VALUE"""),"イケメンじゃない殺し屋")</f>
        <v/>
      </c>
      <c r="G295">
        <f>IFERROR(__xludf.DUMMYFUNCTION("""COMPUTED_VALUE"""),"暗殺者（遠）_you1_charaget01")</f>
        <v/>
      </c>
      <c r="H295">
        <f>IFERROR(__xludf.DUMMYFUNCTION("""COMPUTED_VALUE"""),"Normal")</f>
        <v/>
      </c>
      <c r="I295">
        <f>IFERROR(__xludf.DUMMYFUNCTION("""COMPUTED_VALUE"""),"Attack")</f>
        <v/>
      </c>
      <c r="J295">
        <f>IFERROR(__xludf.DUMMYFUNCTION("""COMPUTED_VALUE"""),"Yellow")</f>
        <v/>
      </c>
      <c r="K295">
        <f>IFERROR(__xludf.DUMMYFUNCTION("""COMPUTED_VALUE"""),1000.0)</f>
        <v/>
      </c>
      <c r="L295">
        <f>IFERROR(__xludf.DUMMYFUNCTION("""COMPUTED_VALUE"""),2.0)</f>
        <v/>
      </c>
      <c r="M295">
        <f>IFERROR(__xludf.DUMMYFUNCTION("""COMPUTED_VALUE"""),30.0)</f>
        <v/>
      </c>
      <c r="N295">
        <f>IFERROR(__xludf.DUMMYFUNCTION("""COMPUTED_VALUE"""),0.6)</f>
        <v/>
      </c>
      <c r="O295">
        <f>IFERROR(__xludf.DUMMYFUNCTION("""COMPUTED_VALUE"""),100.0)</f>
        <v/>
      </c>
      <c r="P295">
        <f>IFERROR(__xludf.DUMMYFUNCTION("""COMPUTED_VALUE"""),0.0)</f>
        <v/>
      </c>
      <c r="Q295">
        <f>IFERROR(__xludf.DUMMYFUNCTION("""COMPUTED_VALUE"""),0.62)</f>
        <v/>
      </c>
      <c r="R295">
        <f>IFERROR(__xludf.DUMMYFUNCTION("""COMPUTED_VALUE"""),1.0)</f>
        <v/>
      </c>
      <c r="S295">
        <f>IFERROR(__xludf.DUMMYFUNCTION("""COMPUTED_VALUE"""),100.0)</f>
        <v/>
      </c>
      <c r="T295">
        <f>IFERROR(__xludf.DUMMYFUNCTION("""COMPUTED_VALUE"""),"1.27")</f>
        <v/>
      </c>
      <c r="U295">
        <f>IFERROR(__xludf.DUMMYFUNCTION("""COMPUTED_VALUE"""),"0.56")</f>
        <v/>
      </c>
      <c r="V295">
        <f>IFERROR(__xludf.DUMMYFUNCTION("""COMPUTED_VALUE"""),70.0)</f>
        <v/>
      </c>
      <c r="W295">
        <f>IFERROR(__xludf.DUMMYFUNCTION("""COMPUTED_VALUE"""),"-")</f>
        <v/>
      </c>
      <c r="X295">
        <f>IFERROR(__xludf.DUMMYFUNCTION("""COMPUTED_VALUE"""),"-")</f>
        <v/>
      </c>
      <c r="Z295">
        <f>IFERROR(__xludf.DUMMYFUNCTION("""COMPUTED_VALUE"""),"-")</f>
        <v/>
      </c>
      <c r="AB295">
        <f>IFERROR(__xludf.DUMMYFUNCTION("""COMPUTED_VALUE"""),"shageki_1")</f>
        <v/>
      </c>
    </row>
    <row r="296">
      <c r="B296">
        <f>IFERROR(__xludf.DUMMYFUNCTION("""COMPUTED_VALUE"""),"chara_you_00001")</f>
        <v/>
      </c>
      <c r="C296">
        <f>IFERROR(__xludf.DUMMYFUNCTION("""COMPUTED_VALUE"""),"_you1_charaget02")</f>
        <v/>
      </c>
      <c r="D296">
        <f>IFERROR(__xludf.DUMMYFUNCTION("""COMPUTED_VALUE"""),"c_you_00001_you1_charaget02_Boss_Red")</f>
        <v/>
      </c>
      <c r="E296">
        <f>IFERROR(__xludf.DUMMYFUNCTION("""COMPUTED_VALUE"""),"幼稚園WARS")</f>
        <v/>
      </c>
      <c r="F296">
        <f>IFERROR(__xludf.DUMMYFUNCTION("""COMPUTED_VALUE"""),"元殺し屋の新人教諭 リタ")</f>
        <v/>
      </c>
      <c r="G296">
        <f>IFERROR(__xludf.DUMMYFUNCTION("""COMPUTED_VALUE"""),"リタ_you1_charaget02")</f>
        <v/>
      </c>
      <c r="H296">
        <f>IFERROR(__xludf.DUMMYFUNCTION("""COMPUTED_VALUE"""),"Boss")</f>
        <v/>
      </c>
      <c r="I296">
        <f>IFERROR(__xludf.DUMMYFUNCTION("""COMPUTED_VALUE"""),"Attack")</f>
        <v/>
      </c>
      <c r="J296">
        <f>IFERROR(__xludf.DUMMYFUNCTION("""COMPUTED_VALUE"""),"Red")</f>
        <v/>
      </c>
      <c r="K296">
        <f>IFERROR(__xludf.DUMMYFUNCTION("""COMPUTED_VALUE"""),10000.0)</f>
        <v/>
      </c>
      <c r="L296">
        <f>IFERROR(__xludf.DUMMYFUNCTION("""COMPUTED_VALUE"""),0.0)</f>
        <v/>
      </c>
      <c r="M296">
        <f>IFERROR(__xludf.DUMMYFUNCTION("""COMPUTED_VALUE"""),45.0)</f>
        <v/>
      </c>
      <c r="N296">
        <f>IFERROR(__xludf.DUMMYFUNCTION("""COMPUTED_VALUE"""),0.2)</f>
        <v/>
      </c>
      <c r="O296">
        <f>IFERROR(__xludf.DUMMYFUNCTION("""COMPUTED_VALUE"""),500.0)</f>
        <v/>
      </c>
      <c r="P296">
        <f>IFERROR(__xludf.DUMMYFUNCTION("""COMPUTED_VALUE"""),0.0)</f>
        <v/>
      </c>
      <c r="Q296">
        <f>IFERROR(__xludf.DUMMYFUNCTION("""COMPUTED_VALUE"""),0.22)</f>
        <v/>
      </c>
      <c r="R296">
        <f>IFERROR(__xludf.DUMMYFUNCTION("""COMPUTED_VALUE"""),1.0)</f>
        <v/>
      </c>
      <c r="S296">
        <f>IFERROR(__xludf.DUMMYFUNCTION("""COMPUTED_VALUE"""),300.0)</f>
        <v/>
      </c>
      <c r="T296">
        <f>IFERROR(__xludf.DUMMYFUNCTION("""COMPUTED_VALUE"""),"1.34")</f>
        <v/>
      </c>
      <c r="U296">
        <f>IFERROR(__xludf.DUMMYFUNCTION("""COMPUTED_VALUE"""),"stop有:1回目 0.45")</f>
        <v/>
      </c>
      <c r="V296">
        <f>IFERROR(__xludf.DUMMYFUNCTION("""COMPUTED_VALUE"""),10.0)</f>
        <v/>
      </c>
      <c r="W296">
        <f>IFERROR(__xludf.DUMMYFUNCTION("""COMPUTED_VALUE"""),"1.77")</f>
        <v/>
      </c>
      <c r="X296">
        <f>IFERROR(__xludf.DUMMYFUNCTION("""COMPUTED_VALUE"""),"stop無:1回目 0.72
stop無:2回目 0.88
stop有:3回目 1.12")</f>
        <v/>
      </c>
      <c r="Y296">
        <f>IFERROR(__xludf.DUMMYFUNCTION("""COMPUTED_VALUE"""),"特殊効果なし")</f>
        <v/>
      </c>
      <c r="Z296">
        <f>IFERROR(__xludf.DUMMYFUNCTION("""COMPUTED_VALUE"""),5.0)</f>
        <v/>
      </c>
      <c r="AB296">
        <f>IFERROR(__xludf.DUMMYFUNCTION("""COMPUTED_VALUE"""),"dageki_1")</f>
        <v/>
      </c>
    </row>
    <row r="297">
      <c r="B297">
        <f>IFERROR(__xludf.DUMMYFUNCTION("""COMPUTED_VALUE"""),"chara_you_00201")</f>
        <v/>
      </c>
      <c r="C297">
        <f>IFERROR(__xludf.DUMMYFUNCTION("""COMPUTED_VALUE"""),"_you1_charaget02")</f>
        <v/>
      </c>
      <c r="D297">
        <f>IFERROR(__xludf.DUMMYFUNCTION("""COMPUTED_VALUE"""),"c_you_00201_you1_charaget02_Boss_Red")</f>
        <v/>
      </c>
      <c r="E297">
        <f>IFERROR(__xludf.DUMMYFUNCTION("""COMPUTED_VALUE"""),"幼稚園WARS")</f>
        <v/>
      </c>
      <c r="F297">
        <f>IFERROR(__xludf.DUMMYFUNCTION("""COMPUTED_VALUE"""),"ダグ")</f>
        <v/>
      </c>
      <c r="G297">
        <f>IFERROR(__xludf.DUMMYFUNCTION("""COMPUTED_VALUE"""),"ダグ_you1_charaget02")</f>
        <v/>
      </c>
      <c r="H297">
        <f>IFERROR(__xludf.DUMMYFUNCTION("""COMPUTED_VALUE"""),"Boss")</f>
        <v/>
      </c>
      <c r="I297">
        <f>IFERROR(__xludf.DUMMYFUNCTION("""COMPUTED_VALUE"""),"Attack")</f>
        <v/>
      </c>
      <c r="J297">
        <f>IFERROR(__xludf.DUMMYFUNCTION("""COMPUTED_VALUE"""),"Red")</f>
        <v/>
      </c>
      <c r="K297">
        <f>IFERROR(__xludf.DUMMYFUNCTION("""COMPUTED_VALUE"""),10000.0)</f>
        <v/>
      </c>
      <c r="L297">
        <f>IFERROR(__xludf.DUMMYFUNCTION("""COMPUTED_VALUE"""),2.0)</f>
        <v/>
      </c>
      <c r="M297">
        <f>IFERROR(__xludf.DUMMYFUNCTION("""COMPUTED_VALUE"""),32.0)</f>
        <v/>
      </c>
      <c r="N297">
        <f>IFERROR(__xludf.DUMMYFUNCTION("""COMPUTED_VALUE"""),0.6)</f>
        <v/>
      </c>
      <c r="O297">
        <f>IFERROR(__xludf.DUMMYFUNCTION("""COMPUTED_VALUE"""),500.0)</f>
        <v/>
      </c>
      <c r="P297">
        <f>IFERROR(__xludf.DUMMYFUNCTION("""COMPUTED_VALUE"""),0.0)</f>
        <v/>
      </c>
      <c r="Q297">
        <f>IFERROR(__xludf.DUMMYFUNCTION("""COMPUTED_VALUE"""),0.62)</f>
        <v/>
      </c>
      <c r="R297">
        <f>IFERROR(__xludf.DUMMYFUNCTION("""COMPUTED_VALUE"""),1.0)</f>
        <v/>
      </c>
      <c r="S297">
        <f>IFERROR(__xludf.DUMMYFUNCTION("""COMPUTED_VALUE"""),300.0)</f>
        <v/>
      </c>
      <c r="T297">
        <f>IFERROR(__xludf.DUMMYFUNCTION("""COMPUTED_VALUE"""),"1.67")</f>
        <v/>
      </c>
      <c r="U297">
        <f>IFERROR(__xludf.DUMMYFUNCTION("""COMPUTED_VALUE"""),"stop有:1回目 0.63")</f>
        <v/>
      </c>
      <c r="V297">
        <f>IFERROR(__xludf.DUMMYFUNCTION("""COMPUTED_VALUE"""),20.0)</f>
        <v/>
      </c>
      <c r="W297">
        <f>IFERROR(__xludf.DUMMYFUNCTION("""COMPUTED_VALUE"""),"3.17")</f>
        <v/>
      </c>
      <c r="X297">
        <f>IFERROR(__xludf.DUMMYFUNCTION("""COMPUTED_VALUE"""),"stop無:1回目 1.00
stop無:2回目 1.26
stop無:3回目 1.50
stop有:4回目 1.70")</f>
        <v/>
      </c>
      <c r="Y297">
        <f>IFERROR(__xludf.DUMMYFUNCTION("""COMPUTED_VALUE"""),"特殊効果なし")</f>
        <v/>
      </c>
      <c r="Z297">
        <f>IFERROR(__xludf.DUMMYFUNCTION("""COMPUTED_VALUE"""),6.0)</f>
        <v/>
      </c>
      <c r="AB297">
        <f>IFERROR(__xludf.DUMMYFUNCTION("""COMPUTED_VALUE"""),"shageki_1")</f>
        <v/>
      </c>
    </row>
    <row r="298">
      <c r="B298">
        <f>IFERROR(__xludf.DUMMYFUNCTION("""COMPUTED_VALUE"""),"chara_you_00301")</f>
        <v/>
      </c>
      <c r="C298">
        <f>IFERROR(__xludf.DUMMYFUNCTION("""COMPUTED_VALUE"""),"_you1_charaget02")</f>
        <v/>
      </c>
      <c r="D298">
        <f>IFERROR(__xludf.DUMMYFUNCTION("""COMPUTED_VALUE"""),"c_you_00301_you1_charaget02_Boss_Red")</f>
        <v/>
      </c>
      <c r="E298">
        <f>IFERROR(__xludf.DUMMYFUNCTION("""COMPUTED_VALUE"""),"幼稚園WARS")</f>
        <v/>
      </c>
      <c r="F298">
        <f>IFERROR(__xludf.DUMMYFUNCTION("""COMPUTED_VALUE"""),"ハナ")</f>
        <v/>
      </c>
      <c r="G298">
        <f>IFERROR(__xludf.DUMMYFUNCTION("""COMPUTED_VALUE"""),"ハナ_you1_charaget02")</f>
        <v/>
      </c>
      <c r="H298">
        <f>IFERROR(__xludf.DUMMYFUNCTION("""COMPUTED_VALUE"""),"Boss")</f>
        <v/>
      </c>
      <c r="I298">
        <f>IFERROR(__xludf.DUMMYFUNCTION("""COMPUTED_VALUE"""),"Technical")</f>
        <v/>
      </c>
      <c r="J298">
        <f>IFERROR(__xludf.DUMMYFUNCTION("""COMPUTED_VALUE"""),"Red")</f>
        <v/>
      </c>
      <c r="K298">
        <f>IFERROR(__xludf.DUMMYFUNCTION("""COMPUTED_VALUE"""),10000.0)</f>
        <v/>
      </c>
      <c r="L298">
        <f>IFERROR(__xludf.DUMMYFUNCTION("""COMPUTED_VALUE"""),2.0)</f>
        <v/>
      </c>
      <c r="M298">
        <f>IFERROR(__xludf.DUMMYFUNCTION("""COMPUTED_VALUE"""),35.0)</f>
        <v/>
      </c>
      <c r="N298">
        <f>IFERROR(__xludf.DUMMYFUNCTION("""COMPUTED_VALUE"""),0.3)</f>
        <v/>
      </c>
      <c r="O298">
        <f>IFERROR(__xludf.DUMMYFUNCTION("""COMPUTED_VALUE"""),500.0)</f>
        <v/>
      </c>
      <c r="P298">
        <f>IFERROR(__xludf.DUMMYFUNCTION("""COMPUTED_VALUE"""),0.0)</f>
        <v/>
      </c>
      <c r="Q298">
        <f>IFERROR(__xludf.DUMMYFUNCTION("""COMPUTED_VALUE"""),0.35)</f>
        <v/>
      </c>
      <c r="R298">
        <f>IFERROR(__xludf.DUMMYFUNCTION("""COMPUTED_VALUE"""),1.0)</f>
        <v/>
      </c>
      <c r="S298">
        <f>IFERROR(__xludf.DUMMYFUNCTION("""COMPUTED_VALUE"""),300.0)</f>
        <v/>
      </c>
      <c r="T298">
        <f>IFERROR(__xludf.DUMMYFUNCTION("""COMPUTED_VALUE"""),"1.77")</f>
        <v/>
      </c>
      <c r="U298">
        <f>IFERROR(__xludf.DUMMYFUNCTION("""COMPUTED_VALUE"""),"stop有:1回目 0.7")</f>
        <v/>
      </c>
      <c r="V298">
        <f>IFERROR(__xludf.DUMMYFUNCTION("""COMPUTED_VALUE"""),20.0)</f>
        <v/>
      </c>
      <c r="W298">
        <f>IFERROR(__xludf.DUMMYFUNCTION("""COMPUTED_VALUE"""),"3.67")</f>
        <v/>
      </c>
      <c r="X298">
        <f>IFERROR(__xludf.DUMMYFUNCTION("""COMPUTED_VALUE"""),"stop有 :1回目 2.2")</f>
        <v/>
      </c>
      <c r="Y298">
        <f>IFERROR(__xludf.DUMMYFUNCTION("""COMPUTED_VALUE"""),"範囲攻撃")</f>
        <v/>
      </c>
      <c r="Z298">
        <f>IFERROR(__xludf.DUMMYFUNCTION("""COMPUTED_VALUE"""),8.0)</f>
        <v/>
      </c>
      <c r="AB298">
        <f>IFERROR(__xludf.DUMMYFUNCTION("""COMPUTED_VALUE"""),"dageki_1")</f>
        <v/>
      </c>
      <c r="AC298">
        <f>IFERROR(__xludf.DUMMYFUNCTION("""COMPUTED_VALUE"""),"スタン")</f>
        <v/>
      </c>
    </row>
    <row r="299">
      <c r="B299">
        <f>IFERROR(__xludf.DUMMYFUNCTION("""COMPUTED_VALUE"""),"chara_you_00301")</f>
        <v/>
      </c>
      <c r="C299">
        <f>IFERROR(__xludf.DUMMYFUNCTION("""COMPUTED_VALUE"""),"_you1_charaget02")</f>
        <v/>
      </c>
      <c r="D299">
        <f>IFERROR(__xludf.DUMMYFUNCTION("""COMPUTED_VALUE"""),"c_you_00301_you1_charaget02_Normal_Red")</f>
        <v/>
      </c>
      <c r="E299">
        <f>IFERROR(__xludf.DUMMYFUNCTION("""COMPUTED_VALUE"""),"幼稚園WARS")</f>
        <v/>
      </c>
      <c r="F299">
        <f>IFERROR(__xludf.DUMMYFUNCTION("""COMPUTED_VALUE"""),"ハナ")</f>
        <v/>
      </c>
      <c r="G299">
        <f>IFERROR(__xludf.DUMMYFUNCTION("""COMPUTED_VALUE"""),"ハナ_you1_charaget02")</f>
        <v/>
      </c>
      <c r="H299">
        <f>IFERROR(__xludf.DUMMYFUNCTION("""COMPUTED_VALUE"""),"Normal")</f>
        <v/>
      </c>
      <c r="I299">
        <f>IFERROR(__xludf.DUMMYFUNCTION("""COMPUTED_VALUE"""),"Technical")</f>
        <v/>
      </c>
      <c r="J299">
        <f>IFERROR(__xludf.DUMMYFUNCTION("""COMPUTED_VALUE"""),"Red")</f>
        <v/>
      </c>
      <c r="K299">
        <f>IFERROR(__xludf.DUMMYFUNCTION("""COMPUTED_VALUE"""),1000.0)</f>
        <v/>
      </c>
      <c r="L299">
        <f>IFERROR(__xludf.DUMMYFUNCTION("""COMPUTED_VALUE"""),2.0)</f>
        <v/>
      </c>
      <c r="M299">
        <f>IFERROR(__xludf.DUMMYFUNCTION("""COMPUTED_VALUE"""),35.0)</f>
        <v/>
      </c>
      <c r="N299">
        <f>IFERROR(__xludf.DUMMYFUNCTION("""COMPUTED_VALUE"""),0.3)</f>
        <v/>
      </c>
      <c r="O299">
        <f>IFERROR(__xludf.DUMMYFUNCTION("""COMPUTED_VALUE"""),100.0)</f>
        <v/>
      </c>
      <c r="P299">
        <f>IFERROR(__xludf.DUMMYFUNCTION("""COMPUTED_VALUE"""),0.0)</f>
        <v/>
      </c>
      <c r="Q299">
        <f>IFERROR(__xludf.DUMMYFUNCTION("""COMPUTED_VALUE"""),0.35)</f>
        <v/>
      </c>
      <c r="R299">
        <f>IFERROR(__xludf.DUMMYFUNCTION("""COMPUTED_VALUE"""),1.0)</f>
        <v/>
      </c>
      <c r="S299">
        <f>IFERROR(__xludf.DUMMYFUNCTION("""COMPUTED_VALUE"""),100.0)</f>
        <v/>
      </c>
      <c r="T299">
        <f>IFERROR(__xludf.DUMMYFUNCTION("""COMPUTED_VALUE"""),"1.77")</f>
        <v/>
      </c>
      <c r="U299">
        <f>IFERROR(__xludf.DUMMYFUNCTION("""COMPUTED_VALUE"""),"stop有:1回目 0.7")</f>
        <v/>
      </c>
      <c r="V299">
        <f>IFERROR(__xludf.DUMMYFUNCTION("""COMPUTED_VALUE"""),20.0)</f>
        <v/>
      </c>
      <c r="W299">
        <f>IFERROR(__xludf.DUMMYFUNCTION("""COMPUTED_VALUE"""),"3.67")</f>
        <v/>
      </c>
      <c r="X299">
        <f>IFERROR(__xludf.DUMMYFUNCTION("""COMPUTED_VALUE"""),"stop有 :1回目 2.2")</f>
        <v/>
      </c>
      <c r="Z299">
        <f>IFERROR(__xludf.DUMMYFUNCTION("""COMPUTED_VALUE"""),"-")</f>
        <v/>
      </c>
      <c r="AB299">
        <f>IFERROR(__xludf.DUMMYFUNCTION("""COMPUTED_VALUE"""),"dageki_1")</f>
        <v/>
      </c>
      <c r="AC299">
        <f>IFERROR(__xludf.DUMMYFUNCTION("""COMPUTED_VALUE"""),"スタン")</f>
        <v/>
      </c>
    </row>
    <row r="300">
      <c r="B300">
        <f>IFERROR(__xludf.DUMMYFUNCTION("""COMPUTED_VALUE"""),"enemy_you_00001")</f>
        <v/>
      </c>
      <c r="C300">
        <f>IFERROR(__xludf.DUMMYFUNCTION("""COMPUTED_VALUE"""),"_you1_charaget02")</f>
        <v/>
      </c>
      <c r="D300">
        <f>IFERROR(__xludf.DUMMYFUNCTION("""COMPUTED_VALUE"""),"e_you_00001_you1_charaget02_Normal_Red")</f>
        <v/>
      </c>
      <c r="E300">
        <f>IFERROR(__xludf.DUMMYFUNCTION("""COMPUTED_VALUE"""),"幼稚園WARS")</f>
        <v/>
      </c>
      <c r="F300">
        <f>IFERROR(__xludf.DUMMYFUNCTION("""COMPUTED_VALUE"""),"不良系金髪イケメン")</f>
        <v/>
      </c>
      <c r="G300">
        <f>IFERROR(__xludf.DUMMYFUNCTION("""COMPUTED_VALUE"""),"暗殺者（近）_you1_charaget02")</f>
        <v/>
      </c>
      <c r="H300">
        <f>IFERROR(__xludf.DUMMYFUNCTION("""COMPUTED_VALUE"""),"Normal")</f>
        <v/>
      </c>
      <c r="I300">
        <f>IFERROR(__xludf.DUMMYFUNCTION("""COMPUTED_VALUE"""),"Defense")</f>
        <v/>
      </c>
      <c r="J300">
        <f>IFERROR(__xludf.DUMMYFUNCTION("""COMPUTED_VALUE"""),"Red")</f>
        <v/>
      </c>
      <c r="K300">
        <f>IFERROR(__xludf.DUMMYFUNCTION("""COMPUTED_VALUE"""),1000.0)</f>
        <v/>
      </c>
      <c r="L300">
        <f>IFERROR(__xludf.DUMMYFUNCTION("""COMPUTED_VALUE"""),1.0)</f>
        <v/>
      </c>
      <c r="M300">
        <f>IFERROR(__xludf.DUMMYFUNCTION("""COMPUTED_VALUE"""),37.0)</f>
        <v/>
      </c>
      <c r="N300">
        <f>IFERROR(__xludf.DUMMYFUNCTION("""COMPUTED_VALUE"""),0.2)</f>
        <v/>
      </c>
      <c r="O300">
        <f>IFERROR(__xludf.DUMMYFUNCTION("""COMPUTED_VALUE"""),100.0)</f>
        <v/>
      </c>
      <c r="P300">
        <f>IFERROR(__xludf.DUMMYFUNCTION("""COMPUTED_VALUE"""),0.0)</f>
        <v/>
      </c>
      <c r="Q300">
        <f>IFERROR(__xludf.DUMMYFUNCTION("""COMPUTED_VALUE"""),0.22)</f>
        <v/>
      </c>
      <c r="R300">
        <f>IFERROR(__xludf.DUMMYFUNCTION("""COMPUTED_VALUE"""),1.0)</f>
        <v/>
      </c>
      <c r="S300">
        <f>IFERROR(__xludf.DUMMYFUNCTION("""COMPUTED_VALUE"""),100.0)</f>
        <v/>
      </c>
      <c r="T300">
        <f>IFERROR(__xludf.DUMMYFUNCTION("""COMPUTED_VALUE"""),"1.27")</f>
        <v/>
      </c>
      <c r="U300">
        <f>IFERROR(__xludf.DUMMYFUNCTION("""COMPUTED_VALUE"""),"stop有0.5")</f>
        <v/>
      </c>
      <c r="V300">
        <f>IFERROR(__xludf.DUMMYFUNCTION("""COMPUTED_VALUE"""),20.0)</f>
        <v/>
      </c>
      <c r="W300">
        <f>IFERROR(__xludf.DUMMYFUNCTION("""COMPUTED_VALUE"""),"-")</f>
        <v/>
      </c>
      <c r="X300">
        <f>IFERROR(__xludf.DUMMYFUNCTION("""COMPUTED_VALUE"""),"-")</f>
        <v/>
      </c>
      <c r="Z300">
        <f>IFERROR(__xludf.DUMMYFUNCTION("""COMPUTED_VALUE"""),"-")</f>
        <v/>
      </c>
      <c r="AB300">
        <f>IFERROR(__xludf.DUMMYFUNCTION("""COMPUTED_VALUE"""),"zangeki_1")</f>
        <v/>
      </c>
    </row>
    <row r="301">
      <c r="B301">
        <f>IFERROR(__xludf.DUMMYFUNCTION("""COMPUTED_VALUE"""),"enemy_you_00101")</f>
        <v/>
      </c>
      <c r="C301">
        <f>IFERROR(__xludf.DUMMYFUNCTION("""COMPUTED_VALUE"""),"_you1_charaget02")</f>
        <v/>
      </c>
      <c r="D301">
        <f>IFERROR(__xludf.DUMMYFUNCTION("""COMPUTED_VALUE"""),"e_you_00101_you1_charaget02_Normal_Red")</f>
        <v/>
      </c>
      <c r="E301">
        <f>IFERROR(__xludf.DUMMYFUNCTION("""COMPUTED_VALUE"""),"幼稚園WARS")</f>
        <v/>
      </c>
      <c r="F301">
        <f>IFERROR(__xludf.DUMMYFUNCTION("""COMPUTED_VALUE"""),"イケメンじゃない殺し屋")</f>
        <v/>
      </c>
      <c r="G301">
        <f>IFERROR(__xludf.DUMMYFUNCTION("""COMPUTED_VALUE"""),"暗殺者（遠）_you1_charaget02")</f>
        <v/>
      </c>
      <c r="H301">
        <f>IFERROR(__xludf.DUMMYFUNCTION("""COMPUTED_VALUE"""),"Normal")</f>
        <v/>
      </c>
      <c r="I301">
        <f>IFERROR(__xludf.DUMMYFUNCTION("""COMPUTED_VALUE"""),"Attack")</f>
        <v/>
      </c>
      <c r="J301">
        <f>IFERROR(__xludf.DUMMYFUNCTION("""COMPUTED_VALUE"""),"Red")</f>
        <v/>
      </c>
      <c r="K301">
        <f>IFERROR(__xludf.DUMMYFUNCTION("""COMPUTED_VALUE"""),1000.0)</f>
        <v/>
      </c>
      <c r="L301">
        <f>IFERROR(__xludf.DUMMYFUNCTION("""COMPUTED_VALUE"""),2.0)</f>
        <v/>
      </c>
      <c r="M301">
        <f>IFERROR(__xludf.DUMMYFUNCTION("""COMPUTED_VALUE"""),30.0)</f>
        <v/>
      </c>
      <c r="N301">
        <f>IFERROR(__xludf.DUMMYFUNCTION("""COMPUTED_VALUE"""),0.6)</f>
        <v/>
      </c>
      <c r="O301">
        <f>IFERROR(__xludf.DUMMYFUNCTION("""COMPUTED_VALUE"""),100.0)</f>
        <v/>
      </c>
      <c r="P301">
        <f>IFERROR(__xludf.DUMMYFUNCTION("""COMPUTED_VALUE"""),0.0)</f>
        <v/>
      </c>
      <c r="Q301">
        <f>IFERROR(__xludf.DUMMYFUNCTION("""COMPUTED_VALUE"""),0.62)</f>
        <v/>
      </c>
      <c r="R301">
        <f>IFERROR(__xludf.DUMMYFUNCTION("""COMPUTED_VALUE"""),1.0)</f>
        <v/>
      </c>
      <c r="S301">
        <f>IFERROR(__xludf.DUMMYFUNCTION("""COMPUTED_VALUE"""),100.0)</f>
        <v/>
      </c>
      <c r="T301">
        <f>IFERROR(__xludf.DUMMYFUNCTION("""COMPUTED_VALUE"""),"1.27")</f>
        <v/>
      </c>
      <c r="U301">
        <f>IFERROR(__xludf.DUMMYFUNCTION("""COMPUTED_VALUE"""),"0.56")</f>
        <v/>
      </c>
      <c r="V301">
        <f>IFERROR(__xludf.DUMMYFUNCTION("""COMPUTED_VALUE"""),20.0)</f>
        <v/>
      </c>
      <c r="W301">
        <f>IFERROR(__xludf.DUMMYFUNCTION("""COMPUTED_VALUE"""),"-")</f>
        <v/>
      </c>
      <c r="X301">
        <f>IFERROR(__xludf.DUMMYFUNCTION("""COMPUTED_VALUE"""),"-")</f>
        <v/>
      </c>
      <c r="Z301">
        <f>IFERROR(__xludf.DUMMYFUNCTION("""COMPUTED_VALUE"""),"-")</f>
        <v/>
      </c>
      <c r="AB301">
        <f>IFERROR(__xludf.DUMMYFUNCTION("""COMPUTED_VALUE"""),"shageki_1")</f>
        <v/>
      </c>
    </row>
    <row r="302">
      <c r="B302">
        <f>IFERROR(__xludf.DUMMYFUNCTION("""COMPUTED_VALUE"""),"chara_you_00201")</f>
        <v/>
      </c>
      <c r="C302">
        <f>IFERROR(__xludf.DUMMYFUNCTION("""COMPUTED_VALUE"""),"_you1_savage01")</f>
        <v/>
      </c>
      <c r="D302">
        <f>IFERROR(__xludf.DUMMYFUNCTION("""COMPUTED_VALUE"""),"c_you_00201_you1_savage01_Boss_Green")</f>
        <v/>
      </c>
      <c r="E302">
        <f>IFERROR(__xludf.DUMMYFUNCTION("""COMPUTED_VALUE"""),"幼稚園WARS")</f>
        <v/>
      </c>
      <c r="F302">
        <f>IFERROR(__xludf.DUMMYFUNCTION("""COMPUTED_VALUE"""),"ダグ")</f>
        <v/>
      </c>
      <c r="G302">
        <f>IFERROR(__xludf.DUMMYFUNCTION("""COMPUTED_VALUE"""),"ダグ_you1_savage01")</f>
        <v/>
      </c>
      <c r="H302">
        <f>IFERROR(__xludf.DUMMYFUNCTION("""COMPUTED_VALUE"""),"Boss")</f>
        <v/>
      </c>
      <c r="I302">
        <f>IFERROR(__xludf.DUMMYFUNCTION("""COMPUTED_VALUE"""),"Attack")</f>
        <v/>
      </c>
      <c r="J302">
        <f>IFERROR(__xludf.DUMMYFUNCTION("""COMPUTED_VALUE"""),"Green")</f>
        <v/>
      </c>
      <c r="K302">
        <f>IFERROR(__xludf.DUMMYFUNCTION("""COMPUTED_VALUE"""),50000.0)</f>
        <v/>
      </c>
      <c r="L302">
        <f>IFERROR(__xludf.DUMMYFUNCTION("""COMPUTED_VALUE"""),2.0)</f>
        <v/>
      </c>
      <c r="M302">
        <f>IFERROR(__xludf.DUMMYFUNCTION("""COMPUTED_VALUE"""),32.0)</f>
        <v/>
      </c>
      <c r="N302">
        <f>IFERROR(__xludf.DUMMYFUNCTION("""COMPUTED_VALUE"""),0.6)</f>
        <v/>
      </c>
      <c r="O302">
        <f>IFERROR(__xludf.DUMMYFUNCTION("""COMPUTED_VALUE"""),500.0)</f>
        <v/>
      </c>
      <c r="P302">
        <f>IFERROR(__xludf.DUMMYFUNCTION("""COMPUTED_VALUE"""),0.0)</f>
        <v/>
      </c>
      <c r="Q302">
        <f>IFERROR(__xludf.DUMMYFUNCTION("""COMPUTED_VALUE"""),0.62)</f>
        <v/>
      </c>
      <c r="R302">
        <f>IFERROR(__xludf.DUMMYFUNCTION("""COMPUTED_VALUE"""),1.0)</f>
        <v/>
      </c>
      <c r="S302">
        <f>IFERROR(__xludf.DUMMYFUNCTION("""COMPUTED_VALUE"""),300.0)</f>
        <v/>
      </c>
      <c r="T302">
        <f>IFERROR(__xludf.DUMMYFUNCTION("""COMPUTED_VALUE"""),"1.67")</f>
        <v/>
      </c>
      <c r="U302">
        <f>IFERROR(__xludf.DUMMYFUNCTION("""COMPUTED_VALUE"""),"stop有:1回目 0.63")</f>
        <v/>
      </c>
      <c r="V302">
        <f>IFERROR(__xludf.DUMMYFUNCTION("""COMPUTED_VALUE"""),20.0)</f>
        <v/>
      </c>
      <c r="W302">
        <f>IFERROR(__xludf.DUMMYFUNCTION("""COMPUTED_VALUE"""),"3.17")</f>
        <v/>
      </c>
      <c r="X302">
        <f>IFERROR(__xludf.DUMMYFUNCTION("""COMPUTED_VALUE"""),"stop無:1回目 1.00
stop無:2回目 1.26
stop無:3回目 1.50
stop有:4回目 1.70")</f>
        <v/>
      </c>
      <c r="Y302">
        <f>IFERROR(__xludf.DUMMYFUNCTION("""COMPUTED_VALUE"""),"特殊効果なし")</f>
        <v/>
      </c>
      <c r="Z302">
        <f>IFERROR(__xludf.DUMMYFUNCTION("""COMPUTED_VALUE"""),6.0)</f>
        <v/>
      </c>
      <c r="AB302">
        <f>IFERROR(__xludf.DUMMYFUNCTION("""COMPUTED_VALUE"""),"shageki_1")</f>
        <v/>
      </c>
    </row>
    <row r="303">
      <c r="B303">
        <f>IFERROR(__xludf.DUMMYFUNCTION("""COMPUTED_VALUE"""),"chara_you_00301")</f>
        <v/>
      </c>
      <c r="C303">
        <f>IFERROR(__xludf.DUMMYFUNCTION("""COMPUTED_VALUE"""),"_you1_savage01")</f>
        <v/>
      </c>
      <c r="D303">
        <f>IFERROR(__xludf.DUMMYFUNCTION("""COMPUTED_VALUE"""),"c_you_00301_you1_savage01_Boss_Blue")</f>
        <v/>
      </c>
      <c r="E303">
        <f>IFERROR(__xludf.DUMMYFUNCTION("""COMPUTED_VALUE"""),"幼稚園WARS")</f>
        <v/>
      </c>
      <c r="F303">
        <f>IFERROR(__xludf.DUMMYFUNCTION("""COMPUTED_VALUE"""),"ハナ")</f>
        <v/>
      </c>
      <c r="G303">
        <f>IFERROR(__xludf.DUMMYFUNCTION("""COMPUTED_VALUE"""),"ハナ_you1_savage01")</f>
        <v/>
      </c>
      <c r="H303">
        <f>IFERROR(__xludf.DUMMYFUNCTION("""COMPUTED_VALUE"""),"Boss")</f>
        <v/>
      </c>
      <c r="I303">
        <f>IFERROR(__xludf.DUMMYFUNCTION("""COMPUTED_VALUE"""),"Technical")</f>
        <v/>
      </c>
      <c r="J303">
        <f>IFERROR(__xludf.DUMMYFUNCTION("""COMPUTED_VALUE"""),"Blue")</f>
        <v/>
      </c>
      <c r="K303">
        <f>IFERROR(__xludf.DUMMYFUNCTION("""COMPUTED_VALUE"""),50000.0)</f>
        <v/>
      </c>
      <c r="L303">
        <f>IFERROR(__xludf.DUMMYFUNCTION("""COMPUTED_VALUE"""),2.0)</f>
        <v/>
      </c>
      <c r="M303">
        <f>IFERROR(__xludf.DUMMYFUNCTION("""COMPUTED_VALUE"""),35.0)</f>
        <v/>
      </c>
      <c r="N303">
        <f>IFERROR(__xludf.DUMMYFUNCTION("""COMPUTED_VALUE"""),0.3)</f>
        <v/>
      </c>
      <c r="O303">
        <f>IFERROR(__xludf.DUMMYFUNCTION("""COMPUTED_VALUE"""),500.0)</f>
        <v/>
      </c>
      <c r="P303">
        <f>IFERROR(__xludf.DUMMYFUNCTION("""COMPUTED_VALUE"""),0.0)</f>
        <v/>
      </c>
      <c r="Q303">
        <f>IFERROR(__xludf.DUMMYFUNCTION("""COMPUTED_VALUE"""),0.35)</f>
        <v/>
      </c>
      <c r="R303">
        <f>IFERROR(__xludf.DUMMYFUNCTION("""COMPUTED_VALUE"""),1.0)</f>
        <v/>
      </c>
      <c r="S303">
        <f>IFERROR(__xludf.DUMMYFUNCTION("""COMPUTED_VALUE"""),300.0)</f>
        <v/>
      </c>
      <c r="T303">
        <f>IFERROR(__xludf.DUMMYFUNCTION("""COMPUTED_VALUE"""),"1.77")</f>
        <v/>
      </c>
      <c r="U303">
        <f>IFERROR(__xludf.DUMMYFUNCTION("""COMPUTED_VALUE"""),"stop有:1回目 0.7")</f>
        <v/>
      </c>
      <c r="V303">
        <f>IFERROR(__xludf.DUMMYFUNCTION("""COMPUTED_VALUE"""),20.0)</f>
        <v/>
      </c>
      <c r="W303">
        <f>IFERROR(__xludf.DUMMYFUNCTION("""COMPUTED_VALUE"""),"3.67")</f>
        <v/>
      </c>
      <c r="X303">
        <f>IFERROR(__xludf.DUMMYFUNCTION("""COMPUTED_VALUE"""),"stop有 :1回目 2.2")</f>
        <v/>
      </c>
      <c r="Y303">
        <f>IFERROR(__xludf.DUMMYFUNCTION("""COMPUTED_VALUE"""),"範囲攻撃")</f>
        <v/>
      </c>
      <c r="Z303">
        <f>IFERROR(__xludf.DUMMYFUNCTION("""COMPUTED_VALUE"""),8.0)</f>
        <v/>
      </c>
      <c r="AB303">
        <f>IFERROR(__xludf.DUMMYFUNCTION("""COMPUTED_VALUE"""),"dageki_1")</f>
        <v/>
      </c>
      <c r="AC303">
        <f>IFERROR(__xludf.DUMMYFUNCTION("""COMPUTED_VALUE"""),"スタン")</f>
        <v/>
      </c>
    </row>
    <row r="304">
      <c r="B304">
        <f>IFERROR(__xludf.DUMMYFUNCTION("""COMPUTED_VALUE"""),"chara_you_00301")</f>
        <v/>
      </c>
      <c r="C304">
        <f>IFERROR(__xludf.DUMMYFUNCTION("""COMPUTED_VALUE"""),"_you1_savage01")</f>
        <v/>
      </c>
      <c r="D304">
        <f>IFERROR(__xludf.DUMMYFUNCTION("""COMPUTED_VALUE"""),"c_you_00301_you1_savage01_Boss_Green")</f>
        <v/>
      </c>
      <c r="E304">
        <f>IFERROR(__xludf.DUMMYFUNCTION("""COMPUTED_VALUE"""),"幼稚園WARS")</f>
        <v/>
      </c>
      <c r="F304">
        <f>IFERROR(__xludf.DUMMYFUNCTION("""COMPUTED_VALUE"""),"ハナ")</f>
        <v/>
      </c>
      <c r="G304">
        <f>IFERROR(__xludf.DUMMYFUNCTION("""COMPUTED_VALUE"""),"ハナ_you1_savage01")</f>
        <v/>
      </c>
      <c r="H304">
        <f>IFERROR(__xludf.DUMMYFUNCTION("""COMPUTED_VALUE"""),"Boss")</f>
        <v/>
      </c>
      <c r="I304">
        <f>IFERROR(__xludf.DUMMYFUNCTION("""COMPUTED_VALUE"""),"Technical")</f>
        <v/>
      </c>
      <c r="J304">
        <f>IFERROR(__xludf.DUMMYFUNCTION("""COMPUTED_VALUE"""),"Green")</f>
        <v/>
      </c>
      <c r="K304">
        <f>IFERROR(__xludf.DUMMYFUNCTION("""COMPUTED_VALUE"""),50000.0)</f>
        <v/>
      </c>
      <c r="L304">
        <f>IFERROR(__xludf.DUMMYFUNCTION("""COMPUTED_VALUE"""),2.0)</f>
        <v/>
      </c>
      <c r="M304">
        <f>IFERROR(__xludf.DUMMYFUNCTION("""COMPUTED_VALUE"""),35.0)</f>
        <v/>
      </c>
      <c r="N304">
        <f>IFERROR(__xludf.DUMMYFUNCTION("""COMPUTED_VALUE"""),0.3)</f>
        <v/>
      </c>
      <c r="O304">
        <f>IFERROR(__xludf.DUMMYFUNCTION("""COMPUTED_VALUE"""),500.0)</f>
        <v/>
      </c>
      <c r="P304">
        <f>IFERROR(__xludf.DUMMYFUNCTION("""COMPUTED_VALUE"""),0.0)</f>
        <v/>
      </c>
      <c r="Q304">
        <f>IFERROR(__xludf.DUMMYFUNCTION("""COMPUTED_VALUE"""),0.35)</f>
        <v/>
      </c>
      <c r="R304">
        <f>IFERROR(__xludf.DUMMYFUNCTION("""COMPUTED_VALUE"""),1.0)</f>
        <v/>
      </c>
      <c r="S304">
        <f>IFERROR(__xludf.DUMMYFUNCTION("""COMPUTED_VALUE"""),300.0)</f>
        <v/>
      </c>
      <c r="T304">
        <f>IFERROR(__xludf.DUMMYFUNCTION("""COMPUTED_VALUE"""),"1.77")</f>
        <v/>
      </c>
      <c r="U304">
        <f>IFERROR(__xludf.DUMMYFUNCTION("""COMPUTED_VALUE"""),"stop有:1回目 0.7")</f>
        <v/>
      </c>
      <c r="V304">
        <f>IFERROR(__xludf.DUMMYFUNCTION("""COMPUTED_VALUE"""),20.0)</f>
        <v/>
      </c>
      <c r="W304">
        <f>IFERROR(__xludf.DUMMYFUNCTION("""COMPUTED_VALUE"""),"3.67")</f>
        <v/>
      </c>
      <c r="X304">
        <f>IFERROR(__xludf.DUMMYFUNCTION("""COMPUTED_VALUE"""),"stop有 :1回目 2.2")</f>
        <v/>
      </c>
      <c r="Y304">
        <f>IFERROR(__xludf.DUMMYFUNCTION("""COMPUTED_VALUE"""),"範囲攻撃")</f>
        <v/>
      </c>
      <c r="Z304">
        <f>IFERROR(__xludf.DUMMYFUNCTION("""COMPUTED_VALUE"""),8.0)</f>
        <v/>
      </c>
      <c r="AB304">
        <f>IFERROR(__xludf.DUMMYFUNCTION("""COMPUTED_VALUE"""),"dageki_1")</f>
        <v/>
      </c>
      <c r="AC304">
        <f>IFERROR(__xludf.DUMMYFUNCTION("""COMPUTED_VALUE"""),"スタン")</f>
        <v/>
      </c>
    </row>
    <row r="305">
      <c r="B305">
        <f>IFERROR(__xludf.DUMMYFUNCTION("""COMPUTED_VALUE"""),"chara_you_00001")</f>
        <v/>
      </c>
      <c r="C305">
        <f>IFERROR(__xludf.DUMMYFUNCTION("""COMPUTED_VALUE"""),"_you1_savage01")</f>
        <v/>
      </c>
      <c r="D305">
        <f>IFERROR(__xludf.DUMMYFUNCTION("""COMPUTED_VALUE"""),"c_you_00001_you1_savage01_Boss_Red")</f>
        <v/>
      </c>
      <c r="E305">
        <f>IFERROR(__xludf.DUMMYFUNCTION("""COMPUTED_VALUE"""),"幼稚園WARS")</f>
        <v/>
      </c>
      <c r="F305">
        <f>IFERROR(__xludf.DUMMYFUNCTION("""COMPUTED_VALUE"""),"元殺し屋の新人教諭 リタ")</f>
        <v/>
      </c>
      <c r="G305">
        <f>IFERROR(__xludf.DUMMYFUNCTION("""COMPUTED_VALUE"""),"リタ_you1_savage01")</f>
        <v/>
      </c>
      <c r="H305">
        <f>IFERROR(__xludf.DUMMYFUNCTION("""COMPUTED_VALUE"""),"Boss")</f>
        <v/>
      </c>
      <c r="I305">
        <f>IFERROR(__xludf.DUMMYFUNCTION("""COMPUTED_VALUE"""),"Attack")</f>
        <v/>
      </c>
      <c r="J305">
        <f>IFERROR(__xludf.DUMMYFUNCTION("""COMPUTED_VALUE"""),"Red")</f>
        <v/>
      </c>
      <c r="K305">
        <f>IFERROR(__xludf.DUMMYFUNCTION("""COMPUTED_VALUE"""),50000.0)</f>
        <v/>
      </c>
      <c r="L305">
        <f>IFERROR(__xludf.DUMMYFUNCTION("""COMPUTED_VALUE"""),2.0)</f>
        <v/>
      </c>
      <c r="M305">
        <f>IFERROR(__xludf.DUMMYFUNCTION("""COMPUTED_VALUE"""),45.0)</f>
        <v/>
      </c>
      <c r="N305">
        <f>IFERROR(__xludf.DUMMYFUNCTION("""COMPUTED_VALUE"""),0.2)</f>
        <v/>
      </c>
      <c r="O305">
        <f>IFERROR(__xludf.DUMMYFUNCTION("""COMPUTED_VALUE"""),500.0)</f>
        <v/>
      </c>
      <c r="P305">
        <f>IFERROR(__xludf.DUMMYFUNCTION("""COMPUTED_VALUE"""),0.0)</f>
        <v/>
      </c>
      <c r="Q305">
        <f>IFERROR(__xludf.DUMMYFUNCTION("""COMPUTED_VALUE"""),0.22)</f>
        <v/>
      </c>
      <c r="R305">
        <f>IFERROR(__xludf.DUMMYFUNCTION("""COMPUTED_VALUE"""),1.0)</f>
        <v/>
      </c>
      <c r="S305">
        <f>IFERROR(__xludf.DUMMYFUNCTION("""COMPUTED_VALUE"""),300.0)</f>
        <v/>
      </c>
      <c r="T305">
        <f>IFERROR(__xludf.DUMMYFUNCTION("""COMPUTED_VALUE"""),"1.34")</f>
        <v/>
      </c>
      <c r="U305">
        <f>IFERROR(__xludf.DUMMYFUNCTION("""COMPUTED_VALUE"""),"stop有:1回目 0.45")</f>
        <v/>
      </c>
      <c r="V305">
        <f>IFERROR(__xludf.DUMMYFUNCTION("""COMPUTED_VALUE"""),10.0)</f>
        <v/>
      </c>
      <c r="W305">
        <f>IFERROR(__xludf.DUMMYFUNCTION("""COMPUTED_VALUE"""),"1.77")</f>
        <v/>
      </c>
      <c r="X305">
        <f>IFERROR(__xludf.DUMMYFUNCTION("""COMPUTED_VALUE"""),"stop無:1回目 0.72
stop無:2回目 0.88
stop有:3回目 1.12")</f>
        <v/>
      </c>
      <c r="Y305">
        <f>IFERROR(__xludf.DUMMYFUNCTION("""COMPUTED_VALUE"""),"特殊効果なし")</f>
        <v/>
      </c>
      <c r="Z305">
        <f>IFERROR(__xludf.DUMMYFUNCTION("""COMPUTED_VALUE"""),5.0)</f>
        <v/>
      </c>
      <c r="AB305">
        <f>IFERROR(__xludf.DUMMYFUNCTION("""COMPUTED_VALUE"""),"dageki_1")</f>
        <v/>
      </c>
    </row>
    <row r="306">
      <c r="B306">
        <f>IFERROR(__xludf.DUMMYFUNCTION("""COMPUTED_VALUE"""),"chara_you_00101")</f>
        <v/>
      </c>
      <c r="C306">
        <f>IFERROR(__xludf.DUMMYFUNCTION("""COMPUTED_VALUE"""),"_you1_savage01")</f>
        <v/>
      </c>
      <c r="D306">
        <f>IFERROR(__xludf.DUMMYFUNCTION("""COMPUTED_VALUE"""),"c_you_00101_you1_savage01_Boss_Blue")</f>
        <v/>
      </c>
      <c r="E306">
        <f>IFERROR(__xludf.DUMMYFUNCTION("""COMPUTED_VALUE"""),"幼稚園WARS")</f>
        <v/>
      </c>
      <c r="F306">
        <f>IFERROR(__xludf.DUMMYFUNCTION("""COMPUTED_VALUE"""),"ルーク")</f>
        <v/>
      </c>
      <c r="G306">
        <f>IFERROR(__xludf.DUMMYFUNCTION("""COMPUTED_VALUE"""),"ルーク_you1_savage01")</f>
        <v/>
      </c>
      <c r="H306">
        <f>IFERROR(__xludf.DUMMYFUNCTION("""COMPUTED_VALUE"""),"Boss")</f>
        <v/>
      </c>
      <c r="I306">
        <f>IFERROR(__xludf.DUMMYFUNCTION("""COMPUTED_VALUE"""),"Technical")</f>
        <v/>
      </c>
      <c r="J306">
        <f>IFERROR(__xludf.DUMMYFUNCTION("""COMPUTED_VALUE"""),"Blue")</f>
        <v/>
      </c>
      <c r="K306">
        <f>IFERROR(__xludf.DUMMYFUNCTION("""COMPUTED_VALUE"""),50000.0)</f>
        <v/>
      </c>
      <c r="L306">
        <f>IFERROR(__xludf.DUMMYFUNCTION("""COMPUTED_VALUE"""),3.0)</f>
        <v/>
      </c>
      <c r="M306">
        <f>IFERROR(__xludf.DUMMYFUNCTION("""COMPUTED_VALUE"""),40.0)</f>
        <v/>
      </c>
      <c r="N306">
        <f>IFERROR(__xludf.DUMMYFUNCTION("""COMPUTED_VALUE"""),0.26)</f>
        <v/>
      </c>
      <c r="O306">
        <f>IFERROR(__xludf.DUMMYFUNCTION("""COMPUTED_VALUE"""),500.0)</f>
        <v/>
      </c>
      <c r="P306">
        <f>IFERROR(__xludf.DUMMYFUNCTION("""COMPUTED_VALUE"""),0.0)</f>
        <v/>
      </c>
      <c r="Q306">
        <f>IFERROR(__xludf.DUMMYFUNCTION("""COMPUTED_VALUE"""),0.27)</f>
        <v/>
      </c>
      <c r="R306">
        <f>IFERROR(__xludf.DUMMYFUNCTION("""COMPUTED_VALUE"""),1.0)</f>
        <v/>
      </c>
      <c r="S306">
        <f>IFERROR(__xludf.DUMMYFUNCTION("""COMPUTED_VALUE"""),300.0)</f>
        <v/>
      </c>
      <c r="T306">
        <f>IFERROR(__xludf.DUMMYFUNCTION("""COMPUTED_VALUE"""),"1.64")</f>
        <v/>
      </c>
      <c r="U306">
        <f>IFERROR(__xludf.DUMMYFUNCTION("""COMPUTED_VALUE"""),"stop有:1回目 0.65")</f>
        <v/>
      </c>
      <c r="V306">
        <f>IFERROR(__xludf.DUMMYFUNCTION("""COMPUTED_VALUE"""),30.0)</f>
        <v/>
      </c>
      <c r="W306">
        <f>IFERROR(__xludf.DUMMYFUNCTION("""COMPUTED_VALUE"""),"3.57")</f>
        <v/>
      </c>
      <c r="X306">
        <f>IFERROR(__xludf.DUMMYFUNCTION("""COMPUTED_VALUE"""),"stop無:1回目 0.97
stop無:2回目 1.08
stop無:3回目 1.2
stop無:4回目 1.32
stop有:5回目 1.48")</f>
        <v/>
      </c>
      <c r="Y306">
        <f>IFERROR(__xludf.DUMMYFUNCTION("""COMPUTED_VALUE"""),"特殊効果なし")</f>
        <v/>
      </c>
      <c r="Z306">
        <f>IFERROR(__xludf.DUMMYFUNCTION("""COMPUTED_VALUE"""),5.0)</f>
        <v/>
      </c>
      <c r="AB306">
        <f>IFERROR(__xludf.DUMMYFUNCTION("""COMPUTED_VALUE"""),"dageki_1")</f>
        <v/>
      </c>
    </row>
    <row r="307">
      <c r="B307">
        <f>IFERROR(__xludf.DUMMYFUNCTION("""COMPUTED_VALUE"""),"chara_you_00101")</f>
        <v/>
      </c>
      <c r="C307">
        <f>IFERROR(__xludf.DUMMYFUNCTION("""COMPUTED_VALUE"""),"_you1_savage01")</f>
        <v/>
      </c>
      <c r="D307">
        <f>IFERROR(__xludf.DUMMYFUNCTION("""COMPUTED_VALUE"""),"c_you_00101_you1_savage01_Boss_Green")</f>
        <v/>
      </c>
      <c r="E307">
        <f>IFERROR(__xludf.DUMMYFUNCTION("""COMPUTED_VALUE"""),"幼稚園WARS")</f>
        <v/>
      </c>
      <c r="F307">
        <f>IFERROR(__xludf.DUMMYFUNCTION("""COMPUTED_VALUE"""),"ルーク")</f>
        <v/>
      </c>
      <c r="G307">
        <f>IFERROR(__xludf.DUMMYFUNCTION("""COMPUTED_VALUE"""),"ルーク_you1_savage01")</f>
        <v/>
      </c>
      <c r="H307">
        <f>IFERROR(__xludf.DUMMYFUNCTION("""COMPUTED_VALUE"""),"Boss")</f>
        <v/>
      </c>
      <c r="I307">
        <f>IFERROR(__xludf.DUMMYFUNCTION("""COMPUTED_VALUE"""),"Technical")</f>
        <v/>
      </c>
      <c r="J307">
        <f>IFERROR(__xludf.DUMMYFUNCTION("""COMPUTED_VALUE"""),"Green")</f>
        <v/>
      </c>
      <c r="K307">
        <f>IFERROR(__xludf.DUMMYFUNCTION("""COMPUTED_VALUE"""),50000.0)</f>
        <v/>
      </c>
      <c r="L307">
        <f>IFERROR(__xludf.DUMMYFUNCTION("""COMPUTED_VALUE"""),3.0)</f>
        <v/>
      </c>
      <c r="M307">
        <f>IFERROR(__xludf.DUMMYFUNCTION("""COMPUTED_VALUE"""),40.0)</f>
        <v/>
      </c>
      <c r="N307">
        <f>IFERROR(__xludf.DUMMYFUNCTION("""COMPUTED_VALUE"""),0.26)</f>
        <v/>
      </c>
      <c r="O307">
        <f>IFERROR(__xludf.DUMMYFUNCTION("""COMPUTED_VALUE"""),500.0)</f>
        <v/>
      </c>
      <c r="P307">
        <f>IFERROR(__xludf.DUMMYFUNCTION("""COMPUTED_VALUE"""),0.0)</f>
        <v/>
      </c>
      <c r="Q307">
        <f>IFERROR(__xludf.DUMMYFUNCTION("""COMPUTED_VALUE"""),0.27)</f>
        <v/>
      </c>
      <c r="R307">
        <f>IFERROR(__xludf.DUMMYFUNCTION("""COMPUTED_VALUE"""),1.0)</f>
        <v/>
      </c>
      <c r="S307">
        <f>IFERROR(__xludf.DUMMYFUNCTION("""COMPUTED_VALUE"""),300.0)</f>
        <v/>
      </c>
      <c r="T307">
        <f>IFERROR(__xludf.DUMMYFUNCTION("""COMPUTED_VALUE"""),"1.64")</f>
        <v/>
      </c>
      <c r="U307">
        <f>IFERROR(__xludf.DUMMYFUNCTION("""COMPUTED_VALUE"""),"stop有:1回目 0.65")</f>
        <v/>
      </c>
      <c r="V307">
        <f>IFERROR(__xludf.DUMMYFUNCTION("""COMPUTED_VALUE"""),30.0)</f>
        <v/>
      </c>
      <c r="W307">
        <f>IFERROR(__xludf.DUMMYFUNCTION("""COMPUTED_VALUE"""),"3.57")</f>
        <v/>
      </c>
      <c r="X307">
        <f>IFERROR(__xludf.DUMMYFUNCTION("""COMPUTED_VALUE"""),"stop無:1回目 0.97
stop無:2回目 1.08
stop無:3回目 1.2
stop無:4回目 1.32
stop有:5回目 1.48")</f>
        <v/>
      </c>
      <c r="Y307">
        <f>IFERROR(__xludf.DUMMYFUNCTION("""COMPUTED_VALUE"""),"特殊効果なし")</f>
        <v/>
      </c>
      <c r="Z307">
        <f>IFERROR(__xludf.DUMMYFUNCTION("""COMPUTED_VALUE"""),5.0)</f>
        <v/>
      </c>
      <c r="AB307">
        <f>IFERROR(__xludf.DUMMYFUNCTION("""COMPUTED_VALUE"""),"dageki_1")</f>
        <v/>
      </c>
    </row>
    <row r="308">
      <c r="B308">
        <f>IFERROR(__xludf.DUMMYFUNCTION("""COMPUTED_VALUE"""),"enemy_you_00001")</f>
        <v/>
      </c>
      <c r="C308">
        <f>IFERROR(__xludf.DUMMYFUNCTION("""COMPUTED_VALUE"""),"_you1_savage01")</f>
        <v/>
      </c>
      <c r="D308">
        <f>IFERROR(__xludf.DUMMYFUNCTION("""COMPUTED_VALUE"""),"e_you_00001_you1_savage01_Normal_Colorless")</f>
        <v/>
      </c>
      <c r="E308">
        <f>IFERROR(__xludf.DUMMYFUNCTION("""COMPUTED_VALUE"""),"幼稚園WARS")</f>
        <v/>
      </c>
      <c r="F308">
        <f>IFERROR(__xludf.DUMMYFUNCTION("""COMPUTED_VALUE"""),"不良系金髪イケメン")</f>
        <v/>
      </c>
      <c r="G308">
        <f>IFERROR(__xludf.DUMMYFUNCTION("""COMPUTED_VALUE"""),"暗殺者（近）_you1_savage01")</f>
        <v/>
      </c>
      <c r="H308">
        <f>IFERROR(__xludf.DUMMYFUNCTION("""COMPUTED_VALUE"""),"Normal")</f>
        <v/>
      </c>
      <c r="I308">
        <f>IFERROR(__xludf.DUMMYFUNCTION("""COMPUTED_VALUE"""),"Attack")</f>
        <v/>
      </c>
      <c r="J308">
        <f>IFERROR(__xludf.DUMMYFUNCTION("""COMPUTED_VALUE"""),"Colorless")</f>
        <v/>
      </c>
      <c r="K308">
        <f>IFERROR(__xludf.DUMMYFUNCTION("""COMPUTED_VALUE"""),10000.0)</f>
        <v/>
      </c>
      <c r="L308">
        <f>IFERROR(__xludf.DUMMYFUNCTION("""COMPUTED_VALUE"""),2.0)</f>
        <v/>
      </c>
      <c r="M308">
        <f>IFERROR(__xludf.DUMMYFUNCTION("""COMPUTED_VALUE"""),37.0)</f>
        <v/>
      </c>
      <c r="N308">
        <f>IFERROR(__xludf.DUMMYFUNCTION("""COMPUTED_VALUE"""),0.2)</f>
        <v/>
      </c>
      <c r="O308">
        <f>IFERROR(__xludf.DUMMYFUNCTION("""COMPUTED_VALUE"""),100.0)</f>
        <v/>
      </c>
      <c r="P308">
        <f>IFERROR(__xludf.DUMMYFUNCTION("""COMPUTED_VALUE"""),0.0)</f>
        <v/>
      </c>
      <c r="Q308">
        <f>IFERROR(__xludf.DUMMYFUNCTION("""COMPUTED_VALUE"""),0.22)</f>
        <v/>
      </c>
      <c r="R308">
        <f>IFERROR(__xludf.DUMMYFUNCTION("""COMPUTED_VALUE"""),1.0)</f>
        <v/>
      </c>
      <c r="S308">
        <f>IFERROR(__xludf.DUMMYFUNCTION("""COMPUTED_VALUE"""),100.0)</f>
        <v/>
      </c>
      <c r="T308">
        <f>IFERROR(__xludf.DUMMYFUNCTION("""COMPUTED_VALUE"""),"1.27")</f>
        <v/>
      </c>
      <c r="U308">
        <f>IFERROR(__xludf.DUMMYFUNCTION("""COMPUTED_VALUE"""),"stop有0.5")</f>
        <v/>
      </c>
      <c r="V308">
        <f>IFERROR(__xludf.DUMMYFUNCTION("""COMPUTED_VALUE"""),70.0)</f>
        <v/>
      </c>
      <c r="W308">
        <f>IFERROR(__xludf.DUMMYFUNCTION("""COMPUTED_VALUE"""),"-")</f>
        <v/>
      </c>
      <c r="X308">
        <f>IFERROR(__xludf.DUMMYFUNCTION("""COMPUTED_VALUE"""),"-")</f>
        <v/>
      </c>
      <c r="Z308">
        <f>IFERROR(__xludf.DUMMYFUNCTION("""COMPUTED_VALUE"""),"-")</f>
        <v/>
      </c>
      <c r="AB308">
        <f>IFERROR(__xludf.DUMMYFUNCTION("""COMPUTED_VALUE"""),"zangeki_1")</f>
        <v/>
      </c>
    </row>
    <row r="309">
      <c r="B309">
        <f>IFERROR(__xludf.DUMMYFUNCTION("""COMPUTED_VALUE"""),"enemy_you_00001")</f>
        <v/>
      </c>
      <c r="C309">
        <f>IFERROR(__xludf.DUMMYFUNCTION("""COMPUTED_VALUE"""),"_you1_savage01_02")</f>
        <v/>
      </c>
      <c r="D309">
        <f>IFERROR(__xludf.DUMMYFUNCTION("""COMPUTED_VALUE"""),"e_you_00001_you1_savage01_02_Normal_Colorless")</f>
        <v/>
      </c>
      <c r="E309">
        <f>IFERROR(__xludf.DUMMYFUNCTION("""COMPUTED_VALUE"""),"幼稚園WARS")</f>
        <v/>
      </c>
      <c r="F309">
        <f>IFERROR(__xludf.DUMMYFUNCTION("""COMPUTED_VALUE"""),"不良系金髪イケメン")</f>
        <v/>
      </c>
      <c r="G309">
        <f>IFERROR(__xludf.DUMMYFUNCTION("""COMPUTED_VALUE"""),"暗殺者（近）_you1_savage01_02")</f>
        <v/>
      </c>
      <c r="H309">
        <f>IFERROR(__xludf.DUMMYFUNCTION("""COMPUTED_VALUE"""),"Normal")</f>
        <v/>
      </c>
      <c r="I309">
        <f>IFERROR(__xludf.DUMMYFUNCTION("""COMPUTED_VALUE"""),"Attack")</f>
        <v/>
      </c>
      <c r="J309">
        <f>IFERROR(__xludf.DUMMYFUNCTION("""COMPUTED_VALUE"""),"Colorless")</f>
        <v/>
      </c>
      <c r="K309">
        <f>IFERROR(__xludf.DUMMYFUNCTION("""COMPUTED_VALUE"""),10000.0)</f>
        <v/>
      </c>
      <c r="L309">
        <f>IFERROR(__xludf.DUMMYFUNCTION("""COMPUTED_VALUE"""),2.0)</f>
        <v/>
      </c>
      <c r="M309">
        <f>IFERROR(__xludf.DUMMYFUNCTION("""COMPUTED_VALUE"""),37.0)</f>
        <v/>
      </c>
      <c r="N309">
        <f>IFERROR(__xludf.DUMMYFUNCTION("""COMPUTED_VALUE"""),0.2)</f>
        <v/>
      </c>
      <c r="O309">
        <f>IFERROR(__xludf.DUMMYFUNCTION("""COMPUTED_VALUE"""),80.0)</f>
        <v/>
      </c>
      <c r="P309">
        <f>IFERROR(__xludf.DUMMYFUNCTION("""COMPUTED_VALUE"""),0.0)</f>
        <v/>
      </c>
      <c r="Q309">
        <f>IFERROR(__xludf.DUMMYFUNCTION("""COMPUTED_VALUE"""),0.22)</f>
        <v/>
      </c>
      <c r="R309">
        <f>IFERROR(__xludf.DUMMYFUNCTION("""COMPUTED_VALUE"""),1.0)</f>
        <v/>
      </c>
      <c r="S309">
        <f>IFERROR(__xludf.DUMMYFUNCTION("""COMPUTED_VALUE"""),100.0)</f>
        <v/>
      </c>
      <c r="T309">
        <f>IFERROR(__xludf.DUMMYFUNCTION("""COMPUTED_VALUE"""),"1.27")</f>
        <v/>
      </c>
      <c r="U309">
        <f>IFERROR(__xludf.DUMMYFUNCTION("""COMPUTED_VALUE"""),"stop有0.5")</f>
        <v/>
      </c>
      <c r="V309">
        <f>IFERROR(__xludf.DUMMYFUNCTION("""COMPUTED_VALUE"""),70.0)</f>
        <v/>
      </c>
      <c r="W309">
        <f>IFERROR(__xludf.DUMMYFUNCTION("""COMPUTED_VALUE"""),"-")</f>
        <v/>
      </c>
      <c r="X309">
        <f>IFERROR(__xludf.DUMMYFUNCTION("""COMPUTED_VALUE"""),"-")</f>
        <v/>
      </c>
      <c r="Z309">
        <f>IFERROR(__xludf.DUMMYFUNCTION("""COMPUTED_VALUE"""),"-")</f>
        <v/>
      </c>
      <c r="AB309">
        <f>IFERROR(__xludf.DUMMYFUNCTION("""COMPUTED_VALUE"""),"zangeki_1")</f>
        <v/>
      </c>
      <c r="AC309">
        <f>IFERROR(__xludf.DUMMYFUNCTION("""COMPUTED_VALUE"""),"毒")</f>
        <v/>
      </c>
    </row>
    <row r="310">
      <c r="B310">
        <f>IFERROR(__xludf.DUMMYFUNCTION("""COMPUTED_VALUE"""),"enemy_you_00101")</f>
        <v/>
      </c>
      <c r="C310">
        <f>IFERROR(__xludf.DUMMYFUNCTION("""COMPUTED_VALUE"""),"_you1_savage01")</f>
        <v/>
      </c>
      <c r="D310">
        <f>IFERROR(__xludf.DUMMYFUNCTION("""COMPUTED_VALUE"""),"e_you_00101_you1_savage01_Normal_Colorless")</f>
        <v/>
      </c>
      <c r="E310">
        <f>IFERROR(__xludf.DUMMYFUNCTION("""COMPUTED_VALUE"""),"幼稚園WARS")</f>
        <v/>
      </c>
      <c r="F310">
        <f>IFERROR(__xludf.DUMMYFUNCTION("""COMPUTED_VALUE"""),"イケメンじゃない殺し屋")</f>
        <v/>
      </c>
      <c r="G310">
        <f>IFERROR(__xludf.DUMMYFUNCTION("""COMPUTED_VALUE"""),"暗殺者（遠）_you1_savage01")</f>
        <v/>
      </c>
      <c r="H310">
        <f>IFERROR(__xludf.DUMMYFUNCTION("""COMPUTED_VALUE"""),"Normal")</f>
        <v/>
      </c>
      <c r="I310">
        <f>IFERROR(__xludf.DUMMYFUNCTION("""COMPUTED_VALUE"""),"Attack")</f>
        <v/>
      </c>
      <c r="J310">
        <f>IFERROR(__xludf.DUMMYFUNCTION("""COMPUTED_VALUE"""),"Colorless")</f>
        <v/>
      </c>
      <c r="K310">
        <f>IFERROR(__xludf.DUMMYFUNCTION("""COMPUTED_VALUE"""),10000.0)</f>
        <v/>
      </c>
      <c r="L310">
        <f>IFERROR(__xludf.DUMMYFUNCTION("""COMPUTED_VALUE"""),2.0)</f>
        <v/>
      </c>
      <c r="M310">
        <f>IFERROR(__xludf.DUMMYFUNCTION("""COMPUTED_VALUE"""),30.0)</f>
        <v/>
      </c>
      <c r="N310">
        <f>IFERROR(__xludf.DUMMYFUNCTION("""COMPUTED_VALUE"""),0.6)</f>
        <v/>
      </c>
      <c r="O310">
        <f>IFERROR(__xludf.DUMMYFUNCTION("""COMPUTED_VALUE"""),100.0)</f>
        <v/>
      </c>
      <c r="P310">
        <f>IFERROR(__xludf.DUMMYFUNCTION("""COMPUTED_VALUE"""),0.0)</f>
        <v/>
      </c>
      <c r="Q310">
        <f>IFERROR(__xludf.DUMMYFUNCTION("""COMPUTED_VALUE"""),0.62)</f>
        <v/>
      </c>
      <c r="R310">
        <f>IFERROR(__xludf.DUMMYFUNCTION("""COMPUTED_VALUE"""),1.0)</f>
        <v/>
      </c>
      <c r="S310">
        <f>IFERROR(__xludf.DUMMYFUNCTION("""COMPUTED_VALUE"""),100.0)</f>
        <v/>
      </c>
      <c r="T310">
        <f>IFERROR(__xludf.DUMMYFUNCTION("""COMPUTED_VALUE"""),"1.27")</f>
        <v/>
      </c>
      <c r="U310">
        <f>IFERROR(__xludf.DUMMYFUNCTION("""COMPUTED_VALUE"""),"0.56")</f>
        <v/>
      </c>
      <c r="V310">
        <f>IFERROR(__xludf.DUMMYFUNCTION("""COMPUTED_VALUE"""),70.0)</f>
        <v/>
      </c>
      <c r="W310">
        <f>IFERROR(__xludf.DUMMYFUNCTION("""COMPUTED_VALUE"""),"-")</f>
        <v/>
      </c>
      <c r="X310">
        <f>IFERROR(__xludf.DUMMYFUNCTION("""COMPUTED_VALUE"""),"-")</f>
        <v/>
      </c>
      <c r="Z310">
        <f>IFERROR(__xludf.DUMMYFUNCTION("""COMPUTED_VALUE"""),"-")</f>
        <v/>
      </c>
      <c r="AB310">
        <f>IFERROR(__xludf.DUMMYFUNCTION("""COMPUTED_VALUE"""),"shageki_1")</f>
        <v/>
      </c>
    </row>
    <row r="311">
      <c r="B311">
        <f>IFERROR(__xludf.DUMMYFUNCTION("""COMPUTED_VALUE"""),"enemy_you_00001")</f>
        <v/>
      </c>
      <c r="C311">
        <f>IFERROR(__xludf.DUMMYFUNCTION("""COMPUTED_VALUE"""),"_you1_savage01")</f>
        <v/>
      </c>
      <c r="D311">
        <f>IFERROR(__xludf.DUMMYFUNCTION("""COMPUTED_VALUE"""),"e_you_00001_you1_savage01_Normal_Green")</f>
        <v/>
      </c>
      <c r="E311">
        <f>IFERROR(__xludf.DUMMYFUNCTION("""COMPUTED_VALUE"""),"幼稚園WARS")</f>
        <v/>
      </c>
      <c r="F311">
        <f>IFERROR(__xludf.DUMMYFUNCTION("""COMPUTED_VALUE"""),"不良系金髪イケメン")</f>
        <v/>
      </c>
      <c r="G311">
        <f>IFERROR(__xludf.DUMMYFUNCTION("""COMPUTED_VALUE"""),"暗殺者（近）_you1_savage01")</f>
        <v/>
      </c>
      <c r="H311">
        <f>IFERROR(__xludf.DUMMYFUNCTION("""COMPUTED_VALUE"""),"Normal")</f>
        <v/>
      </c>
      <c r="I311">
        <f>IFERROR(__xludf.DUMMYFUNCTION("""COMPUTED_VALUE"""),"Attack")</f>
        <v/>
      </c>
      <c r="J311">
        <f>IFERROR(__xludf.DUMMYFUNCTION("""COMPUTED_VALUE"""),"Green")</f>
        <v/>
      </c>
      <c r="K311">
        <f>IFERROR(__xludf.DUMMYFUNCTION("""COMPUTED_VALUE"""),10000.0)</f>
        <v/>
      </c>
      <c r="L311">
        <f>IFERROR(__xludf.DUMMYFUNCTION("""COMPUTED_VALUE"""),2.0)</f>
        <v/>
      </c>
      <c r="M311">
        <f>IFERROR(__xludf.DUMMYFUNCTION("""COMPUTED_VALUE"""),37.0)</f>
        <v/>
      </c>
      <c r="N311">
        <f>IFERROR(__xludf.DUMMYFUNCTION("""COMPUTED_VALUE"""),0.2)</f>
        <v/>
      </c>
      <c r="O311">
        <f>IFERROR(__xludf.DUMMYFUNCTION("""COMPUTED_VALUE"""),100.0)</f>
        <v/>
      </c>
      <c r="P311">
        <f>IFERROR(__xludf.DUMMYFUNCTION("""COMPUTED_VALUE"""),0.0)</f>
        <v/>
      </c>
      <c r="Q311">
        <f>IFERROR(__xludf.DUMMYFUNCTION("""COMPUTED_VALUE"""),0.22)</f>
        <v/>
      </c>
      <c r="R311">
        <f>IFERROR(__xludf.DUMMYFUNCTION("""COMPUTED_VALUE"""),1.0)</f>
        <v/>
      </c>
      <c r="S311">
        <f>IFERROR(__xludf.DUMMYFUNCTION("""COMPUTED_VALUE"""),100.0)</f>
        <v/>
      </c>
      <c r="T311">
        <f>IFERROR(__xludf.DUMMYFUNCTION("""COMPUTED_VALUE"""),"1.27")</f>
        <v/>
      </c>
      <c r="U311">
        <f>IFERROR(__xludf.DUMMYFUNCTION("""COMPUTED_VALUE"""),"stop有0.5")</f>
        <v/>
      </c>
      <c r="V311">
        <f>IFERROR(__xludf.DUMMYFUNCTION("""COMPUTED_VALUE"""),70.0)</f>
        <v/>
      </c>
      <c r="W311">
        <f>IFERROR(__xludf.DUMMYFUNCTION("""COMPUTED_VALUE"""),"-")</f>
        <v/>
      </c>
      <c r="X311">
        <f>IFERROR(__xludf.DUMMYFUNCTION("""COMPUTED_VALUE"""),"-")</f>
        <v/>
      </c>
      <c r="Z311">
        <f>IFERROR(__xludf.DUMMYFUNCTION("""COMPUTED_VALUE"""),"-")</f>
        <v/>
      </c>
      <c r="AB311">
        <f>IFERROR(__xludf.DUMMYFUNCTION("""COMPUTED_VALUE"""),"zangeki_1")</f>
        <v/>
      </c>
    </row>
    <row r="312">
      <c r="B312">
        <f>IFERROR(__xludf.DUMMYFUNCTION("""COMPUTED_VALUE"""),"enemy_you_00101")</f>
        <v/>
      </c>
      <c r="C312">
        <f>IFERROR(__xludf.DUMMYFUNCTION("""COMPUTED_VALUE"""),"_you1_savage01")</f>
        <v/>
      </c>
      <c r="D312">
        <f>IFERROR(__xludf.DUMMYFUNCTION("""COMPUTED_VALUE"""),"e_you_00101_you1_savage01_Normal_Green")</f>
        <v/>
      </c>
      <c r="E312">
        <f>IFERROR(__xludf.DUMMYFUNCTION("""COMPUTED_VALUE"""),"幼稚園WARS")</f>
        <v/>
      </c>
      <c r="F312">
        <f>IFERROR(__xludf.DUMMYFUNCTION("""COMPUTED_VALUE"""),"イケメンじゃない殺し屋")</f>
        <v/>
      </c>
      <c r="G312">
        <f>IFERROR(__xludf.DUMMYFUNCTION("""COMPUTED_VALUE"""),"暗殺者（遠）_you1_savage01")</f>
        <v/>
      </c>
      <c r="H312">
        <f>IFERROR(__xludf.DUMMYFUNCTION("""COMPUTED_VALUE"""),"Normal")</f>
        <v/>
      </c>
      <c r="I312">
        <f>IFERROR(__xludf.DUMMYFUNCTION("""COMPUTED_VALUE"""),"Attack")</f>
        <v/>
      </c>
      <c r="J312">
        <f>IFERROR(__xludf.DUMMYFUNCTION("""COMPUTED_VALUE"""),"Green")</f>
        <v/>
      </c>
      <c r="K312">
        <f>IFERROR(__xludf.DUMMYFUNCTION("""COMPUTED_VALUE"""),10000.0)</f>
        <v/>
      </c>
      <c r="L312">
        <f>IFERROR(__xludf.DUMMYFUNCTION("""COMPUTED_VALUE"""),2.0)</f>
        <v/>
      </c>
      <c r="M312">
        <f>IFERROR(__xludf.DUMMYFUNCTION("""COMPUTED_VALUE"""),30.0)</f>
        <v/>
      </c>
      <c r="N312">
        <f>IFERROR(__xludf.DUMMYFUNCTION("""COMPUTED_VALUE"""),0.6)</f>
        <v/>
      </c>
      <c r="O312">
        <f>IFERROR(__xludf.DUMMYFUNCTION("""COMPUTED_VALUE"""),100.0)</f>
        <v/>
      </c>
      <c r="P312">
        <f>IFERROR(__xludf.DUMMYFUNCTION("""COMPUTED_VALUE"""),0.0)</f>
        <v/>
      </c>
      <c r="Q312">
        <f>IFERROR(__xludf.DUMMYFUNCTION("""COMPUTED_VALUE"""),0.62)</f>
        <v/>
      </c>
      <c r="R312">
        <f>IFERROR(__xludf.DUMMYFUNCTION("""COMPUTED_VALUE"""),1.0)</f>
        <v/>
      </c>
      <c r="S312">
        <f>IFERROR(__xludf.DUMMYFUNCTION("""COMPUTED_VALUE"""),100.0)</f>
        <v/>
      </c>
      <c r="T312">
        <f>IFERROR(__xludf.DUMMYFUNCTION("""COMPUTED_VALUE"""),"1.27")</f>
        <v/>
      </c>
      <c r="U312">
        <f>IFERROR(__xludf.DUMMYFUNCTION("""COMPUTED_VALUE"""),"0.56")</f>
        <v/>
      </c>
      <c r="V312">
        <f>IFERROR(__xludf.DUMMYFUNCTION("""COMPUTED_VALUE"""),70.0)</f>
        <v/>
      </c>
      <c r="W312">
        <f>IFERROR(__xludf.DUMMYFUNCTION("""COMPUTED_VALUE"""),"-")</f>
        <v/>
      </c>
      <c r="X312">
        <f>IFERROR(__xludf.DUMMYFUNCTION("""COMPUTED_VALUE"""),"-")</f>
        <v/>
      </c>
      <c r="Z312">
        <f>IFERROR(__xludf.DUMMYFUNCTION("""COMPUTED_VALUE"""),"-")</f>
        <v/>
      </c>
      <c r="AB312">
        <f>IFERROR(__xludf.DUMMYFUNCTION("""COMPUTED_VALUE"""),"shageki_1")</f>
        <v/>
      </c>
    </row>
    <row r="313">
      <c r="B313">
        <f>IFERROR(__xludf.DUMMYFUNCTION("""COMPUTED_VALUE"""),"chara_you_00201")</f>
        <v/>
      </c>
      <c r="C313">
        <f>IFERROR(__xludf.DUMMYFUNCTION("""COMPUTED_VALUE"""),"_you1_challenge")</f>
        <v/>
      </c>
      <c r="D313">
        <f>IFERROR(__xludf.DUMMYFUNCTION("""COMPUTED_VALUE"""),"c_you_00201_you1_challenge_Boss_Green")</f>
        <v/>
      </c>
      <c r="E313">
        <f>IFERROR(__xludf.DUMMYFUNCTION("""COMPUTED_VALUE"""),"幼稚園WARS")</f>
        <v/>
      </c>
      <c r="F313">
        <f>IFERROR(__xludf.DUMMYFUNCTION("""COMPUTED_VALUE"""),"ダグ")</f>
        <v/>
      </c>
      <c r="G313">
        <f>IFERROR(__xludf.DUMMYFUNCTION("""COMPUTED_VALUE"""),"ダグ_you1_challenge")</f>
        <v/>
      </c>
      <c r="H313">
        <f>IFERROR(__xludf.DUMMYFUNCTION("""COMPUTED_VALUE"""),"Boss")</f>
        <v/>
      </c>
      <c r="I313">
        <f>IFERROR(__xludf.DUMMYFUNCTION("""COMPUTED_VALUE"""),"Technical")</f>
        <v/>
      </c>
      <c r="J313">
        <f>IFERROR(__xludf.DUMMYFUNCTION("""COMPUTED_VALUE"""),"Green")</f>
        <v/>
      </c>
      <c r="K313">
        <f>IFERROR(__xludf.DUMMYFUNCTION("""COMPUTED_VALUE"""),10000.0)</f>
        <v/>
      </c>
      <c r="L313">
        <f>IFERROR(__xludf.DUMMYFUNCTION("""COMPUTED_VALUE"""),2.0)</f>
        <v/>
      </c>
      <c r="M313">
        <f>IFERROR(__xludf.DUMMYFUNCTION("""COMPUTED_VALUE"""),32.0)</f>
        <v/>
      </c>
      <c r="N313">
        <f>IFERROR(__xludf.DUMMYFUNCTION("""COMPUTED_VALUE"""),0.45)</f>
        <v/>
      </c>
      <c r="O313">
        <f>IFERROR(__xludf.DUMMYFUNCTION("""COMPUTED_VALUE"""),500.0)</f>
        <v/>
      </c>
      <c r="P313">
        <f>IFERROR(__xludf.DUMMYFUNCTION("""COMPUTED_VALUE"""),0.0)</f>
        <v/>
      </c>
      <c r="Q313">
        <f>IFERROR(__xludf.DUMMYFUNCTION("""COMPUTED_VALUE"""),0.5)</f>
        <v/>
      </c>
      <c r="R313">
        <f>IFERROR(__xludf.DUMMYFUNCTION("""COMPUTED_VALUE"""),1.0)</f>
        <v/>
      </c>
      <c r="S313">
        <f>IFERROR(__xludf.DUMMYFUNCTION("""COMPUTED_VALUE"""),300.0)</f>
        <v/>
      </c>
      <c r="T313">
        <f>IFERROR(__xludf.DUMMYFUNCTION("""COMPUTED_VALUE"""),"1.67")</f>
        <v/>
      </c>
      <c r="U313">
        <f>IFERROR(__xludf.DUMMYFUNCTION("""COMPUTED_VALUE"""),"stop有:1回目 0.63")</f>
        <v/>
      </c>
      <c r="V313">
        <f>IFERROR(__xludf.DUMMYFUNCTION("""COMPUTED_VALUE"""),40.0)</f>
        <v/>
      </c>
      <c r="W313">
        <f>IFERROR(__xludf.DUMMYFUNCTION("""COMPUTED_VALUE"""),"3.17")</f>
        <v/>
      </c>
      <c r="X313">
        <f>IFERROR(__xludf.DUMMYFUNCTION("""COMPUTED_VALUE"""),"stop無:1回目 1.00
stop無:2回目 1.26
stop無:3回目 1.50
stop有:4回目 1.70")</f>
        <v/>
      </c>
      <c r="Z313">
        <f>IFERROR(__xludf.DUMMYFUNCTION("""COMPUTED_VALUE"""),6.0)</f>
        <v/>
      </c>
      <c r="AB313">
        <f>IFERROR(__xludf.DUMMYFUNCTION("""COMPUTED_VALUE"""),"shageki_1")</f>
        <v/>
      </c>
    </row>
    <row r="314">
      <c r="B314">
        <f>IFERROR(__xludf.DUMMYFUNCTION("""COMPUTED_VALUE"""),"chara_you_00301")</f>
        <v/>
      </c>
      <c r="C314">
        <f>IFERROR(__xludf.DUMMYFUNCTION("""COMPUTED_VALUE"""),"_you1_challenge")</f>
        <v/>
      </c>
      <c r="D314">
        <f>IFERROR(__xludf.DUMMYFUNCTION("""COMPUTED_VALUE"""),"c_you_00301_you1_challenge_Boss_Green")</f>
        <v/>
      </c>
      <c r="E314">
        <f>IFERROR(__xludf.DUMMYFUNCTION("""COMPUTED_VALUE"""),"幼稚園WARS")</f>
        <v/>
      </c>
      <c r="F314">
        <f>IFERROR(__xludf.DUMMYFUNCTION("""COMPUTED_VALUE"""),"ハナ")</f>
        <v/>
      </c>
      <c r="G314">
        <f>IFERROR(__xludf.DUMMYFUNCTION("""COMPUTED_VALUE"""),"ハナ_you1_challenge")</f>
        <v/>
      </c>
      <c r="H314">
        <f>IFERROR(__xludf.DUMMYFUNCTION("""COMPUTED_VALUE"""),"Boss")</f>
        <v/>
      </c>
      <c r="I314">
        <f>IFERROR(__xludf.DUMMYFUNCTION("""COMPUTED_VALUE"""),"Attack")</f>
        <v/>
      </c>
      <c r="J314">
        <f>IFERROR(__xludf.DUMMYFUNCTION("""COMPUTED_VALUE"""),"Green")</f>
        <v/>
      </c>
      <c r="K314">
        <f>IFERROR(__xludf.DUMMYFUNCTION("""COMPUTED_VALUE"""),10000.0)</f>
        <v/>
      </c>
      <c r="L314">
        <f>IFERROR(__xludf.DUMMYFUNCTION("""COMPUTED_VALUE"""),2.0)</f>
        <v/>
      </c>
      <c r="M314">
        <f>IFERROR(__xludf.DUMMYFUNCTION("""COMPUTED_VALUE"""),35.0)</f>
        <v/>
      </c>
      <c r="N314">
        <f>IFERROR(__xludf.DUMMYFUNCTION("""COMPUTED_VALUE"""),0.25)</f>
        <v/>
      </c>
      <c r="O314">
        <f>IFERROR(__xludf.DUMMYFUNCTION("""COMPUTED_VALUE"""),500.0)</f>
        <v/>
      </c>
      <c r="P314">
        <f>IFERROR(__xludf.DUMMYFUNCTION("""COMPUTED_VALUE"""),0.0)</f>
        <v/>
      </c>
      <c r="Q314">
        <f>IFERROR(__xludf.DUMMYFUNCTION("""COMPUTED_VALUE"""),0.3)</f>
        <v/>
      </c>
      <c r="R314">
        <f>IFERROR(__xludf.DUMMYFUNCTION("""COMPUTED_VALUE"""),1.0)</f>
        <v/>
      </c>
      <c r="S314">
        <f>IFERROR(__xludf.DUMMYFUNCTION("""COMPUTED_VALUE"""),300.0)</f>
        <v/>
      </c>
      <c r="T314">
        <f>IFERROR(__xludf.DUMMYFUNCTION("""COMPUTED_VALUE"""),"1.77")</f>
        <v/>
      </c>
      <c r="U314">
        <f>IFERROR(__xludf.DUMMYFUNCTION("""COMPUTED_VALUE"""),"stop有:1回目 0.7")</f>
        <v/>
      </c>
      <c r="V314">
        <f>IFERROR(__xludf.DUMMYFUNCTION("""COMPUTED_VALUE"""),40.0)</f>
        <v/>
      </c>
      <c r="W314">
        <f>IFERROR(__xludf.DUMMYFUNCTION("""COMPUTED_VALUE"""),"3.67")</f>
        <v/>
      </c>
      <c r="X314">
        <f>IFERROR(__xludf.DUMMYFUNCTION("""COMPUTED_VALUE"""),"stop有 :1回目 2.2")</f>
        <v/>
      </c>
      <c r="Z314">
        <f>IFERROR(__xludf.DUMMYFUNCTION("""COMPUTED_VALUE"""),8.0)</f>
        <v/>
      </c>
      <c r="AB314">
        <f>IFERROR(__xludf.DUMMYFUNCTION("""COMPUTED_VALUE"""),"dageki_1")</f>
        <v/>
      </c>
    </row>
    <row r="315">
      <c r="B315">
        <f>IFERROR(__xludf.DUMMYFUNCTION("""COMPUTED_VALUE"""),"chara_you_00101")</f>
        <v/>
      </c>
      <c r="C315">
        <f>IFERROR(__xludf.DUMMYFUNCTION("""COMPUTED_VALUE"""),"_you1_challenge")</f>
        <v/>
      </c>
      <c r="D315">
        <f>IFERROR(__xludf.DUMMYFUNCTION("""COMPUTED_VALUE"""),"c_you_00101_you1_challenge_Boss_Blue")</f>
        <v/>
      </c>
      <c r="E315">
        <f>IFERROR(__xludf.DUMMYFUNCTION("""COMPUTED_VALUE"""),"幼稚園WARS")</f>
        <v/>
      </c>
      <c r="F315">
        <f>IFERROR(__xludf.DUMMYFUNCTION("""COMPUTED_VALUE"""),"ルーク")</f>
        <v/>
      </c>
      <c r="G315">
        <f>IFERROR(__xludf.DUMMYFUNCTION("""COMPUTED_VALUE"""),"ルーク_you1_challenge")</f>
        <v/>
      </c>
      <c r="H315">
        <f>IFERROR(__xludf.DUMMYFUNCTION("""COMPUTED_VALUE"""),"Boss")</f>
        <v/>
      </c>
      <c r="I315">
        <f>IFERROR(__xludf.DUMMYFUNCTION("""COMPUTED_VALUE"""),"Technical")</f>
        <v/>
      </c>
      <c r="J315">
        <f>IFERROR(__xludf.DUMMYFUNCTION("""COMPUTED_VALUE"""),"Blue")</f>
        <v/>
      </c>
      <c r="K315">
        <f>IFERROR(__xludf.DUMMYFUNCTION("""COMPUTED_VALUE"""),10000.0)</f>
        <v/>
      </c>
      <c r="L315">
        <f>IFERROR(__xludf.DUMMYFUNCTION("""COMPUTED_VALUE"""),3.0)</f>
        <v/>
      </c>
      <c r="M315">
        <f>IFERROR(__xludf.DUMMYFUNCTION("""COMPUTED_VALUE"""),40.0)</f>
        <v/>
      </c>
      <c r="N315">
        <f>IFERROR(__xludf.DUMMYFUNCTION("""COMPUTED_VALUE"""),0.26)</f>
        <v/>
      </c>
      <c r="O315">
        <f>IFERROR(__xludf.DUMMYFUNCTION("""COMPUTED_VALUE"""),500.0)</f>
        <v/>
      </c>
      <c r="P315">
        <f>IFERROR(__xludf.DUMMYFUNCTION("""COMPUTED_VALUE"""),0.0)</f>
        <v/>
      </c>
      <c r="Q315">
        <f>IFERROR(__xludf.DUMMYFUNCTION("""COMPUTED_VALUE"""),0.27)</f>
        <v/>
      </c>
      <c r="R315">
        <f>IFERROR(__xludf.DUMMYFUNCTION("""COMPUTED_VALUE"""),1.0)</f>
        <v/>
      </c>
      <c r="S315">
        <f>IFERROR(__xludf.DUMMYFUNCTION("""COMPUTED_VALUE"""),300.0)</f>
        <v/>
      </c>
      <c r="T315">
        <f>IFERROR(__xludf.DUMMYFUNCTION("""COMPUTED_VALUE"""),"1.64")</f>
        <v/>
      </c>
      <c r="U315">
        <f>IFERROR(__xludf.DUMMYFUNCTION("""COMPUTED_VALUE"""),"stop有:1回目 0.65")</f>
        <v/>
      </c>
      <c r="V315">
        <f>IFERROR(__xludf.DUMMYFUNCTION("""COMPUTED_VALUE"""),30.0)</f>
        <v/>
      </c>
      <c r="W315">
        <f>IFERROR(__xludf.DUMMYFUNCTION("""COMPUTED_VALUE"""),"3.57")</f>
        <v/>
      </c>
      <c r="X315">
        <f>IFERROR(__xludf.DUMMYFUNCTION("""COMPUTED_VALUE"""),"stop無:1回目 0.97
stop無:2回目 1.08
stop無:3回目 1.2
stop無:4回目 1.32
stop有:5回目 1.48")</f>
        <v/>
      </c>
      <c r="Y315">
        <f>IFERROR(__xludf.DUMMYFUNCTION("""COMPUTED_VALUE"""),"特殊効果なし")</f>
        <v/>
      </c>
      <c r="Z315">
        <f>IFERROR(__xludf.DUMMYFUNCTION("""COMPUTED_VALUE"""),5.0)</f>
        <v/>
      </c>
      <c r="AB315">
        <f>IFERROR(__xludf.DUMMYFUNCTION("""COMPUTED_VALUE"""),"dageki_1")</f>
        <v/>
      </c>
    </row>
    <row r="316">
      <c r="B316">
        <f>IFERROR(__xludf.DUMMYFUNCTION("""COMPUTED_VALUE"""),"chara_you_00301")</f>
        <v/>
      </c>
      <c r="C316">
        <f>IFERROR(__xludf.DUMMYFUNCTION("""COMPUTED_VALUE"""),"_you1_challenge")</f>
        <v/>
      </c>
      <c r="D316">
        <f>IFERROR(__xludf.DUMMYFUNCTION("""COMPUTED_VALUE"""),"c_you_00301_you1_challenge_Normal_Red")</f>
        <v/>
      </c>
      <c r="E316">
        <f>IFERROR(__xludf.DUMMYFUNCTION("""COMPUTED_VALUE"""),"幼稚園WARS")</f>
        <v/>
      </c>
      <c r="F316">
        <f>IFERROR(__xludf.DUMMYFUNCTION("""COMPUTED_VALUE"""),"ハナ")</f>
        <v/>
      </c>
      <c r="G316">
        <f>IFERROR(__xludf.DUMMYFUNCTION("""COMPUTED_VALUE"""),"ハナ_you1_challenge")</f>
        <v/>
      </c>
      <c r="H316">
        <f>IFERROR(__xludf.DUMMYFUNCTION("""COMPUTED_VALUE"""),"Normal")</f>
        <v/>
      </c>
      <c r="I316">
        <f>IFERROR(__xludf.DUMMYFUNCTION("""COMPUTED_VALUE"""),"Defense")</f>
        <v/>
      </c>
      <c r="J316">
        <f>IFERROR(__xludf.DUMMYFUNCTION("""COMPUTED_VALUE"""),"Red")</f>
        <v/>
      </c>
      <c r="K316">
        <f>IFERROR(__xludf.DUMMYFUNCTION("""COMPUTED_VALUE"""),10000.0)</f>
        <v/>
      </c>
      <c r="L316">
        <f>IFERROR(__xludf.DUMMYFUNCTION("""COMPUTED_VALUE"""),2.0)</f>
        <v/>
      </c>
      <c r="M316">
        <f>IFERROR(__xludf.DUMMYFUNCTION("""COMPUTED_VALUE"""),35.0)</f>
        <v/>
      </c>
      <c r="N316">
        <f>IFERROR(__xludf.DUMMYFUNCTION("""COMPUTED_VALUE"""),0.16)</f>
        <v/>
      </c>
      <c r="O316">
        <f>IFERROR(__xludf.DUMMYFUNCTION("""COMPUTED_VALUE"""),500.0)</f>
        <v/>
      </c>
      <c r="P316">
        <f>IFERROR(__xludf.DUMMYFUNCTION("""COMPUTED_VALUE"""),0.0)</f>
        <v/>
      </c>
      <c r="Q316">
        <f>IFERROR(__xludf.DUMMYFUNCTION("""COMPUTED_VALUE"""),0.28)</f>
        <v/>
      </c>
      <c r="R316">
        <f>IFERROR(__xludf.DUMMYFUNCTION("""COMPUTED_VALUE"""),1.0)</f>
        <v/>
      </c>
      <c r="S316">
        <f>IFERROR(__xludf.DUMMYFUNCTION("""COMPUTED_VALUE"""),300.0)</f>
        <v/>
      </c>
      <c r="T316">
        <f>IFERROR(__xludf.DUMMYFUNCTION("""COMPUTED_VALUE"""),"1.77")</f>
        <v/>
      </c>
      <c r="U316">
        <f>IFERROR(__xludf.DUMMYFUNCTION("""COMPUTED_VALUE"""),"stop有:1回目 0.7")</f>
        <v/>
      </c>
      <c r="V316">
        <f>IFERROR(__xludf.DUMMYFUNCTION("""COMPUTED_VALUE"""),140.0)</f>
        <v/>
      </c>
      <c r="W316">
        <f>IFERROR(__xludf.DUMMYFUNCTION("""COMPUTED_VALUE"""),"3.67")</f>
        <v/>
      </c>
      <c r="X316">
        <f>IFERROR(__xludf.DUMMYFUNCTION("""COMPUTED_VALUE"""),"stop有 :1回目 2.2")</f>
        <v/>
      </c>
      <c r="Y316">
        <f>IFERROR(__xludf.DUMMYFUNCTION("""COMPUTED_VALUE"""),"使用しない")</f>
        <v/>
      </c>
      <c r="Z316">
        <f>IFERROR(__xludf.DUMMYFUNCTION("""COMPUTED_VALUE"""),"-")</f>
        <v/>
      </c>
      <c r="AB316">
        <f>IFERROR(__xludf.DUMMYFUNCTION("""COMPUTED_VALUE"""),"dageki_1")</f>
        <v/>
      </c>
      <c r="AC316">
        <f>IFERROR(__xludf.DUMMYFUNCTION("""COMPUTED_VALUE"""),"範囲スタン攻撃")</f>
        <v/>
      </c>
      <c r="AD316">
        <f>IFERROR(__xludf.DUMMYFUNCTION("""COMPUTED_VALUE"""),"攻撃間隔長い・高確率＆長時間スタン・短射程")</f>
        <v/>
      </c>
    </row>
    <row r="317">
      <c r="B317">
        <f>IFERROR(__xludf.DUMMYFUNCTION("""COMPUTED_VALUE"""),"chara_you_00201")</f>
        <v/>
      </c>
      <c r="C317">
        <f>IFERROR(__xludf.DUMMYFUNCTION("""COMPUTED_VALUE"""),"_you1_challenge")</f>
        <v/>
      </c>
      <c r="D317">
        <f>IFERROR(__xludf.DUMMYFUNCTION("""COMPUTED_VALUE"""),"c_you_00201_you1_challenge_Normal_Green")</f>
        <v/>
      </c>
      <c r="E317">
        <f>IFERROR(__xludf.DUMMYFUNCTION("""COMPUTED_VALUE"""),"幼稚園WARS")</f>
        <v/>
      </c>
      <c r="F317">
        <f>IFERROR(__xludf.DUMMYFUNCTION("""COMPUTED_VALUE"""),"ダグ")</f>
        <v/>
      </c>
      <c r="G317">
        <f>IFERROR(__xludf.DUMMYFUNCTION("""COMPUTED_VALUE"""),"ダグ_you1_challenge")</f>
        <v/>
      </c>
      <c r="H317">
        <f>IFERROR(__xludf.DUMMYFUNCTION("""COMPUTED_VALUE"""),"Normal")</f>
        <v/>
      </c>
      <c r="I317">
        <f>IFERROR(__xludf.DUMMYFUNCTION("""COMPUTED_VALUE"""),"Technical")</f>
        <v/>
      </c>
      <c r="J317">
        <f>IFERROR(__xludf.DUMMYFUNCTION("""COMPUTED_VALUE"""),"Green")</f>
        <v/>
      </c>
      <c r="K317">
        <f>IFERROR(__xludf.DUMMYFUNCTION("""COMPUTED_VALUE"""),10000.0)</f>
        <v/>
      </c>
      <c r="L317">
        <f>IFERROR(__xludf.DUMMYFUNCTION("""COMPUTED_VALUE"""),2.0)</f>
        <v/>
      </c>
      <c r="M317">
        <f>IFERROR(__xludf.DUMMYFUNCTION("""COMPUTED_VALUE"""),32.0)</f>
        <v/>
      </c>
      <c r="N317">
        <f>IFERROR(__xludf.DUMMYFUNCTION("""COMPUTED_VALUE"""),0.45)</f>
        <v/>
      </c>
      <c r="O317">
        <f>IFERROR(__xludf.DUMMYFUNCTION("""COMPUTED_VALUE"""),500.0)</f>
        <v/>
      </c>
      <c r="P317">
        <f>IFERROR(__xludf.DUMMYFUNCTION("""COMPUTED_VALUE"""),0.0)</f>
        <v/>
      </c>
      <c r="Q317">
        <f>IFERROR(__xludf.DUMMYFUNCTION("""COMPUTED_VALUE"""),0.5)</f>
        <v/>
      </c>
      <c r="R317">
        <f>IFERROR(__xludf.DUMMYFUNCTION("""COMPUTED_VALUE"""),1.0)</f>
        <v/>
      </c>
      <c r="S317">
        <f>IFERROR(__xludf.DUMMYFUNCTION("""COMPUTED_VALUE"""),300.0)</f>
        <v/>
      </c>
      <c r="T317">
        <f>IFERROR(__xludf.DUMMYFUNCTION("""COMPUTED_VALUE"""),"1.67")</f>
        <v/>
      </c>
      <c r="U317">
        <f>IFERROR(__xludf.DUMMYFUNCTION("""COMPUTED_VALUE"""),"stop有:1回目 0.63")</f>
        <v/>
      </c>
      <c r="V317">
        <f>IFERROR(__xludf.DUMMYFUNCTION("""COMPUTED_VALUE"""),70.0)</f>
        <v/>
      </c>
      <c r="W317">
        <f>IFERROR(__xludf.DUMMYFUNCTION("""COMPUTED_VALUE"""),"3.17")</f>
        <v/>
      </c>
      <c r="X317">
        <f>IFERROR(__xludf.DUMMYFUNCTION("""COMPUTED_VALUE"""),"stop無:1回目 1.00
stop無:2回目 1.26
stop無:3回目 1.50
stop有:4回目 1.70")</f>
        <v/>
      </c>
      <c r="Y317">
        <f>IFERROR(__xludf.DUMMYFUNCTION("""COMPUTED_VALUE"""),"使用しない")</f>
        <v/>
      </c>
      <c r="Z317">
        <f>IFERROR(__xludf.DUMMYFUNCTION("""COMPUTED_VALUE"""),"-")</f>
        <v/>
      </c>
      <c r="AB317">
        <f>IFERROR(__xludf.DUMMYFUNCTION("""COMPUTED_VALUE"""),"shageki_1")</f>
        <v/>
      </c>
      <c r="AC317">
        <f>IFERROR(__xludf.DUMMYFUNCTION("""COMPUTED_VALUE"""),"毒＆ノックバック攻撃")</f>
        <v/>
      </c>
    </row>
    <row r="318">
      <c r="B318">
        <f>IFERROR(__xludf.DUMMYFUNCTION("""COMPUTED_VALUE"""),"chara_you_00001")</f>
        <v/>
      </c>
      <c r="C318">
        <f>IFERROR(__xludf.DUMMYFUNCTION("""COMPUTED_VALUE"""),"_you1_challenge")</f>
        <v/>
      </c>
      <c r="D318">
        <f>IFERROR(__xludf.DUMMYFUNCTION("""COMPUTED_VALUE"""),"c_you_00001_you1_challenge_Boss_Green")</f>
        <v/>
      </c>
      <c r="E318">
        <f>IFERROR(__xludf.DUMMYFUNCTION("""COMPUTED_VALUE"""),"幼稚園WARS")</f>
        <v/>
      </c>
      <c r="F318">
        <f>IFERROR(__xludf.DUMMYFUNCTION("""COMPUTED_VALUE"""),"元殺し屋の新人教諭 リタ")</f>
        <v/>
      </c>
      <c r="G318">
        <f>IFERROR(__xludf.DUMMYFUNCTION("""COMPUTED_VALUE"""),"リタ_you1_challenge")</f>
        <v/>
      </c>
      <c r="H318">
        <f>IFERROR(__xludf.DUMMYFUNCTION("""COMPUTED_VALUE"""),"Boss")</f>
        <v/>
      </c>
      <c r="I318">
        <f>IFERROR(__xludf.DUMMYFUNCTION("""COMPUTED_VALUE"""),"Attack")</f>
        <v/>
      </c>
      <c r="J318">
        <f>IFERROR(__xludf.DUMMYFUNCTION("""COMPUTED_VALUE"""),"Green")</f>
        <v/>
      </c>
      <c r="K318">
        <f>IFERROR(__xludf.DUMMYFUNCTION("""COMPUTED_VALUE"""),10000.0)</f>
        <v/>
      </c>
      <c r="L318">
        <f>IFERROR(__xludf.DUMMYFUNCTION("""COMPUTED_VALUE"""),0.0)</f>
        <v/>
      </c>
      <c r="M318">
        <f>IFERROR(__xludf.DUMMYFUNCTION("""COMPUTED_VALUE"""),45.0)</f>
        <v/>
      </c>
      <c r="N318">
        <f>IFERROR(__xludf.DUMMYFUNCTION("""COMPUTED_VALUE"""),0.2)</f>
        <v/>
      </c>
      <c r="O318">
        <f>IFERROR(__xludf.DUMMYFUNCTION("""COMPUTED_VALUE"""),500.0)</f>
        <v/>
      </c>
      <c r="P318">
        <f>IFERROR(__xludf.DUMMYFUNCTION("""COMPUTED_VALUE"""),0.0)</f>
        <v/>
      </c>
      <c r="Q318">
        <f>IFERROR(__xludf.DUMMYFUNCTION("""COMPUTED_VALUE"""),0.25)</f>
        <v/>
      </c>
      <c r="R318">
        <f>IFERROR(__xludf.DUMMYFUNCTION("""COMPUTED_VALUE"""),1.0)</f>
        <v/>
      </c>
      <c r="S318">
        <f>IFERROR(__xludf.DUMMYFUNCTION("""COMPUTED_VALUE"""),300.0)</f>
        <v/>
      </c>
      <c r="T318">
        <f>IFERROR(__xludf.DUMMYFUNCTION("""COMPUTED_VALUE"""),"1.34")</f>
        <v/>
      </c>
      <c r="U318">
        <f>IFERROR(__xludf.DUMMYFUNCTION("""COMPUTED_VALUE"""),"stop有:1回目 0.45")</f>
        <v/>
      </c>
      <c r="V318">
        <f>IFERROR(__xludf.DUMMYFUNCTION("""COMPUTED_VALUE"""),20.0)</f>
        <v/>
      </c>
      <c r="W318">
        <f>IFERROR(__xludf.DUMMYFUNCTION("""COMPUTED_VALUE"""),"1.77")</f>
        <v/>
      </c>
      <c r="X318">
        <f>IFERROR(__xludf.DUMMYFUNCTION("""COMPUTED_VALUE"""),"stop無:1回目 0.72
stop無:2回目 0.88
stop有:3回目 1.12")</f>
        <v/>
      </c>
      <c r="Y318">
        <f>IFERROR(__xludf.DUMMYFUNCTION("""COMPUTED_VALUE"""),"範囲攻撃")</f>
        <v/>
      </c>
      <c r="Z318">
        <f>IFERROR(__xludf.DUMMYFUNCTION("""COMPUTED_VALUE"""),5.0)</f>
        <v/>
      </c>
      <c r="AB318">
        <f>IFERROR(__xludf.DUMMYFUNCTION("""COMPUTED_VALUE"""),"dageki_1")</f>
        <v/>
      </c>
      <c r="AC318">
        <f>IFERROR(__xludf.DUMMYFUNCTION("""COMPUTED_VALUE"""),"範囲攻撃")</f>
        <v/>
      </c>
    </row>
    <row r="319">
      <c r="B319">
        <f>IFERROR(__xludf.DUMMYFUNCTION("""COMPUTED_VALUE"""),"enemy_glo_00001")</f>
        <v/>
      </c>
      <c r="C319">
        <f>IFERROR(__xludf.DUMMYFUNCTION("""COMPUTED_VALUE"""),"_you1_challenge")</f>
        <v/>
      </c>
      <c r="D319">
        <f>IFERROR(__xludf.DUMMYFUNCTION("""COMPUTED_VALUE"""),"e_glo_00001_you1_challenge_Normal_Green")</f>
        <v/>
      </c>
      <c r="E319">
        <f>IFERROR(__xludf.DUMMYFUNCTION("""COMPUTED_VALUE"""),"GLOW")</f>
        <v/>
      </c>
      <c r="F319">
        <f>IFERROR(__xludf.DUMMYFUNCTION("""COMPUTED_VALUE"""),"ファントム")</f>
        <v/>
      </c>
      <c r="G319">
        <f>IFERROR(__xludf.DUMMYFUNCTION("""COMPUTED_VALUE"""),"ファントム_you1_challenge")</f>
        <v/>
      </c>
      <c r="H319">
        <f>IFERROR(__xludf.DUMMYFUNCTION("""COMPUTED_VALUE"""),"Normal")</f>
        <v/>
      </c>
      <c r="I319">
        <f>IFERROR(__xludf.DUMMYFUNCTION("""COMPUTED_VALUE"""),"Defense")</f>
        <v/>
      </c>
      <c r="J319">
        <f>IFERROR(__xludf.DUMMYFUNCTION("""COMPUTED_VALUE"""),"Green")</f>
        <v/>
      </c>
      <c r="K319">
        <f>IFERROR(__xludf.DUMMYFUNCTION("""COMPUTED_VALUE"""),1000.0)</f>
        <v/>
      </c>
      <c r="L319">
        <f>IFERROR(__xludf.DUMMYFUNCTION("""COMPUTED_VALUE"""),2.0)</f>
        <v/>
      </c>
      <c r="M319">
        <f>IFERROR(__xludf.DUMMYFUNCTION("""COMPUTED_VALUE"""),30.0)</f>
        <v/>
      </c>
      <c r="N319">
        <f>IFERROR(__xludf.DUMMYFUNCTION("""COMPUTED_VALUE"""),0.17)</f>
        <v/>
      </c>
      <c r="O319">
        <f>IFERROR(__xludf.DUMMYFUNCTION("""COMPUTED_VALUE"""),100.0)</f>
        <v/>
      </c>
      <c r="P319">
        <f>IFERROR(__xludf.DUMMYFUNCTION("""COMPUTED_VALUE"""),0.0)</f>
        <v/>
      </c>
      <c r="Q319">
        <f>IFERROR(__xludf.DUMMYFUNCTION("""COMPUTED_VALUE"""),0.19)</f>
        <v/>
      </c>
      <c r="R319">
        <f>IFERROR(__xludf.DUMMYFUNCTION("""COMPUTED_VALUE"""),1.0)</f>
        <v/>
      </c>
      <c r="S319">
        <f>IFERROR(__xludf.DUMMYFUNCTION("""COMPUTED_VALUE"""),30.0)</f>
        <v/>
      </c>
      <c r="T319">
        <f>IFERROR(__xludf.DUMMYFUNCTION("""COMPUTED_VALUE"""),"1.00")</f>
        <v/>
      </c>
      <c r="U319">
        <f>IFERROR(__xludf.DUMMYFUNCTION("""COMPUTED_VALUE"""),"0.50")</f>
        <v/>
      </c>
      <c r="V319">
        <f>IFERROR(__xludf.DUMMYFUNCTION("""COMPUTED_VALUE"""),50.0)</f>
        <v/>
      </c>
      <c r="Y319">
        <f>IFERROR(__xludf.DUMMYFUNCTION("""COMPUTED_VALUE"""),"特殊効果なし")</f>
        <v/>
      </c>
      <c r="Z319">
        <f>IFERROR(__xludf.DUMMYFUNCTION("""COMPUTED_VALUE"""),"-")</f>
        <v/>
      </c>
      <c r="AB319">
        <f>IFERROR(__xludf.DUMMYFUNCTION("""COMPUTED_VALUE"""),"dageki_1")</f>
        <v/>
      </c>
    </row>
    <row r="320">
      <c r="B320">
        <f>IFERROR(__xludf.DUMMYFUNCTION("""COMPUTED_VALUE"""),"enemy_glo_00001")</f>
        <v/>
      </c>
      <c r="C320">
        <f>IFERROR(__xludf.DUMMYFUNCTION("""COMPUTED_VALUE"""),"_you1_challenge")</f>
        <v/>
      </c>
      <c r="D320">
        <f>IFERROR(__xludf.DUMMYFUNCTION("""COMPUTED_VALUE"""),"e_glo_00001_you1_challenge_Normal_Blue")</f>
        <v/>
      </c>
      <c r="E320">
        <f>IFERROR(__xludf.DUMMYFUNCTION("""COMPUTED_VALUE"""),"GLOW")</f>
        <v/>
      </c>
      <c r="F320">
        <f>IFERROR(__xludf.DUMMYFUNCTION("""COMPUTED_VALUE"""),"ファントム")</f>
        <v/>
      </c>
      <c r="G320">
        <f>IFERROR(__xludf.DUMMYFUNCTION("""COMPUTED_VALUE"""),"ファントム_you1_challenge")</f>
        <v/>
      </c>
      <c r="H320">
        <f>IFERROR(__xludf.DUMMYFUNCTION("""COMPUTED_VALUE"""),"Normal")</f>
        <v/>
      </c>
      <c r="I320">
        <f>IFERROR(__xludf.DUMMYFUNCTION("""COMPUTED_VALUE"""),"Defense")</f>
        <v/>
      </c>
      <c r="J320">
        <f>IFERROR(__xludf.DUMMYFUNCTION("""COMPUTED_VALUE"""),"Blue")</f>
        <v/>
      </c>
      <c r="K320">
        <f>IFERROR(__xludf.DUMMYFUNCTION("""COMPUTED_VALUE"""),1000.0)</f>
        <v/>
      </c>
      <c r="L320">
        <f>IFERROR(__xludf.DUMMYFUNCTION("""COMPUTED_VALUE"""),2.0)</f>
        <v/>
      </c>
      <c r="M320">
        <f>IFERROR(__xludf.DUMMYFUNCTION("""COMPUTED_VALUE"""),30.0)</f>
        <v/>
      </c>
      <c r="N320">
        <f>IFERROR(__xludf.DUMMYFUNCTION("""COMPUTED_VALUE"""),0.17)</f>
        <v/>
      </c>
      <c r="O320">
        <f>IFERROR(__xludf.DUMMYFUNCTION("""COMPUTED_VALUE"""),100.0)</f>
        <v/>
      </c>
      <c r="P320">
        <f>IFERROR(__xludf.DUMMYFUNCTION("""COMPUTED_VALUE"""),0.0)</f>
        <v/>
      </c>
      <c r="Q320">
        <f>IFERROR(__xludf.DUMMYFUNCTION("""COMPUTED_VALUE"""),0.19)</f>
        <v/>
      </c>
      <c r="R320">
        <f>IFERROR(__xludf.DUMMYFUNCTION("""COMPUTED_VALUE"""),1.0)</f>
        <v/>
      </c>
      <c r="S320">
        <f>IFERROR(__xludf.DUMMYFUNCTION("""COMPUTED_VALUE"""),30.0)</f>
        <v/>
      </c>
      <c r="T320">
        <f>IFERROR(__xludf.DUMMYFUNCTION("""COMPUTED_VALUE"""),"1.00")</f>
        <v/>
      </c>
      <c r="U320">
        <f>IFERROR(__xludf.DUMMYFUNCTION("""COMPUTED_VALUE"""),"0.50")</f>
        <v/>
      </c>
      <c r="V320">
        <f>IFERROR(__xludf.DUMMYFUNCTION("""COMPUTED_VALUE"""),50.0)</f>
        <v/>
      </c>
      <c r="Y320">
        <f>IFERROR(__xludf.DUMMYFUNCTION("""COMPUTED_VALUE"""),"特殊効果なし")</f>
        <v/>
      </c>
      <c r="Z320">
        <f>IFERROR(__xludf.DUMMYFUNCTION("""COMPUTED_VALUE"""),"-")</f>
        <v/>
      </c>
      <c r="AB320">
        <f>IFERROR(__xludf.DUMMYFUNCTION("""COMPUTED_VALUE"""),"dageki_1")</f>
        <v/>
      </c>
    </row>
    <row r="321">
      <c r="B321">
        <f>IFERROR(__xludf.DUMMYFUNCTION("""COMPUTED_VALUE"""),"enemy_glo_00001")</f>
        <v/>
      </c>
      <c r="C321">
        <f>IFERROR(__xludf.DUMMYFUNCTION("""COMPUTED_VALUE"""),"_you1_challenge")</f>
        <v/>
      </c>
      <c r="D321">
        <f>IFERROR(__xludf.DUMMYFUNCTION("""COMPUTED_VALUE"""),"e_glo_00001_you1_challenge_Normal_Red")</f>
        <v/>
      </c>
      <c r="E321">
        <f>IFERROR(__xludf.DUMMYFUNCTION("""COMPUTED_VALUE"""),"GLOW")</f>
        <v/>
      </c>
      <c r="F321">
        <f>IFERROR(__xludf.DUMMYFUNCTION("""COMPUTED_VALUE"""),"ファントム")</f>
        <v/>
      </c>
      <c r="G321">
        <f>IFERROR(__xludf.DUMMYFUNCTION("""COMPUTED_VALUE"""),"ファントム_you1_challenge")</f>
        <v/>
      </c>
      <c r="H321">
        <f>IFERROR(__xludf.DUMMYFUNCTION("""COMPUTED_VALUE"""),"Normal")</f>
        <v/>
      </c>
      <c r="I321">
        <f>IFERROR(__xludf.DUMMYFUNCTION("""COMPUTED_VALUE"""),"Attack")</f>
        <v/>
      </c>
      <c r="J321">
        <f>IFERROR(__xludf.DUMMYFUNCTION("""COMPUTED_VALUE"""),"Red")</f>
        <v/>
      </c>
      <c r="K321">
        <f>IFERROR(__xludf.DUMMYFUNCTION("""COMPUTED_VALUE"""),1000.0)</f>
        <v/>
      </c>
      <c r="L321">
        <f>IFERROR(__xludf.DUMMYFUNCTION("""COMPUTED_VALUE"""),2.0)</f>
        <v/>
      </c>
      <c r="M321">
        <f>IFERROR(__xludf.DUMMYFUNCTION("""COMPUTED_VALUE"""),30.0)</f>
        <v/>
      </c>
      <c r="N321">
        <f>IFERROR(__xludf.DUMMYFUNCTION("""COMPUTED_VALUE"""),0.17)</f>
        <v/>
      </c>
      <c r="O321">
        <f>IFERROR(__xludf.DUMMYFUNCTION("""COMPUTED_VALUE"""),100.0)</f>
        <v/>
      </c>
      <c r="P321">
        <f>IFERROR(__xludf.DUMMYFUNCTION("""COMPUTED_VALUE"""),0.0)</f>
        <v/>
      </c>
      <c r="Q321">
        <f>IFERROR(__xludf.DUMMYFUNCTION("""COMPUTED_VALUE"""),0.19)</f>
        <v/>
      </c>
      <c r="R321">
        <f>IFERROR(__xludf.DUMMYFUNCTION("""COMPUTED_VALUE"""),1.0)</f>
        <v/>
      </c>
      <c r="S321">
        <f>IFERROR(__xludf.DUMMYFUNCTION("""COMPUTED_VALUE"""),30.0)</f>
        <v/>
      </c>
      <c r="T321">
        <f>IFERROR(__xludf.DUMMYFUNCTION("""COMPUTED_VALUE"""),"1.00")</f>
        <v/>
      </c>
      <c r="U321">
        <f>IFERROR(__xludf.DUMMYFUNCTION("""COMPUTED_VALUE"""),"0.50")</f>
        <v/>
      </c>
      <c r="V321">
        <f>IFERROR(__xludf.DUMMYFUNCTION("""COMPUTED_VALUE"""),50.0)</f>
        <v/>
      </c>
      <c r="Y321">
        <f>IFERROR(__xludf.DUMMYFUNCTION("""COMPUTED_VALUE"""),"特殊効果なし")</f>
        <v/>
      </c>
      <c r="Z321">
        <f>IFERROR(__xludf.DUMMYFUNCTION("""COMPUTED_VALUE"""),"-")</f>
        <v/>
      </c>
      <c r="AB321">
        <f>IFERROR(__xludf.DUMMYFUNCTION("""COMPUTED_VALUE"""),"dageki_1")</f>
        <v/>
      </c>
    </row>
    <row r="322">
      <c r="D322">
        <f>IFERROR(__xludf.DUMMYFUNCTION("""COMPUTED_VALUE"""),"___")</f>
        <v/>
      </c>
      <c r="E322">
        <f>IFERROR(__xludf.DUMMYFUNCTION("""COMPUTED_VALUE"""),"none")</f>
        <v/>
      </c>
      <c r="F322">
        <f>IFERROR(__xludf.DUMMYFUNCTION("""COMPUTED_VALUE"""),"none")</f>
        <v/>
      </c>
      <c r="G322">
        <f>IFERROR(__xludf.DUMMYFUNCTION("""COMPUTED_VALUE"""),"none")</f>
        <v/>
      </c>
      <c r="I322">
        <f>IFERROR(__xludf.DUMMYFUNCTION("""COMPUTED_VALUE"""),"none")</f>
        <v/>
      </c>
      <c r="T322">
        <f>IFERROR(__xludf.DUMMYFUNCTION("""COMPUTED_VALUE"""),"none")</f>
        <v/>
      </c>
      <c r="U322">
        <f>IFERROR(__xludf.DUMMYFUNCTION("""COMPUTED_VALUE"""),"none")</f>
        <v/>
      </c>
      <c r="W322">
        <f>IFERROR(__xludf.DUMMYFUNCTION("""COMPUTED_VALUE"""),"none")</f>
        <v/>
      </c>
      <c r="X322">
        <f>IFERROR(__xludf.DUMMYFUNCTION("""COMPUTED_VALUE"""),"none")</f>
        <v/>
      </c>
      <c r="Z322">
        <f>IFERROR(__xludf.DUMMYFUNCTION("""COMPUTED_VALUE"""),"-")</f>
        <v/>
      </c>
      <c r="AB322">
        <f>IFERROR(__xludf.DUMMYFUNCTION("""COMPUTED_VALUE"""),"none")</f>
        <v/>
      </c>
    </row>
    <row r="323">
      <c r="B323">
        <f>IFERROR(__xludf.DUMMYFUNCTION("""COMPUTED_VALUE"""),"enemy_glo_00001")</f>
        <v/>
      </c>
      <c r="C323">
        <f>IFERROR(__xludf.DUMMYFUNCTION("""COMPUTED_VALUE"""),"_kim1_savage")</f>
        <v/>
      </c>
      <c r="D323">
        <f>IFERROR(__xludf.DUMMYFUNCTION("""COMPUTED_VALUE"""),"e_glo_00001_kim1_savage_Normal_Blue")</f>
        <v/>
      </c>
      <c r="E323">
        <f>IFERROR(__xludf.DUMMYFUNCTION("""COMPUTED_VALUE"""),"GLOW")</f>
        <v/>
      </c>
      <c r="F323">
        <f>IFERROR(__xludf.DUMMYFUNCTION("""COMPUTED_VALUE"""),"ファントム")</f>
        <v/>
      </c>
      <c r="G323">
        <f>IFERROR(__xludf.DUMMYFUNCTION("""COMPUTED_VALUE"""),"ファントム_kim1_savage")</f>
        <v/>
      </c>
      <c r="H323">
        <f>IFERROR(__xludf.DUMMYFUNCTION("""COMPUTED_VALUE"""),"Normal")</f>
        <v/>
      </c>
      <c r="I323">
        <f>IFERROR(__xludf.DUMMYFUNCTION("""COMPUTED_VALUE"""),"Defense")</f>
        <v/>
      </c>
      <c r="J323">
        <f>IFERROR(__xludf.DUMMYFUNCTION("""COMPUTED_VALUE"""),"Blue")</f>
        <v/>
      </c>
      <c r="K323">
        <f>IFERROR(__xludf.DUMMYFUNCTION("""COMPUTED_VALUE"""),100000.0)</f>
        <v/>
      </c>
      <c r="L323">
        <f>IFERROR(__xludf.DUMMYFUNCTION("""COMPUTED_VALUE"""),2.0)</f>
        <v/>
      </c>
      <c r="M323">
        <f>IFERROR(__xludf.DUMMYFUNCTION("""COMPUTED_VALUE"""),32.0)</f>
        <v/>
      </c>
      <c r="N323">
        <f>IFERROR(__xludf.DUMMYFUNCTION("""COMPUTED_VALUE"""),0.17)</f>
        <v/>
      </c>
      <c r="O323">
        <f>IFERROR(__xludf.DUMMYFUNCTION("""COMPUTED_VALUE"""),200.0)</f>
        <v/>
      </c>
      <c r="P323">
        <f>IFERROR(__xludf.DUMMYFUNCTION("""COMPUTED_VALUE"""),0.0)</f>
        <v/>
      </c>
      <c r="Q323">
        <f>IFERROR(__xludf.DUMMYFUNCTION("""COMPUTED_VALUE"""),0.18)</f>
        <v/>
      </c>
      <c r="R323">
        <f>IFERROR(__xludf.DUMMYFUNCTION("""COMPUTED_VALUE"""),1.0)</f>
        <v/>
      </c>
      <c r="S323">
        <f>IFERROR(__xludf.DUMMYFUNCTION("""COMPUTED_VALUE"""),30.0)</f>
        <v/>
      </c>
      <c r="T323">
        <f>IFERROR(__xludf.DUMMYFUNCTION("""COMPUTED_VALUE"""),"1.00")</f>
        <v/>
      </c>
      <c r="U323">
        <f>IFERROR(__xludf.DUMMYFUNCTION("""COMPUTED_VALUE"""),"0.50")</f>
        <v/>
      </c>
      <c r="V323">
        <f>IFERROR(__xludf.DUMMYFUNCTION("""COMPUTED_VALUE"""),30.0)</f>
        <v/>
      </c>
      <c r="Z323">
        <f>IFERROR(__xludf.DUMMYFUNCTION("""COMPUTED_VALUE"""),"-")</f>
        <v/>
      </c>
      <c r="AB323">
        <f>IFERROR(__xludf.DUMMYFUNCTION("""COMPUTED_VALUE"""),"dageki_1")</f>
        <v/>
      </c>
    </row>
    <row r="324">
      <c r="B324">
        <f>IFERROR(__xludf.DUMMYFUNCTION("""COMPUTED_VALUE"""),"chara_kim_00101")</f>
        <v/>
      </c>
      <c r="C324">
        <f>IFERROR(__xludf.DUMMYFUNCTION("""COMPUTED_VALUE"""),"_kim1_savage01")</f>
        <v/>
      </c>
      <c r="D324">
        <f>IFERROR(__xludf.DUMMYFUNCTION("""COMPUTED_VALUE"""),"c_kim_00101_kim1_savage01_Boss_Blue")</f>
        <v/>
      </c>
      <c r="E324">
        <f>IFERROR(__xludf.DUMMYFUNCTION("""COMPUTED_VALUE"""),"君のことが大大大大大好きな100人の彼女")</f>
        <v/>
      </c>
      <c r="F324">
        <f>IFERROR(__xludf.DUMMYFUNCTION("""COMPUTED_VALUE"""),"花園 羽香里")</f>
        <v/>
      </c>
      <c r="G324">
        <f>IFERROR(__xludf.DUMMYFUNCTION("""COMPUTED_VALUE"""),"花園羽香里_kim1_savage01")</f>
        <v/>
      </c>
      <c r="H324">
        <f>IFERROR(__xludf.DUMMYFUNCTION("""COMPUTED_VALUE"""),"Boss")</f>
        <v/>
      </c>
      <c r="I324">
        <f>IFERROR(__xludf.DUMMYFUNCTION("""COMPUTED_VALUE"""),"Attack")</f>
        <v/>
      </c>
      <c r="J324">
        <f>IFERROR(__xludf.DUMMYFUNCTION("""COMPUTED_VALUE"""),"Blue")</f>
        <v/>
      </c>
      <c r="K324">
        <f>IFERROR(__xludf.DUMMYFUNCTION("""COMPUTED_VALUE"""),100000.0)</f>
        <v/>
      </c>
      <c r="L324">
        <f>IFERROR(__xludf.DUMMYFUNCTION("""COMPUTED_VALUE"""),2.0)</f>
        <v/>
      </c>
      <c r="M324">
        <f>IFERROR(__xludf.DUMMYFUNCTION("""COMPUTED_VALUE"""),30.0)</f>
        <v/>
      </c>
      <c r="N324">
        <f>IFERROR(__xludf.DUMMYFUNCTION("""COMPUTED_VALUE"""),0.27)</f>
        <v/>
      </c>
      <c r="O324">
        <f>IFERROR(__xludf.DUMMYFUNCTION("""COMPUTED_VALUE"""),500.0)</f>
        <v/>
      </c>
      <c r="P324">
        <f>IFERROR(__xludf.DUMMYFUNCTION("""COMPUTED_VALUE"""),0.0)</f>
        <v/>
      </c>
      <c r="Q324">
        <f>IFERROR(__xludf.DUMMYFUNCTION("""COMPUTED_VALUE"""),0.28)</f>
        <v/>
      </c>
      <c r="R324">
        <f>IFERROR(__xludf.DUMMYFUNCTION("""COMPUTED_VALUE"""),1.0)</f>
        <v/>
      </c>
      <c r="S324">
        <f>IFERROR(__xludf.DUMMYFUNCTION("""COMPUTED_VALUE"""),200.0)</f>
        <v/>
      </c>
      <c r="T324">
        <f>IFERROR(__xludf.DUMMYFUNCTION("""COMPUTED_VALUE"""),"1.23")</f>
        <v/>
      </c>
      <c r="U324">
        <f>IFERROR(__xludf.DUMMYFUNCTION("""COMPUTED_VALUE"""),"stop有:1回目 0.25")</f>
        <v/>
      </c>
      <c r="V324">
        <f>IFERROR(__xludf.DUMMYFUNCTION("""COMPUTED_VALUE"""),40.0)</f>
        <v/>
      </c>
      <c r="W324">
        <f>IFERROR(__xludf.DUMMYFUNCTION("""COMPUTED_VALUE"""),"3.5")</f>
        <v/>
      </c>
      <c r="X324">
        <f>IFERROR(__xludf.DUMMYFUNCTION("""COMPUTED_VALUE"""),"stop無:1回目 1.11
stop無:2回目 1.33
stop無:3回目 1.53
stop無:4回目 1.75
stop有:5回目 1.93")</f>
        <v/>
      </c>
      <c r="Y324">
        <f>IFERROR(__xludf.DUMMYFUNCTION("""COMPUTED_VALUE"""),"範囲に300%のダメージ+自身の攻撃を10秒間、10%Up")</f>
        <v/>
      </c>
      <c r="Z324">
        <f>IFERROR(__xludf.DUMMYFUNCTION("""COMPUTED_VALUE"""),7.0)</f>
        <v/>
      </c>
      <c r="AB324">
        <f>IFERROR(__xludf.DUMMYFUNCTION("""COMPUTED_VALUE"""),"dageki_1")</f>
        <v/>
      </c>
    </row>
    <row r="325">
      <c r="B325">
        <f>IFERROR(__xludf.DUMMYFUNCTION("""COMPUTED_VALUE"""),"chara_kim_00201")</f>
        <v/>
      </c>
      <c r="C325">
        <f>IFERROR(__xludf.DUMMYFUNCTION("""COMPUTED_VALUE"""),"_kim1_savage01")</f>
        <v/>
      </c>
      <c r="D325">
        <f>IFERROR(__xludf.DUMMYFUNCTION("""COMPUTED_VALUE"""),"c_kim_00201_kim1_savage01_Boss_Blue")</f>
        <v/>
      </c>
      <c r="E325">
        <f>IFERROR(__xludf.DUMMYFUNCTION("""COMPUTED_VALUE"""),"君のことが大大大大大好きな100人の彼女")</f>
        <v/>
      </c>
      <c r="F325">
        <f>IFERROR(__xludf.DUMMYFUNCTION("""COMPUTED_VALUE"""),"院田 唐音")</f>
        <v/>
      </c>
      <c r="G325">
        <f>IFERROR(__xludf.DUMMYFUNCTION("""COMPUTED_VALUE"""),"院田唐音_kim1_savage01")</f>
        <v/>
      </c>
      <c r="H325">
        <f>IFERROR(__xludf.DUMMYFUNCTION("""COMPUTED_VALUE"""),"Boss")</f>
        <v/>
      </c>
      <c r="I325">
        <f>IFERROR(__xludf.DUMMYFUNCTION("""COMPUTED_VALUE"""),"Technical")</f>
        <v/>
      </c>
      <c r="J325">
        <f>IFERROR(__xludf.DUMMYFUNCTION("""COMPUTED_VALUE"""),"Blue")</f>
        <v/>
      </c>
      <c r="K325">
        <f>IFERROR(__xludf.DUMMYFUNCTION("""COMPUTED_VALUE"""),100000.0)</f>
        <v/>
      </c>
      <c r="L325">
        <f>IFERROR(__xludf.DUMMYFUNCTION("""COMPUTED_VALUE"""),2.0)</f>
        <v/>
      </c>
      <c r="M325">
        <f>IFERROR(__xludf.DUMMYFUNCTION("""COMPUTED_VALUE"""),35.0)</f>
        <v/>
      </c>
      <c r="N325">
        <f>IFERROR(__xludf.DUMMYFUNCTION("""COMPUTED_VALUE"""),0.3)</f>
        <v/>
      </c>
      <c r="O325">
        <f>IFERROR(__xludf.DUMMYFUNCTION("""COMPUTED_VALUE"""),500.0)</f>
        <v/>
      </c>
      <c r="P325">
        <f>IFERROR(__xludf.DUMMYFUNCTION("""COMPUTED_VALUE"""),0.0)</f>
        <v/>
      </c>
      <c r="Q325">
        <f>IFERROR(__xludf.DUMMYFUNCTION("""COMPUTED_VALUE"""),0.31)</f>
        <v/>
      </c>
      <c r="R325">
        <f>IFERROR(__xludf.DUMMYFUNCTION("""COMPUTED_VALUE"""),1.0)</f>
        <v/>
      </c>
      <c r="S325">
        <f>IFERROR(__xludf.DUMMYFUNCTION("""COMPUTED_VALUE"""),200.0)</f>
        <v/>
      </c>
      <c r="T325">
        <f>IFERROR(__xludf.DUMMYFUNCTION("""COMPUTED_VALUE"""),"1.37")</f>
        <v/>
      </c>
      <c r="U325">
        <f>IFERROR(__xludf.DUMMYFUNCTION("""COMPUTED_VALUE"""),"stop有:1回目 0.2")</f>
        <v/>
      </c>
      <c r="V325">
        <f>IFERROR(__xludf.DUMMYFUNCTION("""COMPUTED_VALUE"""),80.0)</f>
        <v/>
      </c>
      <c r="W325">
        <f>IFERROR(__xludf.DUMMYFUNCTION("""COMPUTED_VALUE"""),"2.4")</f>
        <v/>
      </c>
      <c r="X325">
        <f>IFERROR(__xludf.DUMMYFUNCTION("""COMPUTED_VALUE"""),"stop無 :1回目 1.2")</f>
        <v/>
      </c>
      <c r="Y325">
        <f>IFERROR(__xludf.DUMMYFUNCTION("""COMPUTED_VALUE"""),"範囲に100%ダメージ+攻撃20%Down")</f>
        <v/>
      </c>
      <c r="Z325">
        <f>IFERROR(__xludf.DUMMYFUNCTION("""COMPUTED_VALUE"""),5.0)</f>
        <v/>
      </c>
      <c r="AB325">
        <f>IFERROR(__xludf.DUMMYFUNCTION("""COMPUTED_VALUE"""),"dageki_1")</f>
        <v/>
      </c>
      <c r="AD325">
        <f>IFERROR(__xludf.DUMMYFUNCTION("""COMPUTED_VALUE"""),"ノックバックなし")</f>
        <v/>
      </c>
    </row>
    <row r="326">
      <c r="B326">
        <f>IFERROR(__xludf.DUMMYFUNCTION("""COMPUTED_VALUE"""),"enemy_glo_00001")</f>
        <v/>
      </c>
      <c r="C326">
        <f>IFERROR(__xludf.DUMMYFUNCTION("""COMPUTED_VALUE"""),"_kim1_savage")</f>
        <v/>
      </c>
      <c r="D326">
        <f>IFERROR(__xludf.DUMMYFUNCTION("""COMPUTED_VALUE"""),"e_glo_00001_kim1_savage_Normal_Yellow")</f>
        <v/>
      </c>
      <c r="E326">
        <f>IFERROR(__xludf.DUMMYFUNCTION("""COMPUTED_VALUE"""),"GLOW")</f>
        <v/>
      </c>
      <c r="F326">
        <f>IFERROR(__xludf.DUMMYFUNCTION("""COMPUTED_VALUE"""),"ファントム")</f>
        <v/>
      </c>
      <c r="G326">
        <f>IFERROR(__xludf.DUMMYFUNCTION("""COMPUTED_VALUE"""),"ファントム_kim1_savage")</f>
        <v/>
      </c>
      <c r="H326">
        <f>IFERROR(__xludf.DUMMYFUNCTION("""COMPUTED_VALUE"""),"Normal")</f>
        <v/>
      </c>
      <c r="I326">
        <f>IFERROR(__xludf.DUMMYFUNCTION("""COMPUTED_VALUE"""),"Attack")</f>
        <v/>
      </c>
      <c r="J326">
        <f>IFERROR(__xludf.DUMMYFUNCTION("""COMPUTED_VALUE"""),"Yellow")</f>
        <v/>
      </c>
      <c r="K326">
        <f>IFERROR(__xludf.DUMMYFUNCTION("""COMPUTED_VALUE"""),100000.0)</f>
        <v/>
      </c>
      <c r="L326">
        <f>IFERROR(__xludf.DUMMYFUNCTION("""COMPUTED_VALUE"""),2.0)</f>
        <v/>
      </c>
      <c r="M326">
        <f>IFERROR(__xludf.DUMMYFUNCTION("""COMPUTED_VALUE"""),40.0)</f>
        <v/>
      </c>
      <c r="N326">
        <f>IFERROR(__xludf.DUMMYFUNCTION("""COMPUTED_VALUE"""),0.2)</f>
        <v/>
      </c>
      <c r="O326">
        <f>IFERROR(__xludf.DUMMYFUNCTION("""COMPUTED_VALUE"""),200.0)</f>
        <v/>
      </c>
      <c r="P326">
        <f>IFERROR(__xludf.DUMMYFUNCTION("""COMPUTED_VALUE"""),0.0)</f>
        <v/>
      </c>
      <c r="Q326">
        <f>IFERROR(__xludf.DUMMYFUNCTION("""COMPUTED_VALUE"""),0.21)</f>
        <v/>
      </c>
      <c r="R326">
        <f>IFERROR(__xludf.DUMMYFUNCTION("""COMPUTED_VALUE"""),1.0)</f>
        <v/>
      </c>
      <c r="S326">
        <f>IFERROR(__xludf.DUMMYFUNCTION("""COMPUTED_VALUE"""),30.0)</f>
        <v/>
      </c>
      <c r="T326">
        <f>IFERROR(__xludf.DUMMYFUNCTION("""COMPUTED_VALUE"""),"1.00")</f>
        <v/>
      </c>
      <c r="U326">
        <f>IFERROR(__xludf.DUMMYFUNCTION("""COMPUTED_VALUE"""),"0.50")</f>
        <v/>
      </c>
      <c r="V326">
        <f>IFERROR(__xludf.DUMMYFUNCTION("""COMPUTED_VALUE"""),30.0)</f>
        <v/>
      </c>
      <c r="Z326">
        <f>IFERROR(__xludf.DUMMYFUNCTION("""COMPUTED_VALUE"""),"-")</f>
        <v/>
      </c>
      <c r="AB326">
        <f>IFERROR(__xludf.DUMMYFUNCTION("""COMPUTED_VALUE"""),"dageki_1")</f>
        <v/>
      </c>
    </row>
    <row r="327">
      <c r="B327">
        <f>IFERROR(__xludf.DUMMYFUNCTION("""COMPUTED_VALUE"""),"chara_kim_00101")</f>
        <v/>
      </c>
      <c r="C327">
        <f>IFERROR(__xludf.DUMMYFUNCTION("""COMPUTED_VALUE"""),"_kim1_savage02")</f>
        <v/>
      </c>
      <c r="D327">
        <f>IFERROR(__xludf.DUMMYFUNCTION("""COMPUTED_VALUE"""),"c_kim_00101_kim1_savage02_Boss_Yellow")</f>
        <v/>
      </c>
      <c r="E327">
        <f>IFERROR(__xludf.DUMMYFUNCTION("""COMPUTED_VALUE"""),"君のことが大大大大大好きな100人の彼女")</f>
        <v/>
      </c>
      <c r="F327">
        <f>IFERROR(__xludf.DUMMYFUNCTION("""COMPUTED_VALUE"""),"花園 羽香里")</f>
        <v/>
      </c>
      <c r="G327">
        <f>IFERROR(__xludf.DUMMYFUNCTION("""COMPUTED_VALUE"""),"花園羽香里_kim1_savage02")</f>
        <v/>
      </c>
      <c r="H327">
        <f>IFERROR(__xludf.DUMMYFUNCTION("""COMPUTED_VALUE"""),"Boss")</f>
        <v/>
      </c>
      <c r="I327">
        <f>IFERROR(__xludf.DUMMYFUNCTION("""COMPUTED_VALUE"""),"Defense")</f>
        <v/>
      </c>
      <c r="J327">
        <f>IFERROR(__xludf.DUMMYFUNCTION("""COMPUTED_VALUE"""),"Yellow")</f>
        <v/>
      </c>
      <c r="K327">
        <f>IFERROR(__xludf.DUMMYFUNCTION("""COMPUTED_VALUE"""),100000.0)</f>
        <v/>
      </c>
      <c r="L327">
        <f>IFERROR(__xludf.DUMMYFUNCTION("""COMPUTED_VALUE"""),2.0)</f>
        <v/>
      </c>
      <c r="M327">
        <f>IFERROR(__xludf.DUMMYFUNCTION("""COMPUTED_VALUE"""),30.0)</f>
        <v/>
      </c>
      <c r="N327">
        <f>IFERROR(__xludf.DUMMYFUNCTION("""COMPUTED_VALUE"""),0.17)</f>
        <v/>
      </c>
      <c r="O327">
        <f>IFERROR(__xludf.DUMMYFUNCTION("""COMPUTED_VALUE"""),500.0)</f>
        <v/>
      </c>
      <c r="P327">
        <f>IFERROR(__xludf.DUMMYFUNCTION("""COMPUTED_VALUE"""),0.0)</f>
        <v/>
      </c>
      <c r="Q327">
        <f>IFERROR(__xludf.DUMMYFUNCTION("""COMPUTED_VALUE"""),0.18)</f>
        <v/>
      </c>
      <c r="R327">
        <f>IFERROR(__xludf.DUMMYFUNCTION("""COMPUTED_VALUE"""),1.0)</f>
        <v/>
      </c>
      <c r="S327">
        <f>IFERROR(__xludf.DUMMYFUNCTION("""COMPUTED_VALUE"""),200.0)</f>
        <v/>
      </c>
      <c r="T327">
        <f>IFERROR(__xludf.DUMMYFUNCTION("""COMPUTED_VALUE"""),"1.23")</f>
        <v/>
      </c>
      <c r="U327">
        <f>IFERROR(__xludf.DUMMYFUNCTION("""COMPUTED_VALUE"""),"stop有:1回目 0.25")</f>
        <v/>
      </c>
      <c r="V327">
        <f>IFERROR(__xludf.DUMMYFUNCTION("""COMPUTED_VALUE"""),60.0)</f>
        <v/>
      </c>
      <c r="W327">
        <f>IFERROR(__xludf.DUMMYFUNCTION("""COMPUTED_VALUE"""),"3.5")</f>
        <v/>
      </c>
      <c r="X327">
        <f>IFERROR(__xludf.DUMMYFUNCTION("""COMPUTED_VALUE"""),"stop無:1回目 1.11
stop無:2回目 1.33
stop無:3回目 1.53
stop無:4回目 1.75
stop有:5回目 1.93")</f>
        <v/>
      </c>
      <c r="Y327">
        <f>IFERROR(__xludf.DUMMYFUNCTION("""COMPUTED_VALUE"""),"範囲に150%のダメージ+20秒間、自身が受けるダメージ30%カット")</f>
        <v/>
      </c>
      <c r="Z327">
        <f>IFERROR(__xludf.DUMMYFUNCTION("""COMPUTED_VALUE"""),5.0)</f>
        <v/>
      </c>
      <c r="AB327">
        <f>IFERROR(__xludf.DUMMYFUNCTION("""COMPUTED_VALUE"""),"dageki_1")</f>
        <v/>
      </c>
    </row>
    <row r="328">
      <c r="B328">
        <f>IFERROR(__xludf.DUMMYFUNCTION("""COMPUTED_VALUE"""),"chara_kim_00201")</f>
        <v/>
      </c>
      <c r="C328">
        <f>IFERROR(__xludf.DUMMYFUNCTION("""COMPUTED_VALUE"""),"_kim1_savage02")</f>
        <v/>
      </c>
      <c r="D328">
        <f>IFERROR(__xludf.DUMMYFUNCTION("""COMPUTED_VALUE"""),"c_kim_00201_kim1_savage02_Boss_Yellow")</f>
        <v/>
      </c>
      <c r="E328">
        <f>IFERROR(__xludf.DUMMYFUNCTION("""COMPUTED_VALUE"""),"君のことが大大大大大好きな100人の彼女")</f>
        <v/>
      </c>
      <c r="F328">
        <f>IFERROR(__xludf.DUMMYFUNCTION("""COMPUTED_VALUE"""),"院田 唐音")</f>
        <v/>
      </c>
      <c r="G328">
        <f>IFERROR(__xludf.DUMMYFUNCTION("""COMPUTED_VALUE"""),"院田唐音_kim1_savage02")</f>
        <v/>
      </c>
      <c r="H328">
        <f>IFERROR(__xludf.DUMMYFUNCTION("""COMPUTED_VALUE"""),"Boss")</f>
        <v/>
      </c>
      <c r="I328">
        <f>IFERROR(__xludf.DUMMYFUNCTION("""COMPUTED_VALUE"""),"Technical")</f>
        <v/>
      </c>
      <c r="J328">
        <f>IFERROR(__xludf.DUMMYFUNCTION("""COMPUTED_VALUE"""),"Yellow")</f>
        <v/>
      </c>
      <c r="K328">
        <f>IFERROR(__xludf.DUMMYFUNCTION("""COMPUTED_VALUE"""),100000.0)</f>
        <v/>
      </c>
      <c r="L328">
        <f>IFERROR(__xludf.DUMMYFUNCTION("""COMPUTED_VALUE"""),2.0)</f>
        <v/>
      </c>
      <c r="M328">
        <f>IFERROR(__xludf.DUMMYFUNCTION("""COMPUTED_VALUE"""),35.0)</f>
        <v/>
      </c>
      <c r="N328">
        <f>IFERROR(__xludf.DUMMYFUNCTION("""COMPUTED_VALUE"""),0.25)</f>
        <v/>
      </c>
      <c r="O328">
        <f>IFERROR(__xludf.DUMMYFUNCTION("""COMPUTED_VALUE"""),500.0)</f>
        <v/>
      </c>
      <c r="P328">
        <f>IFERROR(__xludf.DUMMYFUNCTION("""COMPUTED_VALUE"""),0.0)</f>
        <v/>
      </c>
      <c r="Q328">
        <f>IFERROR(__xludf.DUMMYFUNCTION("""COMPUTED_VALUE"""),0.26)</f>
        <v/>
      </c>
      <c r="R328">
        <f>IFERROR(__xludf.DUMMYFUNCTION("""COMPUTED_VALUE"""),1.0)</f>
        <v/>
      </c>
      <c r="S328">
        <f>IFERROR(__xludf.DUMMYFUNCTION("""COMPUTED_VALUE"""),200.0)</f>
        <v/>
      </c>
      <c r="T328">
        <f>IFERROR(__xludf.DUMMYFUNCTION("""COMPUTED_VALUE"""),"1.37")</f>
        <v/>
      </c>
      <c r="U328">
        <f>IFERROR(__xludf.DUMMYFUNCTION("""COMPUTED_VALUE"""),"stop有:1回目 0.2")</f>
        <v/>
      </c>
      <c r="V328">
        <f>IFERROR(__xludf.DUMMYFUNCTION("""COMPUTED_VALUE"""),80.0)</f>
        <v/>
      </c>
      <c r="W328">
        <f>IFERROR(__xludf.DUMMYFUNCTION("""COMPUTED_VALUE"""),"2.4")</f>
        <v/>
      </c>
      <c r="X328">
        <f>IFERROR(__xludf.DUMMYFUNCTION("""COMPUTED_VALUE"""),"stop無 :1回目 1.2")</f>
        <v/>
      </c>
      <c r="Y328">
        <f>IFERROR(__xludf.DUMMYFUNCTION("""COMPUTED_VALUE"""),"範囲に100%ダメージ+攻撃20%Down")</f>
        <v/>
      </c>
      <c r="Z328">
        <f>IFERROR(__xludf.DUMMYFUNCTION("""COMPUTED_VALUE"""),5.0)</f>
        <v/>
      </c>
      <c r="AB328">
        <f>IFERROR(__xludf.DUMMYFUNCTION("""COMPUTED_VALUE"""),"dageki_1")</f>
        <v/>
      </c>
      <c r="AD328">
        <f>IFERROR(__xludf.DUMMYFUNCTION("""COMPUTED_VALUE"""),"ノックバックなし")</f>
        <v/>
      </c>
    </row>
    <row r="329">
      <c r="B329">
        <f>IFERROR(__xludf.DUMMYFUNCTION("""COMPUTED_VALUE"""),"chara_kim_00301")</f>
        <v/>
      </c>
      <c r="C329">
        <f>IFERROR(__xludf.DUMMYFUNCTION("""COMPUTED_VALUE"""),"_kim1_savage02")</f>
        <v/>
      </c>
      <c r="D329">
        <f>IFERROR(__xludf.DUMMYFUNCTION("""COMPUTED_VALUE"""),"c_kim_00301_kim1_savage02_Boss_Yellow")</f>
        <v/>
      </c>
      <c r="E329">
        <f>IFERROR(__xludf.DUMMYFUNCTION("""COMPUTED_VALUE"""),"君のことが大大大大大好きな100人の彼女")</f>
        <v/>
      </c>
      <c r="F329">
        <f>IFERROR(__xludf.DUMMYFUNCTION("""COMPUTED_VALUE"""),"好本 静")</f>
        <v/>
      </c>
      <c r="G329">
        <f>IFERROR(__xludf.DUMMYFUNCTION("""COMPUTED_VALUE"""),"好本 静_kim1_savage02")</f>
        <v/>
      </c>
      <c r="H329">
        <f>IFERROR(__xludf.DUMMYFUNCTION("""COMPUTED_VALUE"""),"Boss")</f>
        <v/>
      </c>
      <c r="I329">
        <f>IFERROR(__xludf.DUMMYFUNCTION("""COMPUTED_VALUE"""),"Support")</f>
        <v/>
      </c>
      <c r="J329">
        <f>IFERROR(__xludf.DUMMYFUNCTION("""COMPUTED_VALUE"""),"Yellow")</f>
        <v/>
      </c>
      <c r="K329">
        <f>IFERROR(__xludf.DUMMYFUNCTION("""COMPUTED_VALUE"""),100000.0)</f>
        <v/>
      </c>
      <c r="L329">
        <f>IFERROR(__xludf.DUMMYFUNCTION("""COMPUTED_VALUE"""),3.0)</f>
        <v/>
      </c>
      <c r="M329">
        <f>IFERROR(__xludf.DUMMYFUNCTION("""COMPUTED_VALUE"""),32.0)</f>
        <v/>
      </c>
      <c r="N329">
        <f>IFERROR(__xludf.DUMMYFUNCTION("""COMPUTED_VALUE"""),0.3)</f>
        <v/>
      </c>
      <c r="O329">
        <f>IFERROR(__xludf.DUMMYFUNCTION("""COMPUTED_VALUE"""),300.0)</f>
        <v/>
      </c>
      <c r="P329">
        <f>IFERROR(__xludf.DUMMYFUNCTION("""COMPUTED_VALUE"""),0.0)</f>
        <v/>
      </c>
      <c r="Q329">
        <f>IFERROR(__xludf.DUMMYFUNCTION("""COMPUTED_VALUE"""),0.31)</f>
        <v/>
      </c>
      <c r="R329">
        <f>IFERROR(__xludf.DUMMYFUNCTION("""COMPUTED_VALUE"""),1.0)</f>
        <v/>
      </c>
      <c r="S329">
        <f>IFERROR(__xludf.DUMMYFUNCTION("""COMPUTED_VALUE"""),200.0)</f>
        <v/>
      </c>
      <c r="T329">
        <f>IFERROR(__xludf.DUMMYFUNCTION("""COMPUTED_VALUE"""),"1.75")</f>
        <v/>
      </c>
      <c r="U329">
        <f>IFERROR(__xludf.DUMMYFUNCTION("""COMPUTED_VALUE"""),"stop有:1回目 0.78")</f>
        <v/>
      </c>
      <c r="V329">
        <f>IFERROR(__xludf.DUMMYFUNCTION("""COMPUTED_VALUE"""),75.0)</f>
        <v/>
      </c>
      <c r="W329">
        <f>IFERROR(__xludf.DUMMYFUNCTION("""COMPUTED_VALUE"""),"3.6")</f>
        <v/>
      </c>
      <c r="X329">
        <f>IFERROR(__xludf.DUMMYFUNCTION("""COMPUTED_VALUE"""),"stop無 :1回目 1.2")</f>
        <v/>
      </c>
      <c r="Y329">
        <f>IFERROR(__xludf.DUMMYFUNCTION("""COMPUTED_VALUE"""),"敵全体の体力を20%回復")</f>
        <v/>
      </c>
      <c r="Z329">
        <f>IFERROR(__xludf.DUMMYFUNCTION("""COMPUTED_VALUE"""),4.0)</f>
        <v/>
      </c>
      <c r="AB329">
        <f>IFERROR(__xludf.DUMMYFUNCTION("""COMPUTED_VALUE"""),"dageki_1")</f>
        <v/>
      </c>
      <c r="AD329">
        <f>IFERROR(__xludf.DUMMYFUNCTION("""COMPUTED_VALUE"""),"ノックバックなし")</f>
        <v/>
      </c>
    </row>
    <row r="330">
      <c r="B330">
        <f>IFERROR(__xludf.DUMMYFUNCTION("""COMPUTED_VALUE"""),"enemy_glo_00001")</f>
        <v/>
      </c>
      <c r="C330">
        <f>IFERROR(__xludf.DUMMYFUNCTION("""COMPUTED_VALUE"""),"_kim1_savage")</f>
        <v/>
      </c>
      <c r="D330">
        <f>IFERROR(__xludf.DUMMYFUNCTION("""COMPUTED_VALUE"""),"e_glo_00001_kim1_savage_Normal_Red")</f>
        <v/>
      </c>
      <c r="E330">
        <f>IFERROR(__xludf.DUMMYFUNCTION("""COMPUTED_VALUE"""),"GLOW")</f>
        <v/>
      </c>
      <c r="F330">
        <f>IFERROR(__xludf.DUMMYFUNCTION("""COMPUTED_VALUE"""),"ファントム")</f>
        <v/>
      </c>
      <c r="G330">
        <f>IFERROR(__xludf.DUMMYFUNCTION("""COMPUTED_VALUE"""),"ファントム_kim1_savage")</f>
        <v/>
      </c>
      <c r="H330">
        <f>IFERROR(__xludf.DUMMYFUNCTION("""COMPUTED_VALUE"""),"Normal")</f>
        <v/>
      </c>
      <c r="I330">
        <f>IFERROR(__xludf.DUMMYFUNCTION("""COMPUTED_VALUE"""),"Attack")</f>
        <v/>
      </c>
      <c r="J330">
        <f>IFERROR(__xludf.DUMMYFUNCTION("""COMPUTED_VALUE"""),"Red")</f>
        <v/>
      </c>
      <c r="K330">
        <f>IFERROR(__xludf.DUMMYFUNCTION("""COMPUTED_VALUE"""),100000.0)</f>
        <v/>
      </c>
      <c r="L330">
        <f>IFERROR(__xludf.DUMMYFUNCTION("""COMPUTED_VALUE"""),2.0)</f>
        <v/>
      </c>
      <c r="M330">
        <f>IFERROR(__xludf.DUMMYFUNCTION("""COMPUTED_VALUE"""),40.0)</f>
        <v/>
      </c>
      <c r="N330">
        <f>IFERROR(__xludf.DUMMYFUNCTION("""COMPUTED_VALUE"""),0.2)</f>
        <v/>
      </c>
      <c r="O330">
        <f>IFERROR(__xludf.DUMMYFUNCTION("""COMPUTED_VALUE"""),200.0)</f>
        <v/>
      </c>
      <c r="P330">
        <f>IFERROR(__xludf.DUMMYFUNCTION("""COMPUTED_VALUE"""),0.0)</f>
        <v/>
      </c>
      <c r="Q330">
        <f>IFERROR(__xludf.DUMMYFUNCTION("""COMPUTED_VALUE"""),0.21)</f>
        <v/>
      </c>
      <c r="R330">
        <f>IFERROR(__xludf.DUMMYFUNCTION("""COMPUTED_VALUE"""),1.0)</f>
        <v/>
      </c>
      <c r="S330">
        <f>IFERROR(__xludf.DUMMYFUNCTION("""COMPUTED_VALUE"""),30.0)</f>
        <v/>
      </c>
      <c r="T330">
        <f>IFERROR(__xludf.DUMMYFUNCTION("""COMPUTED_VALUE"""),"1.00")</f>
        <v/>
      </c>
      <c r="U330">
        <f>IFERROR(__xludf.DUMMYFUNCTION("""COMPUTED_VALUE"""),"0.50")</f>
        <v/>
      </c>
      <c r="V330">
        <f>IFERROR(__xludf.DUMMYFUNCTION("""COMPUTED_VALUE"""),30.0)</f>
        <v/>
      </c>
      <c r="Z330">
        <f>IFERROR(__xludf.DUMMYFUNCTION("""COMPUTED_VALUE"""),"-")</f>
        <v/>
      </c>
      <c r="AB330">
        <f>IFERROR(__xludf.DUMMYFUNCTION("""COMPUTED_VALUE"""),"dageki_1")</f>
        <v/>
      </c>
    </row>
    <row r="331">
      <c r="B331">
        <f>IFERROR(__xludf.DUMMYFUNCTION("""COMPUTED_VALUE"""),"chara_kim_00101")</f>
        <v/>
      </c>
      <c r="C331">
        <f>IFERROR(__xludf.DUMMYFUNCTION("""COMPUTED_VALUE"""),"_kim1_savage03")</f>
        <v/>
      </c>
      <c r="D331">
        <f>IFERROR(__xludf.DUMMYFUNCTION("""COMPUTED_VALUE"""),"c_kim_00101_kim1_savage03_Boss_Red")</f>
        <v/>
      </c>
      <c r="E331">
        <f>IFERROR(__xludf.DUMMYFUNCTION("""COMPUTED_VALUE"""),"君のことが大大大大大好きな100人の彼女")</f>
        <v/>
      </c>
      <c r="F331">
        <f>IFERROR(__xludf.DUMMYFUNCTION("""COMPUTED_VALUE"""),"花園 羽香里")</f>
        <v/>
      </c>
      <c r="G331">
        <f>IFERROR(__xludf.DUMMYFUNCTION("""COMPUTED_VALUE"""),"花園羽香里_kim1_savage03")</f>
        <v/>
      </c>
      <c r="H331">
        <f>IFERROR(__xludf.DUMMYFUNCTION("""COMPUTED_VALUE"""),"Boss")</f>
        <v/>
      </c>
      <c r="I331">
        <f>IFERROR(__xludf.DUMMYFUNCTION("""COMPUTED_VALUE"""),"Attack")</f>
        <v/>
      </c>
      <c r="J331">
        <f>IFERROR(__xludf.DUMMYFUNCTION("""COMPUTED_VALUE"""),"Red")</f>
        <v/>
      </c>
      <c r="K331">
        <f>IFERROR(__xludf.DUMMYFUNCTION("""COMPUTED_VALUE"""),100000.0)</f>
        <v/>
      </c>
      <c r="L331">
        <f>IFERROR(__xludf.DUMMYFUNCTION("""COMPUTED_VALUE"""),2.0)</f>
        <v/>
      </c>
      <c r="M331">
        <f>IFERROR(__xludf.DUMMYFUNCTION("""COMPUTED_VALUE"""),30.0)</f>
        <v/>
      </c>
      <c r="N331">
        <f>IFERROR(__xludf.DUMMYFUNCTION("""COMPUTED_VALUE"""),0.23)</f>
        <v/>
      </c>
      <c r="O331">
        <f>IFERROR(__xludf.DUMMYFUNCTION("""COMPUTED_VALUE"""),500.0)</f>
        <v/>
      </c>
      <c r="P331">
        <f>IFERROR(__xludf.DUMMYFUNCTION("""COMPUTED_VALUE"""),0.0)</f>
        <v/>
      </c>
      <c r="Q331">
        <f>IFERROR(__xludf.DUMMYFUNCTION("""COMPUTED_VALUE"""),0.24)</f>
        <v/>
      </c>
      <c r="R331">
        <f>IFERROR(__xludf.DUMMYFUNCTION("""COMPUTED_VALUE"""),1.0)</f>
        <v/>
      </c>
      <c r="S331">
        <f>IFERROR(__xludf.DUMMYFUNCTION("""COMPUTED_VALUE"""),200.0)</f>
        <v/>
      </c>
      <c r="T331">
        <f>IFERROR(__xludf.DUMMYFUNCTION("""COMPUTED_VALUE"""),"1.23")</f>
        <v/>
      </c>
      <c r="U331">
        <f>IFERROR(__xludf.DUMMYFUNCTION("""COMPUTED_VALUE"""),"stop有:1回目 0.25")</f>
        <v/>
      </c>
      <c r="V331">
        <f>IFERROR(__xludf.DUMMYFUNCTION("""COMPUTED_VALUE"""),60.0)</f>
        <v/>
      </c>
      <c r="W331">
        <f>IFERROR(__xludf.DUMMYFUNCTION("""COMPUTED_VALUE"""),"3.5")</f>
        <v/>
      </c>
      <c r="X331">
        <f>IFERROR(__xludf.DUMMYFUNCTION("""COMPUTED_VALUE"""),"stop無:1回目 1.11
stop無:2回目 1.33
stop無:3回目 1.53
stop無:4回目 1.75
stop有:5回目 1.93")</f>
        <v/>
      </c>
      <c r="Y331">
        <f>IFERROR(__xludf.DUMMYFUNCTION("""COMPUTED_VALUE"""),"範囲に300%のダメージ")</f>
        <v/>
      </c>
      <c r="Z331">
        <f>IFERROR(__xludf.DUMMYFUNCTION("""COMPUTED_VALUE"""),5.0)</f>
        <v/>
      </c>
      <c r="AB331">
        <f>IFERROR(__xludf.DUMMYFUNCTION("""COMPUTED_VALUE"""),"dageki_1")</f>
        <v/>
      </c>
      <c r="AD331">
        <f>IFERROR(__xludf.DUMMYFUNCTION("""COMPUTED_VALUE"""),"ノックバックなし")</f>
        <v/>
      </c>
    </row>
    <row r="332">
      <c r="B332">
        <f>IFERROR(__xludf.DUMMYFUNCTION("""COMPUTED_VALUE"""),"chara_kim_00201")</f>
        <v/>
      </c>
      <c r="C332">
        <f>IFERROR(__xludf.DUMMYFUNCTION("""COMPUTED_VALUE"""),"_kim1_savage03")</f>
        <v/>
      </c>
      <c r="D332">
        <f>IFERROR(__xludf.DUMMYFUNCTION("""COMPUTED_VALUE"""),"c_kim_00201_kim1_savage03_Boss_Red")</f>
        <v/>
      </c>
      <c r="E332">
        <f>IFERROR(__xludf.DUMMYFUNCTION("""COMPUTED_VALUE"""),"君のことが大大大大大好きな100人の彼女")</f>
        <v/>
      </c>
      <c r="F332">
        <f>IFERROR(__xludf.DUMMYFUNCTION("""COMPUTED_VALUE"""),"院田 唐音")</f>
        <v/>
      </c>
      <c r="G332">
        <f>IFERROR(__xludf.DUMMYFUNCTION("""COMPUTED_VALUE"""),"院田唐音_kim1_savage03")</f>
        <v/>
      </c>
      <c r="H332">
        <f>IFERROR(__xludf.DUMMYFUNCTION("""COMPUTED_VALUE"""),"Boss")</f>
        <v/>
      </c>
      <c r="I332">
        <f>IFERROR(__xludf.DUMMYFUNCTION("""COMPUTED_VALUE"""),"Technical")</f>
        <v/>
      </c>
      <c r="J332">
        <f>IFERROR(__xludf.DUMMYFUNCTION("""COMPUTED_VALUE"""),"Red")</f>
        <v/>
      </c>
      <c r="K332">
        <f>IFERROR(__xludf.DUMMYFUNCTION("""COMPUTED_VALUE"""),100000.0)</f>
        <v/>
      </c>
      <c r="L332">
        <f>IFERROR(__xludf.DUMMYFUNCTION("""COMPUTED_VALUE"""),2.0)</f>
        <v/>
      </c>
      <c r="M332">
        <f>IFERROR(__xludf.DUMMYFUNCTION("""COMPUTED_VALUE"""),35.0)</f>
        <v/>
      </c>
      <c r="N332">
        <f>IFERROR(__xludf.DUMMYFUNCTION("""COMPUTED_VALUE"""),0.25)</f>
        <v/>
      </c>
      <c r="O332">
        <f>IFERROR(__xludf.DUMMYFUNCTION("""COMPUTED_VALUE"""),500.0)</f>
        <v/>
      </c>
      <c r="P332">
        <f>IFERROR(__xludf.DUMMYFUNCTION("""COMPUTED_VALUE"""),0.0)</f>
        <v/>
      </c>
      <c r="Q332">
        <f>IFERROR(__xludf.DUMMYFUNCTION("""COMPUTED_VALUE"""),0.26)</f>
        <v/>
      </c>
      <c r="R332">
        <f>IFERROR(__xludf.DUMMYFUNCTION("""COMPUTED_VALUE"""),1.0)</f>
        <v/>
      </c>
      <c r="S332">
        <f>IFERROR(__xludf.DUMMYFUNCTION("""COMPUTED_VALUE"""),200.0)</f>
        <v/>
      </c>
      <c r="T332">
        <f>IFERROR(__xludf.DUMMYFUNCTION("""COMPUTED_VALUE"""),"1.37")</f>
        <v/>
      </c>
      <c r="U332">
        <f>IFERROR(__xludf.DUMMYFUNCTION("""COMPUTED_VALUE"""),"stop有:1回目 0.2")</f>
        <v/>
      </c>
      <c r="V332">
        <f>IFERROR(__xludf.DUMMYFUNCTION("""COMPUTED_VALUE"""),80.0)</f>
        <v/>
      </c>
      <c r="W332">
        <f>IFERROR(__xludf.DUMMYFUNCTION("""COMPUTED_VALUE"""),"2.4")</f>
        <v/>
      </c>
      <c r="X332">
        <f>IFERROR(__xludf.DUMMYFUNCTION("""COMPUTED_VALUE"""),"stop無 :1回目 1.2")</f>
        <v/>
      </c>
      <c r="Y332">
        <f>IFERROR(__xludf.DUMMYFUNCTION("""COMPUTED_VALUE"""),"範囲に100%ダメージ+攻撃20%Down")</f>
        <v/>
      </c>
      <c r="Z332">
        <f>IFERROR(__xludf.DUMMYFUNCTION("""COMPUTED_VALUE"""),5.0)</f>
        <v/>
      </c>
      <c r="AB332">
        <f>IFERROR(__xludf.DUMMYFUNCTION("""COMPUTED_VALUE"""),"dageki_1")</f>
        <v/>
      </c>
      <c r="AD332">
        <f>IFERROR(__xludf.DUMMYFUNCTION("""COMPUTED_VALUE"""),"ノックバックなし")</f>
        <v/>
      </c>
    </row>
    <row r="333">
      <c r="B333">
        <f>IFERROR(__xludf.DUMMYFUNCTION("""COMPUTED_VALUE"""),"chara_kim_00301")</f>
        <v/>
      </c>
      <c r="C333">
        <f>IFERROR(__xludf.DUMMYFUNCTION("""COMPUTED_VALUE"""),"_kim1_savage03")</f>
        <v/>
      </c>
      <c r="D333">
        <f>IFERROR(__xludf.DUMMYFUNCTION("""COMPUTED_VALUE"""),"c_kim_00301_kim1_savage03_Boss_Red")</f>
        <v/>
      </c>
      <c r="E333">
        <f>IFERROR(__xludf.DUMMYFUNCTION("""COMPUTED_VALUE"""),"君のことが大大大大大好きな100人の彼女")</f>
        <v/>
      </c>
      <c r="F333">
        <f>IFERROR(__xludf.DUMMYFUNCTION("""COMPUTED_VALUE"""),"好本 静")</f>
        <v/>
      </c>
      <c r="G333">
        <f>IFERROR(__xludf.DUMMYFUNCTION("""COMPUTED_VALUE"""),"好本 静_kim1_savage03")</f>
        <v/>
      </c>
      <c r="H333">
        <f>IFERROR(__xludf.DUMMYFUNCTION("""COMPUTED_VALUE"""),"Boss")</f>
        <v/>
      </c>
      <c r="I333">
        <f>IFERROR(__xludf.DUMMYFUNCTION("""COMPUTED_VALUE"""),"Support")</f>
        <v/>
      </c>
      <c r="J333">
        <f>IFERROR(__xludf.DUMMYFUNCTION("""COMPUTED_VALUE"""),"Red")</f>
        <v/>
      </c>
      <c r="K333">
        <f>IFERROR(__xludf.DUMMYFUNCTION("""COMPUTED_VALUE"""),100000.0)</f>
        <v/>
      </c>
      <c r="L333">
        <f>IFERROR(__xludf.DUMMYFUNCTION("""COMPUTED_VALUE"""),3.0)</f>
        <v/>
      </c>
      <c r="M333">
        <f>IFERROR(__xludf.DUMMYFUNCTION("""COMPUTED_VALUE"""),32.0)</f>
        <v/>
      </c>
      <c r="N333">
        <f>IFERROR(__xludf.DUMMYFUNCTION("""COMPUTED_VALUE"""),0.3)</f>
        <v/>
      </c>
      <c r="O333">
        <f>IFERROR(__xludf.DUMMYFUNCTION("""COMPUTED_VALUE"""),300.0)</f>
        <v/>
      </c>
      <c r="P333">
        <f>IFERROR(__xludf.DUMMYFUNCTION("""COMPUTED_VALUE"""),0.0)</f>
        <v/>
      </c>
      <c r="Q333">
        <f>IFERROR(__xludf.DUMMYFUNCTION("""COMPUTED_VALUE"""),0.31)</f>
        <v/>
      </c>
      <c r="R333">
        <f>IFERROR(__xludf.DUMMYFUNCTION("""COMPUTED_VALUE"""),1.0)</f>
        <v/>
      </c>
      <c r="S333">
        <f>IFERROR(__xludf.DUMMYFUNCTION("""COMPUTED_VALUE"""),200.0)</f>
        <v/>
      </c>
      <c r="T333">
        <f>IFERROR(__xludf.DUMMYFUNCTION("""COMPUTED_VALUE"""),"1.75")</f>
        <v/>
      </c>
      <c r="U333">
        <f>IFERROR(__xludf.DUMMYFUNCTION("""COMPUTED_VALUE"""),"stop有:1回目 0.78")</f>
        <v/>
      </c>
      <c r="V333">
        <f>IFERROR(__xludf.DUMMYFUNCTION("""COMPUTED_VALUE"""),75.0)</f>
        <v/>
      </c>
      <c r="W333">
        <f>IFERROR(__xludf.DUMMYFUNCTION("""COMPUTED_VALUE"""),"3.6")</f>
        <v/>
      </c>
      <c r="X333">
        <f>IFERROR(__xludf.DUMMYFUNCTION("""COMPUTED_VALUE"""),"stop無 :1回目 1.2")</f>
        <v/>
      </c>
      <c r="Y333">
        <f>IFERROR(__xludf.DUMMYFUNCTION("""COMPUTED_VALUE"""),"敵全体の体力を20%回復")</f>
        <v/>
      </c>
      <c r="Z333">
        <f>IFERROR(__xludf.DUMMYFUNCTION("""COMPUTED_VALUE"""),4.0)</f>
        <v/>
      </c>
      <c r="AB333">
        <f>IFERROR(__xludf.DUMMYFUNCTION("""COMPUTED_VALUE"""),"dageki_1")</f>
        <v/>
      </c>
      <c r="AD333">
        <f>IFERROR(__xludf.DUMMYFUNCTION("""COMPUTED_VALUE"""),"ノックバックなし")</f>
        <v/>
      </c>
    </row>
    <row r="334">
      <c r="B334">
        <f>IFERROR(__xludf.DUMMYFUNCTION("""COMPUTED_VALUE"""),"chara_kim_00001")</f>
        <v/>
      </c>
      <c r="C334">
        <f>IFERROR(__xludf.DUMMYFUNCTION("""COMPUTED_VALUE"""),"_kim1_savage03")</f>
        <v/>
      </c>
      <c r="D334">
        <f>IFERROR(__xludf.DUMMYFUNCTION("""COMPUTED_VALUE"""),"c_kim_00001_kim1_savage03_Boss_Red")</f>
        <v/>
      </c>
      <c r="E334">
        <f>IFERROR(__xludf.DUMMYFUNCTION("""COMPUTED_VALUE"""),"君のことが大大大大大好きな100人の彼女")</f>
        <v/>
      </c>
      <c r="F334">
        <f>IFERROR(__xludf.DUMMYFUNCTION("""COMPUTED_VALUE"""),"溢れる母性 花園 羽々里")</f>
        <v/>
      </c>
      <c r="G334">
        <f>IFERROR(__xludf.DUMMYFUNCTION("""COMPUTED_VALUE"""),"花園羽々里_kim1_savage03")</f>
        <v/>
      </c>
      <c r="H334">
        <f>IFERROR(__xludf.DUMMYFUNCTION("""COMPUTED_VALUE"""),"Boss")</f>
        <v/>
      </c>
      <c r="I334">
        <f>IFERROR(__xludf.DUMMYFUNCTION("""COMPUTED_VALUE"""),"Defense")</f>
        <v/>
      </c>
      <c r="J334">
        <f>IFERROR(__xludf.DUMMYFUNCTION("""COMPUTED_VALUE"""),"Red")</f>
        <v/>
      </c>
      <c r="K334">
        <f>IFERROR(__xludf.DUMMYFUNCTION("""COMPUTED_VALUE"""),50000.0)</f>
        <v/>
      </c>
      <c r="L334">
        <f>IFERROR(__xludf.DUMMYFUNCTION("""COMPUTED_VALUE"""),2.0)</f>
        <v/>
      </c>
      <c r="M334">
        <f>IFERROR(__xludf.DUMMYFUNCTION("""COMPUTED_VALUE"""),40.0)</f>
        <v/>
      </c>
      <c r="N334">
        <f>IFERROR(__xludf.DUMMYFUNCTION("""COMPUTED_VALUE"""),0.18)</f>
        <v/>
      </c>
      <c r="O334">
        <f>IFERROR(__xludf.DUMMYFUNCTION("""COMPUTED_VALUE"""),300.0)</f>
        <v/>
      </c>
      <c r="P334">
        <f>IFERROR(__xludf.DUMMYFUNCTION("""COMPUTED_VALUE"""),0.0)</f>
        <v/>
      </c>
      <c r="Q334">
        <f>IFERROR(__xludf.DUMMYFUNCTION("""COMPUTED_VALUE"""),0.19)</f>
        <v/>
      </c>
      <c r="R334">
        <f>IFERROR(__xludf.DUMMYFUNCTION("""COMPUTED_VALUE"""),1.0)</f>
        <v/>
      </c>
      <c r="S334">
        <f>IFERROR(__xludf.DUMMYFUNCTION("""COMPUTED_VALUE"""),200.0)</f>
        <v/>
      </c>
      <c r="T334">
        <f>IFERROR(__xludf.DUMMYFUNCTION("""COMPUTED_VALUE"""),"1.3")</f>
        <v/>
      </c>
      <c r="U334">
        <f>IFERROR(__xludf.DUMMYFUNCTION("""COMPUTED_VALUE"""),"stop有:1回目 0.67")</f>
        <v/>
      </c>
      <c r="V334">
        <f>IFERROR(__xludf.DUMMYFUNCTION("""COMPUTED_VALUE"""),50.0)</f>
        <v/>
      </c>
      <c r="W334">
        <f>IFERROR(__xludf.DUMMYFUNCTION("""COMPUTED_VALUE"""),"2.5")</f>
        <v/>
      </c>
      <c r="X334">
        <f>IFERROR(__xludf.DUMMYFUNCTION("""COMPUTED_VALUE"""),"stop無:1回目 0.63
stop無:2回目 0.8
stop無:3回目 0.99
stop無:4回目 1.2
stop有:5回目 1.60")</f>
        <v/>
      </c>
      <c r="Y334">
        <f>IFERROR(__xludf.DUMMYFUNCTION("""COMPUTED_VALUE"""),"範囲に100%ダメージ+20秒間、自身が受けるダメージ30%カット")</f>
        <v/>
      </c>
      <c r="Z334">
        <f>IFERROR(__xludf.DUMMYFUNCTION("""COMPUTED_VALUE"""),3.0)</f>
        <v/>
      </c>
      <c r="AB334">
        <f>IFERROR(__xludf.DUMMYFUNCTION("""COMPUTED_VALUE"""),"dageki_1")</f>
        <v/>
      </c>
    </row>
    <row r="335">
      <c r="B335">
        <f>IFERROR(__xludf.DUMMYFUNCTION("""COMPUTED_VALUE"""),"chara_kim_00101")</f>
        <v/>
      </c>
      <c r="C335">
        <f>IFERROR(__xludf.DUMMYFUNCTION("""COMPUTED_VALUE"""),"_kim1_1d1c")</f>
        <v/>
      </c>
      <c r="D335">
        <f>IFERROR(__xludf.DUMMYFUNCTION("""COMPUTED_VALUE"""),"c_kim_00101_kim1_1d1c_Normal_Colorless")</f>
        <v/>
      </c>
      <c r="E335">
        <f>IFERROR(__xludf.DUMMYFUNCTION("""COMPUTED_VALUE"""),"君のことが大大大大大好きな100人の彼女")</f>
        <v/>
      </c>
      <c r="F335">
        <f>IFERROR(__xludf.DUMMYFUNCTION("""COMPUTED_VALUE"""),"花園 羽香里")</f>
        <v/>
      </c>
      <c r="G335">
        <f>IFERROR(__xludf.DUMMYFUNCTION("""COMPUTED_VALUE"""),"花園羽香里_kim1_1d1c")</f>
        <v/>
      </c>
      <c r="H335">
        <f>IFERROR(__xludf.DUMMYFUNCTION("""COMPUTED_VALUE"""),"Normal")</f>
        <v/>
      </c>
      <c r="I335">
        <f>IFERROR(__xludf.DUMMYFUNCTION("""COMPUTED_VALUE"""),"Attack")</f>
        <v/>
      </c>
      <c r="J335">
        <f>IFERROR(__xludf.DUMMYFUNCTION("""COMPUTED_VALUE"""),"Colorless")</f>
        <v/>
      </c>
      <c r="K335">
        <f>IFERROR(__xludf.DUMMYFUNCTION("""COMPUTED_VALUE"""),10000.0)</f>
        <v/>
      </c>
      <c r="L335">
        <f>IFERROR(__xludf.DUMMYFUNCTION("""COMPUTED_VALUE"""),2.0)</f>
        <v/>
      </c>
      <c r="M335">
        <f>IFERROR(__xludf.DUMMYFUNCTION("""COMPUTED_VALUE"""),30.0)</f>
        <v/>
      </c>
      <c r="N335">
        <f>IFERROR(__xludf.DUMMYFUNCTION("""COMPUTED_VALUE"""),0.23)</f>
        <v/>
      </c>
      <c r="O335">
        <f>IFERROR(__xludf.DUMMYFUNCTION("""COMPUTED_VALUE"""),100.0)</f>
        <v/>
      </c>
      <c r="P335">
        <f>IFERROR(__xludf.DUMMYFUNCTION("""COMPUTED_VALUE"""),0.0)</f>
        <v/>
      </c>
      <c r="Q335">
        <f>IFERROR(__xludf.DUMMYFUNCTION("""COMPUTED_VALUE"""),0.24)</f>
        <v/>
      </c>
      <c r="R335">
        <f>IFERROR(__xludf.DUMMYFUNCTION("""COMPUTED_VALUE"""),1.0)</f>
        <v/>
      </c>
      <c r="S335">
        <f>IFERROR(__xludf.DUMMYFUNCTION("""COMPUTED_VALUE"""),200.0)</f>
        <v/>
      </c>
      <c r="T335">
        <f>IFERROR(__xludf.DUMMYFUNCTION("""COMPUTED_VALUE"""),"1.23")</f>
        <v/>
      </c>
      <c r="U335">
        <f>IFERROR(__xludf.DUMMYFUNCTION("""COMPUTED_VALUE"""),"stop有:1回目 0.25")</f>
        <v/>
      </c>
      <c r="V335">
        <f>IFERROR(__xludf.DUMMYFUNCTION("""COMPUTED_VALUE"""),60.0)</f>
        <v/>
      </c>
      <c r="W335">
        <f>IFERROR(__xludf.DUMMYFUNCTION("""COMPUTED_VALUE"""),"3.5")</f>
        <v/>
      </c>
      <c r="X335">
        <f>IFERROR(__xludf.DUMMYFUNCTION("""COMPUTED_VALUE"""),"stop無:1回目 1.11
stop無:2回目 1.33
stop無:3回目 1.53
stop無:4回目 1.75
stop有:5回目 1.93")</f>
        <v/>
      </c>
      <c r="Y335">
        <f>IFERROR(__xludf.DUMMYFUNCTION("""COMPUTED_VALUE"""),"範囲に300%のダメージ")</f>
        <v/>
      </c>
      <c r="Z335">
        <f>IFERROR(__xludf.DUMMYFUNCTION("""COMPUTED_VALUE"""),5.0)</f>
        <v/>
      </c>
      <c r="AB335">
        <f>IFERROR(__xludf.DUMMYFUNCTION("""COMPUTED_VALUE"""),"dageki_1")</f>
        <v/>
      </c>
    </row>
    <row r="336">
      <c r="B336">
        <f>IFERROR(__xludf.DUMMYFUNCTION("""COMPUTED_VALUE"""),"chara_kim_00201")</f>
        <v/>
      </c>
      <c r="C336">
        <f>IFERROR(__xludf.DUMMYFUNCTION("""COMPUTED_VALUE"""),"_kim1_1d1c")</f>
        <v/>
      </c>
      <c r="D336">
        <f>IFERROR(__xludf.DUMMYFUNCTION("""COMPUTED_VALUE"""),"c_kim_00201_kim1_1d1c_Normal_Colorless")</f>
        <v/>
      </c>
      <c r="E336">
        <f>IFERROR(__xludf.DUMMYFUNCTION("""COMPUTED_VALUE"""),"君のことが大大大大大好きな100人の彼女")</f>
        <v/>
      </c>
      <c r="F336">
        <f>IFERROR(__xludf.DUMMYFUNCTION("""COMPUTED_VALUE"""),"院田 唐音")</f>
        <v/>
      </c>
      <c r="G336">
        <f>IFERROR(__xludf.DUMMYFUNCTION("""COMPUTED_VALUE"""),"院田唐音_kim1_1d1c")</f>
        <v/>
      </c>
      <c r="H336">
        <f>IFERROR(__xludf.DUMMYFUNCTION("""COMPUTED_VALUE"""),"Normal")</f>
        <v/>
      </c>
      <c r="I336">
        <f>IFERROR(__xludf.DUMMYFUNCTION("""COMPUTED_VALUE"""),"Technical")</f>
        <v/>
      </c>
      <c r="J336">
        <f>IFERROR(__xludf.DUMMYFUNCTION("""COMPUTED_VALUE"""),"Colorless")</f>
        <v/>
      </c>
      <c r="K336">
        <f>IFERROR(__xludf.DUMMYFUNCTION("""COMPUTED_VALUE"""),10000.0)</f>
        <v/>
      </c>
      <c r="L336">
        <f>IFERROR(__xludf.DUMMYFUNCTION("""COMPUTED_VALUE"""),2.0)</f>
        <v/>
      </c>
      <c r="M336">
        <f>IFERROR(__xludf.DUMMYFUNCTION("""COMPUTED_VALUE"""),35.0)</f>
        <v/>
      </c>
      <c r="N336">
        <f>IFERROR(__xludf.DUMMYFUNCTION("""COMPUTED_VALUE"""),0.25)</f>
        <v/>
      </c>
      <c r="O336">
        <f>IFERROR(__xludf.DUMMYFUNCTION("""COMPUTED_VALUE"""),100.0)</f>
        <v/>
      </c>
      <c r="P336">
        <f>IFERROR(__xludf.DUMMYFUNCTION("""COMPUTED_VALUE"""),0.0)</f>
        <v/>
      </c>
      <c r="Q336">
        <f>IFERROR(__xludf.DUMMYFUNCTION("""COMPUTED_VALUE"""),0.26)</f>
        <v/>
      </c>
      <c r="R336">
        <f>IFERROR(__xludf.DUMMYFUNCTION("""COMPUTED_VALUE"""),1.0)</f>
        <v/>
      </c>
      <c r="S336">
        <f>IFERROR(__xludf.DUMMYFUNCTION("""COMPUTED_VALUE"""),200.0)</f>
        <v/>
      </c>
      <c r="T336">
        <f>IFERROR(__xludf.DUMMYFUNCTION("""COMPUTED_VALUE"""),"1.37")</f>
        <v/>
      </c>
      <c r="U336">
        <f>IFERROR(__xludf.DUMMYFUNCTION("""COMPUTED_VALUE"""),"stop有:1回目 0.2")</f>
        <v/>
      </c>
      <c r="V336">
        <f>IFERROR(__xludf.DUMMYFUNCTION("""COMPUTED_VALUE"""),70.0)</f>
        <v/>
      </c>
      <c r="W336">
        <f>IFERROR(__xludf.DUMMYFUNCTION("""COMPUTED_VALUE"""),"2.4")</f>
        <v/>
      </c>
      <c r="X336">
        <f>IFERROR(__xludf.DUMMYFUNCTION("""COMPUTED_VALUE"""),"stop無 :1回目 1.2")</f>
        <v/>
      </c>
      <c r="Y336">
        <f>IFERROR(__xludf.DUMMYFUNCTION("""COMPUTED_VALUE"""),"範囲に100%ダメージ")</f>
        <v/>
      </c>
      <c r="Z336">
        <f>IFERROR(__xludf.DUMMYFUNCTION("""COMPUTED_VALUE"""),5.0)</f>
        <v/>
      </c>
      <c r="AB336">
        <f>IFERROR(__xludf.DUMMYFUNCTION("""COMPUTED_VALUE"""),"dageki_1")</f>
        <v/>
      </c>
    </row>
    <row r="337">
      <c r="B337">
        <f>IFERROR(__xludf.DUMMYFUNCTION("""COMPUTED_VALUE"""),"chara_kim_00101")</f>
        <v/>
      </c>
      <c r="C337">
        <f>IFERROR(__xludf.DUMMYFUNCTION("""COMPUTED_VALUE"""),"_kim1_charaget01")</f>
        <v/>
      </c>
      <c r="D337">
        <f>IFERROR(__xludf.DUMMYFUNCTION("""COMPUTED_VALUE"""),"c_kim_00101_kim1_charaget01_Boss_Colorless")</f>
        <v/>
      </c>
      <c r="E337">
        <f>IFERROR(__xludf.DUMMYFUNCTION("""COMPUTED_VALUE"""),"君のことが大大大大大好きな100人の彼女")</f>
        <v/>
      </c>
      <c r="F337">
        <f>IFERROR(__xludf.DUMMYFUNCTION("""COMPUTED_VALUE"""),"花園 羽香里")</f>
        <v/>
      </c>
      <c r="G337">
        <f>IFERROR(__xludf.DUMMYFUNCTION("""COMPUTED_VALUE"""),"花園羽香里")</f>
        <v/>
      </c>
      <c r="H337">
        <f>IFERROR(__xludf.DUMMYFUNCTION("""COMPUTED_VALUE"""),"Boss")</f>
        <v/>
      </c>
      <c r="I337">
        <f>IFERROR(__xludf.DUMMYFUNCTION("""COMPUTED_VALUE"""),"Attack")</f>
        <v/>
      </c>
      <c r="J337">
        <f>IFERROR(__xludf.DUMMYFUNCTION("""COMPUTED_VALUE"""),"Colorless")</f>
        <v/>
      </c>
      <c r="K337">
        <f>IFERROR(__xludf.DUMMYFUNCTION("""COMPUTED_VALUE"""),10000.0)</f>
        <v/>
      </c>
      <c r="L337">
        <f>IFERROR(__xludf.DUMMYFUNCTION("""COMPUTED_VALUE"""),2.0)</f>
        <v/>
      </c>
      <c r="M337">
        <f>IFERROR(__xludf.DUMMYFUNCTION("""COMPUTED_VALUE"""),30.0)</f>
        <v/>
      </c>
      <c r="N337">
        <f>IFERROR(__xludf.DUMMYFUNCTION("""COMPUTED_VALUE"""),0.23)</f>
        <v/>
      </c>
      <c r="O337">
        <f>IFERROR(__xludf.DUMMYFUNCTION("""COMPUTED_VALUE"""),100.0)</f>
        <v/>
      </c>
      <c r="P337">
        <f>IFERROR(__xludf.DUMMYFUNCTION("""COMPUTED_VALUE"""),0.0)</f>
        <v/>
      </c>
      <c r="Q337">
        <f>IFERROR(__xludf.DUMMYFUNCTION("""COMPUTED_VALUE"""),0.24)</f>
        <v/>
      </c>
      <c r="R337">
        <f>IFERROR(__xludf.DUMMYFUNCTION("""COMPUTED_VALUE"""),1.0)</f>
        <v/>
      </c>
      <c r="S337">
        <f>IFERROR(__xludf.DUMMYFUNCTION("""COMPUTED_VALUE"""),200.0)</f>
        <v/>
      </c>
      <c r="T337">
        <f>IFERROR(__xludf.DUMMYFUNCTION("""COMPUTED_VALUE"""),"1.23")</f>
        <v/>
      </c>
      <c r="U337">
        <f>IFERROR(__xludf.DUMMYFUNCTION("""COMPUTED_VALUE"""),"stop有:1回目 0.25")</f>
        <v/>
      </c>
      <c r="V337">
        <f>IFERROR(__xludf.DUMMYFUNCTION("""COMPUTED_VALUE"""),60.0)</f>
        <v/>
      </c>
      <c r="W337">
        <f>IFERROR(__xludf.DUMMYFUNCTION("""COMPUTED_VALUE"""),"3.5")</f>
        <v/>
      </c>
      <c r="X337">
        <f>IFERROR(__xludf.DUMMYFUNCTION("""COMPUTED_VALUE"""),"stop無:1回目 1.11
stop無:2回目 1.33
stop無:3回目 1.53
stop無:4回目 1.75
stop有:5回目 1.93")</f>
        <v/>
      </c>
      <c r="Y337">
        <f>IFERROR(__xludf.DUMMYFUNCTION("""COMPUTED_VALUE"""),"範囲に300%のダメージ")</f>
        <v/>
      </c>
      <c r="Z337">
        <f>IFERROR(__xludf.DUMMYFUNCTION("""COMPUTED_VALUE"""),5.0)</f>
        <v/>
      </c>
      <c r="AB337">
        <f>IFERROR(__xludf.DUMMYFUNCTION("""COMPUTED_VALUE"""),"dageki_1")</f>
        <v/>
      </c>
      <c r="AD337">
        <f>IFERROR(__xludf.DUMMYFUNCTION("""COMPUTED_VALUE"""),"ノックバックなし")</f>
        <v/>
      </c>
    </row>
    <row r="338">
      <c r="B338">
        <f>IFERROR(__xludf.DUMMYFUNCTION("""COMPUTED_VALUE"""),"chara_kim_00201")</f>
        <v/>
      </c>
      <c r="C338">
        <f>IFERROR(__xludf.DUMMYFUNCTION("""COMPUTED_VALUE"""),"_kim1_charaget01")</f>
        <v/>
      </c>
      <c r="D338">
        <f>IFERROR(__xludf.DUMMYFUNCTION("""COMPUTED_VALUE"""),"c_kim_00201_kim1_charaget01_Boss_Colorless")</f>
        <v/>
      </c>
      <c r="E338">
        <f>IFERROR(__xludf.DUMMYFUNCTION("""COMPUTED_VALUE"""),"君のことが大大大大大好きな100人の彼女")</f>
        <v/>
      </c>
      <c r="F338">
        <f>IFERROR(__xludf.DUMMYFUNCTION("""COMPUTED_VALUE"""),"院田 唐音")</f>
        <v/>
      </c>
      <c r="G338">
        <f>IFERROR(__xludf.DUMMYFUNCTION("""COMPUTED_VALUE"""),"院田唐音_kim1_charaget01")</f>
        <v/>
      </c>
      <c r="H338">
        <f>IFERROR(__xludf.DUMMYFUNCTION("""COMPUTED_VALUE"""),"Boss")</f>
        <v/>
      </c>
      <c r="I338">
        <f>IFERROR(__xludf.DUMMYFUNCTION("""COMPUTED_VALUE"""),"Technical")</f>
        <v/>
      </c>
      <c r="J338">
        <f>IFERROR(__xludf.DUMMYFUNCTION("""COMPUTED_VALUE"""),"Colorless")</f>
        <v/>
      </c>
      <c r="K338">
        <f>IFERROR(__xludf.DUMMYFUNCTION("""COMPUTED_VALUE"""),10000.0)</f>
        <v/>
      </c>
      <c r="L338">
        <f>IFERROR(__xludf.DUMMYFUNCTION("""COMPUTED_VALUE"""),2.0)</f>
        <v/>
      </c>
      <c r="M338">
        <f>IFERROR(__xludf.DUMMYFUNCTION("""COMPUTED_VALUE"""),35.0)</f>
        <v/>
      </c>
      <c r="N338">
        <f>IFERROR(__xludf.DUMMYFUNCTION("""COMPUTED_VALUE"""),0.25)</f>
        <v/>
      </c>
      <c r="O338">
        <f>IFERROR(__xludf.DUMMYFUNCTION("""COMPUTED_VALUE"""),100.0)</f>
        <v/>
      </c>
      <c r="P338">
        <f>IFERROR(__xludf.DUMMYFUNCTION("""COMPUTED_VALUE"""),0.0)</f>
        <v/>
      </c>
      <c r="Q338">
        <f>IFERROR(__xludf.DUMMYFUNCTION("""COMPUTED_VALUE"""),0.26)</f>
        <v/>
      </c>
      <c r="R338">
        <f>IFERROR(__xludf.DUMMYFUNCTION("""COMPUTED_VALUE"""),1.0)</f>
        <v/>
      </c>
      <c r="S338">
        <f>IFERROR(__xludf.DUMMYFUNCTION("""COMPUTED_VALUE"""),200.0)</f>
        <v/>
      </c>
      <c r="T338">
        <f>IFERROR(__xludf.DUMMYFUNCTION("""COMPUTED_VALUE"""),"1.37")</f>
        <v/>
      </c>
      <c r="U338">
        <f>IFERROR(__xludf.DUMMYFUNCTION("""COMPUTED_VALUE"""),"stop有:1回目 0.2")</f>
        <v/>
      </c>
      <c r="V338">
        <f>IFERROR(__xludf.DUMMYFUNCTION("""COMPUTED_VALUE"""),70.0)</f>
        <v/>
      </c>
      <c r="W338">
        <f>IFERROR(__xludf.DUMMYFUNCTION("""COMPUTED_VALUE"""),"2.4")</f>
        <v/>
      </c>
      <c r="X338">
        <f>IFERROR(__xludf.DUMMYFUNCTION("""COMPUTED_VALUE"""),"stop無 :1回目 1.2")</f>
        <v/>
      </c>
      <c r="Y338">
        <f>IFERROR(__xludf.DUMMYFUNCTION("""COMPUTED_VALUE"""),"範囲に100%ダメージ")</f>
        <v/>
      </c>
      <c r="Z338">
        <f>IFERROR(__xludf.DUMMYFUNCTION("""COMPUTED_VALUE"""),4.0)</f>
        <v/>
      </c>
      <c r="AB338">
        <f>IFERROR(__xludf.DUMMYFUNCTION("""COMPUTED_VALUE"""),"dageki_1")</f>
        <v/>
      </c>
      <c r="AD338">
        <f>IFERROR(__xludf.DUMMYFUNCTION("""COMPUTED_VALUE"""),"ノックバックなし")</f>
        <v/>
      </c>
    </row>
    <row r="339">
      <c r="B339">
        <f>IFERROR(__xludf.DUMMYFUNCTION("""COMPUTED_VALUE"""),"chara_kim_00101")</f>
        <v/>
      </c>
      <c r="C339">
        <f>IFERROR(__xludf.DUMMYFUNCTION("""COMPUTED_VALUE"""),"_kim1_charaget01")</f>
        <v/>
      </c>
      <c r="D339">
        <f>IFERROR(__xludf.DUMMYFUNCTION("""COMPUTED_VALUE"""),"c_kim_00101_kim1_charaget01_Normal_Colorless")</f>
        <v/>
      </c>
      <c r="E339">
        <f>IFERROR(__xludf.DUMMYFUNCTION("""COMPUTED_VALUE"""),"君のことが大大大大大好きな100人の彼女")</f>
        <v/>
      </c>
      <c r="F339">
        <f>IFERROR(__xludf.DUMMYFUNCTION("""COMPUTED_VALUE"""),"花園 羽香里")</f>
        <v/>
      </c>
      <c r="G339">
        <f>IFERROR(__xludf.DUMMYFUNCTION("""COMPUTED_VALUE"""),"花園羽香里")</f>
        <v/>
      </c>
      <c r="H339">
        <f>IFERROR(__xludf.DUMMYFUNCTION("""COMPUTED_VALUE"""),"Normal")</f>
        <v/>
      </c>
      <c r="I339">
        <f>IFERROR(__xludf.DUMMYFUNCTION("""COMPUTED_VALUE"""),"Attack")</f>
        <v/>
      </c>
      <c r="J339">
        <f>IFERROR(__xludf.DUMMYFUNCTION("""COMPUTED_VALUE"""),"Colorless")</f>
        <v/>
      </c>
      <c r="K339">
        <f>IFERROR(__xludf.DUMMYFUNCTION("""COMPUTED_VALUE"""),10000.0)</f>
        <v/>
      </c>
      <c r="L339">
        <f>IFERROR(__xludf.DUMMYFUNCTION("""COMPUTED_VALUE"""),2.0)</f>
        <v/>
      </c>
      <c r="M339">
        <f>IFERROR(__xludf.DUMMYFUNCTION("""COMPUTED_VALUE"""),30.0)</f>
        <v/>
      </c>
      <c r="N339">
        <f>IFERROR(__xludf.DUMMYFUNCTION("""COMPUTED_VALUE"""),0.23)</f>
        <v/>
      </c>
      <c r="O339">
        <f>IFERROR(__xludf.DUMMYFUNCTION("""COMPUTED_VALUE"""),100.0)</f>
        <v/>
      </c>
      <c r="P339">
        <f>IFERROR(__xludf.DUMMYFUNCTION("""COMPUTED_VALUE"""),0.0)</f>
        <v/>
      </c>
      <c r="Q339">
        <f>IFERROR(__xludf.DUMMYFUNCTION("""COMPUTED_VALUE"""),0.24)</f>
        <v/>
      </c>
      <c r="R339">
        <f>IFERROR(__xludf.DUMMYFUNCTION("""COMPUTED_VALUE"""),1.0)</f>
        <v/>
      </c>
      <c r="S339">
        <f>IFERROR(__xludf.DUMMYFUNCTION("""COMPUTED_VALUE"""),200.0)</f>
        <v/>
      </c>
      <c r="T339">
        <f>IFERROR(__xludf.DUMMYFUNCTION("""COMPUTED_VALUE"""),"1.23")</f>
        <v/>
      </c>
      <c r="U339">
        <f>IFERROR(__xludf.DUMMYFUNCTION("""COMPUTED_VALUE"""),"stop有:1回目 0.25")</f>
        <v/>
      </c>
      <c r="V339">
        <f>IFERROR(__xludf.DUMMYFUNCTION("""COMPUTED_VALUE"""),60.0)</f>
        <v/>
      </c>
      <c r="W339">
        <f>IFERROR(__xludf.DUMMYFUNCTION("""COMPUTED_VALUE"""),"3.5")</f>
        <v/>
      </c>
      <c r="X339">
        <f>IFERROR(__xludf.DUMMYFUNCTION("""COMPUTED_VALUE"""),"stop無:1回目 1.11
stop無:2回目 1.33
stop無:3回目 1.53
stop無:4回目 1.75
stop有:5回目 1.93")</f>
        <v/>
      </c>
      <c r="Y339">
        <f>IFERROR(__xludf.DUMMYFUNCTION("""COMPUTED_VALUE"""),"範囲に300%のダメージ")</f>
        <v/>
      </c>
      <c r="Z339">
        <f>IFERROR(__xludf.DUMMYFUNCTION("""COMPUTED_VALUE"""),5.0)</f>
        <v/>
      </c>
      <c r="AB339">
        <f>IFERROR(__xludf.DUMMYFUNCTION("""COMPUTED_VALUE"""),"dageki_1")</f>
        <v/>
      </c>
      <c r="AD339">
        <f>IFERROR(__xludf.DUMMYFUNCTION("""COMPUTED_VALUE"""),"ノックバックなし")</f>
        <v/>
      </c>
    </row>
    <row r="340">
      <c r="B340">
        <f>IFERROR(__xludf.DUMMYFUNCTION("""COMPUTED_VALUE"""),"chara_kim_00201")</f>
        <v/>
      </c>
      <c r="C340">
        <f>IFERROR(__xludf.DUMMYFUNCTION("""COMPUTED_VALUE"""),"_kim1_charaget01")</f>
        <v/>
      </c>
      <c r="D340">
        <f>IFERROR(__xludf.DUMMYFUNCTION("""COMPUTED_VALUE"""),"c_kim_00201_kim1_charaget01_Normal_Colorless")</f>
        <v/>
      </c>
      <c r="E340">
        <f>IFERROR(__xludf.DUMMYFUNCTION("""COMPUTED_VALUE"""),"君のことが大大大大大好きな100人の彼女")</f>
        <v/>
      </c>
      <c r="F340">
        <f>IFERROR(__xludf.DUMMYFUNCTION("""COMPUTED_VALUE"""),"院田 唐音")</f>
        <v/>
      </c>
      <c r="G340">
        <f>IFERROR(__xludf.DUMMYFUNCTION("""COMPUTED_VALUE"""),"院田唐音_kim1_charaget01")</f>
        <v/>
      </c>
      <c r="H340">
        <f>IFERROR(__xludf.DUMMYFUNCTION("""COMPUTED_VALUE"""),"Normal")</f>
        <v/>
      </c>
      <c r="I340">
        <f>IFERROR(__xludf.DUMMYFUNCTION("""COMPUTED_VALUE"""),"Technical")</f>
        <v/>
      </c>
      <c r="J340">
        <f>IFERROR(__xludf.DUMMYFUNCTION("""COMPUTED_VALUE"""),"Colorless")</f>
        <v/>
      </c>
      <c r="K340">
        <f>IFERROR(__xludf.DUMMYFUNCTION("""COMPUTED_VALUE"""),10000.0)</f>
        <v/>
      </c>
      <c r="L340">
        <f>IFERROR(__xludf.DUMMYFUNCTION("""COMPUTED_VALUE"""),2.0)</f>
        <v/>
      </c>
      <c r="M340">
        <f>IFERROR(__xludf.DUMMYFUNCTION("""COMPUTED_VALUE"""),35.0)</f>
        <v/>
      </c>
      <c r="N340">
        <f>IFERROR(__xludf.DUMMYFUNCTION("""COMPUTED_VALUE"""),0.25)</f>
        <v/>
      </c>
      <c r="O340">
        <f>IFERROR(__xludf.DUMMYFUNCTION("""COMPUTED_VALUE"""),100.0)</f>
        <v/>
      </c>
      <c r="P340">
        <f>IFERROR(__xludf.DUMMYFUNCTION("""COMPUTED_VALUE"""),0.0)</f>
        <v/>
      </c>
      <c r="Q340">
        <f>IFERROR(__xludf.DUMMYFUNCTION("""COMPUTED_VALUE"""),0.26)</f>
        <v/>
      </c>
      <c r="R340">
        <f>IFERROR(__xludf.DUMMYFUNCTION("""COMPUTED_VALUE"""),1.0)</f>
        <v/>
      </c>
      <c r="S340">
        <f>IFERROR(__xludf.DUMMYFUNCTION("""COMPUTED_VALUE"""),200.0)</f>
        <v/>
      </c>
      <c r="T340">
        <f>IFERROR(__xludf.DUMMYFUNCTION("""COMPUTED_VALUE"""),"1.37")</f>
        <v/>
      </c>
      <c r="U340">
        <f>IFERROR(__xludf.DUMMYFUNCTION("""COMPUTED_VALUE"""),"stop有:1回目 0.2")</f>
        <v/>
      </c>
      <c r="V340">
        <f>IFERROR(__xludf.DUMMYFUNCTION("""COMPUTED_VALUE"""),70.0)</f>
        <v/>
      </c>
      <c r="W340">
        <f>IFERROR(__xludf.DUMMYFUNCTION("""COMPUTED_VALUE"""),"2.4")</f>
        <v/>
      </c>
      <c r="X340">
        <f>IFERROR(__xludf.DUMMYFUNCTION("""COMPUTED_VALUE"""),"stop無 :1回目 1.2")</f>
        <v/>
      </c>
      <c r="Y340">
        <f>IFERROR(__xludf.DUMMYFUNCTION("""COMPUTED_VALUE"""),"範囲に100%ダメージ")</f>
        <v/>
      </c>
      <c r="Z340">
        <f>IFERROR(__xludf.DUMMYFUNCTION("""COMPUTED_VALUE"""),4.0)</f>
        <v/>
      </c>
      <c r="AB340">
        <f>IFERROR(__xludf.DUMMYFUNCTION("""COMPUTED_VALUE"""),"dageki_1")</f>
        <v/>
      </c>
      <c r="AD340">
        <f>IFERROR(__xludf.DUMMYFUNCTION("""COMPUTED_VALUE"""),"ノックバックなし")</f>
        <v/>
      </c>
    </row>
    <row r="341">
      <c r="B341">
        <f>IFERROR(__xludf.DUMMYFUNCTION("""COMPUTED_VALUE"""),"chara_kim_00301")</f>
        <v/>
      </c>
      <c r="C341">
        <f>IFERROR(__xludf.DUMMYFUNCTION("""COMPUTED_VALUE"""),"_kim1_charaget01")</f>
        <v/>
      </c>
      <c r="D341">
        <f>IFERROR(__xludf.DUMMYFUNCTION("""COMPUTED_VALUE"""),"c_kim_00301_kim1_charaget01_Boss_Colorless")</f>
        <v/>
      </c>
      <c r="E341">
        <f>IFERROR(__xludf.DUMMYFUNCTION("""COMPUTED_VALUE"""),"君のことが大大大大大好きな100人の彼女")</f>
        <v/>
      </c>
      <c r="F341">
        <f>IFERROR(__xludf.DUMMYFUNCTION("""COMPUTED_VALUE"""),"好本 静")</f>
        <v/>
      </c>
      <c r="G341">
        <f>IFERROR(__xludf.DUMMYFUNCTION("""COMPUTED_VALUE"""),"好本 静_kim1_charaget01")</f>
        <v/>
      </c>
      <c r="H341">
        <f>IFERROR(__xludf.DUMMYFUNCTION("""COMPUTED_VALUE"""),"Boss")</f>
        <v/>
      </c>
      <c r="I341">
        <f>IFERROR(__xludf.DUMMYFUNCTION("""COMPUTED_VALUE"""),"Support")</f>
        <v/>
      </c>
      <c r="J341">
        <f>IFERROR(__xludf.DUMMYFUNCTION("""COMPUTED_VALUE"""),"Colorless")</f>
        <v/>
      </c>
      <c r="K341">
        <f>IFERROR(__xludf.DUMMYFUNCTION("""COMPUTED_VALUE"""),10000.0)</f>
        <v/>
      </c>
      <c r="L341">
        <f>IFERROR(__xludf.DUMMYFUNCTION("""COMPUTED_VALUE"""),3.0)</f>
        <v/>
      </c>
      <c r="M341">
        <f>IFERROR(__xludf.DUMMYFUNCTION("""COMPUTED_VALUE"""),32.0)</f>
        <v/>
      </c>
      <c r="N341">
        <f>IFERROR(__xludf.DUMMYFUNCTION("""COMPUTED_VALUE"""),0.3)</f>
        <v/>
      </c>
      <c r="O341">
        <f>IFERROR(__xludf.DUMMYFUNCTION("""COMPUTED_VALUE"""),100.0)</f>
        <v/>
      </c>
      <c r="P341">
        <f>IFERROR(__xludf.DUMMYFUNCTION("""COMPUTED_VALUE"""),0.0)</f>
        <v/>
      </c>
      <c r="Q341">
        <f>IFERROR(__xludf.DUMMYFUNCTION("""COMPUTED_VALUE"""),0.31)</f>
        <v/>
      </c>
      <c r="R341">
        <f>IFERROR(__xludf.DUMMYFUNCTION("""COMPUTED_VALUE"""),1.0)</f>
        <v/>
      </c>
      <c r="S341">
        <f>IFERROR(__xludf.DUMMYFUNCTION("""COMPUTED_VALUE"""),200.0)</f>
        <v/>
      </c>
      <c r="T341">
        <f>IFERROR(__xludf.DUMMYFUNCTION("""COMPUTED_VALUE"""),"1.75")</f>
        <v/>
      </c>
      <c r="U341">
        <f>IFERROR(__xludf.DUMMYFUNCTION("""COMPUTED_VALUE"""),"stop有:1回目 0.78")</f>
        <v/>
      </c>
      <c r="V341">
        <f>IFERROR(__xludf.DUMMYFUNCTION("""COMPUTED_VALUE"""),75.0)</f>
        <v/>
      </c>
      <c r="W341">
        <f>IFERROR(__xludf.DUMMYFUNCTION("""COMPUTED_VALUE"""),"3.6")</f>
        <v/>
      </c>
      <c r="X341">
        <f>IFERROR(__xludf.DUMMYFUNCTION("""COMPUTED_VALUE"""),"stop無 :1回目 1.2")</f>
        <v/>
      </c>
      <c r="Y341">
        <f>IFERROR(__xludf.DUMMYFUNCTION("""COMPUTED_VALUE"""),"味方の攻撃20%Up")</f>
        <v/>
      </c>
      <c r="Z341">
        <f>IFERROR(__xludf.DUMMYFUNCTION("""COMPUTED_VALUE"""),5.0)</f>
        <v/>
      </c>
      <c r="AB341">
        <f>IFERROR(__xludf.DUMMYFUNCTION("""COMPUTED_VALUE"""),"dageki_1")</f>
        <v/>
      </c>
      <c r="AD341">
        <f>IFERROR(__xludf.DUMMYFUNCTION("""COMPUTED_VALUE"""),"ノックバックなし")</f>
        <v/>
      </c>
    </row>
    <row r="342">
      <c r="B342">
        <f>IFERROR(__xludf.DUMMYFUNCTION("""COMPUTED_VALUE"""),"enemy_glo_00001")</f>
        <v/>
      </c>
      <c r="C342">
        <f>IFERROR(__xludf.DUMMYFUNCTION("""COMPUTED_VALUE"""),"_kim1_charaget01")</f>
        <v/>
      </c>
      <c r="D342">
        <f>IFERROR(__xludf.DUMMYFUNCTION("""COMPUTED_VALUE"""),"e_glo_00001_kim1_charaget01_Normal_Colorless")</f>
        <v/>
      </c>
      <c r="E342">
        <f>IFERROR(__xludf.DUMMYFUNCTION("""COMPUTED_VALUE"""),"GLOW")</f>
        <v/>
      </c>
      <c r="F342">
        <f>IFERROR(__xludf.DUMMYFUNCTION("""COMPUTED_VALUE"""),"ファントム")</f>
        <v/>
      </c>
      <c r="G342">
        <f>IFERROR(__xludf.DUMMYFUNCTION("""COMPUTED_VALUE"""),"ファントム_kim1_charaget01")</f>
        <v/>
      </c>
      <c r="H342">
        <f>IFERROR(__xludf.DUMMYFUNCTION("""COMPUTED_VALUE"""),"Normal")</f>
        <v/>
      </c>
      <c r="I342">
        <f>IFERROR(__xludf.DUMMYFUNCTION("""COMPUTED_VALUE"""),"Attack")</f>
        <v/>
      </c>
      <c r="J342">
        <f>IFERROR(__xludf.DUMMYFUNCTION("""COMPUTED_VALUE"""),"Colorless")</f>
        <v/>
      </c>
      <c r="K342">
        <f>IFERROR(__xludf.DUMMYFUNCTION("""COMPUTED_VALUE"""),10000.0)</f>
        <v/>
      </c>
      <c r="L342">
        <f>IFERROR(__xludf.DUMMYFUNCTION("""COMPUTED_VALUE"""),2.0)</f>
        <v/>
      </c>
      <c r="M342">
        <f>IFERROR(__xludf.DUMMYFUNCTION("""COMPUTED_VALUE"""),40.0)</f>
        <v/>
      </c>
      <c r="N342">
        <f>IFERROR(__xludf.DUMMYFUNCTION("""COMPUTED_VALUE"""),0.2)</f>
        <v/>
      </c>
      <c r="O342">
        <f>IFERROR(__xludf.DUMMYFUNCTION("""COMPUTED_VALUE"""),100.0)</f>
        <v/>
      </c>
      <c r="P342">
        <f>IFERROR(__xludf.DUMMYFUNCTION("""COMPUTED_VALUE"""),0.0)</f>
        <v/>
      </c>
      <c r="Q342">
        <f>IFERROR(__xludf.DUMMYFUNCTION("""COMPUTED_VALUE"""),0.21)</f>
        <v/>
      </c>
      <c r="R342">
        <f>IFERROR(__xludf.DUMMYFUNCTION("""COMPUTED_VALUE"""),1.0)</f>
        <v/>
      </c>
      <c r="S342">
        <f>IFERROR(__xludf.DUMMYFUNCTION("""COMPUTED_VALUE"""),50.0)</f>
        <v/>
      </c>
      <c r="T342">
        <f>IFERROR(__xludf.DUMMYFUNCTION("""COMPUTED_VALUE"""),"1.00")</f>
        <v/>
      </c>
      <c r="U342">
        <f>IFERROR(__xludf.DUMMYFUNCTION("""COMPUTED_VALUE"""),"0.50")</f>
        <v/>
      </c>
      <c r="V342">
        <f>IFERROR(__xludf.DUMMYFUNCTION("""COMPUTED_VALUE"""),40.0)</f>
        <v/>
      </c>
      <c r="Z342">
        <f>IFERROR(__xludf.DUMMYFUNCTION("""COMPUTED_VALUE"""),"-")</f>
        <v/>
      </c>
      <c r="AB342">
        <f>IFERROR(__xludf.DUMMYFUNCTION("""COMPUTED_VALUE"""),"dageki_1")</f>
        <v/>
      </c>
    </row>
    <row r="343">
      <c r="B343">
        <f>IFERROR(__xludf.DUMMYFUNCTION("""COMPUTED_VALUE"""),"chara_kim_00101")</f>
        <v/>
      </c>
      <c r="C343">
        <f>IFERROR(__xludf.DUMMYFUNCTION("""COMPUTED_VALUE"""),"_kim1_charaget02")</f>
        <v/>
      </c>
      <c r="D343">
        <f>IFERROR(__xludf.DUMMYFUNCTION("""COMPUTED_VALUE"""),"c_kim_00101_kim1_charaget02_Boss_Red")</f>
        <v/>
      </c>
      <c r="E343">
        <f>IFERROR(__xludf.DUMMYFUNCTION("""COMPUTED_VALUE"""),"君のことが大大大大大好きな100人の彼女")</f>
        <v/>
      </c>
      <c r="F343">
        <f>IFERROR(__xludf.DUMMYFUNCTION("""COMPUTED_VALUE"""),"花園 羽香里")</f>
        <v/>
      </c>
      <c r="G343">
        <f>IFERROR(__xludf.DUMMYFUNCTION("""COMPUTED_VALUE"""),"花園羽香里")</f>
        <v/>
      </c>
      <c r="H343">
        <f>IFERROR(__xludf.DUMMYFUNCTION("""COMPUTED_VALUE"""),"Boss")</f>
        <v/>
      </c>
      <c r="I343">
        <f>IFERROR(__xludf.DUMMYFUNCTION("""COMPUTED_VALUE"""),"Attack")</f>
        <v/>
      </c>
      <c r="J343">
        <f>IFERROR(__xludf.DUMMYFUNCTION("""COMPUTED_VALUE"""),"Red")</f>
        <v/>
      </c>
      <c r="K343">
        <f>IFERROR(__xludf.DUMMYFUNCTION("""COMPUTED_VALUE"""),10000.0)</f>
        <v/>
      </c>
      <c r="L343">
        <f>IFERROR(__xludf.DUMMYFUNCTION("""COMPUTED_VALUE"""),2.0)</f>
        <v/>
      </c>
      <c r="M343">
        <f>IFERROR(__xludf.DUMMYFUNCTION("""COMPUTED_VALUE"""),30.0)</f>
        <v/>
      </c>
      <c r="N343">
        <f>IFERROR(__xludf.DUMMYFUNCTION("""COMPUTED_VALUE"""),0.23)</f>
        <v/>
      </c>
      <c r="O343">
        <f>IFERROR(__xludf.DUMMYFUNCTION("""COMPUTED_VALUE"""),100.0)</f>
        <v/>
      </c>
      <c r="P343">
        <f>IFERROR(__xludf.DUMMYFUNCTION("""COMPUTED_VALUE"""),0.0)</f>
        <v/>
      </c>
      <c r="Q343">
        <f>IFERROR(__xludf.DUMMYFUNCTION("""COMPUTED_VALUE"""),0.24)</f>
        <v/>
      </c>
      <c r="R343">
        <f>IFERROR(__xludf.DUMMYFUNCTION("""COMPUTED_VALUE"""),1.0)</f>
        <v/>
      </c>
      <c r="S343">
        <f>IFERROR(__xludf.DUMMYFUNCTION("""COMPUTED_VALUE"""),200.0)</f>
        <v/>
      </c>
      <c r="T343">
        <f>IFERROR(__xludf.DUMMYFUNCTION("""COMPUTED_VALUE"""),"1.23")</f>
        <v/>
      </c>
      <c r="U343">
        <f>IFERROR(__xludf.DUMMYFUNCTION("""COMPUTED_VALUE"""),"stop有:1回目 0.25")</f>
        <v/>
      </c>
      <c r="V343">
        <f>IFERROR(__xludf.DUMMYFUNCTION("""COMPUTED_VALUE"""),60.0)</f>
        <v/>
      </c>
      <c r="W343">
        <f>IFERROR(__xludf.DUMMYFUNCTION("""COMPUTED_VALUE"""),"3.5")</f>
        <v/>
      </c>
      <c r="X343">
        <f>IFERROR(__xludf.DUMMYFUNCTION("""COMPUTED_VALUE"""),"stop無:1回目 1.11
stop無:2回目 1.33
stop無:3回目 1.53
stop無:4回目 1.75
stop有:5回目 1.93")</f>
        <v/>
      </c>
      <c r="Y343">
        <f>IFERROR(__xludf.DUMMYFUNCTION("""COMPUTED_VALUE"""),"範囲に300%のダメージ")</f>
        <v/>
      </c>
      <c r="Z343">
        <f>IFERROR(__xludf.DUMMYFUNCTION("""COMPUTED_VALUE"""),5.0)</f>
        <v/>
      </c>
      <c r="AB343">
        <f>IFERROR(__xludf.DUMMYFUNCTION("""COMPUTED_VALUE"""),"dageki_1")</f>
        <v/>
      </c>
      <c r="AD343">
        <f>IFERROR(__xludf.DUMMYFUNCTION("""COMPUTED_VALUE"""),"ノックバックなし")</f>
        <v/>
      </c>
    </row>
    <row r="344">
      <c r="B344">
        <f>IFERROR(__xludf.DUMMYFUNCTION("""COMPUTED_VALUE"""),"chara_kim_00201")</f>
        <v/>
      </c>
      <c r="C344">
        <f>IFERROR(__xludf.DUMMYFUNCTION("""COMPUTED_VALUE"""),"_kim1_charaget02")</f>
        <v/>
      </c>
      <c r="D344">
        <f>IFERROR(__xludf.DUMMYFUNCTION("""COMPUTED_VALUE"""),"c_kim_00201_kim1_charaget02_Boss_Red")</f>
        <v/>
      </c>
      <c r="E344">
        <f>IFERROR(__xludf.DUMMYFUNCTION("""COMPUTED_VALUE"""),"君のことが大大大大大好きな100人の彼女")</f>
        <v/>
      </c>
      <c r="F344">
        <f>IFERROR(__xludf.DUMMYFUNCTION("""COMPUTED_VALUE"""),"院田 唐音")</f>
        <v/>
      </c>
      <c r="G344">
        <f>IFERROR(__xludf.DUMMYFUNCTION("""COMPUTED_VALUE"""),"院田唐音_kim1_charaget02")</f>
        <v/>
      </c>
      <c r="H344">
        <f>IFERROR(__xludf.DUMMYFUNCTION("""COMPUTED_VALUE"""),"Boss")</f>
        <v/>
      </c>
      <c r="I344">
        <f>IFERROR(__xludf.DUMMYFUNCTION("""COMPUTED_VALUE"""),"Technical")</f>
        <v/>
      </c>
      <c r="J344">
        <f>IFERROR(__xludf.DUMMYFUNCTION("""COMPUTED_VALUE"""),"Red")</f>
        <v/>
      </c>
      <c r="K344">
        <f>IFERROR(__xludf.DUMMYFUNCTION("""COMPUTED_VALUE"""),10000.0)</f>
        <v/>
      </c>
      <c r="L344">
        <f>IFERROR(__xludf.DUMMYFUNCTION("""COMPUTED_VALUE"""),2.0)</f>
        <v/>
      </c>
      <c r="M344">
        <f>IFERROR(__xludf.DUMMYFUNCTION("""COMPUTED_VALUE"""),35.0)</f>
        <v/>
      </c>
      <c r="N344">
        <f>IFERROR(__xludf.DUMMYFUNCTION("""COMPUTED_VALUE"""),0.25)</f>
        <v/>
      </c>
      <c r="O344">
        <f>IFERROR(__xludf.DUMMYFUNCTION("""COMPUTED_VALUE"""),100.0)</f>
        <v/>
      </c>
      <c r="P344">
        <f>IFERROR(__xludf.DUMMYFUNCTION("""COMPUTED_VALUE"""),0.0)</f>
        <v/>
      </c>
      <c r="Q344">
        <f>IFERROR(__xludf.DUMMYFUNCTION("""COMPUTED_VALUE"""),0.26)</f>
        <v/>
      </c>
      <c r="R344">
        <f>IFERROR(__xludf.DUMMYFUNCTION("""COMPUTED_VALUE"""),1.0)</f>
        <v/>
      </c>
      <c r="S344">
        <f>IFERROR(__xludf.DUMMYFUNCTION("""COMPUTED_VALUE"""),200.0)</f>
        <v/>
      </c>
      <c r="T344">
        <f>IFERROR(__xludf.DUMMYFUNCTION("""COMPUTED_VALUE"""),"1.37")</f>
        <v/>
      </c>
      <c r="U344">
        <f>IFERROR(__xludf.DUMMYFUNCTION("""COMPUTED_VALUE"""),"stop有:1回目 0.2")</f>
        <v/>
      </c>
      <c r="V344">
        <f>IFERROR(__xludf.DUMMYFUNCTION("""COMPUTED_VALUE"""),70.0)</f>
        <v/>
      </c>
      <c r="W344">
        <f>IFERROR(__xludf.DUMMYFUNCTION("""COMPUTED_VALUE"""),"2.4")</f>
        <v/>
      </c>
      <c r="X344">
        <f>IFERROR(__xludf.DUMMYFUNCTION("""COMPUTED_VALUE"""),"stop無 :1回目 1.2")</f>
        <v/>
      </c>
      <c r="Y344">
        <f>IFERROR(__xludf.DUMMYFUNCTION("""COMPUTED_VALUE"""),"範囲に100%ダメージ+攻撃10%Down")</f>
        <v/>
      </c>
      <c r="Z344">
        <f>IFERROR(__xludf.DUMMYFUNCTION("""COMPUTED_VALUE"""),4.0)</f>
        <v/>
      </c>
      <c r="AB344">
        <f>IFERROR(__xludf.DUMMYFUNCTION("""COMPUTED_VALUE"""),"dageki_1")</f>
        <v/>
      </c>
      <c r="AD344">
        <f>IFERROR(__xludf.DUMMYFUNCTION("""COMPUTED_VALUE"""),"ノックバックなし")</f>
        <v/>
      </c>
    </row>
    <row r="345">
      <c r="B345">
        <f>IFERROR(__xludf.DUMMYFUNCTION("""COMPUTED_VALUE"""),"chara_kim_00301")</f>
        <v/>
      </c>
      <c r="C345">
        <f>IFERROR(__xludf.DUMMYFUNCTION("""COMPUTED_VALUE"""),"_kim1_charaget02")</f>
        <v/>
      </c>
      <c r="D345">
        <f>IFERROR(__xludf.DUMMYFUNCTION("""COMPUTED_VALUE"""),"c_kim_00301_kim1_charaget02_Boss_Red")</f>
        <v/>
      </c>
      <c r="E345">
        <f>IFERROR(__xludf.DUMMYFUNCTION("""COMPUTED_VALUE"""),"君のことが大大大大大好きな100人の彼女")</f>
        <v/>
      </c>
      <c r="F345">
        <f>IFERROR(__xludf.DUMMYFUNCTION("""COMPUTED_VALUE"""),"好本 静")</f>
        <v/>
      </c>
      <c r="G345">
        <f>IFERROR(__xludf.DUMMYFUNCTION("""COMPUTED_VALUE"""),"好本 静_kim1_charaget02")</f>
        <v/>
      </c>
      <c r="H345">
        <f>IFERROR(__xludf.DUMMYFUNCTION("""COMPUTED_VALUE"""),"Boss")</f>
        <v/>
      </c>
      <c r="I345">
        <f>IFERROR(__xludf.DUMMYFUNCTION("""COMPUTED_VALUE"""),"Support")</f>
        <v/>
      </c>
      <c r="J345">
        <f>IFERROR(__xludf.DUMMYFUNCTION("""COMPUTED_VALUE"""),"Red")</f>
        <v/>
      </c>
      <c r="K345">
        <f>IFERROR(__xludf.DUMMYFUNCTION("""COMPUTED_VALUE"""),10000.0)</f>
        <v/>
      </c>
      <c r="L345">
        <f>IFERROR(__xludf.DUMMYFUNCTION("""COMPUTED_VALUE"""),3.0)</f>
        <v/>
      </c>
      <c r="M345">
        <f>IFERROR(__xludf.DUMMYFUNCTION("""COMPUTED_VALUE"""),32.0)</f>
        <v/>
      </c>
      <c r="N345">
        <f>IFERROR(__xludf.DUMMYFUNCTION("""COMPUTED_VALUE"""),0.3)</f>
        <v/>
      </c>
      <c r="O345">
        <f>IFERROR(__xludf.DUMMYFUNCTION("""COMPUTED_VALUE"""),100.0)</f>
        <v/>
      </c>
      <c r="P345">
        <f>IFERROR(__xludf.DUMMYFUNCTION("""COMPUTED_VALUE"""),0.0)</f>
        <v/>
      </c>
      <c r="Q345">
        <f>IFERROR(__xludf.DUMMYFUNCTION("""COMPUTED_VALUE"""),0.31)</f>
        <v/>
      </c>
      <c r="R345">
        <f>IFERROR(__xludf.DUMMYFUNCTION("""COMPUTED_VALUE"""),1.0)</f>
        <v/>
      </c>
      <c r="S345">
        <f>IFERROR(__xludf.DUMMYFUNCTION("""COMPUTED_VALUE"""),200.0)</f>
        <v/>
      </c>
      <c r="T345">
        <f>IFERROR(__xludf.DUMMYFUNCTION("""COMPUTED_VALUE"""),"1.75")</f>
        <v/>
      </c>
      <c r="U345">
        <f>IFERROR(__xludf.DUMMYFUNCTION("""COMPUTED_VALUE"""),"stop有:1回目 0.78")</f>
        <v/>
      </c>
      <c r="V345">
        <f>IFERROR(__xludf.DUMMYFUNCTION("""COMPUTED_VALUE"""),75.0)</f>
        <v/>
      </c>
      <c r="W345">
        <f>IFERROR(__xludf.DUMMYFUNCTION("""COMPUTED_VALUE"""),"3.6")</f>
        <v/>
      </c>
      <c r="X345">
        <f>IFERROR(__xludf.DUMMYFUNCTION("""COMPUTED_VALUE"""),"stop無 :1回目 1.2")</f>
        <v/>
      </c>
      <c r="Y345">
        <f>IFERROR(__xludf.DUMMYFUNCTION("""COMPUTED_VALUE"""),"味方の攻撃20%Up")</f>
        <v/>
      </c>
      <c r="Z345">
        <f>IFERROR(__xludf.DUMMYFUNCTION("""COMPUTED_VALUE"""),5.0)</f>
        <v/>
      </c>
      <c r="AB345">
        <f>IFERROR(__xludf.DUMMYFUNCTION("""COMPUTED_VALUE"""),"dageki_1")</f>
        <v/>
      </c>
      <c r="AD345">
        <f>IFERROR(__xludf.DUMMYFUNCTION("""COMPUTED_VALUE"""),"ノックバックなし")</f>
        <v/>
      </c>
    </row>
    <row r="346">
      <c r="B346">
        <f>IFERROR(__xludf.DUMMYFUNCTION("""COMPUTED_VALUE"""),"enemy_glo_00001")</f>
        <v/>
      </c>
      <c r="C346">
        <f>IFERROR(__xludf.DUMMYFUNCTION("""COMPUTED_VALUE"""),"_kim1_charaget02")</f>
        <v/>
      </c>
      <c r="D346">
        <f>IFERROR(__xludf.DUMMYFUNCTION("""COMPUTED_VALUE"""),"e_glo_00001_kim1_charaget02_Normal_Colorless")</f>
        <v/>
      </c>
      <c r="E346">
        <f>IFERROR(__xludf.DUMMYFUNCTION("""COMPUTED_VALUE"""),"GLOW")</f>
        <v/>
      </c>
      <c r="F346">
        <f>IFERROR(__xludf.DUMMYFUNCTION("""COMPUTED_VALUE"""),"ファントム")</f>
        <v/>
      </c>
      <c r="G346">
        <f>IFERROR(__xludf.DUMMYFUNCTION("""COMPUTED_VALUE"""),"ファントム_kim1_charaget02")</f>
        <v/>
      </c>
      <c r="H346">
        <f>IFERROR(__xludf.DUMMYFUNCTION("""COMPUTED_VALUE"""),"Normal")</f>
        <v/>
      </c>
      <c r="I346">
        <f>IFERROR(__xludf.DUMMYFUNCTION("""COMPUTED_VALUE"""),"Attack")</f>
        <v/>
      </c>
      <c r="J346">
        <f>IFERROR(__xludf.DUMMYFUNCTION("""COMPUTED_VALUE"""),"Colorless")</f>
        <v/>
      </c>
      <c r="K346">
        <f>IFERROR(__xludf.DUMMYFUNCTION("""COMPUTED_VALUE"""),1000.0)</f>
        <v/>
      </c>
      <c r="L346">
        <f>IFERROR(__xludf.DUMMYFUNCTION("""COMPUTED_VALUE"""),2.0)</f>
        <v/>
      </c>
      <c r="M346">
        <f>IFERROR(__xludf.DUMMYFUNCTION("""COMPUTED_VALUE"""),40.0)</f>
        <v/>
      </c>
      <c r="N346">
        <f>IFERROR(__xludf.DUMMYFUNCTION("""COMPUTED_VALUE"""),0.2)</f>
        <v/>
      </c>
      <c r="O346">
        <f>IFERROR(__xludf.DUMMYFUNCTION("""COMPUTED_VALUE"""),100.0)</f>
        <v/>
      </c>
      <c r="P346">
        <f>IFERROR(__xludf.DUMMYFUNCTION("""COMPUTED_VALUE"""),0.0)</f>
        <v/>
      </c>
      <c r="Q346">
        <f>IFERROR(__xludf.DUMMYFUNCTION("""COMPUTED_VALUE"""),0.21)</f>
        <v/>
      </c>
      <c r="R346">
        <f>IFERROR(__xludf.DUMMYFUNCTION("""COMPUTED_VALUE"""),1.0)</f>
        <v/>
      </c>
      <c r="S346">
        <f>IFERROR(__xludf.DUMMYFUNCTION("""COMPUTED_VALUE"""),50.0)</f>
        <v/>
      </c>
      <c r="T346">
        <f>IFERROR(__xludf.DUMMYFUNCTION("""COMPUTED_VALUE"""),"1.00")</f>
        <v/>
      </c>
      <c r="U346">
        <f>IFERROR(__xludf.DUMMYFUNCTION("""COMPUTED_VALUE"""),"0.50")</f>
        <v/>
      </c>
      <c r="V346">
        <f>IFERROR(__xludf.DUMMYFUNCTION("""COMPUTED_VALUE"""),40.0)</f>
        <v/>
      </c>
      <c r="Z346">
        <f>IFERROR(__xludf.DUMMYFUNCTION("""COMPUTED_VALUE"""),"-")</f>
        <v/>
      </c>
      <c r="AB346">
        <f>IFERROR(__xludf.DUMMYFUNCTION("""COMPUTED_VALUE"""),"dageki_1")</f>
        <v/>
      </c>
      <c r="AD346">
        <f>IFERROR(__xludf.DUMMYFUNCTION("""COMPUTED_VALUE"""),"ノックバックなし")</f>
        <v/>
      </c>
    </row>
    <row r="347">
      <c r="B347">
        <f>IFERROR(__xludf.DUMMYFUNCTION("""COMPUTED_VALUE"""),"chara_kim_00001")</f>
        <v/>
      </c>
      <c r="C347">
        <f>IFERROR(__xludf.DUMMYFUNCTION("""COMPUTED_VALUE"""),"_kim1_charaget02")</f>
        <v/>
      </c>
      <c r="D347">
        <f>IFERROR(__xludf.DUMMYFUNCTION("""COMPUTED_VALUE"""),"c_kim_00001_kim1_charaget02_Boss_Red")</f>
        <v/>
      </c>
      <c r="E347">
        <f>IFERROR(__xludf.DUMMYFUNCTION("""COMPUTED_VALUE"""),"君のことが大大大大大好きな100人の彼女")</f>
        <v/>
      </c>
      <c r="F347">
        <f>IFERROR(__xludf.DUMMYFUNCTION("""COMPUTED_VALUE"""),"溢れる母性 花園 羽々里")</f>
        <v/>
      </c>
      <c r="G347">
        <f>IFERROR(__xludf.DUMMYFUNCTION("""COMPUTED_VALUE"""),"花園羽々里_kim1_charaget02")</f>
        <v/>
      </c>
      <c r="H347">
        <f>IFERROR(__xludf.DUMMYFUNCTION("""COMPUTED_VALUE"""),"Boss")</f>
        <v/>
      </c>
      <c r="I347">
        <f>IFERROR(__xludf.DUMMYFUNCTION("""COMPUTED_VALUE"""),"Defense")</f>
        <v/>
      </c>
      <c r="J347">
        <f>IFERROR(__xludf.DUMMYFUNCTION("""COMPUTED_VALUE"""),"Red")</f>
        <v/>
      </c>
      <c r="K347">
        <f>IFERROR(__xludf.DUMMYFUNCTION("""COMPUTED_VALUE"""),10000.0)</f>
        <v/>
      </c>
      <c r="L347">
        <f>IFERROR(__xludf.DUMMYFUNCTION("""COMPUTED_VALUE"""),1.0)</f>
        <v/>
      </c>
      <c r="M347">
        <f>IFERROR(__xludf.DUMMYFUNCTION("""COMPUTED_VALUE"""),40.0)</f>
        <v/>
      </c>
      <c r="N347">
        <f>IFERROR(__xludf.DUMMYFUNCTION("""COMPUTED_VALUE"""),0.18)</f>
        <v/>
      </c>
      <c r="O347">
        <f>IFERROR(__xludf.DUMMYFUNCTION("""COMPUTED_VALUE"""),100.0)</f>
        <v/>
      </c>
      <c r="P347">
        <f>IFERROR(__xludf.DUMMYFUNCTION("""COMPUTED_VALUE"""),0.0)</f>
        <v/>
      </c>
      <c r="Q347">
        <f>IFERROR(__xludf.DUMMYFUNCTION("""COMPUTED_VALUE"""),0.19)</f>
        <v/>
      </c>
      <c r="R347">
        <f>IFERROR(__xludf.DUMMYFUNCTION("""COMPUTED_VALUE"""),1.0)</f>
        <v/>
      </c>
      <c r="S347">
        <f>IFERROR(__xludf.DUMMYFUNCTION("""COMPUTED_VALUE"""),200.0)</f>
        <v/>
      </c>
      <c r="T347">
        <f>IFERROR(__xludf.DUMMYFUNCTION("""COMPUTED_VALUE"""),"1.3")</f>
        <v/>
      </c>
      <c r="U347">
        <f>IFERROR(__xludf.DUMMYFUNCTION("""COMPUTED_VALUE"""),"stop有:1回目 0.67")</f>
        <v/>
      </c>
      <c r="V347">
        <f>IFERROR(__xludf.DUMMYFUNCTION("""COMPUTED_VALUE"""),50.0)</f>
        <v/>
      </c>
      <c r="W347">
        <f>IFERROR(__xludf.DUMMYFUNCTION("""COMPUTED_VALUE"""),"2.5")</f>
        <v/>
      </c>
      <c r="X347">
        <f>IFERROR(__xludf.DUMMYFUNCTION("""COMPUTED_VALUE"""),"stop無:1回目 0.63
stop無:2回目 0.8
stop無:3回目 0.99
stop無:4回目 1.2
stop有:5回目 1.60")</f>
        <v/>
      </c>
      <c r="Y347">
        <f>IFERROR(__xludf.DUMMYFUNCTION("""COMPUTED_VALUE"""),"範囲に100%ダメージ+20秒間、自身が受けるダメージ30%カット")</f>
        <v/>
      </c>
      <c r="Z347">
        <f>IFERROR(__xludf.DUMMYFUNCTION("""COMPUTED_VALUE"""),5.0)</f>
        <v/>
      </c>
      <c r="AB347">
        <f>IFERROR(__xludf.DUMMYFUNCTION("""COMPUTED_VALUE"""),"dageki_1")</f>
        <v/>
      </c>
      <c r="AD347">
        <f>IFERROR(__xludf.DUMMYFUNCTION("""COMPUTED_VALUE"""),"ノックバックなし")</f>
        <v/>
      </c>
    </row>
    <row r="348">
      <c r="B348">
        <f>IFERROR(__xludf.DUMMYFUNCTION("""COMPUTED_VALUE"""),"chara_kim_00001")</f>
        <v/>
      </c>
      <c r="C348">
        <f>IFERROR(__xludf.DUMMYFUNCTION("""COMPUTED_VALUE"""),"_kim1_challenge")</f>
        <v/>
      </c>
      <c r="D348">
        <f>IFERROR(__xludf.DUMMYFUNCTION("""COMPUTED_VALUE"""),"c_kim_00001_kim1_challenge_Boss_Red")</f>
        <v/>
      </c>
      <c r="E348">
        <f>IFERROR(__xludf.DUMMYFUNCTION("""COMPUTED_VALUE"""),"君のことが大大大大大好きな100人の彼女")</f>
        <v/>
      </c>
      <c r="F348">
        <f>IFERROR(__xludf.DUMMYFUNCTION("""COMPUTED_VALUE"""),"溢れる母性 花園 羽々里")</f>
        <v/>
      </c>
      <c r="G348">
        <f>IFERROR(__xludf.DUMMYFUNCTION("""COMPUTED_VALUE"""),"花園羽々里_kim1_challenge")</f>
        <v/>
      </c>
      <c r="H348">
        <f>IFERROR(__xludf.DUMMYFUNCTION("""COMPUTED_VALUE"""),"Boss")</f>
        <v/>
      </c>
      <c r="I348">
        <f>IFERROR(__xludf.DUMMYFUNCTION("""COMPUTED_VALUE"""),"Defense")</f>
        <v/>
      </c>
      <c r="J348">
        <f>IFERROR(__xludf.DUMMYFUNCTION("""COMPUTED_VALUE"""),"Red")</f>
        <v/>
      </c>
      <c r="K348">
        <f>IFERROR(__xludf.DUMMYFUNCTION("""COMPUTED_VALUE"""),50000.0)</f>
        <v/>
      </c>
      <c r="L348">
        <f>IFERROR(__xludf.DUMMYFUNCTION("""COMPUTED_VALUE"""),1.0)</f>
        <v/>
      </c>
      <c r="M348">
        <f>IFERROR(__xludf.DUMMYFUNCTION("""COMPUTED_VALUE"""),40.0)</f>
        <v/>
      </c>
      <c r="N348">
        <f>IFERROR(__xludf.DUMMYFUNCTION("""COMPUTED_VALUE"""),0.18)</f>
        <v/>
      </c>
      <c r="O348">
        <f>IFERROR(__xludf.DUMMYFUNCTION("""COMPUTED_VALUE"""),300.0)</f>
        <v/>
      </c>
      <c r="P348">
        <f>IFERROR(__xludf.DUMMYFUNCTION("""COMPUTED_VALUE"""),0.0)</f>
        <v/>
      </c>
      <c r="Q348">
        <f>IFERROR(__xludf.DUMMYFUNCTION("""COMPUTED_VALUE"""),0.19)</f>
        <v/>
      </c>
      <c r="R348">
        <f>IFERROR(__xludf.DUMMYFUNCTION("""COMPUTED_VALUE"""),1.0)</f>
        <v/>
      </c>
      <c r="S348">
        <f>IFERROR(__xludf.DUMMYFUNCTION("""COMPUTED_VALUE"""),200.0)</f>
        <v/>
      </c>
      <c r="T348">
        <f>IFERROR(__xludf.DUMMYFUNCTION("""COMPUTED_VALUE"""),"1.3")</f>
        <v/>
      </c>
      <c r="U348">
        <f>IFERROR(__xludf.DUMMYFUNCTION("""COMPUTED_VALUE"""),"stop有:1回目 0.67")</f>
        <v/>
      </c>
      <c r="V348">
        <f>IFERROR(__xludf.DUMMYFUNCTION("""COMPUTED_VALUE"""),50.0)</f>
        <v/>
      </c>
      <c r="W348">
        <f>IFERROR(__xludf.DUMMYFUNCTION("""COMPUTED_VALUE"""),"2.5")</f>
        <v/>
      </c>
      <c r="X348">
        <f>IFERROR(__xludf.DUMMYFUNCTION("""COMPUTED_VALUE"""),"stop無:1回目 0.63
stop無:2回目 0.8
stop無:3回目 0.99
stop無:4回目 1.2
stop有:5回目 1.60")</f>
        <v/>
      </c>
      <c r="Z348">
        <f>IFERROR(__xludf.DUMMYFUNCTION("""COMPUTED_VALUE"""),5.0)</f>
        <v/>
      </c>
      <c r="AB348">
        <f>IFERROR(__xludf.DUMMYFUNCTION("""COMPUTED_VALUE"""),"dageki_1")</f>
        <v/>
      </c>
    </row>
    <row r="349">
      <c r="B349">
        <f>IFERROR(__xludf.DUMMYFUNCTION("""COMPUTED_VALUE"""),"chara_kim_00101")</f>
        <v/>
      </c>
      <c r="C349">
        <f>IFERROR(__xludf.DUMMYFUNCTION("""COMPUTED_VALUE"""),"_kim1_challenge")</f>
        <v/>
      </c>
      <c r="D349">
        <f>IFERROR(__xludf.DUMMYFUNCTION("""COMPUTED_VALUE"""),"c_kim_00101_kim1_challenge_Boss_Green")</f>
        <v/>
      </c>
      <c r="E349">
        <f>IFERROR(__xludf.DUMMYFUNCTION("""COMPUTED_VALUE"""),"君のことが大大大大大好きな100人の彼女")</f>
        <v/>
      </c>
      <c r="F349">
        <f>IFERROR(__xludf.DUMMYFUNCTION("""COMPUTED_VALUE"""),"花園 羽香里")</f>
        <v/>
      </c>
      <c r="G349">
        <f>IFERROR(__xludf.DUMMYFUNCTION("""COMPUTED_VALUE"""),"花園羽香里_kim1_challenge")</f>
        <v/>
      </c>
      <c r="H349">
        <f>IFERROR(__xludf.DUMMYFUNCTION("""COMPUTED_VALUE"""),"Boss")</f>
        <v/>
      </c>
      <c r="I349">
        <f>IFERROR(__xludf.DUMMYFUNCTION("""COMPUTED_VALUE"""),"Attack")</f>
        <v/>
      </c>
      <c r="J349">
        <f>IFERROR(__xludf.DUMMYFUNCTION("""COMPUTED_VALUE"""),"Green")</f>
        <v/>
      </c>
      <c r="K349">
        <f>IFERROR(__xludf.DUMMYFUNCTION("""COMPUTED_VALUE"""),50000.0)</f>
        <v/>
      </c>
      <c r="L349">
        <f>IFERROR(__xludf.DUMMYFUNCTION("""COMPUTED_VALUE"""),2.0)</f>
        <v/>
      </c>
      <c r="M349">
        <f>IFERROR(__xludf.DUMMYFUNCTION("""COMPUTED_VALUE"""),30.0)</f>
        <v/>
      </c>
      <c r="N349">
        <f>IFERROR(__xludf.DUMMYFUNCTION("""COMPUTED_VALUE"""),0.23)</f>
        <v/>
      </c>
      <c r="O349">
        <f>IFERROR(__xludf.DUMMYFUNCTION("""COMPUTED_VALUE"""),300.0)</f>
        <v/>
      </c>
      <c r="P349">
        <f>IFERROR(__xludf.DUMMYFUNCTION("""COMPUTED_VALUE"""),0.0)</f>
        <v/>
      </c>
      <c r="Q349">
        <f>IFERROR(__xludf.DUMMYFUNCTION("""COMPUTED_VALUE"""),0.24)</f>
        <v/>
      </c>
      <c r="R349">
        <f>IFERROR(__xludf.DUMMYFUNCTION("""COMPUTED_VALUE"""),1.0)</f>
        <v/>
      </c>
      <c r="S349">
        <f>IFERROR(__xludf.DUMMYFUNCTION("""COMPUTED_VALUE"""),200.0)</f>
        <v/>
      </c>
      <c r="T349">
        <f>IFERROR(__xludf.DUMMYFUNCTION("""COMPUTED_VALUE"""),"1.23")</f>
        <v/>
      </c>
      <c r="U349">
        <f>IFERROR(__xludf.DUMMYFUNCTION("""COMPUTED_VALUE"""),"stop有:1回目 0.25")</f>
        <v/>
      </c>
      <c r="V349">
        <f>IFERROR(__xludf.DUMMYFUNCTION("""COMPUTED_VALUE"""),60.0)</f>
        <v/>
      </c>
      <c r="W349">
        <f>IFERROR(__xludf.DUMMYFUNCTION("""COMPUTED_VALUE"""),"3.5")</f>
        <v/>
      </c>
      <c r="X349">
        <f>IFERROR(__xludf.DUMMYFUNCTION("""COMPUTED_VALUE"""),"stop無:1回目 1.11
stop無:2回目 1.33
stop無:3回目 1.53
stop無:4回目 1.75
stop有:5回目 1.93")</f>
        <v/>
      </c>
      <c r="Z349">
        <f>IFERROR(__xludf.DUMMYFUNCTION("""COMPUTED_VALUE"""),5.0)</f>
        <v/>
      </c>
      <c r="AB349">
        <f>IFERROR(__xludf.DUMMYFUNCTION("""COMPUTED_VALUE"""),"dageki_1")</f>
        <v/>
      </c>
    </row>
    <row r="350">
      <c r="B350">
        <f>IFERROR(__xludf.DUMMYFUNCTION("""COMPUTED_VALUE"""),"chara_kim_00201")</f>
        <v/>
      </c>
      <c r="C350">
        <f>IFERROR(__xludf.DUMMYFUNCTION("""COMPUTED_VALUE"""),"_kim1_challenge")</f>
        <v/>
      </c>
      <c r="D350">
        <f>IFERROR(__xludf.DUMMYFUNCTION("""COMPUTED_VALUE"""),"c_kim_00201_kim1_challenge_Boss_Red")</f>
        <v/>
      </c>
      <c r="E350">
        <f>IFERROR(__xludf.DUMMYFUNCTION("""COMPUTED_VALUE"""),"君のことが大大大大大好きな100人の彼女")</f>
        <v/>
      </c>
      <c r="F350">
        <f>IFERROR(__xludf.DUMMYFUNCTION("""COMPUTED_VALUE"""),"院田 唐音")</f>
        <v/>
      </c>
      <c r="G350">
        <f>IFERROR(__xludf.DUMMYFUNCTION("""COMPUTED_VALUE"""),"院田唐音_kim1_challenge")</f>
        <v/>
      </c>
      <c r="H350">
        <f>IFERROR(__xludf.DUMMYFUNCTION("""COMPUTED_VALUE"""),"Boss")</f>
        <v/>
      </c>
      <c r="I350">
        <f>IFERROR(__xludf.DUMMYFUNCTION("""COMPUTED_VALUE"""),"Technical")</f>
        <v/>
      </c>
      <c r="J350">
        <f>IFERROR(__xludf.DUMMYFUNCTION("""COMPUTED_VALUE"""),"Red")</f>
        <v/>
      </c>
      <c r="K350">
        <f>IFERROR(__xludf.DUMMYFUNCTION("""COMPUTED_VALUE"""),50000.0)</f>
        <v/>
      </c>
      <c r="L350">
        <f>IFERROR(__xludf.DUMMYFUNCTION("""COMPUTED_VALUE"""),2.0)</f>
        <v/>
      </c>
      <c r="M350">
        <f>IFERROR(__xludf.DUMMYFUNCTION("""COMPUTED_VALUE"""),35.0)</f>
        <v/>
      </c>
      <c r="N350">
        <f>IFERROR(__xludf.DUMMYFUNCTION("""COMPUTED_VALUE"""),0.25)</f>
        <v/>
      </c>
      <c r="O350">
        <f>IFERROR(__xludf.DUMMYFUNCTION("""COMPUTED_VALUE"""),300.0)</f>
        <v/>
      </c>
      <c r="P350">
        <f>IFERROR(__xludf.DUMMYFUNCTION("""COMPUTED_VALUE"""),0.0)</f>
        <v/>
      </c>
      <c r="Q350">
        <f>IFERROR(__xludf.DUMMYFUNCTION("""COMPUTED_VALUE"""),0.26)</f>
        <v/>
      </c>
      <c r="R350">
        <f>IFERROR(__xludf.DUMMYFUNCTION("""COMPUTED_VALUE"""),1.0)</f>
        <v/>
      </c>
      <c r="S350">
        <f>IFERROR(__xludf.DUMMYFUNCTION("""COMPUTED_VALUE"""),200.0)</f>
        <v/>
      </c>
      <c r="T350">
        <f>IFERROR(__xludf.DUMMYFUNCTION("""COMPUTED_VALUE"""),"1.37")</f>
        <v/>
      </c>
      <c r="U350">
        <f>IFERROR(__xludf.DUMMYFUNCTION("""COMPUTED_VALUE"""),"stop有:1回目 0.2")</f>
        <v/>
      </c>
      <c r="V350">
        <f>IFERROR(__xludf.DUMMYFUNCTION("""COMPUTED_VALUE"""),70.0)</f>
        <v/>
      </c>
      <c r="W350">
        <f>IFERROR(__xludf.DUMMYFUNCTION("""COMPUTED_VALUE"""),"2.4")</f>
        <v/>
      </c>
      <c r="X350">
        <f>IFERROR(__xludf.DUMMYFUNCTION("""COMPUTED_VALUE"""),"stop無 :1回目 1.2")</f>
        <v/>
      </c>
      <c r="Z350">
        <f>IFERROR(__xludf.DUMMYFUNCTION("""COMPUTED_VALUE"""),4.0)</f>
        <v/>
      </c>
      <c r="AB350">
        <f>IFERROR(__xludf.DUMMYFUNCTION("""COMPUTED_VALUE"""),"dageki_1")</f>
        <v/>
      </c>
    </row>
    <row r="351">
      <c r="B351">
        <f>IFERROR(__xludf.DUMMYFUNCTION("""COMPUTED_VALUE"""),"chara_kim_00301")</f>
        <v/>
      </c>
      <c r="C351">
        <f>IFERROR(__xludf.DUMMYFUNCTION("""COMPUTED_VALUE"""),"_kim1_challenge")</f>
        <v/>
      </c>
      <c r="D351">
        <f>IFERROR(__xludf.DUMMYFUNCTION("""COMPUTED_VALUE"""),"c_kim_00301_kim1_challenge_Boss_Yellow")</f>
        <v/>
      </c>
      <c r="E351">
        <f>IFERROR(__xludf.DUMMYFUNCTION("""COMPUTED_VALUE"""),"君のことが大大大大大好きな100人の彼女")</f>
        <v/>
      </c>
      <c r="F351">
        <f>IFERROR(__xludf.DUMMYFUNCTION("""COMPUTED_VALUE"""),"好本 静")</f>
        <v/>
      </c>
      <c r="G351">
        <f>IFERROR(__xludf.DUMMYFUNCTION("""COMPUTED_VALUE"""),"好本 静_kim1_challenge")</f>
        <v/>
      </c>
      <c r="H351">
        <f>IFERROR(__xludf.DUMMYFUNCTION("""COMPUTED_VALUE"""),"Boss")</f>
        <v/>
      </c>
      <c r="I351">
        <f>IFERROR(__xludf.DUMMYFUNCTION("""COMPUTED_VALUE"""),"Support")</f>
        <v/>
      </c>
      <c r="J351">
        <f>IFERROR(__xludf.DUMMYFUNCTION("""COMPUTED_VALUE"""),"Yellow")</f>
        <v/>
      </c>
      <c r="K351">
        <f>IFERROR(__xludf.DUMMYFUNCTION("""COMPUTED_VALUE"""),50000.0)</f>
        <v/>
      </c>
      <c r="L351">
        <f>IFERROR(__xludf.DUMMYFUNCTION("""COMPUTED_VALUE"""),2.0)</f>
        <v/>
      </c>
      <c r="M351">
        <f>IFERROR(__xludf.DUMMYFUNCTION("""COMPUTED_VALUE"""),32.0)</f>
        <v/>
      </c>
      <c r="N351">
        <f>IFERROR(__xludf.DUMMYFUNCTION("""COMPUTED_VALUE"""),0.3)</f>
        <v/>
      </c>
      <c r="O351">
        <f>IFERROR(__xludf.DUMMYFUNCTION("""COMPUTED_VALUE"""),300.0)</f>
        <v/>
      </c>
      <c r="P351">
        <f>IFERROR(__xludf.DUMMYFUNCTION("""COMPUTED_VALUE"""),0.0)</f>
        <v/>
      </c>
      <c r="Q351">
        <f>IFERROR(__xludf.DUMMYFUNCTION("""COMPUTED_VALUE"""),0.31)</f>
        <v/>
      </c>
      <c r="R351">
        <f>IFERROR(__xludf.DUMMYFUNCTION("""COMPUTED_VALUE"""),1.0)</f>
        <v/>
      </c>
      <c r="S351">
        <f>IFERROR(__xludf.DUMMYFUNCTION("""COMPUTED_VALUE"""),200.0)</f>
        <v/>
      </c>
      <c r="T351">
        <f>IFERROR(__xludf.DUMMYFUNCTION("""COMPUTED_VALUE"""),"1.75")</f>
        <v/>
      </c>
      <c r="U351">
        <f>IFERROR(__xludf.DUMMYFUNCTION("""COMPUTED_VALUE"""),"stop有:1回目 0.78")</f>
        <v/>
      </c>
      <c r="V351">
        <f>IFERROR(__xludf.DUMMYFUNCTION("""COMPUTED_VALUE"""),75.0)</f>
        <v/>
      </c>
      <c r="W351">
        <f>IFERROR(__xludf.DUMMYFUNCTION("""COMPUTED_VALUE"""),"3.6")</f>
        <v/>
      </c>
      <c r="X351">
        <f>IFERROR(__xludf.DUMMYFUNCTION("""COMPUTED_VALUE"""),"stop無 :1回目 1.2")</f>
        <v/>
      </c>
      <c r="Z351">
        <f>IFERROR(__xludf.DUMMYFUNCTION("""COMPUTED_VALUE"""),5.0)</f>
        <v/>
      </c>
      <c r="AB351">
        <f>IFERROR(__xludf.DUMMYFUNCTION("""COMPUTED_VALUE"""),"dageki_1")</f>
        <v/>
      </c>
    </row>
    <row r="352">
      <c r="B352">
        <f>IFERROR(__xludf.DUMMYFUNCTION("""COMPUTED_VALUE"""),"chara_kim_00101")</f>
        <v/>
      </c>
      <c r="C352">
        <f>IFERROR(__xludf.DUMMYFUNCTION("""COMPUTED_VALUE"""),"_kim1_challenge")</f>
        <v/>
      </c>
      <c r="D352">
        <f>IFERROR(__xludf.DUMMYFUNCTION("""COMPUTED_VALUE"""),"c_kim_00101_kim1_challenge_Normal_Green")</f>
        <v/>
      </c>
      <c r="E352">
        <f>IFERROR(__xludf.DUMMYFUNCTION("""COMPUTED_VALUE"""),"君のことが大大大大大好きな100人の彼女")</f>
        <v/>
      </c>
      <c r="F352">
        <f>IFERROR(__xludf.DUMMYFUNCTION("""COMPUTED_VALUE"""),"花園 羽香里")</f>
        <v/>
      </c>
      <c r="G352">
        <f>IFERROR(__xludf.DUMMYFUNCTION("""COMPUTED_VALUE"""),"花園羽香里_kim1_challenge")</f>
        <v/>
      </c>
      <c r="H352">
        <f>IFERROR(__xludf.DUMMYFUNCTION("""COMPUTED_VALUE"""),"Normal")</f>
        <v/>
      </c>
      <c r="I352">
        <f>IFERROR(__xludf.DUMMYFUNCTION("""COMPUTED_VALUE"""),"Attack")</f>
        <v/>
      </c>
      <c r="J352">
        <f>IFERROR(__xludf.DUMMYFUNCTION("""COMPUTED_VALUE"""),"Green")</f>
        <v/>
      </c>
      <c r="K352">
        <f>IFERROR(__xludf.DUMMYFUNCTION("""COMPUTED_VALUE"""),10000.0)</f>
        <v/>
      </c>
      <c r="L352">
        <f>IFERROR(__xludf.DUMMYFUNCTION("""COMPUTED_VALUE"""),2.0)</f>
        <v/>
      </c>
      <c r="M352">
        <f>IFERROR(__xludf.DUMMYFUNCTION("""COMPUTED_VALUE"""),30.0)</f>
        <v/>
      </c>
      <c r="N352">
        <f>IFERROR(__xludf.DUMMYFUNCTION("""COMPUTED_VALUE"""),0.23)</f>
        <v/>
      </c>
      <c r="O352">
        <f>IFERROR(__xludf.DUMMYFUNCTION("""COMPUTED_VALUE"""),300.0)</f>
        <v/>
      </c>
      <c r="P352">
        <f>IFERROR(__xludf.DUMMYFUNCTION("""COMPUTED_VALUE"""),0.0)</f>
        <v/>
      </c>
      <c r="Q352">
        <f>IFERROR(__xludf.DUMMYFUNCTION("""COMPUTED_VALUE"""),0.24)</f>
        <v/>
      </c>
      <c r="R352">
        <f>IFERROR(__xludf.DUMMYFUNCTION("""COMPUTED_VALUE"""),1.0)</f>
        <v/>
      </c>
      <c r="S352">
        <f>IFERROR(__xludf.DUMMYFUNCTION("""COMPUTED_VALUE"""),200.0)</f>
        <v/>
      </c>
      <c r="T352">
        <f>IFERROR(__xludf.DUMMYFUNCTION("""COMPUTED_VALUE"""),"1.23")</f>
        <v/>
      </c>
      <c r="U352">
        <f>IFERROR(__xludf.DUMMYFUNCTION("""COMPUTED_VALUE"""),"stop有:1回目 0.25")</f>
        <v/>
      </c>
      <c r="V352">
        <f>IFERROR(__xludf.DUMMYFUNCTION("""COMPUTED_VALUE"""),60.0)</f>
        <v/>
      </c>
      <c r="W352">
        <f>IFERROR(__xludf.DUMMYFUNCTION("""COMPUTED_VALUE"""),"3.5")</f>
        <v/>
      </c>
      <c r="X352">
        <f>IFERROR(__xludf.DUMMYFUNCTION("""COMPUTED_VALUE"""),"stop無:1回目 1.11
stop無:2回目 1.33
stop無:3回目 1.53
stop無:4回目 1.75
stop有:5回目 1.93")</f>
        <v/>
      </c>
      <c r="Z352">
        <f>IFERROR(__xludf.DUMMYFUNCTION("""COMPUTED_VALUE"""),5.0)</f>
        <v/>
      </c>
      <c r="AB352">
        <f>IFERROR(__xludf.DUMMYFUNCTION("""COMPUTED_VALUE"""),"dageki_1")</f>
        <v/>
      </c>
    </row>
    <row r="353">
      <c r="B353">
        <f>IFERROR(__xludf.DUMMYFUNCTION("""COMPUTED_VALUE"""),"chara_kim_00201")</f>
        <v/>
      </c>
      <c r="C353">
        <f>IFERROR(__xludf.DUMMYFUNCTION("""COMPUTED_VALUE"""),"_kim1_challenge")</f>
        <v/>
      </c>
      <c r="D353">
        <f>IFERROR(__xludf.DUMMYFUNCTION("""COMPUTED_VALUE"""),"c_kim_00201_kim1_challenge_Normal_Red")</f>
        <v/>
      </c>
      <c r="E353">
        <f>IFERROR(__xludf.DUMMYFUNCTION("""COMPUTED_VALUE"""),"君のことが大大大大大好きな100人の彼女")</f>
        <v/>
      </c>
      <c r="F353">
        <f>IFERROR(__xludf.DUMMYFUNCTION("""COMPUTED_VALUE"""),"院田 唐音")</f>
        <v/>
      </c>
      <c r="G353">
        <f>IFERROR(__xludf.DUMMYFUNCTION("""COMPUTED_VALUE"""),"院田唐音_kim1_challenge")</f>
        <v/>
      </c>
      <c r="H353">
        <f>IFERROR(__xludf.DUMMYFUNCTION("""COMPUTED_VALUE"""),"Normal")</f>
        <v/>
      </c>
      <c r="I353">
        <f>IFERROR(__xludf.DUMMYFUNCTION("""COMPUTED_VALUE"""),"Technical")</f>
        <v/>
      </c>
      <c r="J353">
        <f>IFERROR(__xludf.DUMMYFUNCTION("""COMPUTED_VALUE"""),"Red")</f>
        <v/>
      </c>
      <c r="K353">
        <f>IFERROR(__xludf.DUMMYFUNCTION("""COMPUTED_VALUE"""),10000.0)</f>
        <v/>
      </c>
      <c r="L353">
        <f>IFERROR(__xludf.DUMMYFUNCTION("""COMPUTED_VALUE"""),2.0)</f>
        <v/>
      </c>
      <c r="M353">
        <f>IFERROR(__xludf.DUMMYFUNCTION("""COMPUTED_VALUE"""),35.0)</f>
        <v/>
      </c>
      <c r="N353">
        <f>IFERROR(__xludf.DUMMYFUNCTION("""COMPUTED_VALUE"""),0.25)</f>
        <v/>
      </c>
      <c r="O353">
        <f>IFERROR(__xludf.DUMMYFUNCTION("""COMPUTED_VALUE"""),300.0)</f>
        <v/>
      </c>
      <c r="P353">
        <f>IFERROR(__xludf.DUMMYFUNCTION("""COMPUTED_VALUE"""),0.0)</f>
        <v/>
      </c>
      <c r="Q353">
        <f>IFERROR(__xludf.DUMMYFUNCTION("""COMPUTED_VALUE"""),0.26)</f>
        <v/>
      </c>
      <c r="R353">
        <f>IFERROR(__xludf.DUMMYFUNCTION("""COMPUTED_VALUE"""),1.0)</f>
        <v/>
      </c>
      <c r="S353">
        <f>IFERROR(__xludf.DUMMYFUNCTION("""COMPUTED_VALUE"""),200.0)</f>
        <v/>
      </c>
      <c r="T353">
        <f>IFERROR(__xludf.DUMMYFUNCTION("""COMPUTED_VALUE"""),"1.37")</f>
        <v/>
      </c>
      <c r="U353">
        <f>IFERROR(__xludf.DUMMYFUNCTION("""COMPUTED_VALUE"""),"stop有:1回目 0.2")</f>
        <v/>
      </c>
      <c r="V353">
        <f>IFERROR(__xludf.DUMMYFUNCTION("""COMPUTED_VALUE"""),70.0)</f>
        <v/>
      </c>
      <c r="W353">
        <f>IFERROR(__xludf.DUMMYFUNCTION("""COMPUTED_VALUE"""),"2.4")</f>
        <v/>
      </c>
      <c r="X353">
        <f>IFERROR(__xludf.DUMMYFUNCTION("""COMPUTED_VALUE"""),"stop無 :1回目 1.2")</f>
        <v/>
      </c>
      <c r="Z353">
        <f>IFERROR(__xludf.DUMMYFUNCTION("""COMPUTED_VALUE"""),4.0)</f>
        <v/>
      </c>
      <c r="AB353">
        <f>IFERROR(__xludf.DUMMYFUNCTION("""COMPUTED_VALUE"""),"dageki_1")</f>
        <v/>
      </c>
    </row>
    <row r="354">
      <c r="B354">
        <f>IFERROR(__xludf.DUMMYFUNCTION("""COMPUTED_VALUE"""),"enemy_glo_00001")</f>
        <v/>
      </c>
      <c r="C354">
        <f>IFERROR(__xludf.DUMMYFUNCTION("""COMPUTED_VALUE"""),"_kim1_challenge")</f>
        <v/>
      </c>
      <c r="D354">
        <f>IFERROR(__xludf.DUMMYFUNCTION("""COMPUTED_VALUE"""),"e_glo_00001_kim1_challenge_Normal_Red")</f>
        <v/>
      </c>
      <c r="E354">
        <f>IFERROR(__xludf.DUMMYFUNCTION("""COMPUTED_VALUE"""),"GLOW")</f>
        <v/>
      </c>
      <c r="F354">
        <f>IFERROR(__xludf.DUMMYFUNCTION("""COMPUTED_VALUE"""),"ファントム")</f>
        <v/>
      </c>
      <c r="G354">
        <f>IFERROR(__xludf.DUMMYFUNCTION("""COMPUTED_VALUE"""),"ファントム_kim1_challenge")</f>
        <v/>
      </c>
      <c r="H354">
        <f>IFERROR(__xludf.DUMMYFUNCTION("""COMPUTED_VALUE"""),"Normal")</f>
        <v/>
      </c>
      <c r="I354">
        <f>IFERROR(__xludf.DUMMYFUNCTION("""COMPUTED_VALUE"""),"Attack")</f>
        <v/>
      </c>
      <c r="J354">
        <f>IFERROR(__xludf.DUMMYFUNCTION("""COMPUTED_VALUE"""),"Red")</f>
        <v/>
      </c>
      <c r="K354">
        <f>IFERROR(__xludf.DUMMYFUNCTION("""COMPUTED_VALUE"""),10000.0)</f>
        <v/>
      </c>
      <c r="L354">
        <f>IFERROR(__xludf.DUMMYFUNCTION("""COMPUTED_VALUE"""),2.0)</f>
        <v/>
      </c>
      <c r="M354">
        <f>IFERROR(__xludf.DUMMYFUNCTION("""COMPUTED_VALUE"""),40.0)</f>
        <v/>
      </c>
      <c r="N354">
        <f>IFERROR(__xludf.DUMMYFUNCTION("""COMPUTED_VALUE"""),0.2)</f>
        <v/>
      </c>
      <c r="O354">
        <f>IFERROR(__xludf.DUMMYFUNCTION("""COMPUTED_VALUE"""),100.0)</f>
        <v/>
      </c>
      <c r="P354">
        <f>IFERROR(__xludf.DUMMYFUNCTION("""COMPUTED_VALUE"""),0.0)</f>
        <v/>
      </c>
      <c r="Q354">
        <f>IFERROR(__xludf.DUMMYFUNCTION("""COMPUTED_VALUE"""),0.21)</f>
        <v/>
      </c>
      <c r="R354">
        <f>IFERROR(__xludf.DUMMYFUNCTION("""COMPUTED_VALUE"""),1.0)</f>
        <v/>
      </c>
      <c r="S354">
        <f>IFERROR(__xludf.DUMMYFUNCTION("""COMPUTED_VALUE"""),30.0)</f>
        <v/>
      </c>
      <c r="T354">
        <f>IFERROR(__xludf.DUMMYFUNCTION("""COMPUTED_VALUE"""),"1.00")</f>
        <v/>
      </c>
      <c r="U354">
        <f>IFERROR(__xludf.DUMMYFUNCTION("""COMPUTED_VALUE"""),"0.50")</f>
        <v/>
      </c>
      <c r="V354">
        <f>IFERROR(__xludf.DUMMYFUNCTION("""COMPUTED_VALUE"""),30.0)</f>
        <v/>
      </c>
      <c r="Z354">
        <f>IFERROR(__xludf.DUMMYFUNCTION("""COMPUTED_VALUE"""),"-")</f>
        <v/>
      </c>
      <c r="AB354">
        <f>IFERROR(__xludf.DUMMYFUNCTION("""COMPUTED_VALUE"""),"dageki_1")</f>
        <v/>
      </c>
    </row>
    <row r="355">
      <c r="B355">
        <f>IFERROR(__xludf.DUMMYFUNCTION("""COMPUTED_VALUE"""),"enemy_glo_00001")</f>
        <v/>
      </c>
      <c r="C355">
        <f>IFERROR(__xludf.DUMMYFUNCTION("""COMPUTED_VALUE"""),"_kim1_challenge")</f>
        <v/>
      </c>
      <c r="D355">
        <f>IFERROR(__xludf.DUMMYFUNCTION("""COMPUTED_VALUE"""),"e_glo_00001_kim1_challenge_Normal_Colorless")</f>
        <v/>
      </c>
      <c r="E355">
        <f>IFERROR(__xludf.DUMMYFUNCTION("""COMPUTED_VALUE"""),"GLOW")</f>
        <v/>
      </c>
      <c r="F355">
        <f>IFERROR(__xludf.DUMMYFUNCTION("""COMPUTED_VALUE"""),"ファントム")</f>
        <v/>
      </c>
      <c r="G355">
        <f>IFERROR(__xludf.DUMMYFUNCTION("""COMPUTED_VALUE"""),"ファントム_kim1_challenge")</f>
        <v/>
      </c>
      <c r="H355">
        <f>IFERROR(__xludf.DUMMYFUNCTION("""COMPUTED_VALUE"""),"Normal")</f>
        <v/>
      </c>
      <c r="I355">
        <f>IFERROR(__xludf.DUMMYFUNCTION("""COMPUTED_VALUE"""),"Attack")</f>
        <v/>
      </c>
      <c r="J355">
        <f>IFERROR(__xludf.DUMMYFUNCTION("""COMPUTED_VALUE"""),"Colorless")</f>
        <v/>
      </c>
      <c r="K355">
        <f>IFERROR(__xludf.DUMMYFUNCTION("""COMPUTED_VALUE"""),10000.0)</f>
        <v/>
      </c>
      <c r="L355">
        <f>IFERROR(__xludf.DUMMYFUNCTION("""COMPUTED_VALUE"""),2.0)</f>
        <v/>
      </c>
      <c r="M355">
        <f>IFERROR(__xludf.DUMMYFUNCTION("""COMPUTED_VALUE"""),40.0)</f>
        <v/>
      </c>
      <c r="N355">
        <f>IFERROR(__xludf.DUMMYFUNCTION("""COMPUTED_VALUE"""),0.2)</f>
        <v/>
      </c>
      <c r="O355">
        <f>IFERROR(__xludf.DUMMYFUNCTION("""COMPUTED_VALUE"""),100.0)</f>
        <v/>
      </c>
      <c r="P355">
        <f>IFERROR(__xludf.DUMMYFUNCTION("""COMPUTED_VALUE"""),0.0)</f>
        <v/>
      </c>
      <c r="Q355">
        <f>IFERROR(__xludf.DUMMYFUNCTION("""COMPUTED_VALUE"""),0.21)</f>
        <v/>
      </c>
      <c r="R355">
        <f>IFERROR(__xludf.DUMMYFUNCTION("""COMPUTED_VALUE"""),1.0)</f>
        <v/>
      </c>
      <c r="S355">
        <f>IFERROR(__xludf.DUMMYFUNCTION("""COMPUTED_VALUE"""),30.0)</f>
        <v/>
      </c>
      <c r="T355">
        <f>IFERROR(__xludf.DUMMYFUNCTION("""COMPUTED_VALUE"""),"1.00")</f>
        <v/>
      </c>
      <c r="U355">
        <f>IFERROR(__xludf.DUMMYFUNCTION("""COMPUTED_VALUE"""),"0.50")</f>
        <v/>
      </c>
      <c r="V355">
        <f>IFERROR(__xludf.DUMMYFUNCTION("""COMPUTED_VALUE"""),30.0)</f>
        <v/>
      </c>
      <c r="Z355">
        <f>IFERROR(__xludf.DUMMYFUNCTION("""COMPUTED_VALUE"""),"-")</f>
        <v/>
      </c>
      <c r="AB355">
        <f>IFERROR(__xludf.DUMMYFUNCTION("""COMPUTED_VALUE"""),"dageki_1")</f>
        <v/>
      </c>
    </row>
    <row r="356">
      <c r="D356">
        <f>IFERROR(__xludf.DUMMYFUNCTION("""COMPUTED_VALUE"""),"___")</f>
        <v/>
      </c>
      <c r="E356">
        <f>IFERROR(__xludf.DUMMYFUNCTION("""COMPUTED_VALUE"""),"none")</f>
        <v/>
      </c>
      <c r="F356">
        <f>IFERROR(__xludf.DUMMYFUNCTION("""COMPUTED_VALUE"""),"none")</f>
        <v/>
      </c>
      <c r="G356">
        <f>IFERROR(__xludf.DUMMYFUNCTION("""COMPUTED_VALUE"""),"none")</f>
        <v/>
      </c>
      <c r="I356">
        <f>IFERROR(__xludf.DUMMYFUNCTION("""COMPUTED_VALUE"""),"none")</f>
        <v/>
      </c>
      <c r="T356">
        <f>IFERROR(__xludf.DUMMYFUNCTION("""COMPUTED_VALUE"""),"none")</f>
        <v/>
      </c>
      <c r="U356">
        <f>IFERROR(__xludf.DUMMYFUNCTION("""COMPUTED_VALUE"""),"none")</f>
        <v/>
      </c>
      <c r="W356">
        <f>IFERROR(__xludf.DUMMYFUNCTION("""COMPUTED_VALUE"""),"none")</f>
        <v/>
      </c>
      <c r="X356">
        <f>IFERROR(__xludf.DUMMYFUNCTION("""COMPUTED_VALUE"""),"none")</f>
        <v/>
      </c>
      <c r="Z356">
        <f>IFERROR(__xludf.DUMMYFUNCTION("""COMPUTED_VALUE"""),"-")</f>
        <v/>
      </c>
      <c r="AB356">
        <f>IFERROR(__xludf.DUMMYFUNCTION("""COMPUTED_VALUE"""),"none")</f>
        <v/>
      </c>
    </row>
    <row r="357">
      <c r="B357">
        <f>IFERROR(__xludf.DUMMYFUNCTION("""COMPUTED_VALUE"""),"chara_hut_00001")</f>
        <v/>
      </c>
      <c r="C357">
        <f>IFERROR(__xludf.DUMMYFUNCTION("""COMPUTED_VALUE"""),"_hut1_1d1c")</f>
        <v/>
      </c>
      <c r="D357">
        <f>IFERROR(__xludf.DUMMYFUNCTION("""COMPUTED_VALUE"""),"c_hut_00001_hut1_1d1c_Normal_Colorless")</f>
        <v/>
      </c>
      <c r="E357">
        <f>IFERROR(__xludf.DUMMYFUNCTION("""COMPUTED_VALUE"""),"ふつうの軽音部")</f>
        <v/>
      </c>
      <c r="F357">
        <f>IFERROR(__xludf.DUMMYFUNCTION("""COMPUTED_VALUE"""),"ひたむきギタリスト 鳩野 ちひろ")</f>
        <v/>
      </c>
      <c r="G357">
        <f>IFERROR(__xludf.DUMMYFUNCTION("""COMPUTED_VALUE"""),"鳩野 ちひろ_hut1_1d1c")</f>
        <v/>
      </c>
      <c r="H357">
        <f>IFERROR(__xludf.DUMMYFUNCTION("""COMPUTED_VALUE"""),"Normal")</f>
        <v/>
      </c>
      <c r="I357">
        <f>IFERROR(__xludf.DUMMYFUNCTION("""COMPUTED_VALUE"""),"Defense")</f>
        <v/>
      </c>
      <c r="J357">
        <f>IFERROR(__xludf.DUMMYFUNCTION("""COMPUTED_VALUE"""),"Colorless")</f>
        <v/>
      </c>
      <c r="K357">
        <f>IFERROR(__xludf.DUMMYFUNCTION("""COMPUTED_VALUE"""),10000.0)</f>
        <v/>
      </c>
      <c r="L357">
        <f>IFERROR(__xludf.DUMMYFUNCTION("""COMPUTED_VALUE"""),1.0)</f>
        <v/>
      </c>
      <c r="M357">
        <f>IFERROR(__xludf.DUMMYFUNCTION("""COMPUTED_VALUE"""),35.0)</f>
        <v/>
      </c>
      <c r="N357">
        <f>IFERROR(__xludf.DUMMYFUNCTION("""COMPUTED_VALUE"""),0.21)</f>
        <v/>
      </c>
      <c r="O357">
        <f>IFERROR(__xludf.DUMMYFUNCTION("""COMPUTED_VALUE"""),100.0)</f>
        <v/>
      </c>
      <c r="P357">
        <f>IFERROR(__xludf.DUMMYFUNCTION("""COMPUTED_VALUE"""),0.0)</f>
        <v/>
      </c>
      <c r="Q357">
        <f>IFERROR(__xludf.DUMMYFUNCTION("""COMPUTED_VALUE"""),0.32)</f>
        <v/>
      </c>
      <c r="R357">
        <f>IFERROR(__xludf.DUMMYFUNCTION("""COMPUTED_VALUE"""),1.0)</f>
        <v/>
      </c>
      <c r="S357">
        <f>IFERROR(__xludf.DUMMYFUNCTION("""COMPUTED_VALUE"""),200.0)</f>
        <v/>
      </c>
      <c r="T357">
        <f>IFERROR(__xludf.DUMMYFUNCTION("""COMPUTED_VALUE"""),"1.47")</f>
        <v/>
      </c>
      <c r="U357">
        <f>IFERROR(__xludf.DUMMYFUNCTION("""COMPUTED_VALUE"""),"stop有 :1回目 0.15")</f>
        <v/>
      </c>
      <c r="V357">
        <f>IFERROR(__xludf.DUMMYFUNCTION("""COMPUTED_VALUE"""),60.0)</f>
        <v/>
      </c>
      <c r="W357">
        <f>IFERROR(__xludf.DUMMYFUNCTION("""COMPUTED_VALUE"""),"2.8")</f>
        <v/>
      </c>
      <c r="X357">
        <f>IFERROR(__xludf.DUMMYFUNCTION("""COMPUTED_VALUE"""),"stop有:1回目 0.87")</f>
        <v/>
      </c>
      <c r="Y357">
        <f>IFERROR(__xludf.DUMMYFUNCTION("""COMPUTED_VALUE"""),"単体に200%の攻撃+中ノックバック攻撃")</f>
        <v/>
      </c>
      <c r="Z357">
        <f>IFERROR(__xludf.DUMMYFUNCTION("""COMPUTED_VALUE"""),5.0)</f>
        <v/>
      </c>
      <c r="AB357">
        <f>IFERROR(__xludf.DUMMYFUNCTION("""COMPUTED_VALUE"""),"dageki_1")</f>
        <v/>
      </c>
    </row>
    <row r="358">
      <c r="B358">
        <f>IFERROR(__xludf.DUMMYFUNCTION("""COMPUTED_VALUE"""),"enemy_hut_00001")</f>
        <v/>
      </c>
      <c r="C358">
        <f>IFERROR(__xludf.DUMMYFUNCTION("""COMPUTED_VALUE"""),"_hut1_1d1c")</f>
        <v/>
      </c>
      <c r="D358">
        <f>IFERROR(__xludf.DUMMYFUNCTION("""COMPUTED_VALUE"""),"e_hut_00001_hut1_1d1c_Normal_Colorless")</f>
        <v/>
      </c>
      <c r="E358">
        <f>IFERROR(__xludf.DUMMYFUNCTION("""COMPUTED_VALUE"""),"ふつうの軽音部")</f>
        <v/>
      </c>
      <c r="F358">
        <f>IFERROR(__xludf.DUMMYFUNCTION("""COMPUTED_VALUE"""),"鷹見 項希")</f>
        <v/>
      </c>
      <c r="G358">
        <f>IFERROR(__xludf.DUMMYFUNCTION("""COMPUTED_VALUE"""),"鷹見 項希_hut1_1d1c")</f>
        <v/>
      </c>
      <c r="H358">
        <f>IFERROR(__xludf.DUMMYFUNCTION("""COMPUTED_VALUE"""),"Normal")</f>
        <v/>
      </c>
      <c r="I358">
        <f>IFERROR(__xludf.DUMMYFUNCTION("""COMPUTED_VALUE"""),"Attack")</f>
        <v/>
      </c>
      <c r="J358">
        <f>IFERROR(__xludf.DUMMYFUNCTION("""COMPUTED_VALUE"""),"Colorless")</f>
        <v/>
      </c>
      <c r="K358">
        <f>IFERROR(__xludf.DUMMYFUNCTION("""COMPUTED_VALUE"""),10000.0)</f>
        <v/>
      </c>
      <c r="L358">
        <f>IFERROR(__xludf.DUMMYFUNCTION("""COMPUTED_VALUE"""),2.0)</f>
        <v/>
      </c>
      <c r="M358">
        <f>IFERROR(__xludf.DUMMYFUNCTION("""COMPUTED_VALUE"""),34.0)</f>
        <v/>
      </c>
      <c r="N358">
        <f>IFERROR(__xludf.DUMMYFUNCTION("""COMPUTED_VALUE"""),0.3)</f>
        <v/>
      </c>
      <c r="O358">
        <f>IFERROR(__xludf.DUMMYFUNCTION("""COMPUTED_VALUE"""),100.0)</f>
        <v/>
      </c>
      <c r="P358">
        <f>IFERROR(__xludf.DUMMYFUNCTION("""COMPUTED_VALUE"""),0.0)</f>
        <v/>
      </c>
      <c r="Q358">
        <f>IFERROR(__xludf.DUMMYFUNCTION("""COMPUTED_VALUE"""),0.32)</f>
        <v/>
      </c>
      <c r="R358">
        <f>IFERROR(__xludf.DUMMYFUNCTION("""COMPUTED_VALUE"""),1.0)</f>
        <v/>
      </c>
      <c r="S358">
        <f>IFERROR(__xludf.DUMMYFUNCTION("""COMPUTED_VALUE"""),200.0)</f>
        <v/>
      </c>
      <c r="T358">
        <f>IFERROR(__xludf.DUMMYFUNCTION("""COMPUTED_VALUE"""),"1.37")</f>
        <v/>
      </c>
      <c r="U358">
        <f>IFERROR(__xludf.DUMMYFUNCTION("""COMPUTED_VALUE"""),"stop有:0.51")</f>
        <v/>
      </c>
      <c r="V358">
        <f>IFERROR(__xludf.DUMMYFUNCTION("""COMPUTED_VALUE"""),70.0)</f>
        <v/>
      </c>
      <c r="W358">
        <f>IFERROR(__xludf.DUMMYFUNCTION("""COMPUTED_VALUE"""),"-")</f>
        <v/>
      </c>
      <c r="X358">
        <f>IFERROR(__xludf.DUMMYFUNCTION("""COMPUTED_VALUE"""),"-")</f>
        <v/>
      </c>
      <c r="Z358">
        <f>IFERROR(__xludf.DUMMYFUNCTION("""COMPUTED_VALUE"""),"-")</f>
        <v/>
      </c>
    </row>
    <row r="359">
      <c r="B359">
        <f>IFERROR(__xludf.DUMMYFUNCTION("""COMPUTED_VALUE"""),"chara_hut_00001")</f>
        <v/>
      </c>
      <c r="C359">
        <f>IFERROR(__xludf.DUMMYFUNCTION("""COMPUTED_VALUE"""),"_hut1_charaget01")</f>
        <v/>
      </c>
      <c r="D359">
        <f>IFERROR(__xludf.DUMMYFUNCTION("""COMPUTED_VALUE"""),"c_hut_00001_hut1_charaget01_Normal_Colorless")</f>
        <v/>
      </c>
      <c r="E359">
        <f>IFERROR(__xludf.DUMMYFUNCTION("""COMPUTED_VALUE"""),"ふつうの軽音部")</f>
        <v/>
      </c>
      <c r="F359">
        <f>IFERROR(__xludf.DUMMYFUNCTION("""COMPUTED_VALUE"""),"ひたむきギタリスト 鳩野 ちひろ")</f>
        <v/>
      </c>
      <c r="G359">
        <f>IFERROR(__xludf.DUMMYFUNCTION("""COMPUTED_VALUE"""),"鳩野 ちひろ_hut1_charaget01")</f>
        <v/>
      </c>
      <c r="H359">
        <f>IFERROR(__xludf.DUMMYFUNCTION("""COMPUTED_VALUE"""),"Normal")</f>
        <v/>
      </c>
      <c r="I359">
        <f>IFERROR(__xludf.DUMMYFUNCTION("""COMPUTED_VALUE"""),"Defense")</f>
        <v/>
      </c>
      <c r="J359">
        <f>IFERROR(__xludf.DUMMYFUNCTION("""COMPUTED_VALUE"""),"Colorless")</f>
        <v/>
      </c>
      <c r="K359">
        <f>IFERROR(__xludf.DUMMYFUNCTION("""COMPUTED_VALUE"""),10000.0)</f>
        <v/>
      </c>
      <c r="L359">
        <f>IFERROR(__xludf.DUMMYFUNCTION("""COMPUTED_VALUE"""),1.0)</f>
        <v/>
      </c>
      <c r="M359">
        <f>IFERROR(__xludf.DUMMYFUNCTION("""COMPUTED_VALUE"""),35.0)</f>
        <v/>
      </c>
      <c r="N359">
        <f>IFERROR(__xludf.DUMMYFUNCTION("""COMPUTED_VALUE"""),0.21)</f>
        <v/>
      </c>
      <c r="O359">
        <f>IFERROR(__xludf.DUMMYFUNCTION("""COMPUTED_VALUE"""),100.0)</f>
        <v/>
      </c>
      <c r="P359">
        <f>IFERROR(__xludf.DUMMYFUNCTION("""COMPUTED_VALUE"""),0.0)</f>
        <v/>
      </c>
      <c r="Q359">
        <f>IFERROR(__xludf.DUMMYFUNCTION("""COMPUTED_VALUE"""),0.32)</f>
        <v/>
      </c>
      <c r="R359">
        <f>IFERROR(__xludf.DUMMYFUNCTION("""COMPUTED_VALUE"""),1.0)</f>
        <v/>
      </c>
      <c r="S359">
        <f>IFERROR(__xludf.DUMMYFUNCTION("""COMPUTED_VALUE"""),200.0)</f>
        <v/>
      </c>
      <c r="T359">
        <f>IFERROR(__xludf.DUMMYFUNCTION("""COMPUTED_VALUE"""),"1.47")</f>
        <v/>
      </c>
      <c r="U359">
        <f>IFERROR(__xludf.DUMMYFUNCTION("""COMPUTED_VALUE"""),"stop有 :1回目 0.15")</f>
        <v/>
      </c>
      <c r="V359">
        <f>IFERROR(__xludf.DUMMYFUNCTION("""COMPUTED_VALUE"""),60.0)</f>
        <v/>
      </c>
      <c r="W359">
        <f>IFERROR(__xludf.DUMMYFUNCTION("""COMPUTED_VALUE"""),"2.8")</f>
        <v/>
      </c>
      <c r="X359">
        <f>IFERROR(__xludf.DUMMYFUNCTION("""COMPUTED_VALUE"""),"stop有:1回目 0.87")</f>
        <v/>
      </c>
      <c r="Y359">
        <f>IFERROR(__xludf.DUMMYFUNCTION("""COMPUTED_VALUE"""),"単体に200%の攻撃+中ノックバック攻撃")</f>
        <v/>
      </c>
      <c r="Z359">
        <f>IFERROR(__xludf.DUMMYFUNCTION("""COMPUTED_VALUE"""),5.0)</f>
        <v/>
      </c>
      <c r="AB359">
        <f>IFERROR(__xludf.DUMMYFUNCTION("""COMPUTED_VALUE"""),"dageki_1")</f>
        <v/>
      </c>
    </row>
    <row r="360">
      <c r="B360">
        <f>IFERROR(__xludf.DUMMYFUNCTION("""COMPUTED_VALUE"""),"enemy_glo_00001")</f>
        <v/>
      </c>
      <c r="C360">
        <f>IFERROR(__xludf.DUMMYFUNCTION("""COMPUTED_VALUE"""),"_hut1_charaget01")</f>
        <v/>
      </c>
      <c r="D360">
        <f>IFERROR(__xludf.DUMMYFUNCTION("""COMPUTED_VALUE"""),"e_glo_00001_hut1_charaget01_Normal_Blue")</f>
        <v/>
      </c>
      <c r="E360">
        <f>IFERROR(__xludf.DUMMYFUNCTION("""COMPUTED_VALUE"""),"GLOW")</f>
        <v/>
      </c>
      <c r="F360">
        <f>IFERROR(__xludf.DUMMYFUNCTION("""COMPUTED_VALUE"""),"ファントム")</f>
        <v/>
      </c>
      <c r="G360">
        <f>IFERROR(__xludf.DUMMYFUNCTION("""COMPUTED_VALUE"""),"ファントム_hut1_charaget01")</f>
        <v/>
      </c>
      <c r="H360">
        <f>IFERROR(__xludf.DUMMYFUNCTION("""COMPUTED_VALUE"""),"Normal")</f>
        <v/>
      </c>
      <c r="I360">
        <f>IFERROR(__xludf.DUMMYFUNCTION("""COMPUTED_VALUE"""),"Attack")</f>
        <v/>
      </c>
      <c r="J360">
        <f>IFERROR(__xludf.DUMMYFUNCTION("""COMPUTED_VALUE"""),"Blue")</f>
        <v/>
      </c>
      <c r="K360">
        <f>IFERROR(__xludf.DUMMYFUNCTION("""COMPUTED_VALUE"""),1000.0)</f>
        <v/>
      </c>
      <c r="L360">
        <f>IFERROR(__xludf.DUMMYFUNCTION("""COMPUTED_VALUE"""),3.0)</f>
        <v/>
      </c>
      <c r="M360">
        <f>IFERROR(__xludf.DUMMYFUNCTION("""COMPUTED_VALUE"""),40.0)</f>
        <v/>
      </c>
      <c r="N360">
        <f>IFERROR(__xludf.DUMMYFUNCTION("""COMPUTED_VALUE"""),0.2)</f>
        <v/>
      </c>
      <c r="O360">
        <f>IFERROR(__xludf.DUMMYFUNCTION("""COMPUTED_VALUE"""),100.0)</f>
        <v/>
      </c>
      <c r="P360">
        <f>IFERROR(__xludf.DUMMYFUNCTION("""COMPUTED_VALUE"""),0.0)</f>
        <v/>
      </c>
      <c r="Q360">
        <f>IFERROR(__xludf.DUMMYFUNCTION("""COMPUTED_VALUE"""),0.21)</f>
        <v/>
      </c>
      <c r="R360">
        <f>IFERROR(__xludf.DUMMYFUNCTION("""COMPUTED_VALUE"""),1.0)</f>
        <v/>
      </c>
      <c r="S360">
        <f>IFERROR(__xludf.DUMMYFUNCTION("""COMPUTED_VALUE"""),50.0)</f>
        <v/>
      </c>
      <c r="T360">
        <f>IFERROR(__xludf.DUMMYFUNCTION("""COMPUTED_VALUE"""),"1.00")</f>
        <v/>
      </c>
      <c r="U360">
        <f>IFERROR(__xludf.DUMMYFUNCTION("""COMPUTED_VALUE"""),"0.50")</f>
        <v/>
      </c>
      <c r="V360">
        <f>IFERROR(__xludf.DUMMYFUNCTION("""COMPUTED_VALUE"""),30.0)</f>
        <v/>
      </c>
      <c r="Z360">
        <f>IFERROR(__xludf.DUMMYFUNCTION("""COMPUTED_VALUE"""),"-")</f>
        <v/>
      </c>
      <c r="AB360">
        <f>IFERROR(__xludf.DUMMYFUNCTION("""COMPUTED_VALUE"""),"dageki_1")</f>
        <v/>
      </c>
    </row>
    <row r="361">
      <c r="B361">
        <f>IFERROR(__xludf.DUMMYFUNCTION("""COMPUTED_VALUE"""),"chara_hut_00101")</f>
        <v/>
      </c>
      <c r="C361">
        <f>IFERROR(__xludf.DUMMYFUNCTION("""COMPUTED_VALUE"""),"_hut1_charaget01")</f>
        <v/>
      </c>
      <c r="D361">
        <f>IFERROR(__xludf.DUMMYFUNCTION("""COMPUTED_VALUE"""),"c_hut_00101_hut1_charaget01_Boss_Colorless")</f>
        <v/>
      </c>
      <c r="E361">
        <f>IFERROR(__xludf.DUMMYFUNCTION("""COMPUTED_VALUE"""),"ふつうの軽音部")</f>
        <v/>
      </c>
      <c r="F361">
        <f>IFERROR(__xludf.DUMMYFUNCTION("""COMPUTED_VALUE"""),"幸山 厘")</f>
        <v/>
      </c>
      <c r="G361">
        <f>IFERROR(__xludf.DUMMYFUNCTION("""COMPUTED_VALUE"""),"幸山 厘_hut1_charaget01")</f>
        <v/>
      </c>
      <c r="H361">
        <f>IFERROR(__xludf.DUMMYFUNCTION("""COMPUTED_VALUE"""),"Boss")</f>
        <v/>
      </c>
      <c r="I361">
        <f>IFERROR(__xludf.DUMMYFUNCTION("""COMPUTED_VALUE"""),"Support")</f>
        <v/>
      </c>
      <c r="J361">
        <f>IFERROR(__xludf.DUMMYFUNCTION("""COMPUTED_VALUE"""),"Colorless")</f>
        <v/>
      </c>
      <c r="K361">
        <f>IFERROR(__xludf.DUMMYFUNCTION("""COMPUTED_VALUE"""),10000.0)</f>
        <v/>
      </c>
      <c r="L361">
        <f>IFERROR(__xludf.DUMMYFUNCTION("""COMPUTED_VALUE"""),2.0)</f>
        <v/>
      </c>
      <c r="M361">
        <f>IFERROR(__xludf.DUMMYFUNCTION("""COMPUTED_VALUE"""),35.0)</f>
        <v/>
      </c>
      <c r="N361">
        <f>IFERROR(__xludf.DUMMYFUNCTION("""COMPUTED_VALUE"""),0.42)</f>
        <v/>
      </c>
      <c r="O361">
        <f>IFERROR(__xludf.DUMMYFUNCTION("""COMPUTED_VALUE"""),100.0)</f>
        <v/>
      </c>
      <c r="P361">
        <f>IFERROR(__xludf.DUMMYFUNCTION("""COMPUTED_VALUE"""),0.0)</f>
        <v/>
      </c>
      <c r="Q361">
        <f>IFERROR(__xludf.DUMMYFUNCTION("""COMPUTED_VALUE"""),0.43)</f>
        <v/>
      </c>
      <c r="R361">
        <f>IFERROR(__xludf.DUMMYFUNCTION("""COMPUTED_VALUE"""),1.0)</f>
        <v/>
      </c>
      <c r="S361">
        <f>IFERROR(__xludf.DUMMYFUNCTION("""COMPUTED_VALUE"""),200.0)</f>
        <v/>
      </c>
      <c r="T361">
        <f>IFERROR(__xludf.DUMMYFUNCTION("""COMPUTED_VALUE"""),"1.58")</f>
        <v/>
      </c>
      <c r="U361">
        <f>IFERROR(__xludf.DUMMYFUNCTION("""COMPUTED_VALUE"""),"stop有 :1回目 0.75")</f>
        <v/>
      </c>
      <c r="V361">
        <f>IFERROR(__xludf.DUMMYFUNCTION("""COMPUTED_VALUE"""),60.0)</f>
        <v/>
      </c>
      <c r="W361">
        <f>IFERROR(__xludf.DUMMYFUNCTION("""COMPUTED_VALUE"""),"2.58")</f>
        <v/>
      </c>
      <c r="X361">
        <f>IFERROR(__xludf.DUMMYFUNCTION("""COMPUTED_VALUE"""),"stop有:1回目 0.33
stop無:2回目 0.78
stop無:3回目 1.0
stop無:4回目 1.27
stop無:5回目 1.58")</f>
        <v/>
      </c>
      <c r="Y361">
        <f>IFERROR(__xludf.DUMMYFUNCTION("""COMPUTED_VALUE"""),"範囲に200％攻撃＋味方の攻撃20%Up")</f>
        <v/>
      </c>
      <c r="Z361">
        <f>IFERROR(__xludf.DUMMYFUNCTION("""COMPUTED_VALUE"""),6.0)</f>
        <v/>
      </c>
      <c r="AB361">
        <f>IFERROR(__xludf.DUMMYFUNCTION("""COMPUTED_VALUE"""),"dageki_1")</f>
        <v/>
      </c>
    </row>
    <row r="362">
      <c r="B362">
        <f>IFERROR(__xludf.DUMMYFUNCTION("""COMPUTED_VALUE"""),"chara_hut_00201")</f>
        <v/>
      </c>
      <c r="C362">
        <f>IFERROR(__xludf.DUMMYFUNCTION("""COMPUTED_VALUE"""),"_hut1_charaget01")</f>
        <v/>
      </c>
      <c r="D362">
        <f>IFERROR(__xludf.DUMMYFUNCTION("""COMPUTED_VALUE"""),"c_hut_00201_hut1_charaget01_Boss_Colorless")</f>
        <v/>
      </c>
      <c r="E362">
        <f>IFERROR(__xludf.DUMMYFUNCTION("""COMPUTED_VALUE"""),"ふつうの軽音部")</f>
        <v/>
      </c>
      <c r="F362">
        <f>IFERROR(__xludf.DUMMYFUNCTION("""COMPUTED_VALUE"""),"内田 桃")</f>
        <v/>
      </c>
      <c r="G362">
        <f>IFERROR(__xludf.DUMMYFUNCTION("""COMPUTED_VALUE"""),"内田 桃_hut1_charaget01")</f>
        <v/>
      </c>
      <c r="H362">
        <f>IFERROR(__xludf.DUMMYFUNCTION("""COMPUTED_VALUE"""),"Boss")</f>
        <v/>
      </c>
      <c r="I362">
        <f>IFERROR(__xludf.DUMMYFUNCTION("""COMPUTED_VALUE"""),"Technical")</f>
        <v/>
      </c>
      <c r="J362">
        <f>IFERROR(__xludf.DUMMYFUNCTION("""COMPUTED_VALUE"""),"Colorless")</f>
        <v/>
      </c>
      <c r="K362">
        <f>IFERROR(__xludf.DUMMYFUNCTION("""COMPUTED_VALUE"""),10000.0)</f>
        <v/>
      </c>
      <c r="L362">
        <f>IFERROR(__xludf.DUMMYFUNCTION("""COMPUTED_VALUE"""),2.0)</f>
        <v/>
      </c>
      <c r="M362">
        <f>IFERROR(__xludf.DUMMYFUNCTION("""COMPUTED_VALUE"""),35.0)</f>
        <v/>
      </c>
      <c r="N362">
        <f>IFERROR(__xludf.DUMMYFUNCTION("""COMPUTED_VALUE"""),0.5)</f>
        <v/>
      </c>
      <c r="O362">
        <f>IFERROR(__xludf.DUMMYFUNCTION("""COMPUTED_VALUE"""),100.0)</f>
        <v/>
      </c>
      <c r="P362">
        <f>IFERROR(__xludf.DUMMYFUNCTION("""COMPUTED_VALUE"""),0.0)</f>
        <v/>
      </c>
      <c r="Q362">
        <f>IFERROR(__xludf.DUMMYFUNCTION("""COMPUTED_VALUE"""),0.52)</f>
        <v/>
      </c>
      <c r="R362">
        <f>IFERROR(__xludf.DUMMYFUNCTION("""COMPUTED_VALUE"""),1.0)</f>
        <v/>
      </c>
      <c r="S362">
        <f>IFERROR(__xludf.DUMMYFUNCTION("""COMPUTED_VALUE"""),200.0)</f>
        <v/>
      </c>
      <c r="T362">
        <f>IFERROR(__xludf.DUMMYFUNCTION("""COMPUTED_VALUE"""),"1.2")</f>
        <v/>
      </c>
      <c r="U362">
        <f>IFERROR(__xludf.DUMMYFUNCTION("""COMPUTED_VALUE"""),"stop有 :1回目 0.34")</f>
        <v/>
      </c>
      <c r="V362">
        <f>IFERROR(__xludf.DUMMYFUNCTION("""COMPUTED_VALUE"""),60.0)</f>
        <v/>
      </c>
      <c r="W362">
        <f>IFERROR(__xludf.DUMMYFUNCTION("""COMPUTED_VALUE"""),"2.84")</f>
        <v/>
      </c>
      <c r="X362">
        <f>IFERROR(__xludf.DUMMYFUNCTION("""COMPUTED_VALUE"""),"stop無:1回目 1.1
stop無:2回目 1.44
stop有:3回目 1.97")</f>
        <v/>
      </c>
      <c r="Y362">
        <f>IFERROR(__xludf.DUMMYFUNCTION("""COMPUTED_VALUE"""),"単体に攻撃+50%の確率で3秒のスタン攻撃")</f>
        <v/>
      </c>
      <c r="Z362">
        <f>IFERROR(__xludf.DUMMYFUNCTION("""COMPUTED_VALUE"""),5.0)</f>
        <v/>
      </c>
      <c r="AB362">
        <f>IFERROR(__xludf.DUMMYFUNCTION("""COMPUTED_VALUE"""),"dageki_1")</f>
        <v/>
      </c>
    </row>
    <row r="363">
      <c r="B363">
        <f>IFERROR(__xludf.DUMMYFUNCTION("""COMPUTED_VALUE"""),"chara_hut_00301")</f>
        <v/>
      </c>
      <c r="C363">
        <f>IFERROR(__xludf.DUMMYFUNCTION("""COMPUTED_VALUE"""),"_hut1_charaget01")</f>
        <v/>
      </c>
      <c r="D363">
        <f>IFERROR(__xludf.DUMMYFUNCTION("""COMPUTED_VALUE"""),"c_hut_00301_hut1_charaget01_Boss_Colorless")</f>
        <v/>
      </c>
      <c r="E363">
        <f>IFERROR(__xludf.DUMMYFUNCTION("""COMPUTED_VALUE"""),"ふつうの軽音部")</f>
        <v/>
      </c>
      <c r="F363">
        <f>IFERROR(__xludf.DUMMYFUNCTION("""COMPUTED_VALUE"""),"藤井 彩目")</f>
        <v/>
      </c>
      <c r="G363">
        <f>IFERROR(__xludf.DUMMYFUNCTION("""COMPUTED_VALUE"""),"藤井 彩目_hut1_charaget01")</f>
        <v/>
      </c>
      <c r="H363">
        <f>IFERROR(__xludf.DUMMYFUNCTION("""COMPUTED_VALUE"""),"Boss")</f>
        <v/>
      </c>
      <c r="I363">
        <f>IFERROR(__xludf.DUMMYFUNCTION("""COMPUTED_VALUE"""),"Attack")</f>
        <v/>
      </c>
      <c r="J363">
        <f>IFERROR(__xludf.DUMMYFUNCTION("""COMPUTED_VALUE"""),"Colorless")</f>
        <v/>
      </c>
      <c r="K363">
        <f>IFERROR(__xludf.DUMMYFUNCTION("""COMPUTED_VALUE"""),10000.0)</f>
        <v/>
      </c>
      <c r="L363">
        <f>IFERROR(__xludf.DUMMYFUNCTION("""COMPUTED_VALUE"""),2.0)</f>
        <v/>
      </c>
      <c r="M363">
        <f>IFERROR(__xludf.DUMMYFUNCTION("""COMPUTED_VALUE"""),35.0)</f>
        <v/>
      </c>
      <c r="N363">
        <f>IFERROR(__xludf.DUMMYFUNCTION("""COMPUTED_VALUE"""),0.42)</f>
        <v/>
      </c>
      <c r="O363">
        <f>IFERROR(__xludf.DUMMYFUNCTION("""COMPUTED_VALUE"""),100.0)</f>
        <v/>
      </c>
      <c r="P363">
        <f>IFERROR(__xludf.DUMMYFUNCTION("""COMPUTED_VALUE"""),0.0)</f>
        <v/>
      </c>
      <c r="Q363">
        <f>IFERROR(__xludf.DUMMYFUNCTION("""COMPUTED_VALUE"""),0.43)</f>
        <v/>
      </c>
      <c r="R363">
        <f>IFERROR(__xludf.DUMMYFUNCTION("""COMPUTED_VALUE"""),1.0)</f>
        <v/>
      </c>
      <c r="S363">
        <f>IFERROR(__xludf.DUMMYFUNCTION("""COMPUTED_VALUE"""),200.0)</f>
        <v/>
      </c>
      <c r="T363">
        <f>IFERROR(__xludf.DUMMYFUNCTION("""COMPUTED_VALUE"""),"1.33")</f>
        <v/>
      </c>
      <c r="U363">
        <f>IFERROR(__xludf.DUMMYFUNCTION("""COMPUTED_VALUE"""),"stop有 :1回目 0.33")</f>
        <v/>
      </c>
      <c r="V363">
        <f>IFERROR(__xludf.DUMMYFUNCTION("""COMPUTED_VALUE"""),60.0)</f>
        <v/>
      </c>
      <c r="W363">
        <f>IFERROR(__xludf.DUMMYFUNCTION("""COMPUTED_VALUE"""),"2.42")</f>
        <v/>
      </c>
      <c r="X363">
        <f>IFERROR(__xludf.DUMMYFUNCTION("""COMPUTED_VALUE"""),"stop無:1回目 0.3
stop無:2回目 0.61
stop無:3回目 0.93
stop無:4回目 1.25
stop有:5回目 1.6")</f>
        <v/>
      </c>
      <c r="Y363">
        <f>IFERROR(__xludf.DUMMYFUNCTION("""COMPUTED_VALUE"""),"範囲に300%のダメージ")</f>
        <v/>
      </c>
      <c r="Z363">
        <f>IFERROR(__xludf.DUMMYFUNCTION("""COMPUTED_VALUE"""),6.0)</f>
        <v/>
      </c>
      <c r="AB363">
        <f>IFERROR(__xludf.DUMMYFUNCTION("""COMPUTED_VALUE"""),"dageki_1")</f>
        <v/>
      </c>
    </row>
    <row r="364">
      <c r="B364">
        <f>IFERROR(__xludf.DUMMYFUNCTION("""COMPUTED_VALUE"""),"chara_hut_00101")</f>
        <v/>
      </c>
      <c r="C364">
        <f>IFERROR(__xludf.DUMMYFUNCTION("""COMPUTED_VALUE"""),"_hut1_charaget02")</f>
        <v/>
      </c>
      <c r="D364">
        <f>IFERROR(__xludf.DUMMYFUNCTION("""COMPUTED_VALUE"""),"c_hut_00101_hut1_charaget02_Normal_Yellow")</f>
        <v/>
      </c>
      <c r="E364">
        <f>IFERROR(__xludf.DUMMYFUNCTION("""COMPUTED_VALUE"""),"ふつうの軽音部")</f>
        <v/>
      </c>
      <c r="F364">
        <f>IFERROR(__xludf.DUMMYFUNCTION("""COMPUTED_VALUE"""),"幸山 厘")</f>
        <v/>
      </c>
      <c r="G364">
        <f>IFERROR(__xludf.DUMMYFUNCTION("""COMPUTED_VALUE"""),"幸山 厘_hut1_charaget02")</f>
        <v/>
      </c>
      <c r="H364">
        <f>IFERROR(__xludf.DUMMYFUNCTION("""COMPUTED_VALUE"""),"Normal")</f>
        <v/>
      </c>
      <c r="I364">
        <f>IFERROR(__xludf.DUMMYFUNCTION("""COMPUTED_VALUE"""),"Support")</f>
        <v/>
      </c>
      <c r="J364">
        <f>IFERROR(__xludf.DUMMYFUNCTION("""COMPUTED_VALUE"""),"Yellow")</f>
        <v/>
      </c>
      <c r="K364">
        <f>IFERROR(__xludf.DUMMYFUNCTION("""COMPUTED_VALUE"""),1000.0)</f>
        <v/>
      </c>
      <c r="L364">
        <f>IFERROR(__xludf.DUMMYFUNCTION("""COMPUTED_VALUE"""),2.0)</f>
        <v/>
      </c>
      <c r="M364">
        <f>IFERROR(__xludf.DUMMYFUNCTION("""COMPUTED_VALUE"""),35.0)</f>
        <v/>
      </c>
      <c r="N364">
        <f>IFERROR(__xludf.DUMMYFUNCTION("""COMPUTED_VALUE"""),0.42)</f>
        <v/>
      </c>
      <c r="O364">
        <f>IFERROR(__xludf.DUMMYFUNCTION("""COMPUTED_VALUE"""),100.0)</f>
        <v/>
      </c>
      <c r="P364">
        <f>IFERROR(__xludf.DUMMYFUNCTION("""COMPUTED_VALUE"""),0.0)</f>
        <v/>
      </c>
      <c r="Q364">
        <f>IFERROR(__xludf.DUMMYFUNCTION("""COMPUTED_VALUE"""),0.43)</f>
        <v/>
      </c>
      <c r="R364">
        <f>IFERROR(__xludf.DUMMYFUNCTION("""COMPUTED_VALUE"""),1.0)</f>
        <v/>
      </c>
      <c r="S364">
        <f>IFERROR(__xludf.DUMMYFUNCTION("""COMPUTED_VALUE"""),200.0)</f>
        <v/>
      </c>
      <c r="T364">
        <f>IFERROR(__xludf.DUMMYFUNCTION("""COMPUTED_VALUE"""),"1.58")</f>
        <v/>
      </c>
      <c r="U364">
        <f>IFERROR(__xludf.DUMMYFUNCTION("""COMPUTED_VALUE"""),"stop有 :1回目 0.75")</f>
        <v/>
      </c>
      <c r="V364">
        <f>IFERROR(__xludf.DUMMYFUNCTION("""COMPUTED_VALUE"""),60.0)</f>
        <v/>
      </c>
      <c r="W364">
        <f>IFERROR(__xludf.DUMMYFUNCTION("""COMPUTED_VALUE"""),"2.58")</f>
        <v/>
      </c>
      <c r="X364">
        <f>IFERROR(__xludf.DUMMYFUNCTION("""COMPUTED_VALUE"""),"stop有:1回目 0.33
stop無:2回目 0.78
stop無:3回目 1.0
stop無:4回目 1.27
stop無:5回目 1.58")</f>
        <v/>
      </c>
      <c r="Y364">
        <f>IFERROR(__xludf.DUMMYFUNCTION("""COMPUTED_VALUE"""),"範囲に200％攻撃＋味方の攻撃20%Up")</f>
        <v/>
      </c>
      <c r="Z364">
        <f>IFERROR(__xludf.DUMMYFUNCTION("""COMPUTED_VALUE"""),6.0)</f>
        <v/>
      </c>
      <c r="AB364">
        <f>IFERROR(__xludf.DUMMYFUNCTION("""COMPUTED_VALUE"""),"dageki_1")</f>
        <v/>
      </c>
    </row>
    <row r="365">
      <c r="B365">
        <f>IFERROR(__xludf.DUMMYFUNCTION("""COMPUTED_VALUE"""),"enemy_glo_00001")</f>
        <v/>
      </c>
      <c r="C365">
        <f>IFERROR(__xludf.DUMMYFUNCTION("""COMPUTED_VALUE"""),"_hut1_charaget02")</f>
        <v/>
      </c>
      <c r="D365">
        <f>IFERROR(__xludf.DUMMYFUNCTION("""COMPUTED_VALUE"""),"e_glo_00001_hut1_charaget02_Normal_Colorless")</f>
        <v/>
      </c>
      <c r="E365">
        <f>IFERROR(__xludf.DUMMYFUNCTION("""COMPUTED_VALUE"""),"GLOW")</f>
        <v/>
      </c>
      <c r="F365">
        <f>IFERROR(__xludf.DUMMYFUNCTION("""COMPUTED_VALUE"""),"ファントム")</f>
        <v/>
      </c>
      <c r="G365">
        <f>IFERROR(__xludf.DUMMYFUNCTION("""COMPUTED_VALUE"""),"ファントム_hut1_charaget02")</f>
        <v/>
      </c>
      <c r="H365">
        <f>IFERROR(__xludf.DUMMYFUNCTION("""COMPUTED_VALUE"""),"Normal")</f>
        <v/>
      </c>
      <c r="I365">
        <f>IFERROR(__xludf.DUMMYFUNCTION("""COMPUTED_VALUE"""),"Attack")</f>
        <v/>
      </c>
      <c r="J365">
        <f>IFERROR(__xludf.DUMMYFUNCTION("""COMPUTED_VALUE"""),"Colorless")</f>
        <v/>
      </c>
      <c r="K365">
        <f>IFERROR(__xludf.DUMMYFUNCTION("""COMPUTED_VALUE"""),1000.0)</f>
        <v/>
      </c>
      <c r="L365">
        <f>IFERROR(__xludf.DUMMYFUNCTION("""COMPUTED_VALUE"""),3.0)</f>
        <v/>
      </c>
      <c r="M365">
        <f>IFERROR(__xludf.DUMMYFUNCTION("""COMPUTED_VALUE"""),40.0)</f>
        <v/>
      </c>
      <c r="N365">
        <f>IFERROR(__xludf.DUMMYFUNCTION("""COMPUTED_VALUE"""),0.2)</f>
        <v/>
      </c>
      <c r="O365">
        <f>IFERROR(__xludf.DUMMYFUNCTION("""COMPUTED_VALUE"""),100.0)</f>
        <v/>
      </c>
      <c r="P365">
        <f>IFERROR(__xludf.DUMMYFUNCTION("""COMPUTED_VALUE"""),0.0)</f>
        <v/>
      </c>
      <c r="Q365">
        <f>IFERROR(__xludf.DUMMYFUNCTION("""COMPUTED_VALUE"""),0.21)</f>
        <v/>
      </c>
      <c r="R365">
        <f>IFERROR(__xludf.DUMMYFUNCTION("""COMPUTED_VALUE"""),1.0)</f>
        <v/>
      </c>
      <c r="S365">
        <f>IFERROR(__xludf.DUMMYFUNCTION("""COMPUTED_VALUE"""),50.0)</f>
        <v/>
      </c>
      <c r="T365">
        <f>IFERROR(__xludf.DUMMYFUNCTION("""COMPUTED_VALUE"""),"1.00")</f>
        <v/>
      </c>
      <c r="U365">
        <f>IFERROR(__xludf.DUMMYFUNCTION("""COMPUTED_VALUE"""),"0.50")</f>
        <v/>
      </c>
      <c r="V365">
        <f>IFERROR(__xludf.DUMMYFUNCTION("""COMPUTED_VALUE"""),30.0)</f>
        <v/>
      </c>
      <c r="Z365">
        <f>IFERROR(__xludf.DUMMYFUNCTION("""COMPUTED_VALUE"""),"-")</f>
        <v/>
      </c>
      <c r="AB365">
        <f>IFERROR(__xludf.DUMMYFUNCTION("""COMPUTED_VALUE"""),"dageki_1")</f>
        <v/>
      </c>
    </row>
    <row r="366">
      <c r="B366">
        <f>IFERROR(__xludf.DUMMYFUNCTION("""COMPUTED_VALUE"""),"chara_hut_00001")</f>
        <v/>
      </c>
      <c r="C366">
        <f>IFERROR(__xludf.DUMMYFUNCTION("""COMPUTED_VALUE"""),"_hut1_charaget02")</f>
        <v/>
      </c>
      <c r="D366">
        <f>IFERROR(__xludf.DUMMYFUNCTION("""COMPUTED_VALUE"""),"c_hut_00001_hut1_charaget02_Boss_Yellow")</f>
        <v/>
      </c>
      <c r="E366">
        <f>IFERROR(__xludf.DUMMYFUNCTION("""COMPUTED_VALUE"""),"ふつうの軽音部")</f>
        <v/>
      </c>
      <c r="F366">
        <f>IFERROR(__xludf.DUMMYFUNCTION("""COMPUTED_VALUE"""),"ひたむきギタリスト 鳩野 ちひろ")</f>
        <v/>
      </c>
      <c r="G366">
        <f>IFERROR(__xludf.DUMMYFUNCTION("""COMPUTED_VALUE"""),"鳩野 ちひろ_hut1_charaget02")</f>
        <v/>
      </c>
      <c r="H366">
        <f>IFERROR(__xludf.DUMMYFUNCTION("""COMPUTED_VALUE"""),"Boss")</f>
        <v/>
      </c>
      <c r="I366">
        <f>IFERROR(__xludf.DUMMYFUNCTION("""COMPUTED_VALUE"""),"Defense")</f>
        <v/>
      </c>
      <c r="J366">
        <f>IFERROR(__xludf.DUMMYFUNCTION("""COMPUTED_VALUE"""),"Yellow")</f>
        <v/>
      </c>
      <c r="K366">
        <f>IFERROR(__xludf.DUMMYFUNCTION("""COMPUTED_VALUE"""),10000.0)</f>
        <v/>
      </c>
      <c r="L366">
        <f>IFERROR(__xludf.DUMMYFUNCTION("""COMPUTED_VALUE"""),1.0)</f>
        <v/>
      </c>
      <c r="M366">
        <f>IFERROR(__xludf.DUMMYFUNCTION("""COMPUTED_VALUE"""),35.0)</f>
        <v/>
      </c>
      <c r="N366">
        <f>IFERROR(__xludf.DUMMYFUNCTION("""COMPUTED_VALUE"""),0.21)</f>
        <v/>
      </c>
      <c r="O366">
        <f>IFERROR(__xludf.DUMMYFUNCTION("""COMPUTED_VALUE"""),100.0)</f>
        <v/>
      </c>
      <c r="P366">
        <f>IFERROR(__xludf.DUMMYFUNCTION("""COMPUTED_VALUE"""),0.0)</f>
        <v/>
      </c>
      <c r="Q366">
        <f>IFERROR(__xludf.DUMMYFUNCTION("""COMPUTED_VALUE"""),0.32)</f>
        <v/>
      </c>
      <c r="R366">
        <f>IFERROR(__xludf.DUMMYFUNCTION("""COMPUTED_VALUE"""),1.0)</f>
        <v/>
      </c>
      <c r="S366">
        <f>IFERROR(__xludf.DUMMYFUNCTION("""COMPUTED_VALUE"""),200.0)</f>
        <v/>
      </c>
      <c r="T366">
        <f>IFERROR(__xludf.DUMMYFUNCTION("""COMPUTED_VALUE"""),"1.47")</f>
        <v/>
      </c>
      <c r="U366">
        <f>IFERROR(__xludf.DUMMYFUNCTION("""COMPUTED_VALUE"""),"stop有 :1回目 0.15")</f>
        <v/>
      </c>
      <c r="V366">
        <f>IFERROR(__xludf.DUMMYFUNCTION("""COMPUTED_VALUE"""),60.0)</f>
        <v/>
      </c>
      <c r="W366">
        <f>IFERROR(__xludf.DUMMYFUNCTION("""COMPUTED_VALUE"""),"2.8")</f>
        <v/>
      </c>
      <c r="X366">
        <f>IFERROR(__xludf.DUMMYFUNCTION("""COMPUTED_VALUE"""),"stop有:1回目 0.87")</f>
        <v/>
      </c>
      <c r="Y366">
        <f>IFERROR(__xludf.DUMMYFUNCTION("""COMPUTED_VALUE"""),"単体に200%の攻撃+100％スタン攻撃")</f>
        <v/>
      </c>
      <c r="Z366">
        <f>IFERROR(__xludf.DUMMYFUNCTION("""COMPUTED_VALUE"""),5.0)</f>
        <v/>
      </c>
      <c r="AB366">
        <f>IFERROR(__xludf.DUMMYFUNCTION("""COMPUTED_VALUE"""),"dageki_1")</f>
        <v/>
      </c>
    </row>
    <row r="367">
      <c r="B367">
        <f>IFERROR(__xludf.DUMMYFUNCTION("""COMPUTED_VALUE"""),"chara_hut_00201")</f>
        <v/>
      </c>
      <c r="C367">
        <f>IFERROR(__xludf.DUMMYFUNCTION("""COMPUTED_VALUE"""),"_hut1_charaget02")</f>
        <v/>
      </c>
      <c r="D367">
        <f>IFERROR(__xludf.DUMMYFUNCTION("""COMPUTED_VALUE"""),"c_hut_00201_hut1_charaget02_Normal_Yellow")</f>
        <v/>
      </c>
      <c r="E367">
        <f>IFERROR(__xludf.DUMMYFUNCTION("""COMPUTED_VALUE"""),"ふつうの軽音部")</f>
        <v/>
      </c>
      <c r="F367">
        <f>IFERROR(__xludf.DUMMYFUNCTION("""COMPUTED_VALUE"""),"内田 桃")</f>
        <v/>
      </c>
      <c r="G367">
        <f>IFERROR(__xludf.DUMMYFUNCTION("""COMPUTED_VALUE"""),"内田 桃_hut1_charaget02")</f>
        <v/>
      </c>
      <c r="H367">
        <f>IFERROR(__xludf.DUMMYFUNCTION("""COMPUTED_VALUE"""),"Normal")</f>
        <v/>
      </c>
      <c r="I367">
        <f>IFERROR(__xludf.DUMMYFUNCTION("""COMPUTED_VALUE"""),"Technical")</f>
        <v/>
      </c>
      <c r="J367">
        <f>IFERROR(__xludf.DUMMYFUNCTION("""COMPUTED_VALUE"""),"Yellow")</f>
        <v/>
      </c>
      <c r="K367">
        <f>IFERROR(__xludf.DUMMYFUNCTION("""COMPUTED_VALUE"""),1000.0)</f>
        <v/>
      </c>
      <c r="L367">
        <f>IFERROR(__xludf.DUMMYFUNCTION("""COMPUTED_VALUE"""),2.0)</f>
        <v/>
      </c>
      <c r="M367">
        <f>IFERROR(__xludf.DUMMYFUNCTION("""COMPUTED_VALUE"""),35.0)</f>
        <v/>
      </c>
      <c r="N367">
        <f>IFERROR(__xludf.DUMMYFUNCTION("""COMPUTED_VALUE"""),0.5)</f>
        <v/>
      </c>
      <c r="O367">
        <f>IFERROR(__xludf.DUMMYFUNCTION("""COMPUTED_VALUE"""),100.0)</f>
        <v/>
      </c>
      <c r="P367">
        <f>IFERROR(__xludf.DUMMYFUNCTION("""COMPUTED_VALUE"""),0.0)</f>
        <v/>
      </c>
      <c r="Q367">
        <f>IFERROR(__xludf.DUMMYFUNCTION("""COMPUTED_VALUE"""),0.52)</f>
        <v/>
      </c>
      <c r="R367">
        <f>IFERROR(__xludf.DUMMYFUNCTION("""COMPUTED_VALUE"""),1.0)</f>
        <v/>
      </c>
      <c r="S367">
        <f>IFERROR(__xludf.DUMMYFUNCTION("""COMPUTED_VALUE"""),200.0)</f>
        <v/>
      </c>
      <c r="T367">
        <f>IFERROR(__xludf.DUMMYFUNCTION("""COMPUTED_VALUE"""),"1.2")</f>
        <v/>
      </c>
      <c r="U367">
        <f>IFERROR(__xludf.DUMMYFUNCTION("""COMPUTED_VALUE"""),"stop有 :1回目 0.34")</f>
        <v/>
      </c>
      <c r="V367">
        <f>IFERROR(__xludf.DUMMYFUNCTION("""COMPUTED_VALUE"""),60.0)</f>
        <v/>
      </c>
      <c r="W367">
        <f>IFERROR(__xludf.DUMMYFUNCTION("""COMPUTED_VALUE"""),"2.84")</f>
        <v/>
      </c>
      <c r="X367">
        <f>IFERROR(__xludf.DUMMYFUNCTION("""COMPUTED_VALUE"""),"stop無:1回目 1.1
stop無:2回目 1.44
stop有:3回目 1.97")</f>
        <v/>
      </c>
      <c r="Y367">
        <f>IFERROR(__xludf.DUMMYFUNCTION("""COMPUTED_VALUE"""),"単体に攻撃+50%の確率で3秒のスタン攻撃")</f>
        <v/>
      </c>
      <c r="Z367">
        <f>IFERROR(__xludf.DUMMYFUNCTION("""COMPUTED_VALUE"""),5.0)</f>
        <v/>
      </c>
      <c r="AB367">
        <f>IFERROR(__xludf.DUMMYFUNCTION("""COMPUTED_VALUE"""),"dageki_1")</f>
        <v/>
      </c>
    </row>
    <row r="368">
      <c r="B368">
        <f>IFERROR(__xludf.DUMMYFUNCTION("""COMPUTED_VALUE"""),"chara_hut_00301")</f>
        <v/>
      </c>
      <c r="C368">
        <f>IFERROR(__xludf.DUMMYFUNCTION("""COMPUTED_VALUE"""),"_hut1_charaget02")</f>
        <v/>
      </c>
      <c r="D368">
        <f>IFERROR(__xludf.DUMMYFUNCTION("""COMPUTED_VALUE"""),"c_hut_00301_hut1_charaget02_Normal_Yellow")</f>
        <v/>
      </c>
      <c r="E368">
        <f>IFERROR(__xludf.DUMMYFUNCTION("""COMPUTED_VALUE"""),"ふつうの軽音部")</f>
        <v/>
      </c>
      <c r="F368">
        <f>IFERROR(__xludf.DUMMYFUNCTION("""COMPUTED_VALUE"""),"藤井 彩目")</f>
        <v/>
      </c>
      <c r="G368">
        <f>IFERROR(__xludf.DUMMYFUNCTION("""COMPUTED_VALUE"""),"藤井 彩目_hut1_charaget02")</f>
        <v/>
      </c>
      <c r="H368">
        <f>IFERROR(__xludf.DUMMYFUNCTION("""COMPUTED_VALUE"""),"Normal")</f>
        <v/>
      </c>
      <c r="I368">
        <f>IFERROR(__xludf.DUMMYFUNCTION("""COMPUTED_VALUE"""),"Attack")</f>
        <v/>
      </c>
      <c r="J368">
        <f>IFERROR(__xludf.DUMMYFUNCTION("""COMPUTED_VALUE"""),"Yellow")</f>
        <v/>
      </c>
      <c r="K368">
        <f>IFERROR(__xludf.DUMMYFUNCTION("""COMPUTED_VALUE"""),1000.0)</f>
        <v/>
      </c>
      <c r="L368">
        <f>IFERROR(__xludf.DUMMYFUNCTION("""COMPUTED_VALUE"""),2.0)</f>
        <v/>
      </c>
      <c r="M368">
        <f>IFERROR(__xludf.DUMMYFUNCTION("""COMPUTED_VALUE"""),35.0)</f>
        <v/>
      </c>
      <c r="N368">
        <f>IFERROR(__xludf.DUMMYFUNCTION("""COMPUTED_VALUE"""),0.42)</f>
        <v/>
      </c>
      <c r="O368">
        <f>IFERROR(__xludf.DUMMYFUNCTION("""COMPUTED_VALUE"""),100.0)</f>
        <v/>
      </c>
      <c r="P368">
        <f>IFERROR(__xludf.DUMMYFUNCTION("""COMPUTED_VALUE"""),0.0)</f>
        <v/>
      </c>
      <c r="Q368">
        <f>IFERROR(__xludf.DUMMYFUNCTION("""COMPUTED_VALUE"""),0.43)</f>
        <v/>
      </c>
      <c r="R368">
        <f>IFERROR(__xludf.DUMMYFUNCTION("""COMPUTED_VALUE"""),1.0)</f>
        <v/>
      </c>
      <c r="S368">
        <f>IFERROR(__xludf.DUMMYFUNCTION("""COMPUTED_VALUE"""),200.0)</f>
        <v/>
      </c>
      <c r="T368">
        <f>IFERROR(__xludf.DUMMYFUNCTION("""COMPUTED_VALUE"""),"1.33")</f>
        <v/>
      </c>
      <c r="U368">
        <f>IFERROR(__xludf.DUMMYFUNCTION("""COMPUTED_VALUE"""),"stop有 :1回目 0.33")</f>
        <v/>
      </c>
      <c r="V368">
        <f>IFERROR(__xludf.DUMMYFUNCTION("""COMPUTED_VALUE"""),60.0)</f>
        <v/>
      </c>
      <c r="W368">
        <f>IFERROR(__xludf.DUMMYFUNCTION("""COMPUTED_VALUE"""),"2.42")</f>
        <v/>
      </c>
      <c r="X368">
        <f>IFERROR(__xludf.DUMMYFUNCTION("""COMPUTED_VALUE"""),"stop無:1回目 0.3
stop無:2回目 0.61
stop無:3回目 0.93
stop無:4回目 1.25
stop有:5回目 1.6")</f>
        <v/>
      </c>
      <c r="Y368">
        <f>IFERROR(__xludf.DUMMYFUNCTION("""COMPUTED_VALUE"""),"範囲に300%のダメージ+50%の確率で3秒のスタン攻撃")</f>
        <v/>
      </c>
      <c r="Z368">
        <f>IFERROR(__xludf.DUMMYFUNCTION("""COMPUTED_VALUE"""),6.0)</f>
        <v/>
      </c>
      <c r="AB368">
        <f>IFERROR(__xludf.DUMMYFUNCTION("""COMPUTED_VALUE"""),"dageki_1")</f>
        <v/>
      </c>
    </row>
    <row r="369">
      <c r="B369">
        <f>IFERROR(__xludf.DUMMYFUNCTION("""COMPUTED_VALUE"""),"chara_hut_00001")</f>
        <v/>
      </c>
      <c r="C369">
        <f>IFERROR(__xludf.DUMMYFUNCTION("""COMPUTED_VALUE"""),"_hut1_challenge1")</f>
        <v/>
      </c>
      <c r="D369">
        <f>IFERROR(__xludf.DUMMYFUNCTION("""COMPUTED_VALUE"""),"c_hut_00001_hut1_challenge1_Boss_Green")</f>
        <v/>
      </c>
      <c r="E369">
        <f>IFERROR(__xludf.DUMMYFUNCTION("""COMPUTED_VALUE"""),"ふつうの軽音部")</f>
        <v/>
      </c>
      <c r="F369">
        <f>IFERROR(__xludf.DUMMYFUNCTION("""COMPUTED_VALUE"""),"ひたむきギタリスト 鳩野 ちひろ")</f>
        <v/>
      </c>
      <c r="G369">
        <f>IFERROR(__xludf.DUMMYFUNCTION("""COMPUTED_VALUE"""),"鳩野 ちひろ_hut1_challenge1")</f>
        <v/>
      </c>
      <c r="H369">
        <f>IFERROR(__xludf.DUMMYFUNCTION("""COMPUTED_VALUE"""),"Boss")</f>
        <v/>
      </c>
      <c r="I369">
        <f>IFERROR(__xludf.DUMMYFUNCTION("""COMPUTED_VALUE"""),"Defense")</f>
        <v/>
      </c>
      <c r="J369">
        <f>IFERROR(__xludf.DUMMYFUNCTION("""COMPUTED_VALUE"""),"Green")</f>
        <v/>
      </c>
      <c r="K369">
        <f>IFERROR(__xludf.DUMMYFUNCTION("""COMPUTED_VALUE"""),10000.0)</f>
        <v/>
      </c>
      <c r="L369">
        <f>IFERROR(__xludf.DUMMYFUNCTION("""COMPUTED_VALUE"""),1.0)</f>
        <v/>
      </c>
      <c r="M369">
        <f>IFERROR(__xludf.DUMMYFUNCTION("""COMPUTED_VALUE"""),35.0)</f>
        <v/>
      </c>
      <c r="N369">
        <f>IFERROR(__xludf.DUMMYFUNCTION("""COMPUTED_VALUE"""),0.21)</f>
        <v/>
      </c>
      <c r="O369">
        <f>IFERROR(__xludf.DUMMYFUNCTION("""COMPUTED_VALUE"""),100.0)</f>
        <v/>
      </c>
      <c r="P369">
        <f>IFERROR(__xludf.DUMMYFUNCTION("""COMPUTED_VALUE"""),0.0)</f>
        <v/>
      </c>
      <c r="Q369">
        <f>IFERROR(__xludf.DUMMYFUNCTION("""COMPUTED_VALUE"""),0.43)</f>
        <v/>
      </c>
      <c r="R369">
        <f>IFERROR(__xludf.DUMMYFUNCTION("""COMPUTED_VALUE"""),1.0)</f>
        <v/>
      </c>
      <c r="S369">
        <f>IFERROR(__xludf.DUMMYFUNCTION("""COMPUTED_VALUE"""),300.0)</f>
        <v/>
      </c>
      <c r="T369">
        <f>IFERROR(__xludf.DUMMYFUNCTION("""COMPUTED_VALUE"""),"1.47")</f>
        <v/>
      </c>
      <c r="U369">
        <f>IFERROR(__xludf.DUMMYFUNCTION("""COMPUTED_VALUE"""),"stop有 :1回目 0.15")</f>
        <v/>
      </c>
      <c r="V369">
        <f>IFERROR(__xludf.DUMMYFUNCTION("""COMPUTED_VALUE"""),60.0)</f>
        <v/>
      </c>
      <c r="W369">
        <f>IFERROR(__xludf.DUMMYFUNCTION("""COMPUTED_VALUE"""),"2.8")</f>
        <v/>
      </c>
      <c r="X369">
        <f>IFERROR(__xludf.DUMMYFUNCTION("""COMPUTED_VALUE"""),"stop有:1回目 0.87")</f>
        <v/>
      </c>
      <c r="Y369">
        <f>IFERROR(__xludf.DUMMYFUNCTION("""COMPUTED_VALUE"""),"単体に200%の攻撃+中ノックバック攻撃")</f>
        <v/>
      </c>
      <c r="Z369">
        <f>IFERROR(__xludf.DUMMYFUNCTION("""COMPUTED_VALUE"""),5.0)</f>
        <v/>
      </c>
      <c r="AB369">
        <f>IFERROR(__xludf.DUMMYFUNCTION("""COMPUTED_VALUE"""),"dageki_1")</f>
        <v/>
      </c>
    </row>
    <row r="370">
      <c r="B370">
        <f>IFERROR(__xludf.DUMMYFUNCTION("""COMPUTED_VALUE"""),"chara_hut_00001")</f>
        <v/>
      </c>
      <c r="C370">
        <f>IFERROR(__xludf.DUMMYFUNCTION("""COMPUTED_VALUE"""),"_hut1_challenge2")</f>
        <v/>
      </c>
      <c r="D370">
        <f>IFERROR(__xludf.DUMMYFUNCTION("""COMPUTED_VALUE"""),"c_hut_00001_hut1_challenge2_Boss_Blue")</f>
        <v/>
      </c>
      <c r="E370">
        <f>IFERROR(__xludf.DUMMYFUNCTION("""COMPUTED_VALUE"""),"ふつうの軽音部")</f>
        <v/>
      </c>
      <c r="F370">
        <f>IFERROR(__xludf.DUMMYFUNCTION("""COMPUTED_VALUE"""),"ひたむきギタリスト 鳩野 ちひろ")</f>
        <v/>
      </c>
      <c r="G370">
        <f>IFERROR(__xludf.DUMMYFUNCTION("""COMPUTED_VALUE"""),"鳩野 ちひろ_hut1_challenge2")</f>
        <v/>
      </c>
      <c r="H370">
        <f>IFERROR(__xludf.DUMMYFUNCTION("""COMPUTED_VALUE"""),"Boss")</f>
        <v/>
      </c>
      <c r="I370">
        <f>IFERROR(__xludf.DUMMYFUNCTION("""COMPUTED_VALUE"""),"Defense")</f>
        <v/>
      </c>
      <c r="J370">
        <f>IFERROR(__xludf.DUMMYFUNCTION("""COMPUTED_VALUE"""),"Blue")</f>
        <v/>
      </c>
      <c r="K370">
        <f>IFERROR(__xludf.DUMMYFUNCTION("""COMPUTED_VALUE"""),10000.0)</f>
        <v/>
      </c>
      <c r="L370">
        <f>IFERROR(__xludf.DUMMYFUNCTION("""COMPUTED_VALUE"""),1.0)</f>
        <v/>
      </c>
      <c r="M370">
        <f>IFERROR(__xludf.DUMMYFUNCTION("""COMPUTED_VALUE"""),35.0)</f>
        <v/>
      </c>
      <c r="N370">
        <f>IFERROR(__xludf.DUMMYFUNCTION("""COMPUTED_VALUE"""),0.21)</f>
        <v/>
      </c>
      <c r="O370">
        <f>IFERROR(__xludf.DUMMYFUNCTION("""COMPUTED_VALUE"""),100.0)</f>
        <v/>
      </c>
      <c r="P370">
        <f>IFERROR(__xludf.DUMMYFUNCTION("""COMPUTED_VALUE"""),0.0)</f>
        <v/>
      </c>
      <c r="Q370">
        <f>IFERROR(__xludf.DUMMYFUNCTION("""COMPUTED_VALUE"""),0.32)</f>
        <v/>
      </c>
      <c r="R370">
        <f>IFERROR(__xludf.DUMMYFUNCTION("""COMPUTED_VALUE"""),1.0)</f>
        <v/>
      </c>
      <c r="S370">
        <f>IFERROR(__xludf.DUMMYFUNCTION("""COMPUTED_VALUE"""),300.0)</f>
        <v/>
      </c>
      <c r="T370">
        <f>IFERROR(__xludf.DUMMYFUNCTION("""COMPUTED_VALUE"""),"1.47")</f>
        <v/>
      </c>
      <c r="U370">
        <f>IFERROR(__xludf.DUMMYFUNCTION("""COMPUTED_VALUE"""),"stop有 :1回目 0.15")</f>
        <v/>
      </c>
      <c r="V370">
        <f>IFERROR(__xludf.DUMMYFUNCTION("""COMPUTED_VALUE"""),60.0)</f>
        <v/>
      </c>
      <c r="W370">
        <f>IFERROR(__xludf.DUMMYFUNCTION("""COMPUTED_VALUE"""),"2.8")</f>
        <v/>
      </c>
      <c r="X370">
        <f>IFERROR(__xludf.DUMMYFUNCTION("""COMPUTED_VALUE"""),"stop有:1回目 0.87")</f>
        <v/>
      </c>
      <c r="Y370">
        <f>IFERROR(__xludf.DUMMYFUNCTION("""COMPUTED_VALUE"""),"単体に200%の攻撃+中ノックバック攻撃")</f>
        <v/>
      </c>
      <c r="Z370">
        <f>IFERROR(__xludf.DUMMYFUNCTION("""COMPUTED_VALUE"""),5.0)</f>
        <v/>
      </c>
      <c r="AB370">
        <f>IFERROR(__xludf.DUMMYFUNCTION("""COMPUTED_VALUE"""),"dageki_1")</f>
        <v/>
      </c>
    </row>
    <row r="371">
      <c r="B371">
        <f>IFERROR(__xludf.DUMMYFUNCTION("""COMPUTED_VALUE"""),"chara_hut_00101")</f>
        <v/>
      </c>
      <c r="C371">
        <f>IFERROR(__xludf.DUMMYFUNCTION("""COMPUTED_VALUE"""),"_hut1_challenge2")</f>
        <v/>
      </c>
      <c r="D371">
        <f>IFERROR(__xludf.DUMMYFUNCTION("""COMPUTED_VALUE"""),"c_hut_00101_hut1_challenge2_Normal_Blue")</f>
        <v/>
      </c>
      <c r="E371">
        <f>IFERROR(__xludf.DUMMYFUNCTION("""COMPUTED_VALUE"""),"ふつうの軽音部")</f>
        <v/>
      </c>
      <c r="F371">
        <f>IFERROR(__xludf.DUMMYFUNCTION("""COMPUTED_VALUE"""),"幸山 厘")</f>
        <v/>
      </c>
      <c r="G371">
        <f>IFERROR(__xludf.DUMMYFUNCTION("""COMPUTED_VALUE"""),"幸山 厘_hut1_challenge2")</f>
        <v/>
      </c>
      <c r="H371">
        <f>IFERROR(__xludf.DUMMYFUNCTION("""COMPUTED_VALUE"""),"Normal")</f>
        <v/>
      </c>
      <c r="I371">
        <f>IFERROR(__xludf.DUMMYFUNCTION("""COMPUTED_VALUE"""),"Support")</f>
        <v/>
      </c>
      <c r="J371">
        <f>IFERROR(__xludf.DUMMYFUNCTION("""COMPUTED_VALUE"""),"Blue")</f>
        <v/>
      </c>
      <c r="K371">
        <f>IFERROR(__xludf.DUMMYFUNCTION("""COMPUTED_VALUE"""),10000.0)</f>
        <v/>
      </c>
      <c r="L371">
        <f>IFERROR(__xludf.DUMMYFUNCTION("""COMPUTED_VALUE"""),2.0)</f>
        <v/>
      </c>
      <c r="M371">
        <f>IFERROR(__xludf.DUMMYFUNCTION("""COMPUTED_VALUE"""),35.0)</f>
        <v/>
      </c>
      <c r="N371">
        <f>IFERROR(__xludf.DUMMYFUNCTION("""COMPUTED_VALUE"""),0.42)</f>
        <v/>
      </c>
      <c r="O371">
        <f>IFERROR(__xludf.DUMMYFUNCTION("""COMPUTED_VALUE"""),100.0)</f>
        <v/>
      </c>
      <c r="P371">
        <f>IFERROR(__xludf.DUMMYFUNCTION("""COMPUTED_VALUE"""),0.0)</f>
        <v/>
      </c>
      <c r="Q371">
        <f>IFERROR(__xludf.DUMMYFUNCTION("""COMPUTED_VALUE"""),0.43)</f>
        <v/>
      </c>
      <c r="R371">
        <f>IFERROR(__xludf.DUMMYFUNCTION("""COMPUTED_VALUE"""),1.0)</f>
        <v/>
      </c>
      <c r="S371">
        <f>IFERROR(__xludf.DUMMYFUNCTION("""COMPUTED_VALUE"""),300.0)</f>
        <v/>
      </c>
      <c r="T371">
        <f>IFERROR(__xludf.DUMMYFUNCTION("""COMPUTED_VALUE"""),"1.58")</f>
        <v/>
      </c>
      <c r="U371">
        <f>IFERROR(__xludf.DUMMYFUNCTION("""COMPUTED_VALUE"""),"stop有 :1回目 0.75")</f>
        <v/>
      </c>
      <c r="V371">
        <f>IFERROR(__xludf.DUMMYFUNCTION("""COMPUTED_VALUE"""),60.0)</f>
        <v/>
      </c>
      <c r="W371">
        <f>IFERROR(__xludf.DUMMYFUNCTION("""COMPUTED_VALUE"""),"2.58")</f>
        <v/>
      </c>
      <c r="X371">
        <f>IFERROR(__xludf.DUMMYFUNCTION("""COMPUTED_VALUE"""),"stop有:1回目 0.33
stop無:2回目 0.78
stop無:3回目 1.0
stop無:4回目 1.27
stop無:5回目 1.58")</f>
        <v/>
      </c>
      <c r="Y371">
        <f>IFERROR(__xludf.DUMMYFUNCTION("""COMPUTED_VALUE"""),"範囲に200％攻撃＋味方の攻撃20%Up")</f>
        <v/>
      </c>
      <c r="Z371">
        <f>IFERROR(__xludf.DUMMYFUNCTION("""COMPUTED_VALUE"""),6.0)</f>
        <v/>
      </c>
      <c r="AB371">
        <f>IFERROR(__xludf.DUMMYFUNCTION("""COMPUTED_VALUE"""),"dageki_1")</f>
        <v/>
      </c>
    </row>
    <row r="372">
      <c r="B372">
        <f>IFERROR(__xludf.DUMMYFUNCTION("""COMPUTED_VALUE"""),"chara_hut_00001")</f>
        <v/>
      </c>
      <c r="C372">
        <f>IFERROR(__xludf.DUMMYFUNCTION("""COMPUTED_VALUE"""),"_hut1_challeng3")</f>
        <v/>
      </c>
      <c r="D372">
        <f>IFERROR(__xludf.DUMMYFUNCTION("""COMPUTED_VALUE"""),"c_hut_00001_hut1_challeng3_Boss_Red")</f>
        <v/>
      </c>
      <c r="E372">
        <f>IFERROR(__xludf.DUMMYFUNCTION("""COMPUTED_VALUE"""),"ふつうの軽音部")</f>
        <v/>
      </c>
      <c r="F372">
        <f>IFERROR(__xludf.DUMMYFUNCTION("""COMPUTED_VALUE"""),"ひたむきギタリスト 鳩野 ちひろ")</f>
        <v/>
      </c>
      <c r="G372">
        <f>IFERROR(__xludf.DUMMYFUNCTION("""COMPUTED_VALUE"""),"鳩野 ちひろ_hut1_challeng3")</f>
        <v/>
      </c>
      <c r="H372">
        <f>IFERROR(__xludf.DUMMYFUNCTION("""COMPUTED_VALUE"""),"Boss")</f>
        <v/>
      </c>
      <c r="I372">
        <f>IFERROR(__xludf.DUMMYFUNCTION("""COMPUTED_VALUE"""),"Defense")</f>
        <v/>
      </c>
      <c r="J372">
        <f>IFERROR(__xludf.DUMMYFUNCTION("""COMPUTED_VALUE"""),"Red")</f>
        <v/>
      </c>
      <c r="K372">
        <f>IFERROR(__xludf.DUMMYFUNCTION("""COMPUTED_VALUE"""),10000.0)</f>
        <v/>
      </c>
      <c r="L372">
        <f>IFERROR(__xludf.DUMMYFUNCTION("""COMPUTED_VALUE"""),1.0)</f>
        <v/>
      </c>
      <c r="M372">
        <f>IFERROR(__xludf.DUMMYFUNCTION("""COMPUTED_VALUE"""),35.0)</f>
        <v/>
      </c>
      <c r="N372">
        <f>IFERROR(__xludf.DUMMYFUNCTION("""COMPUTED_VALUE"""),0.21)</f>
        <v/>
      </c>
      <c r="O372">
        <f>IFERROR(__xludf.DUMMYFUNCTION("""COMPUTED_VALUE"""),100.0)</f>
        <v/>
      </c>
      <c r="P372">
        <f>IFERROR(__xludf.DUMMYFUNCTION("""COMPUTED_VALUE"""),0.0)</f>
        <v/>
      </c>
      <c r="Q372">
        <f>IFERROR(__xludf.DUMMYFUNCTION("""COMPUTED_VALUE"""),0.32)</f>
        <v/>
      </c>
      <c r="R372">
        <f>IFERROR(__xludf.DUMMYFUNCTION("""COMPUTED_VALUE"""),1.0)</f>
        <v/>
      </c>
      <c r="S372">
        <f>IFERROR(__xludf.DUMMYFUNCTION("""COMPUTED_VALUE"""),150.0)</f>
        <v/>
      </c>
      <c r="T372">
        <f>IFERROR(__xludf.DUMMYFUNCTION("""COMPUTED_VALUE"""),"1.47")</f>
        <v/>
      </c>
      <c r="U372">
        <f>IFERROR(__xludf.DUMMYFUNCTION("""COMPUTED_VALUE"""),"stop有 :1回目 0.15")</f>
        <v/>
      </c>
      <c r="V372">
        <f>IFERROR(__xludf.DUMMYFUNCTION("""COMPUTED_VALUE"""),60.0)</f>
        <v/>
      </c>
      <c r="W372">
        <f>IFERROR(__xludf.DUMMYFUNCTION("""COMPUTED_VALUE"""),"2.8")</f>
        <v/>
      </c>
      <c r="X372">
        <f>IFERROR(__xludf.DUMMYFUNCTION("""COMPUTED_VALUE"""),"stop有:1回目 0.87")</f>
        <v/>
      </c>
      <c r="Y372">
        <f>IFERROR(__xludf.DUMMYFUNCTION("""COMPUTED_VALUE"""),"単体に200%の攻撃+中ノックバック攻撃")</f>
        <v/>
      </c>
      <c r="Z372">
        <f>IFERROR(__xludf.DUMMYFUNCTION("""COMPUTED_VALUE"""),5.0)</f>
        <v/>
      </c>
      <c r="AB372">
        <f>IFERROR(__xludf.DUMMYFUNCTION("""COMPUTED_VALUE"""),"dageki_1")</f>
        <v/>
      </c>
    </row>
    <row r="373">
      <c r="B373">
        <f>IFERROR(__xludf.DUMMYFUNCTION("""COMPUTED_VALUE"""),"chara_hut_00101")</f>
        <v/>
      </c>
      <c r="C373">
        <f>IFERROR(__xludf.DUMMYFUNCTION("""COMPUTED_VALUE"""),"_hut1_challeng3")</f>
        <v/>
      </c>
      <c r="D373">
        <f>IFERROR(__xludf.DUMMYFUNCTION("""COMPUTED_VALUE"""),"c_hut_00101_hut1_challeng3_Normal_Red")</f>
        <v/>
      </c>
      <c r="E373">
        <f>IFERROR(__xludf.DUMMYFUNCTION("""COMPUTED_VALUE"""),"ふつうの軽音部")</f>
        <v/>
      </c>
      <c r="F373">
        <f>IFERROR(__xludf.DUMMYFUNCTION("""COMPUTED_VALUE"""),"幸山 厘")</f>
        <v/>
      </c>
      <c r="G373">
        <f>IFERROR(__xludf.DUMMYFUNCTION("""COMPUTED_VALUE"""),"幸山 厘_hut1_challeng3")</f>
        <v/>
      </c>
      <c r="H373">
        <f>IFERROR(__xludf.DUMMYFUNCTION("""COMPUTED_VALUE"""),"Normal")</f>
        <v/>
      </c>
      <c r="I373">
        <f>IFERROR(__xludf.DUMMYFUNCTION("""COMPUTED_VALUE"""),"Support")</f>
        <v/>
      </c>
      <c r="J373">
        <f>IFERROR(__xludf.DUMMYFUNCTION("""COMPUTED_VALUE"""),"Red")</f>
        <v/>
      </c>
      <c r="K373">
        <f>IFERROR(__xludf.DUMMYFUNCTION("""COMPUTED_VALUE"""),10000.0)</f>
        <v/>
      </c>
      <c r="L373">
        <f>IFERROR(__xludf.DUMMYFUNCTION("""COMPUTED_VALUE"""),2.0)</f>
        <v/>
      </c>
      <c r="M373">
        <f>IFERROR(__xludf.DUMMYFUNCTION("""COMPUTED_VALUE"""),35.0)</f>
        <v/>
      </c>
      <c r="N373">
        <f>IFERROR(__xludf.DUMMYFUNCTION("""COMPUTED_VALUE"""),0.42)</f>
        <v/>
      </c>
      <c r="O373">
        <f>IFERROR(__xludf.DUMMYFUNCTION("""COMPUTED_VALUE"""),100.0)</f>
        <v/>
      </c>
      <c r="P373">
        <f>IFERROR(__xludf.DUMMYFUNCTION("""COMPUTED_VALUE"""),0.0)</f>
        <v/>
      </c>
      <c r="Q373">
        <f>IFERROR(__xludf.DUMMYFUNCTION("""COMPUTED_VALUE"""),0.43)</f>
        <v/>
      </c>
      <c r="R373">
        <f>IFERROR(__xludf.DUMMYFUNCTION("""COMPUTED_VALUE"""),1.0)</f>
        <v/>
      </c>
      <c r="S373">
        <f>IFERROR(__xludf.DUMMYFUNCTION("""COMPUTED_VALUE"""),150.0)</f>
        <v/>
      </c>
      <c r="T373">
        <f>IFERROR(__xludf.DUMMYFUNCTION("""COMPUTED_VALUE"""),"1.58")</f>
        <v/>
      </c>
      <c r="U373">
        <f>IFERROR(__xludf.DUMMYFUNCTION("""COMPUTED_VALUE"""),"stop有 :1回目 0.75")</f>
        <v/>
      </c>
      <c r="V373">
        <f>IFERROR(__xludf.DUMMYFUNCTION("""COMPUTED_VALUE"""),60.0)</f>
        <v/>
      </c>
      <c r="W373">
        <f>IFERROR(__xludf.DUMMYFUNCTION("""COMPUTED_VALUE"""),"2.58")</f>
        <v/>
      </c>
      <c r="X373">
        <f>IFERROR(__xludf.DUMMYFUNCTION("""COMPUTED_VALUE"""),"stop有:1回目 0.33
stop無:2回目 0.78
stop無:3回目 1.0
stop無:4回目 1.27
stop無:5回目 1.58")</f>
        <v/>
      </c>
      <c r="Y373">
        <f>IFERROR(__xludf.DUMMYFUNCTION("""COMPUTED_VALUE"""),"範囲に200％攻撃＋味方の攻撃20%Up")</f>
        <v/>
      </c>
      <c r="Z373">
        <f>IFERROR(__xludf.DUMMYFUNCTION("""COMPUTED_VALUE"""),6.0)</f>
        <v/>
      </c>
      <c r="AB373">
        <f>IFERROR(__xludf.DUMMYFUNCTION("""COMPUTED_VALUE"""),"dageki_1")</f>
        <v/>
      </c>
    </row>
    <row r="374">
      <c r="B374">
        <f>IFERROR(__xludf.DUMMYFUNCTION("""COMPUTED_VALUE"""),"chara_hut_00201")</f>
        <v/>
      </c>
      <c r="C374">
        <f>IFERROR(__xludf.DUMMYFUNCTION("""COMPUTED_VALUE"""),"_hut1_challeng3")</f>
        <v/>
      </c>
      <c r="D374">
        <f>IFERROR(__xludf.DUMMYFUNCTION("""COMPUTED_VALUE"""),"c_hut_00201_hut1_challeng3_Normal_Red")</f>
        <v/>
      </c>
      <c r="E374">
        <f>IFERROR(__xludf.DUMMYFUNCTION("""COMPUTED_VALUE"""),"ふつうの軽音部")</f>
        <v/>
      </c>
      <c r="F374">
        <f>IFERROR(__xludf.DUMMYFUNCTION("""COMPUTED_VALUE"""),"内田 桃")</f>
        <v/>
      </c>
      <c r="G374">
        <f>IFERROR(__xludf.DUMMYFUNCTION("""COMPUTED_VALUE"""),"内田 桃_hut1_challeng3")</f>
        <v/>
      </c>
      <c r="H374">
        <f>IFERROR(__xludf.DUMMYFUNCTION("""COMPUTED_VALUE"""),"Normal")</f>
        <v/>
      </c>
      <c r="I374">
        <f>IFERROR(__xludf.DUMMYFUNCTION("""COMPUTED_VALUE"""),"Technical")</f>
        <v/>
      </c>
      <c r="J374">
        <f>IFERROR(__xludf.DUMMYFUNCTION("""COMPUTED_VALUE"""),"Red")</f>
        <v/>
      </c>
      <c r="K374">
        <f>IFERROR(__xludf.DUMMYFUNCTION("""COMPUTED_VALUE"""),10000.0)</f>
        <v/>
      </c>
      <c r="L374">
        <f>IFERROR(__xludf.DUMMYFUNCTION("""COMPUTED_VALUE"""),2.0)</f>
        <v/>
      </c>
      <c r="M374">
        <f>IFERROR(__xludf.DUMMYFUNCTION("""COMPUTED_VALUE"""),35.0)</f>
        <v/>
      </c>
      <c r="N374">
        <f>IFERROR(__xludf.DUMMYFUNCTION("""COMPUTED_VALUE"""),0.5)</f>
        <v/>
      </c>
      <c r="O374">
        <f>IFERROR(__xludf.DUMMYFUNCTION("""COMPUTED_VALUE"""),100.0)</f>
        <v/>
      </c>
      <c r="P374">
        <f>IFERROR(__xludf.DUMMYFUNCTION("""COMPUTED_VALUE"""),0.0)</f>
        <v/>
      </c>
      <c r="Q374">
        <f>IFERROR(__xludf.DUMMYFUNCTION("""COMPUTED_VALUE"""),0.52)</f>
        <v/>
      </c>
      <c r="R374">
        <f>IFERROR(__xludf.DUMMYFUNCTION("""COMPUTED_VALUE"""),1.0)</f>
        <v/>
      </c>
      <c r="S374">
        <f>IFERROR(__xludf.DUMMYFUNCTION("""COMPUTED_VALUE"""),300.0)</f>
        <v/>
      </c>
      <c r="T374">
        <f>IFERROR(__xludf.DUMMYFUNCTION("""COMPUTED_VALUE"""),"1.2")</f>
        <v/>
      </c>
      <c r="U374">
        <f>IFERROR(__xludf.DUMMYFUNCTION("""COMPUTED_VALUE"""),"stop有 :1回目 0.34")</f>
        <v/>
      </c>
      <c r="V374">
        <f>IFERROR(__xludf.DUMMYFUNCTION("""COMPUTED_VALUE"""),60.0)</f>
        <v/>
      </c>
      <c r="W374">
        <f>IFERROR(__xludf.DUMMYFUNCTION("""COMPUTED_VALUE"""),"2.84")</f>
        <v/>
      </c>
      <c r="X374">
        <f>IFERROR(__xludf.DUMMYFUNCTION("""COMPUTED_VALUE"""),"stop無:1回目 1.1
stop無:2回目 1.44
stop有:3回目 1.97")</f>
        <v/>
      </c>
      <c r="Y374">
        <f>IFERROR(__xludf.DUMMYFUNCTION("""COMPUTED_VALUE"""),"単体に攻撃+50%の確率で1秒のスタン攻撃")</f>
        <v/>
      </c>
      <c r="Z374">
        <f>IFERROR(__xludf.DUMMYFUNCTION("""COMPUTED_VALUE"""),5.0)</f>
        <v/>
      </c>
      <c r="AB374">
        <f>IFERROR(__xludf.DUMMYFUNCTION("""COMPUTED_VALUE"""),"dageki_1")</f>
        <v/>
      </c>
    </row>
    <row r="375">
      <c r="B375">
        <f>IFERROR(__xludf.DUMMYFUNCTION("""COMPUTED_VALUE"""),"chara_hut_00001")</f>
        <v/>
      </c>
      <c r="C375">
        <f>IFERROR(__xludf.DUMMYFUNCTION("""COMPUTED_VALUE"""),"_hut1_challenge4")</f>
        <v/>
      </c>
      <c r="D375">
        <f>IFERROR(__xludf.DUMMYFUNCTION("""COMPUTED_VALUE"""),"c_hut_00001_hut1_challenge4_Boss_Yellow")</f>
        <v/>
      </c>
      <c r="E375">
        <f>IFERROR(__xludf.DUMMYFUNCTION("""COMPUTED_VALUE"""),"ふつうの軽音部")</f>
        <v/>
      </c>
      <c r="F375">
        <f>IFERROR(__xludf.DUMMYFUNCTION("""COMPUTED_VALUE"""),"ひたむきギタリスト 鳩野 ちひろ")</f>
        <v/>
      </c>
      <c r="G375">
        <f>IFERROR(__xludf.DUMMYFUNCTION("""COMPUTED_VALUE"""),"鳩野 ちひろ_hut1_challenge4")</f>
        <v/>
      </c>
      <c r="H375">
        <f>IFERROR(__xludf.DUMMYFUNCTION("""COMPUTED_VALUE"""),"Boss")</f>
        <v/>
      </c>
      <c r="I375">
        <f>IFERROR(__xludf.DUMMYFUNCTION("""COMPUTED_VALUE"""),"Defense")</f>
        <v/>
      </c>
      <c r="J375">
        <f>IFERROR(__xludf.DUMMYFUNCTION("""COMPUTED_VALUE"""),"Yellow")</f>
        <v/>
      </c>
      <c r="K375">
        <f>IFERROR(__xludf.DUMMYFUNCTION("""COMPUTED_VALUE"""),10000.0)</f>
        <v/>
      </c>
      <c r="L375">
        <f>IFERROR(__xludf.DUMMYFUNCTION("""COMPUTED_VALUE"""),1.0)</f>
        <v/>
      </c>
      <c r="M375">
        <f>IFERROR(__xludf.DUMMYFUNCTION("""COMPUTED_VALUE"""),35.0)</f>
        <v/>
      </c>
      <c r="N375">
        <f>IFERROR(__xludf.DUMMYFUNCTION("""COMPUTED_VALUE"""),0.21)</f>
        <v/>
      </c>
      <c r="O375">
        <f>IFERROR(__xludf.DUMMYFUNCTION("""COMPUTED_VALUE"""),100.0)</f>
        <v/>
      </c>
      <c r="P375">
        <f>IFERROR(__xludf.DUMMYFUNCTION("""COMPUTED_VALUE"""),0.0)</f>
        <v/>
      </c>
      <c r="Q375">
        <f>IFERROR(__xludf.DUMMYFUNCTION("""COMPUTED_VALUE"""),0.32)</f>
        <v/>
      </c>
      <c r="R375">
        <f>IFERROR(__xludf.DUMMYFUNCTION("""COMPUTED_VALUE"""),1.0)</f>
        <v/>
      </c>
      <c r="S375">
        <f>IFERROR(__xludf.DUMMYFUNCTION("""COMPUTED_VALUE"""),300.0)</f>
        <v/>
      </c>
      <c r="T375">
        <f>IFERROR(__xludf.DUMMYFUNCTION("""COMPUTED_VALUE"""),"1.47")</f>
        <v/>
      </c>
      <c r="U375">
        <f>IFERROR(__xludf.DUMMYFUNCTION("""COMPUTED_VALUE"""),"stop有 :1回目 0.15")</f>
        <v/>
      </c>
      <c r="V375">
        <f>IFERROR(__xludf.DUMMYFUNCTION("""COMPUTED_VALUE"""),60.0)</f>
        <v/>
      </c>
      <c r="W375">
        <f>IFERROR(__xludf.DUMMYFUNCTION("""COMPUTED_VALUE"""),"2.8")</f>
        <v/>
      </c>
      <c r="X375">
        <f>IFERROR(__xludf.DUMMYFUNCTION("""COMPUTED_VALUE"""),"stop有:1回目 0.87")</f>
        <v/>
      </c>
      <c r="Y375">
        <f>IFERROR(__xludf.DUMMYFUNCTION("""COMPUTED_VALUE"""),"単体に200%の攻撃+中ノックバック攻撃")</f>
        <v/>
      </c>
      <c r="Z375">
        <f>IFERROR(__xludf.DUMMYFUNCTION("""COMPUTED_VALUE"""),5.0)</f>
        <v/>
      </c>
      <c r="AB375">
        <f>IFERROR(__xludf.DUMMYFUNCTION("""COMPUTED_VALUE"""),"dageki_1")</f>
        <v/>
      </c>
    </row>
    <row r="376">
      <c r="B376">
        <f>IFERROR(__xludf.DUMMYFUNCTION("""COMPUTED_VALUE"""),"chara_hut_00101")</f>
        <v/>
      </c>
      <c r="C376">
        <f>IFERROR(__xludf.DUMMYFUNCTION("""COMPUTED_VALUE"""),"_hut1_challenge4")</f>
        <v/>
      </c>
      <c r="D376">
        <f>IFERROR(__xludf.DUMMYFUNCTION("""COMPUTED_VALUE"""),"c_hut_00101_hut1_challenge4_Normal_Yellow")</f>
        <v/>
      </c>
      <c r="E376">
        <f>IFERROR(__xludf.DUMMYFUNCTION("""COMPUTED_VALUE"""),"ふつうの軽音部")</f>
        <v/>
      </c>
      <c r="F376">
        <f>IFERROR(__xludf.DUMMYFUNCTION("""COMPUTED_VALUE"""),"幸山 厘")</f>
        <v/>
      </c>
      <c r="G376">
        <f>IFERROR(__xludf.DUMMYFUNCTION("""COMPUTED_VALUE"""),"幸山 厘_hut1_challenge4")</f>
        <v/>
      </c>
      <c r="H376">
        <f>IFERROR(__xludf.DUMMYFUNCTION("""COMPUTED_VALUE"""),"Normal")</f>
        <v/>
      </c>
      <c r="I376">
        <f>IFERROR(__xludf.DUMMYFUNCTION("""COMPUTED_VALUE"""),"Support")</f>
        <v/>
      </c>
      <c r="J376">
        <f>IFERROR(__xludf.DUMMYFUNCTION("""COMPUTED_VALUE"""),"Yellow")</f>
        <v/>
      </c>
      <c r="K376">
        <f>IFERROR(__xludf.DUMMYFUNCTION("""COMPUTED_VALUE"""),10000.0)</f>
        <v/>
      </c>
      <c r="L376">
        <f>IFERROR(__xludf.DUMMYFUNCTION("""COMPUTED_VALUE"""),2.0)</f>
        <v/>
      </c>
      <c r="M376">
        <f>IFERROR(__xludf.DUMMYFUNCTION("""COMPUTED_VALUE"""),35.0)</f>
        <v/>
      </c>
      <c r="N376">
        <f>IFERROR(__xludf.DUMMYFUNCTION("""COMPUTED_VALUE"""),0.42)</f>
        <v/>
      </c>
      <c r="O376">
        <f>IFERROR(__xludf.DUMMYFUNCTION("""COMPUTED_VALUE"""),100.0)</f>
        <v/>
      </c>
      <c r="P376">
        <f>IFERROR(__xludf.DUMMYFUNCTION("""COMPUTED_VALUE"""),0.0)</f>
        <v/>
      </c>
      <c r="Q376">
        <f>IFERROR(__xludf.DUMMYFUNCTION("""COMPUTED_VALUE"""),0.43)</f>
        <v/>
      </c>
      <c r="R376">
        <f>IFERROR(__xludf.DUMMYFUNCTION("""COMPUTED_VALUE"""),1.0)</f>
        <v/>
      </c>
      <c r="S376">
        <f>IFERROR(__xludf.DUMMYFUNCTION("""COMPUTED_VALUE"""),300.0)</f>
        <v/>
      </c>
      <c r="T376">
        <f>IFERROR(__xludf.DUMMYFUNCTION("""COMPUTED_VALUE"""),"1.58")</f>
        <v/>
      </c>
      <c r="U376">
        <f>IFERROR(__xludf.DUMMYFUNCTION("""COMPUTED_VALUE"""),"stop有 :1回目 0.75")</f>
        <v/>
      </c>
      <c r="V376">
        <f>IFERROR(__xludf.DUMMYFUNCTION("""COMPUTED_VALUE"""),60.0)</f>
        <v/>
      </c>
      <c r="W376">
        <f>IFERROR(__xludf.DUMMYFUNCTION("""COMPUTED_VALUE"""),"2.58")</f>
        <v/>
      </c>
      <c r="X376">
        <f>IFERROR(__xludf.DUMMYFUNCTION("""COMPUTED_VALUE"""),"stop有:1回目 0.33
stop無:2回目 0.78
stop無:3回目 1.0
stop無:4回目 1.27
stop無:5回目 1.58")</f>
        <v/>
      </c>
      <c r="Y376">
        <f>IFERROR(__xludf.DUMMYFUNCTION("""COMPUTED_VALUE"""),"範囲に200％攻撃＋味方の攻撃20%Up")</f>
        <v/>
      </c>
      <c r="Z376">
        <f>IFERROR(__xludf.DUMMYFUNCTION("""COMPUTED_VALUE"""),6.0)</f>
        <v/>
      </c>
      <c r="AB376">
        <f>IFERROR(__xludf.DUMMYFUNCTION("""COMPUTED_VALUE"""),"dageki_1")</f>
        <v/>
      </c>
    </row>
    <row r="377">
      <c r="B377">
        <f>IFERROR(__xludf.DUMMYFUNCTION("""COMPUTED_VALUE"""),"chara_hut_00201")</f>
        <v/>
      </c>
      <c r="C377">
        <f>IFERROR(__xludf.DUMMYFUNCTION("""COMPUTED_VALUE"""),"_hut1_challenge4")</f>
        <v/>
      </c>
      <c r="D377">
        <f>IFERROR(__xludf.DUMMYFUNCTION("""COMPUTED_VALUE"""),"c_hut_00201_hut1_challenge4_Normal_Yellow")</f>
        <v/>
      </c>
      <c r="E377">
        <f>IFERROR(__xludf.DUMMYFUNCTION("""COMPUTED_VALUE"""),"ふつうの軽音部")</f>
        <v/>
      </c>
      <c r="F377">
        <f>IFERROR(__xludf.DUMMYFUNCTION("""COMPUTED_VALUE"""),"内田 桃")</f>
        <v/>
      </c>
      <c r="G377">
        <f>IFERROR(__xludf.DUMMYFUNCTION("""COMPUTED_VALUE"""),"内田 桃_hut1_challenge4")</f>
        <v/>
      </c>
      <c r="H377">
        <f>IFERROR(__xludf.DUMMYFUNCTION("""COMPUTED_VALUE"""),"Normal")</f>
        <v/>
      </c>
      <c r="I377">
        <f>IFERROR(__xludf.DUMMYFUNCTION("""COMPUTED_VALUE"""),"Technical")</f>
        <v/>
      </c>
      <c r="J377">
        <f>IFERROR(__xludf.DUMMYFUNCTION("""COMPUTED_VALUE"""),"Yellow")</f>
        <v/>
      </c>
      <c r="K377">
        <f>IFERROR(__xludf.DUMMYFUNCTION("""COMPUTED_VALUE"""),10000.0)</f>
        <v/>
      </c>
      <c r="L377">
        <f>IFERROR(__xludf.DUMMYFUNCTION("""COMPUTED_VALUE"""),2.0)</f>
        <v/>
      </c>
      <c r="M377">
        <f>IFERROR(__xludf.DUMMYFUNCTION("""COMPUTED_VALUE"""),35.0)</f>
        <v/>
      </c>
      <c r="N377">
        <f>IFERROR(__xludf.DUMMYFUNCTION("""COMPUTED_VALUE"""),0.5)</f>
        <v/>
      </c>
      <c r="O377">
        <f>IFERROR(__xludf.DUMMYFUNCTION("""COMPUTED_VALUE"""),100.0)</f>
        <v/>
      </c>
      <c r="P377">
        <f>IFERROR(__xludf.DUMMYFUNCTION("""COMPUTED_VALUE"""),0.0)</f>
        <v/>
      </c>
      <c r="Q377">
        <f>IFERROR(__xludf.DUMMYFUNCTION("""COMPUTED_VALUE"""),0.52)</f>
        <v/>
      </c>
      <c r="R377">
        <f>IFERROR(__xludf.DUMMYFUNCTION("""COMPUTED_VALUE"""),1.0)</f>
        <v/>
      </c>
      <c r="S377">
        <f>IFERROR(__xludf.DUMMYFUNCTION("""COMPUTED_VALUE"""),300.0)</f>
        <v/>
      </c>
      <c r="T377">
        <f>IFERROR(__xludf.DUMMYFUNCTION("""COMPUTED_VALUE"""),"1.2")</f>
        <v/>
      </c>
      <c r="U377">
        <f>IFERROR(__xludf.DUMMYFUNCTION("""COMPUTED_VALUE"""),"stop有 :1回目 0.34")</f>
        <v/>
      </c>
      <c r="V377">
        <f>IFERROR(__xludf.DUMMYFUNCTION("""COMPUTED_VALUE"""),60.0)</f>
        <v/>
      </c>
      <c r="W377">
        <f>IFERROR(__xludf.DUMMYFUNCTION("""COMPUTED_VALUE"""),"2.84")</f>
        <v/>
      </c>
      <c r="X377">
        <f>IFERROR(__xludf.DUMMYFUNCTION("""COMPUTED_VALUE"""),"stop無:1回目 1.1
stop無:2回目 1.44
stop有:3回目 1.97")</f>
        <v/>
      </c>
      <c r="Y377">
        <f>IFERROR(__xludf.DUMMYFUNCTION("""COMPUTED_VALUE"""),"単体に攻撃+50%の確率で1秒のスタン攻撃")</f>
        <v/>
      </c>
      <c r="Z377">
        <f>IFERROR(__xludf.DUMMYFUNCTION("""COMPUTED_VALUE"""),5.0)</f>
        <v/>
      </c>
      <c r="AB377">
        <f>IFERROR(__xludf.DUMMYFUNCTION("""COMPUTED_VALUE"""),"dageki_1")</f>
        <v/>
      </c>
    </row>
    <row r="378">
      <c r="B378">
        <f>IFERROR(__xludf.DUMMYFUNCTION("""COMPUTED_VALUE"""),"chara_hut_00301")</f>
        <v/>
      </c>
      <c r="C378">
        <f>IFERROR(__xludf.DUMMYFUNCTION("""COMPUTED_VALUE"""),"_hut1_challenge4")</f>
        <v/>
      </c>
      <c r="D378">
        <f>IFERROR(__xludf.DUMMYFUNCTION("""COMPUTED_VALUE"""),"c_hut_00301_hut1_challenge4_Normal_Yellow")</f>
        <v/>
      </c>
      <c r="E378">
        <f>IFERROR(__xludf.DUMMYFUNCTION("""COMPUTED_VALUE"""),"ふつうの軽音部")</f>
        <v/>
      </c>
      <c r="F378">
        <f>IFERROR(__xludf.DUMMYFUNCTION("""COMPUTED_VALUE"""),"藤井 彩目")</f>
        <v/>
      </c>
      <c r="G378">
        <f>IFERROR(__xludf.DUMMYFUNCTION("""COMPUTED_VALUE"""),"藤井 彩目_hut1_challenge4")</f>
        <v/>
      </c>
      <c r="H378">
        <f>IFERROR(__xludf.DUMMYFUNCTION("""COMPUTED_VALUE"""),"Normal")</f>
        <v/>
      </c>
      <c r="I378">
        <f>IFERROR(__xludf.DUMMYFUNCTION("""COMPUTED_VALUE"""),"Technical")</f>
        <v/>
      </c>
      <c r="J378">
        <f>IFERROR(__xludf.DUMMYFUNCTION("""COMPUTED_VALUE"""),"Yellow")</f>
        <v/>
      </c>
      <c r="K378">
        <f>IFERROR(__xludf.DUMMYFUNCTION("""COMPUTED_VALUE"""),10000.0)</f>
        <v/>
      </c>
      <c r="L378">
        <f>IFERROR(__xludf.DUMMYFUNCTION("""COMPUTED_VALUE"""),2.0)</f>
        <v/>
      </c>
      <c r="M378">
        <f>IFERROR(__xludf.DUMMYFUNCTION("""COMPUTED_VALUE"""),35.0)</f>
        <v/>
      </c>
      <c r="N378">
        <f>IFERROR(__xludf.DUMMYFUNCTION("""COMPUTED_VALUE"""),0.5)</f>
        <v/>
      </c>
      <c r="O378">
        <f>IFERROR(__xludf.DUMMYFUNCTION("""COMPUTED_VALUE"""),100.0)</f>
        <v/>
      </c>
      <c r="P378">
        <f>IFERROR(__xludf.DUMMYFUNCTION("""COMPUTED_VALUE"""),0.0)</f>
        <v/>
      </c>
      <c r="Q378">
        <f>IFERROR(__xludf.DUMMYFUNCTION("""COMPUTED_VALUE"""),0.52)</f>
        <v/>
      </c>
      <c r="R378">
        <f>IFERROR(__xludf.DUMMYFUNCTION("""COMPUTED_VALUE"""),1.0)</f>
        <v/>
      </c>
      <c r="S378">
        <f>IFERROR(__xludf.DUMMYFUNCTION("""COMPUTED_VALUE"""),300.0)</f>
        <v/>
      </c>
      <c r="T378">
        <f>IFERROR(__xludf.DUMMYFUNCTION("""COMPUTED_VALUE"""),"1.33")</f>
        <v/>
      </c>
      <c r="U378">
        <f>IFERROR(__xludf.DUMMYFUNCTION("""COMPUTED_VALUE"""),"stop有 :1回目 0.33")</f>
        <v/>
      </c>
      <c r="V378">
        <f>IFERROR(__xludf.DUMMYFUNCTION("""COMPUTED_VALUE"""),60.0)</f>
        <v/>
      </c>
      <c r="W378">
        <f>IFERROR(__xludf.DUMMYFUNCTION("""COMPUTED_VALUE"""),"2.42")</f>
        <v/>
      </c>
      <c r="X378">
        <f>IFERROR(__xludf.DUMMYFUNCTION("""COMPUTED_VALUE"""),"stop無:1回目 0.3
stop無:2回目 0.61
stop無:3回目 0.93
stop無:4回目 1.25
stop有:5回目 1.6")</f>
        <v/>
      </c>
      <c r="Y378">
        <f>IFERROR(__xludf.DUMMYFUNCTION("""COMPUTED_VALUE"""),"範囲に300%のダメージ+50%の確率で1秒のスタン攻撃")</f>
        <v/>
      </c>
      <c r="Z378">
        <f>IFERROR(__xludf.DUMMYFUNCTION("""COMPUTED_VALUE"""),6.0)</f>
        <v/>
      </c>
      <c r="AB378">
        <f>IFERROR(__xludf.DUMMYFUNCTION("""COMPUTED_VALUE"""),"dageki_1")</f>
        <v/>
      </c>
    </row>
    <row r="379">
      <c r="B379">
        <f>IFERROR(__xludf.DUMMYFUNCTION("""COMPUTED_VALUE"""),"enemy_hut_00001")</f>
        <v/>
      </c>
      <c r="C379">
        <f>IFERROR(__xludf.DUMMYFUNCTION("""COMPUTED_VALUE"""),"_hut1_challenge")</f>
        <v/>
      </c>
      <c r="D379">
        <f>IFERROR(__xludf.DUMMYFUNCTION("""COMPUTED_VALUE"""),"e_hut_00001_hut1_challenge_Normal_Colorless")</f>
        <v/>
      </c>
      <c r="E379">
        <f>IFERROR(__xludf.DUMMYFUNCTION("""COMPUTED_VALUE"""),"ふつうの軽音部")</f>
        <v/>
      </c>
      <c r="F379">
        <f>IFERROR(__xludf.DUMMYFUNCTION("""COMPUTED_VALUE"""),"鷹見 項希")</f>
        <v/>
      </c>
      <c r="G379">
        <f>IFERROR(__xludf.DUMMYFUNCTION("""COMPUTED_VALUE"""),"鷹見 項希_hut1_challenge")</f>
        <v/>
      </c>
      <c r="H379">
        <f>IFERROR(__xludf.DUMMYFUNCTION("""COMPUTED_VALUE"""),"Normal")</f>
        <v/>
      </c>
      <c r="I379">
        <f>IFERROR(__xludf.DUMMYFUNCTION("""COMPUTED_VALUE"""),"Attack")</f>
        <v/>
      </c>
      <c r="J379">
        <f>IFERROR(__xludf.DUMMYFUNCTION("""COMPUTED_VALUE"""),"Colorless")</f>
        <v/>
      </c>
      <c r="K379">
        <f>IFERROR(__xludf.DUMMYFUNCTION("""COMPUTED_VALUE"""),1000.0)</f>
        <v/>
      </c>
      <c r="L379">
        <f>IFERROR(__xludf.DUMMYFUNCTION("""COMPUTED_VALUE"""),2.0)</f>
        <v/>
      </c>
      <c r="M379">
        <f>IFERROR(__xludf.DUMMYFUNCTION("""COMPUTED_VALUE"""),34.0)</f>
        <v/>
      </c>
      <c r="N379">
        <f>IFERROR(__xludf.DUMMYFUNCTION("""COMPUTED_VALUE"""),0.3)</f>
        <v/>
      </c>
      <c r="O379">
        <f>IFERROR(__xludf.DUMMYFUNCTION("""COMPUTED_VALUE"""),100.0)</f>
        <v/>
      </c>
      <c r="P379">
        <f>IFERROR(__xludf.DUMMYFUNCTION("""COMPUTED_VALUE"""),0.0)</f>
        <v/>
      </c>
      <c r="Q379">
        <f>IFERROR(__xludf.DUMMYFUNCTION("""COMPUTED_VALUE"""),0.32)</f>
        <v/>
      </c>
      <c r="R379">
        <f>IFERROR(__xludf.DUMMYFUNCTION("""COMPUTED_VALUE"""),1.0)</f>
        <v/>
      </c>
      <c r="S379">
        <f>IFERROR(__xludf.DUMMYFUNCTION("""COMPUTED_VALUE"""),500.0)</f>
        <v/>
      </c>
      <c r="T379">
        <f>IFERROR(__xludf.DUMMYFUNCTION("""COMPUTED_VALUE"""),"1.37")</f>
        <v/>
      </c>
      <c r="U379">
        <f>IFERROR(__xludf.DUMMYFUNCTION("""COMPUTED_VALUE"""),"stop有:0.51")</f>
        <v/>
      </c>
      <c r="V379">
        <f>IFERROR(__xludf.DUMMYFUNCTION("""COMPUTED_VALUE"""),70.0)</f>
        <v/>
      </c>
      <c r="W379">
        <f>IFERROR(__xludf.DUMMYFUNCTION("""COMPUTED_VALUE"""),"-")</f>
        <v/>
      </c>
      <c r="X379">
        <f>IFERROR(__xludf.DUMMYFUNCTION("""COMPUTED_VALUE"""),"-")</f>
        <v/>
      </c>
      <c r="Z379">
        <f>IFERROR(__xludf.DUMMYFUNCTION("""COMPUTED_VALUE"""),"-")</f>
        <v/>
      </c>
    </row>
    <row r="380">
      <c r="B380">
        <f>IFERROR(__xludf.DUMMYFUNCTION("""COMPUTED_VALUE"""),"enemy_glo_00001")</f>
        <v/>
      </c>
      <c r="C380">
        <f>IFERROR(__xludf.DUMMYFUNCTION("""COMPUTED_VALUE"""),"_hut1_challenge")</f>
        <v/>
      </c>
      <c r="D380">
        <f>IFERROR(__xludf.DUMMYFUNCTION("""COMPUTED_VALUE"""),"e_glo_00001_hut1_challenge_Normal_Colorless")</f>
        <v/>
      </c>
      <c r="E380">
        <f>IFERROR(__xludf.DUMMYFUNCTION("""COMPUTED_VALUE"""),"GLOW")</f>
        <v/>
      </c>
      <c r="F380">
        <f>IFERROR(__xludf.DUMMYFUNCTION("""COMPUTED_VALUE"""),"ファントム")</f>
        <v/>
      </c>
      <c r="G380">
        <f>IFERROR(__xludf.DUMMYFUNCTION("""COMPUTED_VALUE"""),"ファントム_hut1_challenge")</f>
        <v/>
      </c>
      <c r="H380">
        <f>IFERROR(__xludf.DUMMYFUNCTION("""COMPUTED_VALUE"""),"Normal")</f>
        <v/>
      </c>
      <c r="I380">
        <f>IFERROR(__xludf.DUMMYFUNCTION("""COMPUTED_VALUE"""),"Attack")</f>
        <v/>
      </c>
      <c r="J380">
        <f>IFERROR(__xludf.DUMMYFUNCTION("""COMPUTED_VALUE"""),"Colorless")</f>
        <v/>
      </c>
      <c r="K380">
        <f>IFERROR(__xludf.DUMMYFUNCTION("""COMPUTED_VALUE"""),1000.0)</f>
        <v/>
      </c>
      <c r="L380">
        <f>IFERROR(__xludf.DUMMYFUNCTION("""COMPUTED_VALUE"""),2.0)</f>
        <v/>
      </c>
      <c r="M380">
        <f>IFERROR(__xludf.DUMMYFUNCTION("""COMPUTED_VALUE"""),40.0)</f>
        <v/>
      </c>
      <c r="N380">
        <f>IFERROR(__xludf.DUMMYFUNCTION("""COMPUTED_VALUE"""),0.2)</f>
        <v/>
      </c>
      <c r="O380">
        <f>IFERROR(__xludf.DUMMYFUNCTION("""COMPUTED_VALUE"""),100.0)</f>
        <v/>
      </c>
      <c r="P380">
        <f>IFERROR(__xludf.DUMMYFUNCTION("""COMPUTED_VALUE"""),0.0)</f>
        <v/>
      </c>
      <c r="Q380">
        <f>IFERROR(__xludf.DUMMYFUNCTION("""COMPUTED_VALUE"""),0.21)</f>
        <v/>
      </c>
      <c r="R380">
        <f>IFERROR(__xludf.DUMMYFUNCTION("""COMPUTED_VALUE"""),1.0)</f>
        <v/>
      </c>
      <c r="S380">
        <f>IFERROR(__xludf.DUMMYFUNCTION("""COMPUTED_VALUE"""),100.0)</f>
        <v/>
      </c>
      <c r="T380">
        <f>IFERROR(__xludf.DUMMYFUNCTION("""COMPUTED_VALUE"""),"1.00")</f>
        <v/>
      </c>
      <c r="U380">
        <f>IFERROR(__xludf.DUMMYFUNCTION("""COMPUTED_VALUE"""),"0.50")</f>
        <v/>
      </c>
      <c r="V380">
        <f>IFERROR(__xludf.DUMMYFUNCTION("""COMPUTED_VALUE"""),30.0)</f>
        <v/>
      </c>
      <c r="Z380">
        <f>IFERROR(__xludf.DUMMYFUNCTION("""COMPUTED_VALUE"""),"-")</f>
        <v/>
      </c>
      <c r="AB380">
        <f>IFERROR(__xludf.DUMMYFUNCTION("""COMPUTED_VALUE"""),"dageki_1")</f>
        <v/>
      </c>
    </row>
    <row r="381">
      <c r="D381">
        <f>IFERROR(__xludf.DUMMYFUNCTION("""COMPUTED_VALUE"""),"___")</f>
        <v/>
      </c>
      <c r="E381">
        <f>IFERROR(__xludf.DUMMYFUNCTION("""COMPUTED_VALUE"""),"none")</f>
        <v/>
      </c>
      <c r="F381">
        <f>IFERROR(__xludf.DUMMYFUNCTION("""COMPUTED_VALUE"""),"none")</f>
        <v/>
      </c>
      <c r="G381">
        <f>IFERROR(__xludf.DUMMYFUNCTION("""COMPUTED_VALUE"""),"none")</f>
        <v/>
      </c>
      <c r="I381">
        <f>IFERROR(__xludf.DUMMYFUNCTION("""COMPUTED_VALUE"""),"none")</f>
        <v/>
      </c>
      <c r="T381">
        <f>IFERROR(__xludf.DUMMYFUNCTION("""COMPUTED_VALUE"""),"none")</f>
        <v/>
      </c>
      <c r="U381">
        <f>IFERROR(__xludf.DUMMYFUNCTION("""COMPUTED_VALUE"""),"none")</f>
        <v/>
      </c>
      <c r="W381">
        <f>IFERROR(__xludf.DUMMYFUNCTION("""COMPUTED_VALUE"""),"none")</f>
        <v/>
      </c>
      <c r="X381">
        <f>IFERROR(__xludf.DUMMYFUNCTION("""COMPUTED_VALUE"""),"none")</f>
        <v/>
      </c>
      <c r="Z381">
        <f>IFERROR(__xludf.DUMMYFUNCTION("""COMPUTED_VALUE"""),"-")</f>
        <v/>
      </c>
      <c r="AB381">
        <f>IFERROR(__xludf.DUMMYFUNCTION("""COMPUTED_VALUE"""),"none")</f>
        <v/>
      </c>
    </row>
    <row r="382">
      <c r="B382">
        <f>IFERROR(__xludf.DUMMYFUNCTION("""COMPUTED_VALUE"""),"enemy_glo_00001")</f>
        <v/>
      </c>
      <c r="C382">
        <f>IFERROR(__xludf.DUMMYFUNCTION("""COMPUTED_VALUE"""),"_hut1_savage01")</f>
        <v/>
      </c>
      <c r="D382">
        <f>IFERROR(__xludf.DUMMYFUNCTION("""COMPUTED_VALUE"""),"e_glo_00001_hut1_savage01_Normal_Colorless")</f>
        <v/>
      </c>
      <c r="E382">
        <f>IFERROR(__xludf.DUMMYFUNCTION("""COMPUTED_VALUE"""),"GLOW")</f>
        <v/>
      </c>
      <c r="F382">
        <f>IFERROR(__xludf.DUMMYFUNCTION("""COMPUTED_VALUE"""),"ファントム")</f>
        <v/>
      </c>
      <c r="G382">
        <f>IFERROR(__xludf.DUMMYFUNCTION("""COMPUTED_VALUE"""),"ファントム_hut1_savage01")</f>
        <v/>
      </c>
      <c r="H382">
        <f>IFERROR(__xludf.DUMMYFUNCTION("""COMPUTED_VALUE"""),"Normal")</f>
        <v/>
      </c>
      <c r="I382">
        <f>IFERROR(__xludf.DUMMYFUNCTION("""COMPUTED_VALUE"""),"Attack")</f>
        <v/>
      </c>
      <c r="J382">
        <f>IFERROR(__xludf.DUMMYFUNCTION("""COMPUTED_VALUE"""),"Colorless")</f>
        <v/>
      </c>
      <c r="K382">
        <f>IFERROR(__xludf.DUMMYFUNCTION("""COMPUTED_VALUE"""),10000.0)</f>
        <v/>
      </c>
      <c r="L382">
        <f>IFERROR(__xludf.DUMMYFUNCTION("""COMPUTED_VALUE"""),2.0)</f>
        <v/>
      </c>
      <c r="M382">
        <f>IFERROR(__xludf.DUMMYFUNCTION("""COMPUTED_VALUE"""),40.0)</f>
        <v/>
      </c>
      <c r="N382">
        <f>IFERROR(__xludf.DUMMYFUNCTION("""COMPUTED_VALUE"""),0.18)</f>
        <v/>
      </c>
      <c r="O382">
        <f>IFERROR(__xludf.DUMMYFUNCTION("""COMPUTED_VALUE"""),100.0)</f>
        <v/>
      </c>
      <c r="P382">
        <f>IFERROR(__xludf.DUMMYFUNCTION("""COMPUTED_VALUE"""),0.0)</f>
        <v/>
      </c>
      <c r="Q382">
        <f>IFERROR(__xludf.DUMMYFUNCTION("""COMPUTED_VALUE"""),0.19)</f>
        <v/>
      </c>
      <c r="R382">
        <f>IFERROR(__xludf.DUMMYFUNCTION("""COMPUTED_VALUE"""),1.0)</f>
        <v/>
      </c>
      <c r="S382">
        <f>IFERROR(__xludf.DUMMYFUNCTION("""COMPUTED_VALUE"""),50.0)</f>
        <v/>
      </c>
      <c r="T382">
        <f>IFERROR(__xludf.DUMMYFUNCTION("""COMPUTED_VALUE"""),"1.00")</f>
        <v/>
      </c>
      <c r="U382">
        <f>IFERROR(__xludf.DUMMYFUNCTION("""COMPUTED_VALUE"""),"0.50")</f>
        <v/>
      </c>
      <c r="V382">
        <f>IFERROR(__xludf.DUMMYFUNCTION("""COMPUTED_VALUE"""),40.0)</f>
        <v/>
      </c>
      <c r="Z382">
        <f>IFERROR(__xludf.DUMMYFUNCTION("""COMPUTED_VALUE"""),"-")</f>
        <v/>
      </c>
      <c r="AB382">
        <f>IFERROR(__xludf.DUMMYFUNCTION("""COMPUTED_VALUE"""),"dageki_1")</f>
        <v/>
      </c>
    </row>
    <row r="383">
      <c r="B383">
        <f>IFERROR(__xludf.DUMMYFUNCTION("""COMPUTED_VALUE"""),"chara_hut_00001")</f>
        <v/>
      </c>
      <c r="C383">
        <f>IFERROR(__xludf.DUMMYFUNCTION("""COMPUTED_VALUE"""),"_hut1_savage01")</f>
        <v/>
      </c>
      <c r="D383">
        <f>IFERROR(__xludf.DUMMYFUNCTION("""COMPUTED_VALUE"""),"c_hut_00001_hut1_savage01_Boss_Colorless")</f>
        <v/>
      </c>
      <c r="E383">
        <f>IFERROR(__xludf.DUMMYFUNCTION("""COMPUTED_VALUE"""),"ふつうの軽音部")</f>
        <v/>
      </c>
      <c r="F383">
        <f>IFERROR(__xludf.DUMMYFUNCTION("""COMPUTED_VALUE"""),"ひたむきギタリスト 鳩野 ちひろ")</f>
        <v/>
      </c>
      <c r="G383">
        <f>IFERROR(__xludf.DUMMYFUNCTION("""COMPUTED_VALUE"""),"鳩野 ちひろ_hut1_savage01")</f>
        <v/>
      </c>
      <c r="H383">
        <f>IFERROR(__xludf.DUMMYFUNCTION("""COMPUTED_VALUE"""),"Boss")</f>
        <v/>
      </c>
      <c r="I383">
        <f>IFERROR(__xludf.DUMMYFUNCTION("""COMPUTED_VALUE"""),"Defense")</f>
        <v/>
      </c>
      <c r="J383">
        <f>IFERROR(__xludf.DUMMYFUNCTION("""COMPUTED_VALUE"""),"Colorless")</f>
        <v/>
      </c>
      <c r="K383">
        <f>IFERROR(__xludf.DUMMYFUNCTION("""COMPUTED_VALUE"""),100000.0)</f>
        <v/>
      </c>
      <c r="L383">
        <f>IFERROR(__xludf.DUMMYFUNCTION("""COMPUTED_VALUE"""),1.0)</f>
        <v/>
      </c>
      <c r="M383">
        <f>IFERROR(__xludf.DUMMYFUNCTION("""COMPUTED_VALUE"""),35.0)</f>
        <v/>
      </c>
      <c r="N383">
        <f>IFERROR(__xludf.DUMMYFUNCTION("""COMPUTED_VALUE"""),0.15)</f>
        <v/>
      </c>
      <c r="O383">
        <f>IFERROR(__xludf.DUMMYFUNCTION("""COMPUTED_VALUE"""),500.0)</f>
        <v/>
      </c>
      <c r="P383">
        <f>IFERROR(__xludf.DUMMYFUNCTION("""COMPUTED_VALUE"""),0.0)</f>
        <v/>
      </c>
      <c r="Q383">
        <f>IFERROR(__xludf.DUMMYFUNCTION("""COMPUTED_VALUE"""),0.16)</f>
        <v/>
      </c>
      <c r="R383">
        <f>IFERROR(__xludf.DUMMYFUNCTION("""COMPUTED_VALUE"""),1.0)</f>
        <v/>
      </c>
      <c r="S383">
        <f>IFERROR(__xludf.DUMMYFUNCTION("""COMPUTED_VALUE"""),50.0)</f>
        <v/>
      </c>
      <c r="T383">
        <f>IFERROR(__xludf.DUMMYFUNCTION("""COMPUTED_VALUE"""),"1.47")</f>
        <v/>
      </c>
      <c r="U383">
        <f>IFERROR(__xludf.DUMMYFUNCTION("""COMPUTED_VALUE"""),"stop有 :1回目 0.15")</f>
        <v/>
      </c>
      <c r="V383">
        <f>IFERROR(__xludf.DUMMYFUNCTION("""COMPUTED_VALUE"""),50.0)</f>
        <v/>
      </c>
      <c r="W383">
        <f>IFERROR(__xludf.DUMMYFUNCTION("""COMPUTED_VALUE"""),"2.8")</f>
        <v/>
      </c>
      <c r="X383">
        <f>IFERROR(__xludf.DUMMYFUNCTION("""COMPUTED_VALUE"""),"stop有:1回目 0.87")</f>
        <v/>
      </c>
      <c r="Y383">
        <f>IFERROR(__xludf.DUMMYFUNCTION("""COMPUTED_VALUE"""),"範囲に100%ダメージ+15秒間、自身が受けるダメージ30%カット")</f>
        <v/>
      </c>
      <c r="Z383">
        <f>IFERROR(__xludf.DUMMYFUNCTION("""COMPUTED_VALUE"""),7.0)</f>
        <v/>
      </c>
      <c r="AB383">
        <f>IFERROR(__xludf.DUMMYFUNCTION("""COMPUTED_VALUE"""),"dageki_1")</f>
        <v/>
      </c>
    </row>
    <row r="384">
      <c r="B384">
        <f>IFERROR(__xludf.DUMMYFUNCTION("""COMPUTED_VALUE"""),"chara_hut_00101")</f>
        <v/>
      </c>
      <c r="C384">
        <f>IFERROR(__xludf.DUMMYFUNCTION("""COMPUTED_VALUE"""),"_hut1_savage01")</f>
        <v/>
      </c>
      <c r="D384">
        <f>IFERROR(__xludf.DUMMYFUNCTION("""COMPUTED_VALUE"""),"c_hut_00101_hut1_savage01_Boss_Colorless")</f>
        <v/>
      </c>
      <c r="E384">
        <f>IFERROR(__xludf.DUMMYFUNCTION("""COMPUTED_VALUE"""),"ふつうの軽音部")</f>
        <v/>
      </c>
      <c r="F384">
        <f>IFERROR(__xludf.DUMMYFUNCTION("""COMPUTED_VALUE"""),"幸山 厘")</f>
        <v/>
      </c>
      <c r="G384">
        <f>IFERROR(__xludf.DUMMYFUNCTION("""COMPUTED_VALUE"""),"幸山 厘_hut1_savage01")</f>
        <v/>
      </c>
      <c r="H384">
        <f>IFERROR(__xludf.DUMMYFUNCTION("""COMPUTED_VALUE"""),"Boss")</f>
        <v/>
      </c>
      <c r="I384">
        <f>IFERROR(__xludf.DUMMYFUNCTION("""COMPUTED_VALUE"""),"Attack")</f>
        <v/>
      </c>
      <c r="J384">
        <f>IFERROR(__xludf.DUMMYFUNCTION("""COMPUTED_VALUE"""),"Colorless")</f>
        <v/>
      </c>
      <c r="K384">
        <f>IFERROR(__xludf.DUMMYFUNCTION("""COMPUTED_VALUE"""),100000.0)</f>
        <v/>
      </c>
      <c r="L384">
        <f>IFERROR(__xludf.DUMMYFUNCTION("""COMPUTED_VALUE"""),3.0)</f>
        <v/>
      </c>
      <c r="M384">
        <f>IFERROR(__xludf.DUMMYFUNCTION("""COMPUTED_VALUE"""),28.0)</f>
        <v/>
      </c>
      <c r="N384">
        <f>IFERROR(__xludf.DUMMYFUNCTION("""COMPUTED_VALUE"""),0.3)</f>
        <v/>
      </c>
      <c r="O384">
        <f>IFERROR(__xludf.DUMMYFUNCTION("""COMPUTED_VALUE"""),500.0)</f>
        <v/>
      </c>
      <c r="P384">
        <f>IFERROR(__xludf.DUMMYFUNCTION("""COMPUTED_VALUE"""),0.0)</f>
        <v/>
      </c>
      <c r="Q384">
        <f>IFERROR(__xludf.DUMMYFUNCTION("""COMPUTED_VALUE"""),0.31)</f>
        <v/>
      </c>
      <c r="R384">
        <f>IFERROR(__xludf.DUMMYFUNCTION("""COMPUTED_VALUE"""),1.0)</f>
        <v/>
      </c>
      <c r="S384">
        <f>IFERROR(__xludf.DUMMYFUNCTION("""COMPUTED_VALUE"""),50.0)</f>
        <v/>
      </c>
      <c r="T384">
        <f>IFERROR(__xludf.DUMMYFUNCTION("""COMPUTED_VALUE"""),"1.58")</f>
        <v/>
      </c>
      <c r="U384">
        <f>IFERROR(__xludf.DUMMYFUNCTION("""COMPUTED_VALUE"""),"stop有 :1回目 0.75")</f>
        <v/>
      </c>
      <c r="V384">
        <f>IFERROR(__xludf.DUMMYFUNCTION("""COMPUTED_VALUE"""),70.0)</f>
        <v/>
      </c>
      <c r="W384">
        <f>IFERROR(__xludf.DUMMYFUNCTION("""COMPUTED_VALUE"""),"2.58")</f>
        <v/>
      </c>
      <c r="X384">
        <f>IFERROR(__xludf.DUMMYFUNCTION("""COMPUTED_VALUE"""),"stop有:1回目 0.33
stop無:2回目 0.78
stop無:3回目 1.0
stop無:4回目 1.27
stop無:5回目 1.58")</f>
        <v/>
      </c>
      <c r="Y384">
        <f>IFERROR(__xludf.DUMMYFUNCTION("""COMPUTED_VALUE"""),"範囲に200%ダメージ+場面全体の敵キャラの攻撃10秒間、10%UP")</f>
        <v/>
      </c>
      <c r="Z384">
        <f>IFERROR(__xludf.DUMMYFUNCTION("""COMPUTED_VALUE"""),5.0)</f>
        <v/>
      </c>
      <c r="AB384">
        <f>IFERROR(__xludf.DUMMYFUNCTION("""COMPUTED_VALUE"""),"dageki_1")</f>
        <v/>
      </c>
    </row>
    <row r="385">
      <c r="B385">
        <f>IFERROR(__xludf.DUMMYFUNCTION("""COMPUTED_VALUE"""),"enemy_glo_00001")</f>
        <v/>
      </c>
      <c r="C385">
        <f>IFERROR(__xludf.DUMMYFUNCTION("""COMPUTED_VALUE"""),"_hut1_savage02_poison")</f>
        <v/>
      </c>
      <c r="D385">
        <f>IFERROR(__xludf.DUMMYFUNCTION("""COMPUTED_VALUE"""),"e_glo_00001_hut1_savage02_poison_Normal_Red")</f>
        <v/>
      </c>
      <c r="E385">
        <f>IFERROR(__xludf.DUMMYFUNCTION("""COMPUTED_VALUE"""),"GLOW")</f>
        <v/>
      </c>
      <c r="F385">
        <f>IFERROR(__xludf.DUMMYFUNCTION("""COMPUTED_VALUE"""),"ファントム")</f>
        <v/>
      </c>
      <c r="G385">
        <f>IFERROR(__xludf.DUMMYFUNCTION("""COMPUTED_VALUE"""),"ファントム_hut1_savage02_poison")</f>
        <v/>
      </c>
      <c r="H385">
        <f>IFERROR(__xludf.DUMMYFUNCTION("""COMPUTED_VALUE"""),"Normal")</f>
        <v/>
      </c>
      <c r="I385">
        <f>IFERROR(__xludf.DUMMYFUNCTION("""COMPUTED_VALUE"""),"Technical")</f>
        <v/>
      </c>
      <c r="J385">
        <f>IFERROR(__xludf.DUMMYFUNCTION("""COMPUTED_VALUE"""),"Red")</f>
        <v/>
      </c>
      <c r="K385">
        <f>IFERROR(__xludf.DUMMYFUNCTION("""COMPUTED_VALUE"""),10000.0)</f>
        <v/>
      </c>
      <c r="L385">
        <f>IFERROR(__xludf.DUMMYFUNCTION("""COMPUTED_VALUE"""),2.0)</f>
        <v/>
      </c>
      <c r="M385">
        <f>IFERROR(__xludf.DUMMYFUNCTION("""COMPUTED_VALUE"""),40.0)</f>
        <v/>
      </c>
      <c r="N385">
        <f>IFERROR(__xludf.DUMMYFUNCTION("""COMPUTED_VALUE"""),0.2)</f>
        <v/>
      </c>
      <c r="O385">
        <f>IFERROR(__xludf.DUMMYFUNCTION("""COMPUTED_VALUE"""),100.0)</f>
        <v/>
      </c>
      <c r="P385">
        <f>IFERROR(__xludf.DUMMYFUNCTION("""COMPUTED_VALUE"""),0.0)</f>
        <v/>
      </c>
      <c r="Q385">
        <f>IFERROR(__xludf.DUMMYFUNCTION("""COMPUTED_VALUE"""),0.21)</f>
        <v/>
      </c>
      <c r="R385">
        <f>IFERROR(__xludf.DUMMYFUNCTION("""COMPUTED_VALUE"""),1.0)</f>
        <v/>
      </c>
      <c r="S385">
        <f>IFERROR(__xludf.DUMMYFUNCTION("""COMPUTED_VALUE"""),50.0)</f>
        <v/>
      </c>
      <c r="T385">
        <f>IFERROR(__xludf.DUMMYFUNCTION("""COMPUTED_VALUE"""),"1.00")</f>
        <v/>
      </c>
      <c r="U385">
        <f>IFERROR(__xludf.DUMMYFUNCTION("""COMPUTED_VALUE"""),"0.50")</f>
        <v/>
      </c>
      <c r="V385">
        <f>IFERROR(__xludf.DUMMYFUNCTION("""COMPUTED_VALUE"""),80.0)</f>
        <v/>
      </c>
      <c r="Z385">
        <f>IFERROR(__xludf.DUMMYFUNCTION("""COMPUTED_VALUE"""),"-")</f>
        <v/>
      </c>
      <c r="AB385">
        <f>IFERROR(__xludf.DUMMYFUNCTION("""COMPUTED_VALUE"""),"dageki_1")</f>
        <v/>
      </c>
      <c r="AC385">
        <f>IFERROR(__xludf.DUMMYFUNCTION("""COMPUTED_VALUE"""),"単体に2%の毒にする(12秒間)")</f>
        <v/>
      </c>
    </row>
    <row r="386">
      <c r="B386">
        <f>IFERROR(__xludf.DUMMYFUNCTION("""COMPUTED_VALUE"""),"chara_hut_00001")</f>
        <v/>
      </c>
      <c r="C386">
        <f>IFERROR(__xludf.DUMMYFUNCTION("""COMPUTED_VALUE"""),"_hut1_savage02")</f>
        <v/>
      </c>
      <c r="D386">
        <f>IFERROR(__xludf.DUMMYFUNCTION("""COMPUTED_VALUE"""),"c_hut_00001_hut1_savage02_Boss_Red")</f>
        <v/>
      </c>
      <c r="E386">
        <f>IFERROR(__xludf.DUMMYFUNCTION("""COMPUTED_VALUE"""),"ふつうの軽音部")</f>
        <v/>
      </c>
      <c r="F386">
        <f>IFERROR(__xludf.DUMMYFUNCTION("""COMPUTED_VALUE"""),"ひたむきギタリスト 鳩野 ちひろ")</f>
        <v/>
      </c>
      <c r="G386">
        <f>IFERROR(__xludf.DUMMYFUNCTION("""COMPUTED_VALUE"""),"鳩野 ちひろ_hut1_savage02")</f>
        <v/>
      </c>
      <c r="H386">
        <f>IFERROR(__xludf.DUMMYFUNCTION("""COMPUTED_VALUE"""),"Boss")</f>
        <v/>
      </c>
      <c r="I386">
        <f>IFERROR(__xludf.DUMMYFUNCTION("""COMPUTED_VALUE"""),"Defense")</f>
        <v/>
      </c>
      <c r="J386">
        <f>IFERROR(__xludf.DUMMYFUNCTION("""COMPUTED_VALUE"""),"Red")</f>
        <v/>
      </c>
      <c r="K386">
        <f>IFERROR(__xludf.DUMMYFUNCTION("""COMPUTED_VALUE"""),100000.0)</f>
        <v/>
      </c>
      <c r="L386">
        <f>IFERROR(__xludf.DUMMYFUNCTION("""COMPUTED_VALUE"""),1.0)</f>
        <v/>
      </c>
      <c r="M386">
        <f>IFERROR(__xludf.DUMMYFUNCTION("""COMPUTED_VALUE"""),35.0)</f>
        <v/>
      </c>
      <c r="N386">
        <f>IFERROR(__xludf.DUMMYFUNCTION("""COMPUTED_VALUE"""),0.15)</f>
        <v/>
      </c>
      <c r="O386">
        <f>IFERROR(__xludf.DUMMYFUNCTION("""COMPUTED_VALUE"""),500.0)</f>
        <v/>
      </c>
      <c r="P386">
        <f>IFERROR(__xludf.DUMMYFUNCTION("""COMPUTED_VALUE"""),0.0)</f>
        <v/>
      </c>
      <c r="Q386">
        <f>IFERROR(__xludf.DUMMYFUNCTION("""COMPUTED_VALUE"""),0.16)</f>
        <v/>
      </c>
      <c r="R386">
        <f>IFERROR(__xludf.DUMMYFUNCTION("""COMPUTED_VALUE"""),1.0)</f>
        <v/>
      </c>
      <c r="S386">
        <f>IFERROR(__xludf.DUMMYFUNCTION("""COMPUTED_VALUE"""),50.0)</f>
        <v/>
      </c>
      <c r="T386">
        <f>IFERROR(__xludf.DUMMYFUNCTION("""COMPUTED_VALUE"""),"1.47")</f>
        <v/>
      </c>
      <c r="U386">
        <f>IFERROR(__xludf.DUMMYFUNCTION("""COMPUTED_VALUE"""),"stop有 :1回目 0.15")</f>
        <v/>
      </c>
      <c r="V386">
        <f>IFERROR(__xludf.DUMMYFUNCTION("""COMPUTED_VALUE"""),50.0)</f>
        <v/>
      </c>
      <c r="W386">
        <f>IFERROR(__xludf.DUMMYFUNCTION("""COMPUTED_VALUE"""),"2.8")</f>
        <v/>
      </c>
      <c r="X386">
        <f>IFERROR(__xludf.DUMMYFUNCTION("""COMPUTED_VALUE"""),"stop有:1回目 0.87")</f>
        <v/>
      </c>
      <c r="Y386">
        <f>IFERROR(__xludf.DUMMYFUNCTION("""COMPUTED_VALUE"""),"範囲に100%ダメージ+15秒間、自身が受けるダメージ30%カット")</f>
        <v/>
      </c>
      <c r="Z386">
        <f>IFERROR(__xludf.DUMMYFUNCTION("""COMPUTED_VALUE"""),7.0)</f>
        <v/>
      </c>
      <c r="AB386">
        <f>IFERROR(__xludf.DUMMYFUNCTION("""COMPUTED_VALUE"""),"dageki_1")</f>
        <v/>
      </c>
    </row>
    <row r="387">
      <c r="B387">
        <f>IFERROR(__xludf.DUMMYFUNCTION("""COMPUTED_VALUE"""),"chara_hut_00101")</f>
        <v/>
      </c>
      <c r="C387">
        <f>IFERROR(__xludf.DUMMYFUNCTION("""COMPUTED_VALUE"""),"_hut1_savage02")</f>
        <v/>
      </c>
      <c r="D387">
        <f>IFERROR(__xludf.DUMMYFUNCTION("""COMPUTED_VALUE"""),"c_hut_00101_hut1_savage02_Boss_Red")</f>
        <v/>
      </c>
      <c r="E387">
        <f>IFERROR(__xludf.DUMMYFUNCTION("""COMPUTED_VALUE"""),"ふつうの軽音部")</f>
        <v/>
      </c>
      <c r="F387">
        <f>IFERROR(__xludf.DUMMYFUNCTION("""COMPUTED_VALUE"""),"幸山 厘")</f>
        <v/>
      </c>
      <c r="G387">
        <f>IFERROR(__xludf.DUMMYFUNCTION("""COMPUTED_VALUE"""),"幸山 厘_hut1_savage02")</f>
        <v/>
      </c>
      <c r="H387">
        <f>IFERROR(__xludf.DUMMYFUNCTION("""COMPUTED_VALUE"""),"Boss")</f>
        <v/>
      </c>
      <c r="I387">
        <f>IFERROR(__xludf.DUMMYFUNCTION("""COMPUTED_VALUE"""),"Support")</f>
        <v/>
      </c>
      <c r="J387">
        <f>IFERROR(__xludf.DUMMYFUNCTION("""COMPUTED_VALUE"""),"Red")</f>
        <v/>
      </c>
      <c r="K387">
        <f>IFERROR(__xludf.DUMMYFUNCTION("""COMPUTED_VALUE"""),100000.0)</f>
        <v/>
      </c>
      <c r="L387">
        <f>IFERROR(__xludf.DUMMYFUNCTION("""COMPUTED_VALUE"""),3.0)</f>
        <v/>
      </c>
      <c r="M387">
        <f>IFERROR(__xludf.DUMMYFUNCTION("""COMPUTED_VALUE"""),28.0)</f>
        <v/>
      </c>
      <c r="N387">
        <f>IFERROR(__xludf.DUMMYFUNCTION("""COMPUTED_VALUE"""),0.35)</f>
        <v/>
      </c>
      <c r="O387">
        <f>IFERROR(__xludf.DUMMYFUNCTION("""COMPUTED_VALUE"""),500.0)</f>
        <v/>
      </c>
      <c r="P387">
        <f>IFERROR(__xludf.DUMMYFUNCTION("""COMPUTED_VALUE"""),0.0)</f>
        <v/>
      </c>
      <c r="Q387">
        <f>IFERROR(__xludf.DUMMYFUNCTION("""COMPUTED_VALUE"""),0.36)</f>
        <v/>
      </c>
      <c r="R387">
        <f>IFERROR(__xludf.DUMMYFUNCTION("""COMPUTED_VALUE"""),1.0)</f>
        <v/>
      </c>
      <c r="S387">
        <f>IFERROR(__xludf.DUMMYFUNCTION("""COMPUTED_VALUE"""),50.0)</f>
        <v/>
      </c>
      <c r="T387">
        <f>IFERROR(__xludf.DUMMYFUNCTION("""COMPUTED_VALUE"""),"1.58")</f>
        <v/>
      </c>
      <c r="U387">
        <f>IFERROR(__xludf.DUMMYFUNCTION("""COMPUTED_VALUE"""),"stop有 :1回目 0.75")</f>
        <v/>
      </c>
      <c r="V387">
        <f>IFERROR(__xludf.DUMMYFUNCTION("""COMPUTED_VALUE"""),70.0)</f>
        <v/>
      </c>
      <c r="W387">
        <f>IFERROR(__xludf.DUMMYFUNCTION("""COMPUTED_VALUE"""),"2.58")</f>
        <v/>
      </c>
      <c r="X387">
        <f>IFERROR(__xludf.DUMMYFUNCTION("""COMPUTED_VALUE"""),"stop有:1回目 0.33
stop無:2回目 0.78
stop無:3回目 1.0
stop無:4回目 1.27
stop無:5回目 1.58")</f>
        <v/>
      </c>
      <c r="Y387">
        <f>IFERROR(__xludf.DUMMYFUNCTION("""COMPUTED_VALUE"""),"連続5回の範囲に200%ダメージ+場面全体の敵キャラの攻撃10秒間、10%UP")</f>
        <v/>
      </c>
      <c r="Z387">
        <f>IFERROR(__xludf.DUMMYFUNCTION("""COMPUTED_VALUE"""),5.0)</f>
        <v/>
      </c>
      <c r="AB387">
        <f>IFERROR(__xludf.DUMMYFUNCTION("""COMPUTED_VALUE"""),"dageki_1")</f>
        <v/>
      </c>
    </row>
    <row r="388">
      <c r="B388">
        <f>IFERROR(__xludf.DUMMYFUNCTION("""COMPUTED_VALUE"""),"chara_hut_00201")</f>
        <v/>
      </c>
      <c r="C388">
        <f>IFERROR(__xludf.DUMMYFUNCTION("""COMPUTED_VALUE"""),"_hut1_savage02")</f>
        <v/>
      </c>
      <c r="D388">
        <f>IFERROR(__xludf.DUMMYFUNCTION("""COMPUTED_VALUE"""),"c_hut_00201_hut1_savage02_Boss_Red")</f>
        <v/>
      </c>
      <c r="E388">
        <f>IFERROR(__xludf.DUMMYFUNCTION("""COMPUTED_VALUE"""),"ふつうの軽音部")</f>
        <v/>
      </c>
      <c r="F388">
        <f>IFERROR(__xludf.DUMMYFUNCTION("""COMPUTED_VALUE"""),"内田 桃")</f>
        <v/>
      </c>
      <c r="G388">
        <f>IFERROR(__xludf.DUMMYFUNCTION("""COMPUTED_VALUE"""),"内田 桃_hut1_savage02")</f>
        <v/>
      </c>
      <c r="H388">
        <f>IFERROR(__xludf.DUMMYFUNCTION("""COMPUTED_VALUE"""),"Boss")</f>
        <v/>
      </c>
      <c r="I388">
        <f>IFERROR(__xludf.DUMMYFUNCTION("""COMPUTED_VALUE"""),"Technical")</f>
        <v/>
      </c>
      <c r="J388">
        <f>IFERROR(__xludf.DUMMYFUNCTION("""COMPUTED_VALUE"""),"Red")</f>
        <v/>
      </c>
      <c r="K388">
        <f>IFERROR(__xludf.DUMMYFUNCTION("""COMPUTED_VALUE"""),100000.0)</f>
        <v/>
      </c>
      <c r="L388">
        <f>IFERROR(__xludf.DUMMYFUNCTION("""COMPUTED_VALUE"""),2.0)</f>
        <v/>
      </c>
      <c r="M388">
        <f>IFERROR(__xludf.DUMMYFUNCTION("""COMPUTED_VALUE"""),24.0)</f>
        <v/>
      </c>
      <c r="N388">
        <f>IFERROR(__xludf.DUMMYFUNCTION("""COMPUTED_VALUE"""),0.5)</f>
        <v/>
      </c>
      <c r="O388">
        <f>IFERROR(__xludf.DUMMYFUNCTION("""COMPUTED_VALUE"""),500.0)</f>
        <v/>
      </c>
      <c r="P388">
        <f>IFERROR(__xludf.DUMMYFUNCTION("""COMPUTED_VALUE"""),0.0)</f>
        <v/>
      </c>
      <c r="Q388">
        <f>IFERROR(__xludf.DUMMYFUNCTION("""COMPUTED_VALUE"""),0.51)</f>
        <v/>
      </c>
      <c r="R388">
        <f>IFERROR(__xludf.DUMMYFUNCTION("""COMPUTED_VALUE"""),1.0)</f>
        <v/>
      </c>
      <c r="S388">
        <f>IFERROR(__xludf.DUMMYFUNCTION("""COMPUTED_VALUE"""),50.0)</f>
        <v/>
      </c>
      <c r="T388">
        <f>IFERROR(__xludf.DUMMYFUNCTION("""COMPUTED_VALUE"""),"1.2")</f>
        <v/>
      </c>
      <c r="U388">
        <f>IFERROR(__xludf.DUMMYFUNCTION("""COMPUTED_VALUE"""),"stop有 :1回目 0.34")</f>
        <v/>
      </c>
      <c r="V388">
        <f>IFERROR(__xludf.DUMMYFUNCTION("""COMPUTED_VALUE"""),75.0)</f>
        <v/>
      </c>
      <c r="W388">
        <f>IFERROR(__xludf.DUMMYFUNCTION("""COMPUTED_VALUE"""),"2.84")</f>
        <v/>
      </c>
      <c r="X388">
        <f>IFERROR(__xludf.DUMMYFUNCTION("""COMPUTED_VALUE"""),"stop無:1回目 1.1
stop無:2回目 1.44
stop有:3回目 1.97")</f>
        <v/>
      </c>
      <c r="Y388">
        <f>IFERROR(__xludf.DUMMYFUNCTION("""COMPUTED_VALUE"""),"連続3回の範囲に120%ダメージ+最後の攻撃がヒットした場合、5%の毒にする(12秒間)")</f>
        <v/>
      </c>
      <c r="Z388">
        <f>IFERROR(__xludf.DUMMYFUNCTION("""COMPUTED_VALUE"""),6.0)</f>
        <v/>
      </c>
      <c r="AB388">
        <f>IFERROR(__xludf.DUMMYFUNCTION("""COMPUTED_VALUE"""),"dageki_1")</f>
        <v/>
      </c>
    </row>
    <row r="389">
      <c r="B389">
        <f>IFERROR(__xludf.DUMMYFUNCTION("""COMPUTED_VALUE"""),"enemy_glo_00001")</f>
        <v/>
      </c>
      <c r="C389">
        <f>IFERROR(__xludf.DUMMYFUNCTION("""COMPUTED_VALUE"""),"_hut1_savage03")</f>
        <v/>
      </c>
      <c r="D389">
        <f>IFERROR(__xludf.DUMMYFUNCTION("""COMPUTED_VALUE"""),"e_glo_00001_hut1_savage03_Normal_Yellow")</f>
        <v/>
      </c>
      <c r="E389">
        <f>IFERROR(__xludf.DUMMYFUNCTION("""COMPUTED_VALUE"""),"GLOW")</f>
        <v/>
      </c>
      <c r="F389">
        <f>IFERROR(__xludf.DUMMYFUNCTION("""COMPUTED_VALUE"""),"ファントム")</f>
        <v/>
      </c>
      <c r="G389">
        <f>IFERROR(__xludf.DUMMYFUNCTION("""COMPUTED_VALUE"""),"ファントム_hut1_savage03")</f>
        <v/>
      </c>
      <c r="H389">
        <f>IFERROR(__xludf.DUMMYFUNCTION("""COMPUTED_VALUE"""),"Normal")</f>
        <v/>
      </c>
      <c r="I389">
        <f>IFERROR(__xludf.DUMMYFUNCTION("""COMPUTED_VALUE"""),"Attack")</f>
        <v/>
      </c>
      <c r="J389">
        <f>IFERROR(__xludf.DUMMYFUNCTION("""COMPUTED_VALUE"""),"Yellow")</f>
        <v/>
      </c>
      <c r="K389">
        <f>IFERROR(__xludf.DUMMYFUNCTION("""COMPUTED_VALUE"""),10000.0)</f>
        <v/>
      </c>
      <c r="L389">
        <f>IFERROR(__xludf.DUMMYFUNCTION("""COMPUTED_VALUE"""),2.0)</f>
        <v/>
      </c>
      <c r="M389">
        <f>IFERROR(__xludf.DUMMYFUNCTION("""COMPUTED_VALUE"""),40.0)</f>
        <v/>
      </c>
      <c r="N389">
        <f>IFERROR(__xludf.DUMMYFUNCTION("""COMPUTED_VALUE"""),0.18)</f>
        <v/>
      </c>
      <c r="O389">
        <f>IFERROR(__xludf.DUMMYFUNCTION("""COMPUTED_VALUE"""),100.0)</f>
        <v/>
      </c>
      <c r="P389">
        <f>IFERROR(__xludf.DUMMYFUNCTION("""COMPUTED_VALUE"""),0.0)</f>
        <v/>
      </c>
      <c r="Q389">
        <f>IFERROR(__xludf.DUMMYFUNCTION("""COMPUTED_VALUE"""),0.19)</f>
        <v/>
      </c>
      <c r="R389">
        <f>IFERROR(__xludf.DUMMYFUNCTION("""COMPUTED_VALUE"""),1.0)</f>
        <v/>
      </c>
      <c r="S389">
        <f>IFERROR(__xludf.DUMMYFUNCTION("""COMPUTED_VALUE"""),50.0)</f>
        <v/>
      </c>
      <c r="T389">
        <f>IFERROR(__xludf.DUMMYFUNCTION("""COMPUTED_VALUE"""),"1.00")</f>
        <v/>
      </c>
      <c r="U389">
        <f>IFERROR(__xludf.DUMMYFUNCTION("""COMPUTED_VALUE"""),"0.50")</f>
        <v/>
      </c>
      <c r="V389">
        <f>IFERROR(__xludf.DUMMYFUNCTION("""COMPUTED_VALUE"""),40.0)</f>
        <v/>
      </c>
      <c r="Z389">
        <f>IFERROR(__xludf.DUMMYFUNCTION("""COMPUTED_VALUE"""),"-")</f>
        <v/>
      </c>
      <c r="AB389">
        <f>IFERROR(__xludf.DUMMYFUNCTION("""COMPUTED_VALUE"""),"dageki_1")</f>
        <v/>
      </c>
    </row>
    <row r="390">
      <c r="B390">
        <f>IFERROR(__xludf.DUMMYFUNCTION("""COMPUTED_VALUE"""),"enemy_glo_00001")</f>
        <v/>
      </c>
      <c r="C390">
        <f>IFERROR(__xludf.DUMMYFUNCTION("""COMPUTED_VALUE"""),"_hut1_savage03_tank")</f>
        <v/>
      </c>
      <c r="D390">
        <f>IFERROR(__xludf.DUMMYFUNCTION("""COMPUTED_VALUE"""),"e_glo_00001_hut1_savage03_tank_Normal_Yellow")</f>
        <v/>
      </c>
      <c r="E390">
        <f>IFERROR(__xludf.DUMMYFUNCTION("""COMPUTED_VALUE"""),"GLOW")</f>
        <v/>
      </c>
      <c r="F390">
        <f>IFERROR(__xludf.DUMMYFUNCTION("""COMPUTED_VALUE"""),"ファントム")</f>
        <v/>
      </c>
      <c r="G390">
        <f>IFERROR(__xludf.DUMMYFUNCTION("""COMPUTED_VALUE"""),"ファントム_hut1_savage03_tank")</f>
        <v/>
      </c>
      <c r="H390">
        <f>IFERROR(__xludf.DUMMYFUNCTION("""COMPUTED_VALUE"""),"Normal")</f>
        <v/>
      </c>
      <c r="I390">
        <f>IFERROR(__xludf.DUMMYFUNCTION("""COMPUTED_VALUE"""),"Defense")</f>
        <v/>
      </c>
      <c r="J390">
        <f>IFERROR(__xludf.DUMMYFUNCTION("""COMPUTED_VALUE"""),"Yellow")</f>
        <v/>
      </c>
      <c r="K390">
        <f>IFERROR(__xludf.DUMMYFUNCTION("""COMPUTED_VALUE"""),100000.0)</f>
        <v/>
      </c>
      <c r="L390">
        <f>IFERROR(__xludf.DUMMYFUNCTION("""COMPUTED_VALUE"""),2.0)</f>
        <v/>
      </c>
      <c r="M390">
        <f>IFERROR(__xludf.DUMMYFUNCTION("""COMPUTED_VALUE"""),40.0)</f>
        <v/>
      </c>
      <c r="N390">
        <f>IFERROR(__xludf.DUMMYFUNCTION("""COMPUTED_VALUE"""),0.13)</f>
        <v/>
      </c>
      <c r="O390">
        <f>IFERROR(__xludf.DUMMYFUNCTION("""COMPUTED_VALUE"""),100.0)</f>
        <v/>
      </c>
      <c r="P390">
        <f>IFERROR(__xludf.DUMMYFUNCTION("""COMPUTED_VALUE"""),0.0)</f>
        <v/>
      </c>
      <c r="Q390">
        <f>IFERROR(__xludf.DUMMYFUNCTION("""COMPUTED_VALUE"""),0.14)</f>
        <v/>
      </c>
      <c r="R390">
        <f>IFERROR(__xludf.DUMMYFUNCTION("""COMPUTED_VALUE"""),1.0)</f>
        <v/>
      </c>
      <c r="S390">
        <f>IFERROR(__xludf.DUMMYFUNCTION("""COMPUTED_VALUE"""),50.0)</f>
        <v/>
      </c>
      <c r="T390">
        <f>IFERROR(__xludf.DUMMYFUNCTION("""COMPUTED_VALUE"""),"1.00")</f>
        <v/>
      </c>
      <c r="U390">
        <f>IFERROR(__xludf.DUMMYFUNCTION("""COMPUTED_VALUE"""),"0.50")</f>
        <v/>
      </c>
      <c r="V390">
        <f>IFERROR(__xludf.DUMMYFUNCTION("""COMPUTED_VALUE"""),80.0)</f>
        <v/>
      </c>
      <c r="Z390">
        <f>IFERROR(__xludf.DUMMYFUNCTION("""COMPUTED_VALUE"""),"-")</f>
        <v/>
      </c>
      <c r="AB390">
        <f>IFERROR(__xludf.DUMMYFUNCTION("""COMPUTED_VALUE"""),"dageki_1")</f>
        <v/>
      </c>
    </row>
    <row r="391">
      <c r="B391">
        <f>IFERROR(__xludf.DUMMYFUNCTION("""COMPUTED_VALUE"""),"chara_hut_00001")</f>
        <v/>
      </c>
      <c r="C391">
        <f>IFERROR(__xludf.DUMMYFUNCTION("""COMPUTED_VALUE"""),"_hut1_savage03")</f>
        <v/>
      </c>
      <c r="D391">
        <f>IFERROR(__xludf.DUMMYFUNCTION("""COMPUTED_VALUE"""),"c_hut_00001_hut1_savage03_Boss_Yellow")</f>
        <v/>
      </c>
      <c r="E391">
        <f>IFERROR(__xludf.DUMMYFUNCTION("""COMPUTED_VALUE"""),"ふつうの軽音部")</f>
        <v/>
      </c>
      <c r="F391">
        <f>IFERROR(__xludf.DUMMYFUNCTION("""COMPUTED_VALUE"""),"ひたむきギタリスト 鳩野 ちひろ")</f>
        <v/>
      </c>
      <c r="G391">
        <f>IFERROR(__xludf.DUMMYFUNCTION("""COMPUTED_VALUE"""),"鳩野 ちひろ_hut1_savage03")</f>
        <v/>
      </c>
      <c r="H391">
        <f>IFERROR(__xludf.DUMMYFUNCTION("""COMPUTED_VALUE"""),"Boss")</f>
        <v/>
      </c>
      <c r="I391">
        <f>IFERROR(__xludf.DUMMYFUNCTION("""COMPUTED_VALUE"""),"Defense")</f>
        <v/>
      </c>
      <c r="J391">
        <f>IFERROR(__xludf.DUMMYFUNCTION("""COMPUTED_VALUE"""),"Yellow")</f>
        <v/>
      </c>
      <c r="K391">
        <f>IFERROR(__xludf.DUMMYFUNCTION("""COMPUTED_VALUE"""),100000.0)</f>
        <v/>
      </c>
      <c r="L391">
        <f>IFERROR(__xludf.DUMMYFUNCTION("""COMPUTED_VALUE"""),1.0)</f>
        <v/>
      </c>
      <c r="M391">
        <f>IFERROR(__xludf.DUMMYFUNCTION("""COMPUTED_VALUE"""),35.0)</f>
        <v/>
      </c>
      <c r="N391">
        <f>IFERROR(__xludf.DUMMYFUNCTION("""COMPUTED_VALUE"""),0.15)</f>
        <v/>
      </c>
      <c r="O391">
        <f>IFERROR(__xludf.DUMMYFUNCTION("""COMPUTED_VALUE"""),500.0)</f>
        <v/>
      </c>
      <c r="P391">
        <f>IFERROR(__xludf.DUMMYFUNCTION("""COMPUTED_VALUE"""),0.0)</f>
        <v/>
      </c>
      <c r="Q391">
        <f>IFERROR(__xludf.DUMMYFUNCTION("""COMPUTED_VALUE"""),0.16)</f>
        <v/>
      </c>
      <c r="R391">
        <f>IFERROR(__xludf.DUMMYFUNCTION("""COMPUTED_VALUE"""),1.0)</f>
        <v/>
      </c>
      <c r="S391">
        <f>IFERROR(__xludf.DUMMYFUNCTION("""COMPUTED_VALUE"""),50.0)</f>
        <v/>
      </c>
      <c r="T391">
        <f>IFERROR(__xludf.DUMMYFUNCTION("""COMPUTED_VALUE"""),"1.47")</f>
        <v/>
      </c>
      <c r="U391">
        <f>IFERROR(__xludf.DUMMYFUNCTION("""COMPUTED_VALUE"""),"stop有 :1回目 0.15")</f>
        <v/>
      </c>
      <c r="V391">
        <f>IFERROR(__xludf.DUMMYFUNCTION("""COMPUTED_VALUE"""),50.0)</f>
        <v/>
      </c>
      <c r="W391">
        <f>IFERROR(__xludf.DUMMYFUNCTION("""COMPUTED_VALUE"""),"2.8")</f>
        <v/>
      </c>
      <c r="X391">
        <f>IFERROR(__xludf.DUMMYFUNCTION("""COMPUTED_VALUE"""),"stop有:1回目 0.87")</f>
        <v/>
      </c>
      <c r="Y391">
        <f>IFERROR(__xludf.DUMMYFUNCTION("""COMPUTED_VALUE"""),"範囲に100%ダメージ+15秒間、自身が受けるダメージ30%カット")</f>
        <v/>
      </c>
      <c r="Z391">
        <f>IFERROR(__xludf.DUMMYFUNCTION("""COMPUTED_VALUE"""),7.0)</f>
        <v/>
      </c>
      <c r="AA391">
        <f>IFERROR(__xludf.DUMMYFUNCTION("""COMPUTED_VALUE"""),"ノックバック無効")</f>
        <v/>
      </c>
      <c r="AB391">
        <f>IFERROR(__xludf.DUMMYFUNCTION("""COMPUTED_VALUE"""),"dageki_1")</f>
        <v/>
      </c>
    </row>
    <row r="392">
      <c r="B392">
        <f>IFERROR(__xludf.DUMMYFUNCTION("""COMPUTED_VALUE"""),"chara_hut_00101")</f>
        <v/>
      </c>
      <c r="C392">
        <f>IFERROR(__xludf.DUMMYFUNCTION("""COMPUTED_VALUE"""),"_hut1_savage03")</f>
        <v/>
      </c>
      <c r="D392">
        <f>IFERROR(__xludf.DUMMYFUNCTION("""COMPUTED_VALUE"""),"c_hut_00101_hut1_savage03_Boss_Yellow")</f>
        <v/>
      </c>
      <c r="E392">
        <f>IFERROR(__xludf.DUMMYFUNCTION("""COMPUTED_VALUE"""),"ふつうの軽音部")</f>
        <v/>
      </c>
      <c r="F392">
        <f>IFERROR(__xludf.DUMMYFUNCTION("""COMPUTED_VALUE"""),"幸山 厘")</f>
        <v/>
      </c>
      <c r="G392">
        <f>IFERROR(__xludf.DUMMYFUNCTION("""COMPUTED_VALUE"""),"幸山 厘_hut1_savage03")</f>
        <v/>
      </c>
      <c r="H392">
        <f>IFERROR(__xludf.DUMMYFUNCTION("""COMPUTED_VALUE"""),"Boss")</f>
        <v/>
      </c>
      <c r="I392">
        <f>IFERROR(__xludf.DUMMYFUNCTION("""COMPUTED_VALUE"""),"Support")</f>
        <v/>
      </c>
      <c r="J392">
        <f>IFERROR(__xludf.DUMMYFUNCTION("""COMPUTED_VALUE"""),"Yellow")</f>
        <v/>
      </c>
      <c r="K392">
        <f>IFERROR(__xludf.DUMMYFUNCTION("""COMPUTED_VALUE"""),50000.0)</f>
        <v/>
      </c>
      <c r="L392">
        <f>IFERROR(__xludf.DUMMYFUNCTION("""COMPUTED_VALUE"""),3.0)</f>
        <v/>
      </c>
      <c r="M392">
        <f>IFERROR(__xludf.DUMMYFUNCTION("""COMPUTED_VALUE"""),28.0)</f>
        <v/>
      </c>
      <c r="N392">
        <f>IFERROR(__xludf.DUMMYFUNCTION("""COMPUTED_VALUE"""),0.35)</f>
        <v/>
      </c>
      <c r="O392">
        <f>IFERROR(__xludf.DUMMYFUNCTION("""COMPUTED_VALUE"""),500.0)</f>
        <v/>
      </c>
      <c r="P392">
        <f>IFERROR(__xludf.DUMMYFUNCTION("""COMPUTED_VALUE"""),0.0)</f>
        <v/>
      </c>
      <c r="Q392">
        <f>IFERROR(__xludf.DUMMYFUNCTION("""COMPUTED_VALUE"""),0.36)</f>
        <v/>
      </c>
      <c r="R392">
        <f>IFERROR(__xludf.DUMMYFUNCTION("""COMPUTED_VALUE"""),1.0)</f>
        <v/>
      </c>
      <c r="S392">
        <f>IFERROR(__xludf.DUMMYFUNCTION("""COMPUTED_VALUE"""),50.0)</f>
        <v/>
      </c>
      <c r="T392">
        <f>IFERROR(__xludf.DUMMYFUNCTION("""COMPUTED_VALUE"""),"1.58")</f>
        <v/>
      </c>
      <c r="U392">
        <f>IFERROR(__xludf.DUMMYFUNCTION("""COMPUTED_VALUE"""),"stop有 :1回目 0.75")</f>
        <v/>
      </c>
      <c r="V392">
        <f>IFERROR(__xludf.DUMMYFUNCTION("""COMPUTED_VALUE"""),70.0)</f>
        <v/>
      </c>
      <c r="W392">
        <f>IFERROR(__xludf.DUMMYFUNCTION("""COMPUTED_VALUE"""),"2.58")</f>
        <v/>
      </c>
      <c r="X392">
        <f>IFERROR(__xludf.DUMMYFUNCTION("""COMPUTED_VALUE"""),"stop有:1回目 0.33
stop無:2回目 0.78
stop無:3回目 1.0
stop無:4回目 1.27
stop無:5回目 1.58")</f>
        <v/>
      </c>
      <c r="Y392">
        <f>IFERROR(__xludf.DUMMYFUNCTION("""COMPUTED_VALUE"""),"連続5回の範囲範囲に200%ダメージ+場面全体の敵キャラの攻撃10秒間、10%UP")</f>
        <v/>
      </c>
      <c r="Z392">
        <f>IFERROR(__xludf.DUMMYFUNCTION("""COMPUTED_VALUE"""),5.0)</f>
        <v/>
      </c>
      <c r="AB392">
        <f>IFERROR(__xludf.DUMMYFUNCTION("""COMPUTED_VALUE"""),"dageki_1")</f>
        <v/>
      </c>
    </row>
    <row r="393">
      <c r="B393">
        <f>IFERROR(__xludf.DUMMYFUNCTION("""COMPUTED_VALUE"""),"chara_hut_00201")</f>
        <v/>
      </c>
      <c r="C393">
        <f>IFERROR(__xludf.DUMMYFUNCTION("""COMPUTED_VALUE"""),"_hut1_savage03")</f>
        <v/>
      </c>
      <c r="D393">
        <f>IFERROR(__xludf.DUMMYFUNCTION("""COMPUTED_VALUE"""),"c_hut_00201_hut1_savage03_Boss_Yellow")</f>
        <v/>
      </c>
      <c r="E393">
        <f>IFERROR(__xludf.DUMMYFUNCTION("""COMPUTED_VALUE"""),"ふつうの軽音部")</f>
        <v/>
      </c>
      <c r="F393">
        <f>IFERROR(__xludf.DUMMYFUNCTION("""COMPUTED_VALUE"""),"内田 桃")</f>
        <v/>
      </c>
      <c r="G393">
        <f>IFERROR(__xludf.DUMMYFUNCTION("""COMPUTED_VALUE"""),"内田 桃_hut1_savage03")</f>
        <v/>
      </c>
      <c r="H393">
        <f>IFERROR(__xludf.DUMMYFUNCTION("""COMPUTED_VALUE"""),"Boss")</f>
        <v/>
      </c>
      <c r="I393">
        <f>IFERROR(__xludf.DUMMYFUNCTION("""COMPUTED_VALUE"""),"Technical")</f>
        <v/>
      </c>
      <c r="J393">
        <f>IFERROR(__xludf.DUMMYFUNCTION("""COMPUTED_VALUE"""),"Yellow")</f>
        <v/>
      </c>
      <c r="K393">
        <f>IFERROR(__xludf.DUMMYFUNCTION("""COMPUTED_VALUE"""),50000.0)</f>
        <v/>
      </c>
      <c r="L393">
        <f>IFERROR(__xludf.DUMMYFUNCTION("""COMPUTED_VALUE"""),2.0)</f>
        <v/>
      </c>
      <c r="M393">
        <f>IFERROR(__xludf.DUMMYFUNCTION("""COMPUTED_VALUE"""),24.0)</f>
        <v/>
      </c>
      <c r="N393">
        <f>IFERROR(__xludf.DUMMYFUNCTION("""COMPUTED_VALUE"""),0.5)</f>
        <v/>
      </c>
      <c r="O393">
        <f>IFERROR(__xludf.DUMMYFUNCTION("""COMPUTED_VALUE"""),500.0)</f>
        <v/>
      </c>
      <c r="P393">
        <f>IFERROR(__xludf.DUMMYFUNCTION("""COMPUTED_VALUE"""),0.0)</f>
        <v/>
      </c>
      <c r="Q393">
        <f>IFERROR(__xludf.DUMMYFUNCTION("""COMPUTED_VALUE"""),0.51)</f>
        <v/>
      </c>
      <c r="R393">
        <f>IFERROR(__xludf.DUMMYFUNCTION("""COMPUTED_VALUE"""),1.0)</f>
        <v/>
      </c>
      <c r="S393">
        <f>IFERROR(__xludf.DUMMYFUNCTION("""COMPUTED_VALUE"""),50.0)</f>
        <v/>
      </c>
      <c r="T393">
        <f>IFERROR(__xludf.DUMMYFUNCTION("""COMPUTED_VALUE"""),"1.2")</f>
        <v/>
      </c>
      <c r="U393">
        <f>IFERROR(__xludf.DUMMYFUNCTION("""COMPUTED_VALUE"""),"stop有 :1回目 0.34")</f>
        <v/>
      </c>
      <c r="V393">
        <f>IFERROR(__xludf.DUMMYFUNCTION("""COMPUTED_VALUE"""),75.0)</f>
        <v/>
      </c>
      <c r="W393">
        <f>IFERROR(__xludf.DUMMYFUNCTION("""COMPUTED_VALUE"""),"2.84")</f>
        <v/>
      </c>
      <c r="X393">
        <f>IFERROR(__xludf.DUMMYFUNCTION("""COMPUTED_VALUE"""),"stop無:1回目 1.1
stop無:2回目 1.44
stop有:3回目 1.97")</f>
        <v/>
      </c>
      <c r="Y393">
        <f>IFERROR(__xludf.DUMMYFUNCTION("""COMPUTED_VALUE"""),"連続3回の範囲に120%ダメージ+最後の攻撃がヒットした場合、5秒間スタン状態にする")</f>
        <v/>
      </c>
      <c r="Z393">
        <f>IFERROR(__xludf.DUMMYFUNCTION("""COMPUTED_VALUE"""),6.0)</f>
        <v/>
      </c>
      <c r="AB393">
        <f>IFERROR(__xludf.DUMMYFUNCTION("""COMPUTED_VALUE"""),"dageki_1")</f>
        <v/>
      </c>
    </row>
    <row r="394">
      <c r="B394">
        <f>IFERROR(__xludf.DUMMYFUNCTION("""COMPUTED_VALUE"""),"chara_hut_00301")</f>
        <v/>
      </c>
      <c r="C394">
        <f>IFERROR(__xludf.DUMMYFUNCTION("""COMPUTED_VALUE"""),"_hut1_savage03")</f>
        <v/>
      </c>
      <c r="D394">
        <f>IFERROR(__xludf.DUMMYFUNCTION("""COMPUTED_VALUE"""),"c_hut_00301_hut1_savage03_Boss_Yellow")</f>
        <v/>
      </c>
      <c r="E394">
        <f>IFERROR(__xludf.DUMMYFUNCTION("""COMPUTED_VALUE"""),"ふつうの軽音部")</f>
        <v/>
      </c>
      <c r="F394">
        <f>IFERROR(__xludf.DUMMYFUNCTION("""COMPUTED_VALUE"""),"藤井 彩目")</f>
        <v/>
      </c>
      <c r="G394">
        <f>IFERROR(__xludf.DUMMYFUNCTION("""COMPUTED_VALUE"""),"藤井 彩目_hut1_savage03")</f>
        <v/>
      </c>
      <c r="H394">
        <f>IFERROR(__xludf.DUMMYFUNCTION("""COMPUTED_VALUE"""),"Boss")</f>
        <v/>
      </c>
      <c r="I394">
        <f>IFERROR(__xludf.DUMMYFUNCTION("""COMPUTED_VALUE"""),"Attack")</f>
        <v/>
      </c>
      <c r="J394">
        <f>IFERROR(__xludf.DUMMYFUNCTION("""COMPUTED_VALUE"""),"Yellow")</f>
        <v/>
      </c>
      <c r="K394">
        <f>IFERROR(__xludf.DUMMYFUNCTION("""COMPUTED_VALUE"""),50000.0)</f>
        <v/>
      </c>
      <c r="L394">
        <f>IFERROR(__xludf.DUMMYFUNCTION("""COMPUTED_VALUE"""),3.0)</f>
        <v/>
      </c>
      <c r="M394">
        <f>IFERROR(__xludf.DUMMYFUNCTION("""COMPUTED_VALUE"""),30.0)</f>
        <v/>
      </c>
      <c r="N394">
        <f>IFERROR(__xludf.DUMMYFUNCTION("""COMPUTED_VALUE"""),0.38)</f>
        <v/>
      </c>
      <c r="O394">
        <f>IFERROR(__xludf.DUMMYFUNCTION("""COMPUTED_VALUE"""),500.0)</f>
        <v/>
      </c>
      <c r="P394">
        <f>IFERROR(__xludf.DUMMYFUNCTION("""COMPUTED_VALUE"""),0.0)</f>
        <v/>
      </c>
      <c r="Q394">
        <f>IFERROR(__xludf.DUMMYFUNCTION("""COMPUTED_VALUE"""),0.39)</f>
        <v/>
      </c>
      <c r="R394">
        <f>IFERROR(__xludf.DUMMYFUNCTION("""COMPUTED_VALUE"""),1.0)</f>
        <v/>
      </c>
      <c r="S394">
        <f>IFERROR(__xludf.DUMMYFUNCTION("""COMPUTED_VALUE"""),50.0)</f>
        <v/>
      </c>
      <c r="T394">
        <f>IFERROR(__xludf.DUMMYFUNCTION("""COMPUTED_VALUE"""),"1.33")</f>
        <v/>
      </c>
      <c r="U394">
        <f>IFERROR(__xludf.DUMMYFUNCTION("""COMPUTED_VALUE"""),"stop有 :1回目 0.33")</f>
        <v/>
      </c>
      <c r="V394">
        <f>IFERROR(__xludf.DUMMYFUNCTION("""COMPUTED_VALUE"""),65.0)</f>
        <v/>
      </c>
      <c r="W394">
        <f>IFERROR(__xludf.DUMMYFUNCTION("""COMPUTED_VALUE"""),"2.42")</f>
        <v/>
      </c>
      <c r="X394">
        <f>IFERROR(__xludf.DUMMYFUNCTION("""COMPUTED_VALUE"""),"stop無:1回目 0.3
stop無:2回目 0.61
stop無:3回目 0.93
stop無:4回目 1.25
stop有:5回目 1.6")</f>
        <v/>
      </c>
      <c r="Y394">
        <f>IFERROR(__xludf.DUMMYFUNCTION("""COMPUTED_VALUE"""),"連続5回の範囲範囲に300%ダメージ")</f>
        <v/>
      </c>
      <c r="Z394">
        <f>IFERROR(__xludf.DUMMYFUNCTION("""COMPUTED_VALUE"""),7.0)</f>
        <v/>
      </c>
      <c r="AB394">
        <f>IFERROR(__xludf.DUMMYFUNCTION("""COMPUTED_VALUE"""),"dageki_1")</f>
        <v/>
      </c>
    </row>
    <row r="395">
      <c r="D395">
        <f>IFERROR(__xludf.DUMMYFUNCTION("""COMPUTED_VALUE"""),"___")</f>
        <v/>
      </c>
      <c r="E395">
        <f>IFERROR(__xludf.DUMMYFUNCTION("""COMPUTED_VALUE"""),"none")</f>
        <v/>
      </c>
      <c r="F395">
        <f>IFERROR(__xludf.DUMMYFUNCTION("""COMPUTED_VALUE"""),"none")</f>
        <v/>
      </c>
      <c r="G395">
        <f>IFERROR(__xludf.DUMMYFUNCTION("""COMPUTED_VALUE"""),"none")</f>
        <v/>
      </c>
      <c r="I395">
        <f>IFERROR(__xludf.DUMMYFUNCTION("""COMPUTED_VALUE"""),"none")</f>
        <v/>
      </c>
      <c r="T395">
        <f>IFERROR(__xludf.DUMMYFUNCTION("""COMPUTED_VALUE"""),"none")</f>
        <v/>
      </c>
      <c r="U395">
        <f>IFERROR(__xludf.DUMMYFUNCTION("""COMPUTED_VALUE"""),"none")</f>
        <v/>
      </c>
      <c r="W395">
        <f>IFERROR(__xludf.DUMMYFUNCTION("""COMPUTED_VALUE"""),"none")</f>
        <v/>
      </c>
      <c r="X395">
        <f>IFERROR(__xludf.DUMMYFUNCTION("""COMPUTED_VALUE"""),"none")</f>
        <v/>
      </c>
      <c r="Z395">
        <f>IFERROR(__xludf.DUMMYFUNCTION("""COMPUTED_VALUE"""),"-")</f>
        <v/>
      </c>
      <c r="AB395">
        <f>IFERROR(__xludf.DUMMYFUNCTION("""COMPUTED_VALUE"""),"none")</f>
        <v/>
      </c>
    </row>
    <row r="396">
      <c r="B396">
        <f>IFERROR(__xludf.DUMMYFUNCTION("""COMPUTED_VALUE"""),"chara_ara_00001")</f>
        <v/>
      </c>
      <c r="C396">
        <f>IFERROR(__xludf.DUMMYFUNCTION("""COMPUTED_VALUE"""),"_glo2_charaget01")</f>
        <v/>
      </c>
      <c r="D396">
        <f>IFERROR(__xludf.DUMMYFUNCTION("""COMPUTED_VALUE"""),"c_ara_00001_glo2_charaget01_Normal_Yellow")</f>
        <v/>
      </c>
      <c r="E396">
        <f>IFERROR(__xludf.DUMMYFUNCTION("""COMPUTED_VALUE"""),"アラガネの子")</f>
        <v/>
      </c>
      <c r="F396">
        <f>IFERROR(__xludf.DUMMYFUNCTION("""COMPUTED_VALUE"""),"灰")</f>
        <v/>
      </c>
      <c r="G396">
        <f>IFERROR(__xludf.DUMMYFUNCTION("""COMPUTED_VALUE"""),"灰（アラガネの子）_glo2_charaget01")</f>
        <v/>
      </c>
      <c r="H396">
        <f>IFERROR(__xludf.DUMMYFUNCTION("""COMPUTED_VALUE"""),"Normal")</f>
        <v/>
      </c>
      <c r="I396">
        <f>IFERROR(__xludf.DUMMYFUNCTION("""COMPUTED_VALUE"""),"Attack")</f>
        <v/>
      </c>
      <c r="J396">
        <f>IFERROR(__xludf.DUMMYFUNCTION("""COMPUTED_VALUE"""),"Yellow")</f>
        <v/>
      </c>
      <c r="K396">
        <f>IFERROR(__xludf.DUMMYFUNCTION("""COMPUTED_VALUE"""),10000.0)</f>
        <v/>
      </c>
      <c r="L396">
        <f>IFERROR(__xludf.DUMMYFUNCTION("""COMPUTED_VALUE"""),2.0)</f>
        <v/>
      </c>
      <c r="M396">
        <f>IFERROR(__xludf.DUMMYFUNCTION("""COMPUTED_VALUE"""),34.0)</f>
        <v/>
      </c>
      <c r="N396">
        <f>IFERROR(__xludf.DUMMYFUNCTION("""COMPUTED_VALUE"""),0.41)</f>
        <v/>
      </c>
      <c r="O396">
        <f>IFERROR(__xludf.DUMMYFUNCTION("""COMPUTED_VALUE"""),100.0)</f>
        <v/>
      </c>
      <c r="P396">
        <f>IFERROR(__xludf.DUMMYFUNCTION("""COMPUTED_VALUE"""),0.0)</f>
        <v/>
      </c>
      <c r="Q396">
        <f>IFERROR(__xludf.DUMMYFUNCTION("""COMPUTED_VALUE"""),0.42)</f>
        <v/>
      </c>
      <c r="R396">
        <f>IFERROR(__xludf.DUMMYFUNCTION("""COMPUTED_VALUE"""),1.0)</f>
        <v/>
      </c>
      <c r="S396">
        <f>IFERROR(__xludf.DUMMYFUNCTION("""COMPUTED_VALUE"""),200.0)</f>
        <v/>
      </c>
      <c r="T396">
        <f>IFERROR(__xludf.DUMMYFUNCTION("""COMPUTED_VALUE"""),"1.37")</f>
        <v/>
      </c>
      <c r="U396">
        <f>IFERROR(__xludf.DUMMYFUNCTION("""COMPUTED_VALUE"""),"stop有 :1回目 0.3")</f>
        <v/>
      </c>
      <c r="V396">
        <f>IFERROR(__xludf.DUMMYFUNCTION("""COMPUTED_VALUE"""),50.0)</f>
        <v/>
      </c>
      <c r="W396">
        <f>IFERROR(__xludf.DUMMYFUNCTION("""COMPUTED_VALUE"""),"2.67")</f>
        <v/>
      </c>
      <c r="X396">
        <f>IFERROR(__xludf.DUMMYFUNCTION("""COMPUTED_VALUE"""),"stop有 : 0.7")</f>
        <v/>
      </c>
      <c r="Y396">
        <f>IFERROR(__xludf.DUMMYFUNCTION("""COMPUTED_VALUE"""),"範囲に100%ダメージ+10秒間、自身が受けるダメージ10%カット")</f>
        <v/>
      </c>
      <c r="Z396">
        <f>IFERROR(__xludf.DUMMYFUNCTION("""COMPUTED_VALUE"""),5.0)</f>
        <v/>
      </c>
      <c r="AB396">
        <f>IFERROR(__xludf.DUMMYFUNCTION("""COMPUTED_VALUE"""),"zangeki_1")</f>
        <v/>
      </c>
    </row>
    <row r="397">
      <c r="B397">
        <f>IFERROR(__xludf.DUMMYFUNCTION("""COMPUTED_VALUE"""),"chara_ara_00001")</f>
        <v/>
      </c>
      <c r="C397">
        <f>IFERROR(__xludf.DUMMYFUNCTION("""COMPUTED_VALUE"""),"_glo2_charaget01")</f>
        <v/>
      </c>
      <c r="D397">
        <f>IFERROR(__xludf.DUMMYFUNCTION("""COMPUTED_VALUE"""),"c_ara_00001_glo2_charaget01_Boss_Yellow")</f>
        <v/>
      </c>
      <c r="E397">
        <f>IFERROR(__xludf.DUMMYFUNCTION("""COMPUTED_VALUE"""),"アラガネの子")</f>
        <v/>
      </c>
      <c r="F397">
        <f>IFERROR(__xludf.DUMMYFUNCTION("""COMPUTED_VALUE"""),"灰")</f>
        <v/>
      </c>
      <c r="G397">
        <f>IFERROR(__xludf.DUMMYFUNCTION("""COMPUTED_VALUE"""),"灰（アラガネの子）_glo2_charaget01")</f>
        <v/>
      </c>
      <c r="H397">
        <f>IFERROR(__xludf.DUMMYFUNCTION("""COMPUTED_VALUE"""),"Boss")</f>
        <v/>
      </c>
      <c r="I397">
        <f>IFERROR(__xludf.DUMMYFUNCTION("""COMPUTED_VALUE"""),"Attack")</f>
        <v/>
      </c>
      <c r="J397">
        <f>IFERROR(__xludf.DUMMYFUNCTION("""COMPUTED_VALUE"""),"Yellow")</f>
        <v/>
      </c>
      <c r="K397">
        <f>IFERROR(__xludf.DUMMYFUNCTION("""COMPUTED_VALUE"""),10000.0)</f>
        <v/>
      </c>
      <c r="L397">
        <f>IFERROR(__xludf.DUMMYFUNCTION("""COMPUTED_VALUE"""),2.0)</f>
        <v/>
      </c>
      <c r="M397">
        <f>IFERROR(__xludf.DUMMYFUNCTION("""COMPUTED_VALUE"""),34.0)</f>
        <v/>
      </c>
      <c r="N397">
        <f>IFERROR(__xludf.DUMMYFUNCTION("""COMPUTED_VALUE"""),0.41)</f>
        <v/>
      </c>
      <c r="O397">
        <f>IFERROR(__xludf.DUMMYFUNCTION("""COMPUTED_VALUE"""),100.0)</f>
        <v/>
      </c>
      <c r="P397">
        <f>IFERROR(__xludf.DUMMYFUNCTION("""COMPUTED_VALUE"""),0.0)</f>
        <v/>
      </c>
      <c r="Q397">
        <f>IFERROR(__xludf.DUMMYFUNCTION("""COMPUTED_VALUE"""),0.42)</f>
        <v/>
      </c>
      <c r="R397">
        <f>IFERROR(__xludf.DUMMYFUNCTION("""COMPUTED_VALUE"""),1.0)</f>
        <v/>
      </c>
      <c r="S397">
        <f>IFERROR(__xludf.DUMMYFUNCTION("""COMPUTED_VALUE"""),200.0)</f>
        <v/>
      </c>
      <c r="T397">
        <f>IFERROR(__xludf.DUMMYFUNCTION("""COMPUTED_VALUE"""),"1.37")</f>
        <v/>
      </c>
      <c r="U397">
        <f>IFERROR(__xludf.DUMMYFUNCTION("""COMPUTED_VALUE"""),"stop有 :1回目 0.3")</f>
        <v/>
      </c>
      <c r="V397">
        <f>IFERROR(__xludf.DUMMYFUNCTION("""COMPUTED_VALUE"""),50.0)</f>
        <v/>
      </c>
      <c r="W397">
        <f>IFERROR(__xludf.DUMMYFUNCTION("""COMPUTED_VALUE"""),"2.67")</f>
        <v/>
      </c>
      <c r="X397">
        <f>IFERROR(__xludf.DUMMYFUNCTION("""COMPUTED_VALUE"""),"stop有 : 0.7")</f>
        <v/>
      </c>
      <c r="Y397">
        <f>IFERROR(__xludf.DUMMYFUNCTION("""COMPUTED_VALUE"""),"範囲に100%ダメージ+10秒間、自身が受けるダメージ10%カット")</f>
        <v/>
      </c>
      <c r="Z397">
        <f>IFERROR(__xludf.DUMMYFUNCTION("""COMPUTED_VALUE"""),5.0)</f>
        <v/>
      </c>
      <c r="AB397">
        <f>IFERROR(__xludf.DUMMYFUNCTION("""COMPUTED_VALUE"""),"zangeki_1")</f>
        <v/>
      </c>
    </row>
    <row r="398">
      <c r="B398">
        <f>IFERROR(__xludf.DUMMYFUNCTION("""COMPUTED_VALUE"""),"enemy_glo_00001")</f>
        <v/>
      </c>
      <c r="C398">
        <f>IFERROR(__xludf.DUMMYFUNCTION("""COMPUTED_VALUE"""),"_glo2_charaget01")</f>
        <v/>
      </c>
      <c r="D398">
        <f>IFERROR(__xludf.DUMMYFUNCTION("""COMPUTED_VALUE"""),"e_glo_00001_glo2_charaget01_Normal_Yellow")</f>
        <v/>
      </c>
      <c r="E398">
        <f>IFERROR(__xludf.DUMMYFUNCTION("""COMPUTED_VALUE"""),"GLOW")</f>
        <v/>
      </c>
      <c r="F398">
        <f>IFERROR(__xludf.DUMMYFUNCTION("""COMPUTED_VALUE"""),"ファントム")</f>
        <v/>
      </c>
      <c r="G398">
        <f>IFERROR(__xludf.DUMMYFUNCTION("""COMPUTED_VALUE"""),"ファントム_glo2_charaget01")</f>
        <v/>
      </c>
      <c r="H398">
        <f>IFERROR(__xludf.DUMMYFUNCTION("""COMPUTED_VALUE"""),"Normal")</f>
        <v/>
      </c>
      <c r="I398">
        <f>IFERROR(__xludf.DUMMYFUNCTION("""COMPUTED_VALUE"""),"Attack")</f>
        <v/>
      </c>
      <c r="J398">
        <f>IFERROR(__xludf.DUMMYFUNCTION("""COMPUTED_VALUE"""),"Yellow")</f>
        <v/>
      </c>
      <c r="K398">
        <f>IFERROR(__xludf.DUMMYFUNCTION("""COMPUTED_VALUE"""),1000.0)</f>
        <v/>
      </c>
      <c r="L398">
        <f>IFERROR(__xludf.DUMMYFUNCTION("""COMPUTED_VALUE"""),3.0)</f>
        <v/>
      </c>
      <c r="M398">
        <f>IFERROR(__xludf.DUMMYFUNCTION("""COMPUTED_VALUE"""),40.0)</f>
        <v/>
      </c>
      <c r="N398">
        <f>IFERROR(__xludf.DUMMYFUNCTION("""COMPUTED_VALUE"""),0.2)</f>
        <v/>
      </c>
      <c r="O398">
        <f>IFERROR(__xludf.DUMMYFUNCTION("""COMPUTED_VALUE"""),100.0)</f>
        <v/>
      </c>
      <c r="P398">
        <f>IFERROR(__xludf.DUMMYFUNCTION("""COMPUTED_VALUE"""),0.0)</f>
        <v/>
      </c>
      <c r="Q398">
        <f>IFERROR(__xludf.DUMMYFUNCTION("""COMPUTED_VALUE"""),0.21)</f>
        <v/>
      </c>
      <c r="R398">
        <f>IFERROR(__xludf.DUMMYFUNCTION("""COMPUTED_VALUE"""),1.0)</f>
        <v/>
      </c>
      <c r="S398">
        <f>IFERROR(__xludf.DUMMYFUNCTION("""COMPUTED_VALUE"""),50.0)</f>
        <v/>
      </c>
      <c r="T398">
        <f>IFERROR(__xludf.DUMMYFUNCTION("""COMPUTED_VALUE"""),"1.00")</f>
        <v/>
      </c>
      <c r="U398">
        <f>IFERROR(__xludf.DUMMYFUNCTION("""COMPUTED_VALUE"""),"0.50")</f>
        <v/>
      </c>
      <c r="V398">
        <f>IFERROR(__xludf.DUMMYFUNCTION("""COMPUTED_VALUE"""),30.0)</f>
        <v/>
      </c>
      <c r="Z398">
        <f>IFERROR(__xludf.DUMMYFUNCTION("""COMPUTED_VALUE"""),"-")</f>
        <v/>
      </c>
      <c r="AB398">
        <f>IFERROR(__xludf.DUMMYFUNCTION("""COMPUTED_VALUE"""),"dageki_1")</f>
        <v/>
      </c>
    </row>
    <row r="399">
      <c r="B399">
        <f>IFERROR(__xludf.DUMMYFUNCTION("""COMPUTED_VALUE"""),"chara_sur_00901")</f>
        <v/>
      </c>
      <c r="C399">
        <f>IFERROR(__xludf.DUMMYFUNCTION("""COMPUTED_VALUE"""),"_glo2_1d1c")</f>
        <v/>
      </c>
      <c r="D399">
        <f>IFERROR(__xludf.DUMMYFUNCTION("""COMPUTED_VALUE"""),"c_sur_00901_glo2_1d1c_Normal_Colorless")</f>
        <v/>
      </c>
      <c r="E399">
        <f>IFERROR(__xludf.DUMMYFUNCTION("""COMPUTED_VALUE"""),"魔都精兵のスレイブ")</f>
        <v/>
      </c>
      <c r="F399">
        <f>IFERROR(__xludf.DUMMYFUNCTION("""COMPUTED_VALUE"""),"万物を統べる総組長 山城 恋")</f>
        <v/>
      </c>
      <c r="G399">
        <f>IFERROR(__xludf.DUMMYFUNCTION("""COMPUTED_VALUE"""),"山城 恋_glo2_1d1c")</f>
        <v/>
      </c>
      <c r="H399">
        <f>IFERROR(__xludf.DUMMYFUNCTION("""COMPUTED_VALUE"""),"Normal")</f>
        <v/>
      </c>
      <c r="I399">
        <f>IFERROR(__xludf.DUMMYFUNCTION("""COMPUTED_VALUE"""),"Attack")</f>
        <v/>
      </c>
      <c r="J399">
        <f>IFERROR(__xludf.DUMMYFUNCTION("""COMPUTED_VALUE"""),"Colorless")</f>
        <v/>
      </c>
      <c r="K399">
        <f>IFERROR(__xludf.DUMMYFUNCTION("""COMPUTED_VALUE"""),10000.0)</f>
        <v/>
      </c>
      <c r="L399">
        <f>IFERROR(__xludf.DUMMYFUNCTION("""COMPUTED_VALUE"""),1.0)</f>
        <v/>
      </c>
      <c r="M399">
        <f>IFERROR(__xludf.DUMMYFUNCTION("""COMPUTED_VALUE"""),30.0)</f>
        <v/>
      </c>
      <c r="N399">
        <f>IFERROR(__xludf.DUMMYFUNCTION("""COMPUTED_VALUE"""),0.39)</f>
        <v/>
      </c>
      <c r="O399">
        <f>IFERROR(__xludf.DUMMYFUNCTION("""COMPUTED_VALUE"""),300.0)</f>
        <v/>
      </c>
      <c r="P399">
        <f>IFERROR(__xludf.DUMMYFUNCTION("""COMPUTED_VALUE"""),0.0)</f>
        <v/>
      </c>
      <c r="Q399">
        <f>IFERROR(__xludf.DUMMYFUNCTION("""COMPUTED_VALUE"""),0.18)</f>
        <v/>
      </c>
      <c r="R399">
        <f>IFERROR(__xludf.DUMMYFUNCTION("""COMPUTED_VALUE"""),1.0)</f>
        <v/>
      </c>
      <c r="S399">
        <f>IFERROR(__xludf.DUMMYFUNCTION("""COMPUTED_VALUE"""),500.0)</f>
        <v/>
      </c>
      <c r="T399">
        <f>IFERROR(__xludf.DUMMYFUNCTION("""COMPUTED_VALUE"""),"1.17")</f>
        <v/>
      </c>
      <c r="U399">
        <f>IFERROR(__xludf.DUMMYFUNCTION("""COMPUTED_VALUE"""),"stop有 : 0.43")</f>
        <v/>
      </c>
      <c r="V399">
        <f>IFERROR(__xludf.DUMMYFUNCTION("""COMPUTED_VALUE"""),100.0)</f>
        <v/>
      </c>
      <c r="W399">
        <f>IFERROR(__xludf.DUMMYFUNCTION("""COMPUTED_VALUE"""),"2.92")</f>
        <v/>
      </c>
      <c r="X399">
        <f>IFERROR(__xludf.DUMMYFUNCTION("""COMPUTED_VALUE"""),"stop有 : 1.31")</f>
        <v/>
      </c>
      <c r="Z399">
        <f>IFERROR(__xludf.DUMMYFUNCTION("""COMPUTED_VALUE"""),"-")</f>
        <v/>
      </c>
    </row>
    <row r="400">
      <c r="B400">
        <f>IFERROR(__xludf.DUMMYFUNCTION("""COMPUTED_VALUE"""),"chara_kai_00102")</f>
        <v/>
      </c>
      <c r="C400">
        <f>IFERROR(__xludf.DUMMYFUNCTION("""COMPUTED_VALUE"""),"_glo2_1d1c")</f>
        <v/>
      </c>
      <c r="D400">
        <f>IFERROR(__xludf.DUMMYFUNCTION("""COMPUTED_VALUE"""),"c_kai_00102_glo2_1d1c_Normal_Colorless")</f>
        <v/>
      </c>
      <c r="E400">
        <f>IFERROR(__xludf.DUMMYFUNCTION("""COMPUTED_VALUE"""),"怪獣８号")</f>
        <v/>
      </c>
      <c r="F400">
        <f>IFERROR(__xludf.DUMMYFUNCTION("""COMPUTED_VALUE"""),"識別怪獣兵器6 市川 レノ")</f>
        <v/>
      </c>
      <c r="G400">
        <f>IFERROR(__xludf.DUMMYFUNCTION("""COMPUTED_VALUE"""),"識別怪獣兵器6 市川 レノ_glo2_1d1c")</f>
        <v/>
      </c>
      <c r="H400">
        <f>IFERROR(__xludf.DUMMYFUNCTION("""COMPUTED_VALUE"""),"Normal")</f>
        <v/>
      </c>
      <c r="I400">
        <f>IFERROR(__xludf.DUMMYFUNCTION("""COMPUTED_VALUE"""),"Technical")</f>
        <v/>
      </c>
      <c r="J400">
        <f>IFERROR(__xludf.DUMMYFUNCTION("""COMPUTED_VALUE"""),"Colorless")</f>
        <v/>
      </c>
      <c r="K400">
        <f>IFERROR(__xludf.DUMMYFUNCTION("""COMPUTED_VALUE"""),10000.0)</f>
        <v/>
      </c>
      <c r="L400">
        <f>IFERROR(__xludf.DUMMYFUNCTION("""COMPUTED_VALUE"""),1.0)</f>
        <v/>
      </c>
      <c r="M400">
        <f>IFERROR(__xludf.DUMMYFUNCTION("""COMPUTED_VALUE"""),30.0)</f>
        <v/>
      </c>
      <c r="N400">
        <f>IFERROR(__xludf.DUMMYFUNCTION("""COMPUTED_VALUE"""),0.61)</f>
        <v/>
      </c>
      <c r="O400">
        <f>IFERROR(__xludf.DUMMYFUNCTION("""COMPUTED_VALUE"""),300.0)</f>
        <v/>
      </c>
      <c r="P400">
        <f>IFERROR(__xludf.DUMMYFUNCTION("""COMPUTED_VALUE"""),0.0)</f>
        <v/>
      </c>
      <c r="Q400">
        <f>IFERROR(__xludf.DUMMYFUNCTION("""COMPUTED_VALUE"""),0.18)</f>
        <v/>
      </c>
      <c r="R400">
        <f>IFERROR(__xludf.DUMMYFUNCTION("""COMPUTED_VALUE"""),1.0)</f>
        <v/>
      </c>
      <c r="S400">
        <f>IFERROR(__xludf.DUMMYFUNCTION("""COMPUTED_VALUE"""),500.0)</f>
        <v/>
      </c>
      <c r="T400">
        <f>IFERROR(__xludf.DUMMYFUNCTION("""COMPUTED_VALUE"""),"1.77")</f>
        <v/>
      </c>
      <c r="U400">
        <f>IFERROR(__xludf.DUMMYFUNCTION("""COMPUTED_VALUE"""),"stop無:1回目 0.5
stop無:2回目 0.58
stop有:3回目 0.63")</f>
        <v/>
      </c>
      <c r="V400">
        <f>IFERROR(__xludf.DUMMYFUNCTION("""COMPUTED_VALUE"""),100.0)</f>
        <v/>
      </c>
    </row>
    <row r="401">
      <c r="B401">
        <f>IFERROR(__xludf.DUMMYFUNCTION("""COMPUTED_VALUE"""),"chara_gam_00001")</f>
        <v/>
      </c>
      <c r="C401">
        <f>IFERROR(__xludf.DUMMYFUNCTION("""COMPUTED_VALUE"""),"_glo2_1d1c")</f>
        <v/>
      </c>
      <c r="D401">
        <f>IFERROR(__xludf.DUMMYFUNCTION("""COMPUTED_VALUE"""),"c_gam_00001_glo2_1d1c_Normal_Colorless")</f>
        <v/>
      </c>
      <c r="E401">
        <f>IFERROR(__xludf.DUMMYFUNCTION("""COMPUTED_VALUE"""),"ゲーミングお嬢様")</f>
        <v/>
      </c>
      <c r="F401">
        <f>IFERROR(__xludf.DUMMYFUNCTION("""COMPUTED_VALUE"""),"祥龍院 隆子")</f>
        <v/>
      </c>
      <c r="G401">
        <f>IFERROR(__xludf.DUMMYFUNCTION("""COMPUTED_VALUE"""),"祥龍院隆子_glo2_1d1c")</f>
        <v/>
      </c>
      <c r="H401">
        <f>IFERROR(__xludf.DUMMYFUNCTION("""COMPUTED_VALUE"""),"Normal")</f>
        <v/>
      </c>
      <c r="I401">
        <f>IFERROR(__xludf.DUMMYFUNCTION("""COMPUTED_VALUE"""),"Attack")</f>
        <v/>
      </c>
      <c r="J401">
        <f>IFERROR(__xludf.DUMMYFUNCTION("""COMPUTED_VALUE"""),"Colorless")</f>
        <v/>
      </c>
      <c r="K401">
        <f>IFERROR(__xludf.DUMMYFUNCTION("""COMPUTED_VALUE"""),10000.0)</f>
        <v/>
      </c>
      <c r="L401">
        <f>IFERROR(__xludf.DUMMYFUNCTION("""COMPUTED_VALUE"""),1.0)</f>
        <v/>
      </c>
      <c r="M401">
        <f>IFERROR(__xludf.DUMMYFUNCTION("""COMPUTED_VALUE"""),30.0)</f>
        <v/>
      </c>
      <c r="N401">
        <f>IFERROR(__xludf.DUMMYFUNCTION("""COMPUTED_VALUE"""),0.27)</f>
        <v/>
      </c>
      <c r="O401">
        <f>IFERROR(__xludf.DUMMYFUNCTION("""COMPUTED_VALUE"""),300.0)</f>
        <v/>
      </c>
      <c r="P401">
        <f>IFERROR(__xludf.DUMMYFUNCTION("""COMPUTED_VALUE"""),0.0)</f>
        <v/>
      </c>
      <c r="Q401">
        <f>IFERROR(__xludf.DUMMYFUNCTION("""COMPUTED_VALUE"""),0.18)</f>
        <v/>
      </c>
      <c r="R401">
        <f>IFERROR(__xludf.DUMMYFUNCTION("""COMPUTED_VALUE"""),1.0)</f>
        <v/>
      </c>
      <c r="S401">
        <f>IFERROR(__xludf.DUMMYFUNCTION("""COMPUTED_VALUE"""),500.0)</f>
        <v/>
      </c>
      <c r="T401">
        <f>IFERROR(__xludf.DUMMYFUNCTION("""COMPUTED_VALUE"""),"1.08")</f>
        <v/>
      </c>
      <c r="U401">
        <f>IFERROR(__xludf.DUMMYFUNCTION("""COMPUTED_VALUE"""),"stop有 : 0.55")</f>
        <v/>
      </c>
      <c r="V401">
        <f>IFERROR(__xludf.DUMMYFUNCTION("""COMPUTED_VALUE"""),100.0)</f>
        <v/>
      </c>
    </row>
    <row r="402">
      <c r="B402">
        <f>IFERROR(__xludf.DUMMYFUNCTION("""COMPUTED_VALUE"""),"chara_hyp_00001")</f>
        <v/>
      </c>
      <c r="C402">
        <f>IFERROR(__xludf.DUMMYFUNCTION("""COMPUTED_VALUE"""),"_glo2_1d1c")</f>
        <v/>
      </c>
      <c r="D402">
        <f>IFERROR(__xludf.DUMMYFUNCTION("""COMPUTED_VALUE"""),"c_hyp_00001_glo2_1d1c_Normal_Colorless")</f>
        <v/>
      </c>
      <c r="E402">
        <f>IFERROR(__xludf.DUMMYFUNCTION("""COMPUTED_VALUE"""),"ハイパーインフレーション")</f>
        <v/>
      </c>
      <c r="F402">
        <f>IFERROR(__xludf.DUMMYFUNCTION("""COMPUTED_VALUE"""),"ルーク")</f>
        <v/>
      </c>
      <c r="G402">
        <f>IFERROR(__xludf.DUMMYFUNCTION("""COMPUTED_VALUE"""),"ルーク_glo2_1d1c")</f>
        <v/>
      </c>
      <c r="H402">
        <f>IFERROR(__xludf.DUMMYFUNCTION("""COMPUTED_VALUE"""),"Normal")</f>
        <v/>
      </c>
      <c r="I402">
        <f>IFERROR(__xludf.DUMMYFUNCTION("""COMPUTED_VALUE"""),"Support")</f>
        <v/>
      </c>
      <c r="J402">
        <f>IFERROR(__xludf.DUMMYFUNCTION("""COMPUTED_VALUE"""),"Colorless")</f>
        <v/>
      </c>
      <c r="K402">
        <f>IFERROR(__xludf.DUMMYFUNCTION("""COMPUTED_VALUE"""),10000.0)</f>
        <v/>
      </c>
      <c r="L402">
        <f>IFERROR(__xludf.DUMMYFUNCTION("""COMPUTED_VALUE"""),1.0)</f>
        <v/>
      </c>
      <c r="M402">
        <f>IFERROR(__xludf.DUMMYFUNCTION("""COMPUTED_VALUE"""),30.0)</f>
        <v/>
      </c>
      <c r="N402">
        <f>IFERROR(__xludf.DUMMYFUNCTION("""COMPUTED_VALUE"""),0.21)</f>
        <v/>
      </c>
      <c r="O402">
        <f>IFERROR(__xludf.DUMMYFUNCTION("""COMPUTED_VALUE"""),300.0)</f>
        <v/>
      </c>
      <c r="P402">
        <f>IFERROR(__xludf.DUMMYFUNCTION("""COMPUTED_VALUE"""),0.0)</f>
        <v/>
      </c>
      <c r="Q402">
        <f>IFERROR(__xludf.DUMMYFUNCTION("""COMPUTED_VALUE"""),0.18)</f>
        <v/>
      </c>
      <c r="R402">
        <f>IFERROR(__xludf.DUMMYFUNCTION("""COMPUTED_VALUE"""),1.0)</f>
        <v/>
      </c>
      <c r="S402">
        <f>IFERROR(__xludf.DUMMYFUNCTION("""COMPUTED_VALUE"""),500.0)</f>
        <v/>
      </c>
      <c r="T402">
        <f>IFERROR(__xludf.DUMMYFUNCTION("""COMPUTED_VALUE"""),"1.57")</f>
        <v/>
      </c>
      <c r="U402">
        <f>IFERROR(__xludf.DUMMYFUNCTION("""COMPUTED_VALUE"""),"stop有 :1回目 0.45")</f>
        <v/>
      </c>
      <c r="V402">
        <f>IFERROR(__xludf.DUMMYFUNCTION("""COMPUTED_VALUE"""),100.0)</f>
        <v/>
      </c>
    </row>
    <row r="403">
      <c r="B403">
        <f>IFERROR(__xludf.DUMMYFUNCTION("""COMPUTED_VALUE"""),"chara_ara_00001")</f>
        <v/>
      </c>
      <c r="C403">
        <f>IFERROR(__xludf.DUMMYFUNCTION("""COMPUTED_VALUE"""),"_glo2_1d1c")</f>
        <v/>
      </c>
      <c r="D403">
        <f>IFERROR(__xludf.DUMMYFUNCTION("""COMPUTED_VALUE"""),"c_ara_00001_glo2_1d1c_Normal_Colorless")</f>
        <v/>
      </c>
      <c r="E403">
        <f>IFERROR(__xludf.DUMMYFUNCTION("""COMPUTED_VALUE"""),"アラガネの子")</f>
        <v/>
      </c>
      <c r="F403">
        <f>IFERROR(__xludf.DUMMYFUNCTION("""COMPUTED_VALUE"""),"灰")</f>
        <v/>
      </c>
      <c r="G403">
        <f>IFERROR(__xludf.DUMMYFUNCTION("""COMPUTED_VALUE"""),"灰（アラガネの子）_glo2_1d1c")</f>
        <v/>
      </c>
      <c r="H403">
        <f>IFERROR(__xludf.DUMMYFUNCTION("""COMPUTED_VALUE"""),"Normal")</f>
        <v/>
      </c>
      <c r="I403">
        <f>IFERROR(__xludf.DUMMYFUNCTION("""COMPUTED_VALUE"""),"Attack")</f>
        <v/>
      </c>
      <c r="J403">
        <f>IFERROR(__xludf.DUMMYFUNCTION("""COMPUTED_VALUE"""),"Colorless")</f>
        <v/>
      </c>
      <c r="K403">
        <f>IFERROR(__xludf.DUMMYFUNCTION("""COMPUTED_VALUE"""),10000.0)</f>
        <v/>
      </c>
      <c r="L403">
        <f>IFERROR(__xludf.DUMMYFUNCTION("""COMPUTED_VALUE"""),1.0)</f>
        <v/>
      </c>
      <c r="M403">
        <f>IFERROR(__xludf.DUMMYFUNCTION("""COMPUTED_VALUE"""),30.0)</f>
        <v/>
      </c>
      <c r="N403">
        <f>IFERROR(__xludf.DUMMYFUNCTION("""COMPUTED_VALUE"""),0.41)</f>
        <v/>
      </c>
      <c r="O403">
        <f>IFERROR(__xludf.DUMMYFUNCTION("""COMPUTED_VALUE"""),300.0)</f>
        <v/>
      </c>
      <c r="P403">
        <f>IFERROR(__xludf.DUMMYFUNCTION("""COMPUTED_VALUE"""),0.0)</f>
        <v/>
      </c>
      <c r="Q403">
        <f>IFERROR(__xludf.DUMMYFUNCTION("""COMPUTED_VALUE"""),0.18)</f>
        <v/>
      </c>
      <c r="R403">
        <f>IFERROR(__xludf.DUMMYFUNCTION("""COMPUTED_VALUE"""),1.0)</f>
        <v/>
      </c>
      <c r="S403">
        <f>IFERROR(__xludf.DUMMYFUNCTION("""COMPUTED_VALUE"""),500.0)</f>
        <v/>
      </c>
      <c r="T403">
        <f>IFERROR(__xludf.DUMMYFUNCTION("""COMPUTED_VALUE"""),"1.37")</f>
        <v/>
      </c>
      <c r="U403">
        <f>IFERROR(__xludf.DUMMYFUNCTION("""COMPUTED_VALUE"""),"stop有 :1回目 0.3")</f>
        <v/>
      </c>
      <c r="V403">
        <f>IFERROR(__xludf.DUMMYFUNCTION("""COMPUTED_VALUE"""),100.0)</f>
        <v/>
      </c>
    </row>
    <row r="404">
      <c r="B404">
        <f>IFERROR(__xludf.DUMMYFUNCTION("""COMPUTED_VALUE"""),"chara_hyp_00001")</f>
        <v/>
      </c>
      <c r="C404">
        <f>IFERROR(__xludf.DUMMYFUNCTION("""COMPUTED_VALUE"""),"_glo2_charaget02")</f>
        <v/>
      </c>
      <c r="D404">
        <f>IFERROR(__xludf.DUMMYFUNCTION("""COMPUTED_VALUE"""),"c_hyp_00001_glo2_charaget02_Boss_Blue")</f>
        <v/>
      </c>
      <c r="E404">
        <f>IFERROR(__xludf.DUMMYFUNCTION("""COMPUTED_VALUE"""),"ハイパーインフレーション")</f>
        <v/>
      </c>
      <c r="F404">
        <f>IFERROR(__xludf.DUMMYFUNCTION("""COMPUTED_VALUE"""),"ルーク")</f>
        <v/>
      </c>
      <c r="G404">
        <f>IFERROR(__xludf.DUMMYFUNCTION("""COMPUTED_VALUE"""),"ルーク_glo2_charaget02")</f>
        <v/>
      </c>
      <c r="H404">
        <f>IFERROR(__xludf.DUMMYFUNCTION("""COMPUTED_VALUE"""),"Boss")</f>
        <v/>
      </c>
      <c r="I404">
        <f>IFERROR(__xludf.DUMMYFUNCTION("""COMPUTED_VALUE"""),"Support")</f>
        <v/>
      </c>
      <c r="J404">
        <f>IFERROR(__xludf.DUMMYFUNCTION("""COMPUTED_VALUE"""),"Blue")</f>
        <v/>
      </c>
      <c r="K404">
        <f>IFERROR(__xludf.DUMMYFUNCTION("""COMPUTED_VALUE"""),10000.0)</f>
        <v/>
      </c>
      <c r="L404">
        <f>IFERROR(__xludf.DUMMYFUNCTION("""COMPUTED_VALUE"""),2.0)</f>
        <v/>
      </c>
      <c r="M404">
        <f>IFERROR(__xludf.DUMMYFUNCTION("""COMPUTED_VALUE"""),35.0)</f>
        <v/>
      </c>
      <c r="N404">
        <f>IFERROR(__xludf.DUMMYFUNCTION("""COMPUTED_VALUE"""),0.21)</f>
        <v/>
      </c>
      <c r="O404">
        <f>IFERROR(__xludf.DUMMYFUNCTION("""COMPUTED_VALUE"""),100.0)</f>
        <v/>
      </c>
      <c r="P404">
        <f>IFERROR(__xludf.DUMMYFUNCTION("""COMPUTED_VALUE"""),0.0)</f>
        <v/>
      </c>
      <c r="Q404">
        <f>IFERROR(__xludf.DUMMYFUNCTION("""COMPUTED_VALUE"""),0.33)</f>
        <v/>
      </c>
      <c r="R404">
        <f>IFERROR(__xludf.DUMMYFUNCTION("""COMPUTED_VALUE"""),1.0)</f>
        <v/>
      </c>
      <c r="S404">
        <f>IFERROR(__xludf.DUMMYFUNCTION("""COMPUTED_VALUE"""),200.0)</f>
        <v/>
      </c>
      <c r="T404">
        <f>IFERROR(__xludf.DUMMYFUNCTION("""COMPUTED_VALUE"""),"1.57")</f>
        <v/>
      </c>
      <c r="U404">
        <f>IFERROR(__xludf.DUMMYFUNCTION("""COMPUTED_VALUE"""),"stop有 :1回目 0.45")</f>
        <v/>
      </c>
      <c r="V404">
        <f>IFERROR(__xludf.DUMMYFUNCTION("""COMPUTED_VALUE"""),100.0)</f>
        <v/>
      </c>
      <c r="W404">
        <f>IFERROR(__xludf.DUMMYFUNCTION("""COMPUTED_VALUE"""),"2.45")</f>
        <v/>
      </c>
      <c r="X404">
        <f>IFERROR(__xludf.DUMMYFUNCTION("""COMPUTED_VALUE"""),"stop無:1回目 0.85")</f>
        <v/>
      </c>
      <c r="Y404">
        <f>IFERROR(__xludf.DUMMYFUNCTION("""COMPUTED_VALUE"""),"味方の攻撃20%Up")</f>
        <v/>
      </c>
      <c r="Z404">
        <f>IFERROR(__xludf.DUMMYFUNCTION("""COMPUTED_VALUE"""),4.0)</f>
        <v/>
      </c>
      <c r="AB404">
        <f>IFERROR(__xludf.DUMMYFUNCTION("""COMPUTED_VALUE"""),"dageki_1")</f>
        <v/>
      </c>
    </row>
    <row r="405">
      <c r="B405">
        <f>IFERROR(__xludf.DUMMYFUNCTION("""COMPUTED_VALUE"""),"chara_hyp_00001")</f>
        <v/>
      </c>
      <c r="C405">
        <f>IFERROR(__xludf.DUMMYFUNCTION("""COMPUTED_VALUE"""),"_glo2_charaget02")</f>
        <v/>
      </c>
      <c r="D405">
        <f>IFERROR(__xludf.DUMMYFUNCTION("""COMPUTED_VALUE"""),"c_hyp_00001_glo2_charaget02_Boss_Red")</f>
        <v/>
      </c>
      <c r="E405">
        <f>IFERROR(__xludf.DUMMYFUNCTION("""COMPUTED_VALUE"""),"ハイパーインフレーション")</f>
        <v/>
      </c>
      <c r="F405">
        <f>IFERROR(__xludf.DUMMYFUNCTION("""COMPUTED_VALUE"""),"ルーク")</f>
        <v/>
      </c>
      <c r="G405">
        <f>IFERROR(__xludf.DUMMYFUNCTION("""COMPUTED_VALUE"""),"ルーク_glo2_charaget02")</f>
        <v/>
      </c>
      <c r="H405">
        <f>IFERROR(__xludf.DUMMYFUNCTION("""COMPUTED_VALUE"""),"Boss")</f>
        <v/>
      </c>
      <c r="I405">
        <f>IFERROR(__xludf.DUMMYFUNCTION("""COMPUTED_VALUE"""),"Support")</f>
        <v/>
      </c>
      <c r="J405">
        <f>IFERROR(__xludf.DUMMYFUNCTION("""COMPUTED_VALUE"""),"Red")</f>
        <v/>
      </c>
      <c r="K405">
        <f>IFERROR(__xludf.DUMMYFUNCTION("""COMPUTED_VALUE"""),10000.0)</f>
        <v/>
      </c>
      <c r="L405">
        <f>IFERROR(__xludf.DUMMYFUNCTION("""COMPUTED_VALUE"""),2.0)</f>
        <v/>
      </c>
      <c r="M405">
        <f>IFERROR(__xludf.DUMMYFUNCTION("""COMPUTED_VALUE"""),35.0)</f>
        <v/>
      </c>
      <c r="N405">
        <f>IFERROR(__xludf.DUMMYFUNCTION("""COMPUTED_VALUE"""),0.21)</f>
        <v/>
      </c>
      <c r="O405">
        <f>IFERROR(__xludf.DUMMYFUNCTION("""COMPUTED_VALUE"""),100.0)</f>
        <v/>
      </c>
      <c r="P405">
        <f>IFERROR(__xludf.DUMMYFUNCTION("""COMPUTED_VALUE"""),0.0)</f>
        <v/>
      </c>
      <c r="Q405">
        <f>IFERROR(__xludf.DUMMYFUNCTION("""COMPUTED_VALUE"""),0.33)</f>
        <v/>
      </c>
      <c r="R405">
        <f>IFERROR(__xludf.DUMMYFUNCTION("""COMPUTED_VALUE"""),1.0)</f>
        <v/>
      </c>
      <c r="S405">
        <f>IFERROR(__xludf.DUMMYFUNCTION("""COMPUTED_VALUE"""),200.0)</f>
        <v/>
      </c>
      <c r="T405">
        <f>IFERROR(__xludf.DUMMYFUNCTION("""COMPUTED_VALUE"""),"1.57")</f>
        <v/>
      </c>
      <c r="U405">
        <f>IFERROR(__xludf.DUMMYFUNCTION("""COMPUTED_VALUE"""),"stop有 :1回目 0.45")</f>
        <v/>
      </c>
      <c r="V405">
        <f>IFERROR(__xludf.DUMMYFUNCTION("""COMPUTED_VALUE"""),100.0)</f>
        <v/>
      </c>
      <c r="W405">
        <f>IFERROR(__xludf.DUMMYFUNCTION("""COMPUTED_VALUE"""),"2.45")</f>
        <v/>
      </c>
      <c r="X405">
        <f>IFERROR(__xludf.DUMMYFUNCTION("""COMPUTED_VALUE"""),"stop無:1回目 0.85")</f>
        <v/>
      </c>
      <c r="Y405">
        <f>IFERROR(__xludf.DUMMYFUNCTION("""COMPUTED_VALUE"""),"味方の攻撃20%Up")</f>
        <v/>
      </c>
      <c r="Z405">
        <f>IFERROR(__xludf.DUMMYFUNCTION("""COMPUTED_VALUE"""),4.0)</f>
        <v/>
      </c>
      <c r="AB405">
        <f>IFERROR(__xludf.DUMMYFUNCTION("""COMPUTED_VALUE"""),"dageki_1")</f>
        <v/>
      </c>
    </row>
    <row r="406">
      <c r="B406">
        <f>IFERROR(__xludf.DUMMYFUNCTION("""COMPUTED_VALUE"""),"enemy_glo_00001")</f>
        <v/>
      </c>
      <c r="C406">
        <f>IFERROR(__xludf.DUMMYFUNCTION("""COMPUTED_VALUE"""),"_glo2_charaget02")</f>
        <v/>
      </c>
      <c r="D406">
        <f>IFERROR(__xludf.DUMMYFUNCTION("""COMPUTED_VALUE"""),"e_glo_00001_glo2_charaget02_Normal_Colorless")</f>
        <v/>
      </c>
      <c r="E406">
        <f>IFERROR(__xludf.DUMMYFUNCTION("""COMPUTED_VALUE"""),"GLOW")</f>
        <v/>
      </c>
      <c r="F406">
        <f>IFERROR(__xludf.DUMMYFUNCTION("""COMPUTED_VALUE"""),"ファントム")</f>
        <v/>
      </c>
      <c r="G406">
        <f>IFERROR(__xludf.DUMMYFUNCTION("""COMPUTED_VALUE"""),"ファントム_glo2_charaget02")</f>
        <v/>
      </c>
      <c r="H406">
        <f>IFERROR(__xludf.DUMMYFUNCTION("""COMPUTED_VALUE"""),"Normal")</f>
        <v/>
      </c>
      <c r="I406">
        <f>IFERROR(__xludf.DUMMYFUNCTION("""COMPUTED_VALUE"""),"Attack")</f>
        <v/>
      </c>
      <c r="J406">
        <f>IFERROR(__xludf.DUMMYFUNCTION("""COMPUTED_VALUE"""),"Colorless")</f>
        <v/>
      </c>
      <c r="K406">
        <f>IFERROR(__xludf.DUMMYFUNCTION("""COMPUTED_VALUE"""),1000.0)</f>
        <v/>
      </c>
      <c r="L406">
        <f>IFERROR(__xludf.DUMMYFUNCTION("""COMPUTED_VALUE"""),2.0)</f>
        <v/>
      </c>
      <c r="M406">
        <f>IFERROR(__xludf.DUMMYFUNCTION("""COMPUTED_VALUE"""),34.0)</f>
        <v/>
      </c>
      <c r="N406">
        <f>IFERROR(__xludf.DUMMYFUNCTION("""COMPUTED_VALUE"""),0.21)</f>
        <v/>
      </c>
      <c r="O406">
        <f>IFERROR(__xludf.DUMMYFUNCTION("""COMPUTED_VALUE"""),100.0)</f>
        <v/>
      </c>
      <c r="P406">
        <f>IFERROR(__xludf.DUMMYFUNCTION("""COMPUTED_VALUE"""),0.0)</f>
        <v/>
      </c>
      <c r="Q406">
        <f>IFERROR(__xludf.DUMMYFUNCTION("""COMPUTED_VALUE"""),0.22)</f>
        <v/>
      </c>
      <c r="R406">
        <f>IFERROR(__xludf.DUMMYFUNCTION("""COMPUTED_VALUE"""),1.0)</f>
        <v/>
      </c>
      <c r="S406">
        <f>IFERROR(__xludf.DUMMYFUNCTION("""COMPUTED_VALUE"""),100.0)</f>
        <v/>
      </c>
      <c r="T406">
        <f>IFERROR(__xludf.DUMMYFUNCTION("""COMPUTED_VALUE"""),"1.00")</f>
        <v/>
      </c>
      <c r="U406">
        <f>IFERROR(__xludf.DUMMYFUNCTION("""COMPUTED_VALUE"""),"0.50")</f>
        <v/>
      </c>
      <c r="Z406">
        <f>IFERROR(__xludf.DUMMYFUNCTION("""COMPUTED_VALUE"""),"-")</f>
        <v/>
      </c>
      <c r="AB406">
        <f>IFERROR(__xludf.DUMMYFUNCTION("""COMPUTED_VALUE"""),"dageki_1")</f>
        <v/>
      </c>
    </row>
    <row r="407">
      <c r="B407">
        <f>IFERROR(__xludf.DUMMYFUNCTION("""COMPUTED_VALUE"""),"chara_gam_00001")</f>
        <v/>
      </c>
      <c r="C407">
        <f>IFERROR(__xludf.DUMMYFUNCTION("""COMPUTED_VALUE"""),"_glo2_challenge")</f>
        <v/>
      </c>
      <c r="D407">
        <f>IFERROR(__xludf.DUMMYFUNCTION("""COMPUTED_VALUE"""),"c_gam_00001_glo2_challenge_Boss_Blue")</f>
        <v/>
      </c>
      <c r="E407">
        <f>IFERROR(__xludf.DUMMYFUNCTION("""COMPUTED_VALUE"""),"ゲーミングお嬢様")</f>
        <v/>
      </c>
      <c r="F407">
        <f>IFERROR(__xludf.DUMMYFUNCTION("""COMPUTED_VALUE"""),"祥龍院 隆子")</f>
        <v/>
      </c>
      <c r="G407">
        <f>IFERROR(__xludf.DUMMYFUNCTION("""COMPUTED_VALUE"""),"祥龍院隆子_glo2_challenge")</f>
        <v/>
      </c>
      <c r="H407">
        <f>IFERROR(__xludf.DUMMYFUNCTION("""COMPUTED_VALUE"""),"Boss")</f>
        <v/>
      </c>
      <c r="I407">
        <f>IFERROR(__xludf.DUMMYFUNCTION("""COMPUTED_VALUE"""),"Attack")</f>
        <v/>
      </c>
      <c r="J407">
        <f>IFERROR(__xludf.DUMMYFUNCTION("""COMPUTED_VALUE"""),"Blue")</f>
        <v/>
      </c>
      <c r="K407">
        <f>IFERROR(__xludf.DUMMYFUNCTION("""COMPUTED_VALUE"""),10000.0)</f>
        <v/>
      </c>
      <c r="L407">
        <f>IFERROR(__xludf.DUMMYFUNCTION("""COMPUTED_VALUE"""),2.0)</f>
        <v/>
      </c>
      <c r="M407">
        <f>IFERROR(__xludf.DUMMYFUNCTION("""COMPUTED_VALUE"""),25.0)</f>
        <v/>
      </c>
      <c r="N407">
        <f>IFERROR(__xludf.DUMMYFUNCTION("""COMPUTED_VALUE"""),0.27)</f>
        <v/>
      </c>
      <c r="O407">
        <f>IFERROR(__xludf.DUMMYFUNCTION("""COMPUTED_VALUE"""),100.0)</f>
        <v/>
      </c>
      <c r="P407">
        <f>IFERROR(__xludf.DUMMYFUNCTION("""COMPUTED_VALUE"""),0.0)</f>
        <v/>
      </c>
      <c r="Q407">
        <f>IFERROR(__xludf.DUMMYFUNCTION("""COMPUTED_VALUE"""),0.28)</f>
        <v/>
      </c>
      <c r="R407">
        <f>IFERROR(__xludf.DUMMYFUNCTION("""COMPUTED_VALUE"""),1.0)</f>
        <v/>
      </c>
      <c r="S407">
        <f>IFERROR(__xludf.DUMMYFUNCTION("""COMPUTED_VALUE"""),300.0)</f>
        <v/>
      </c>
      <c r="T407">
        <f>IFERROR(__xludf.DUMMYFUNCTION("""COMPUTED_VALUE"""),"1.08")</f>
        <v/>
      </c>
      <c r="U407">
        <f>IFERROR(__xludf.DUMMYFUNCTION("""COMPUTED_VALUE"""),"stop有 : 0.55")</f>
        <v/>
      </c>
      <c r="V407">
        <f>IFERROR(__xludf.DUMMYFUNCTION("""COMPUTED_VALUE"""),40.0)</f>
        <v/>
      </c>
      <c r="W407">
        <f>IFERROR(__xludf.DUMMYFUNCTION("""COMPUTED_VALUE"""),"3.45")</f>
        <v/>
      </c>
      <c r="X407">
        <f>IFERROR(__xludf.DUMMYFUNCTION("""COMPUTED_VALUE"""),"stop有 : 0.73")</f>
        <v/>
      </c>
      <c r="Y407">
        <f>IFERROR(__xludf.DUMMYFUNCTION("""COMPUTED_VALUE"""),"自身の攻撃50%Up")</f>
        <v/>
      </c>
      <c r="Z407">
        <f>IFERROR(__xludf.DUMMYFUNCTION("""COMPUTED_VALUE"""),7.0)</f>
        <v/>
      </c>
      <c r="AB407">
        <f>IFERROR(__xludf.DUMMYFUNCTION("""COMPUTED_VALUE"""),"dageki_1")</f>
        <v/>
      </c>
    </row>
    <row r="408">
      <c r="B408">
        <f>IFERROR(__xludf.DUMMYFUNCTION("""COMPUTED_VALUE"""),"enemy_glo_00001")</f>
        <v/>
      </c>
      <c r="C408">
        <f>IFERROR(__xludf.DUMMYFUNCTION("""COMPUTED_VALUE"""),"_glo2_challenge")</f>
        <v/>
      </c>
      <c r="D408">
        <f>IFERROR(__xludf.DUMMYFUNCTION("""COMPUTED_VALUE"""),"e_glo_00001_glo2_challenge_Normal_Blue")</f>
        <v/>
      </c>
      <c r="E408">
        <f>IFERROR(__xludf.DUMMYFUNCTION("""COMPUTED_VALUE"""),"GLOW")</f>
        <v/>
      </c>
      <c r="F408">
        <f>IFERROR(__xludf.DUMMYFUNCTION("""COMPUTED_VALUE"""),"ファントム")</f>
        <v/>
      </c>
      <c r="G408">
        <f>IFERROR(__xludf.DUMMYFUNCTION("""COMPUTED_VALUE"""),"ファントム_glo2_challenge")</f>
        <v/>
      </c>
      <c r="H408">
        <f>IFERROR(__xludf.DUMMYFUNCTION("""COMPUTED_VALUE"""),"Normal")</f>
        <v/>
      </c>
      <c r="I408">
        <f>IFERROR(__xludf.DUMMYFUNCTION("""COMPUTED_VALUE"""),"Attack")</f>
        <v/>
      </c>
      <c r="J408">
        <f>IFERROR(__xludf.DUMMYFUNCTION("""COMPUTED_VALUE"""),"Blue")</f>
        <v/>
      </c>
      <c r="K408">
        <f>IFERROR(__xludf.DUMMYFUNCTION("""COMPUTED_VALUE"""),1000.0)</f>
        <v/>
      </c>
      <c r="L408">
        <f>IFERROR(__xludf.DUMMYFUNCTION("""COMPUTED_VALUE"""),3.0)</f>
        <v/>
      </c>
      <c r="M408">
        <f>IFERROR(__xludf.DUMMYFUNCTION("""COMPUTED_VALUE"""),40.0)</f>
        <v/>
      </c>
      <c r="N408">
        <f>IFERROR(__xludf.DUMMYFUNCTION("""COMPUTED_VALUE"""),0.2)</f>
        <v/>
      </c>
      <c r="O408">
        <f>IFERROR(__xludf.DUMMYFUNCTION("""COMPUTED_VALUE"""),100.0)</f>
        <v/>
      </c>
      <c r="P408">
        <f>IFERROR(__xludf.DUMMYFUNCTION("""COMPUTED_VALUE"""),0.0)</f>
        <v/>
      </c>
      <c r="Q408">
        <f>IFERROR(__xludf.DUMMYFUNCTION("""COMPUTED_VALUE"""),0.21)</f>
        <v/>
      </c>
      <c r="R408">
        <f>IFERROR(__xludf.DUMMYFUNCTION("""COMPUTED_VALUE"""),1.0)</f>
        <v/>
      </c>
      <c r="S408">
        <f>IFERROR(__xludf.DUMMYFUNCTION("""COMPUTED_VALUE"""),50.0)</f>
        <v/>
      </c>
      <c r="T408">
        <f>IFERROR(__xludf.DUMMYFUNCTION("""COMPUTED_VALUE"""),"1.00")</f>
        <v/>
      </c>
      <c r="U408">
        <f>IFERROR(__xludf.DUMMYFUNCTION("""COMPUTED_VALUE"""),"0.50")</f>
        <v/>
      </c>
      <c r="V408">
        <f>IFERROR(__xludf.DUMMYFUNCTION("""COMPUTED_VALUE"""),30.0)</f>
        <v/>
      </c>
      <c r="Z408">
        <f>IFERROR(__xludf.DUMMYFUNCTION("""COMPUTED_VALUE"""),"-")</f>
        <v/>
      </c>
      <c r="AB408">
        <f>IFERROR(__xludf.DUMMYFUNCTION("""COMPUTED_VALUE"""),"dageki_1")</f>
        <v/>
      </c>
    </row>
    <row r="409">
      <c r="B409">
        <f>IFERROR(__xludf.DUMMYFUNCTION("""COMPUTED_VALUE"""),"enemy_glo_00101")</f>
        <v/>
      </c>
      <c r="C409">
        <f>IFERROR(__xludf.DUMMYFUNCTION("""COMPUTED_VALUE"""),"_glo2_challenge")</f>
        <v/>
      </c>
      <c r="D409">
        <f>IFERROR(__xludf.DUMMYFUNCTION("""COMPUTED_VALUE"""),"e_glo_00101_glo2_challenge_Boss_Blue")</f>
        <v/>
      </c>
      <c r="E409">
        <f>IFERROR(__xludf.DUMMYFUNCTION("""COMPUTED_VALUE"""),"GLOW")</f>
        <v/>
      </c>
      <c r="F409">
        <f>IFERROR(__xludf.DUMMYFUNCTION("""COMPUTED_VALUE"""),"ボスファントム")</f>
        <v/>
      </c>
      <c r="G409">
        <f>IFERROR(__xludf.DUMMYFUNCTION("""COMPUTED_VALUE"""),"中ボスエネミー_glo2_challenge")</f>
        <v/>
      </c>
      <c r="H409">
        <f>IFERROR(__xludf.DUMMYFUNCTION("""COMPUTED_VALUE"""),"Boss")</f>
        <v/>
      </c>
      <c r="I409">
        <f>IFERROR(__xludf.DUMMYFUNCTION("""COMPUTED_VALUE"""),"Attack")</f>
        <v/>
      </c>
      <c r="J409">
        <f>IFERROR(__xludf.DUMMYFUNCTION("""COMPUTED_VALUE"""),"Blue")</f>
        <v/>
      </c>
      <c r="K409">
        <f>IFERROR(__xludf.DUMMYFUNCTION("""COMPUTED_VALUE"""),10000.0)</f>
        <v/>
      </c>
      <c r="L409">
        <f>IFERROR(__xludf.DUMMYFUNCTION("""COMPUTED_VALUE"""),2.0)</f>
        <v/>
      </c>
      <c r="M409">
        <f>IFERROR(__xludf.DUMMYFUNCTION("""COMPUTED_VALUE"""),55.0)</f>
        <v/>
      </c>
      <c r="N409">
        <f>IFERROR(__xludf.DUMMYFUNCTION("""COMPUTED_VALUE"""),0.28)</f>
        <v/>
      </c>
      <c r="O409">
        <f>IFERROR(__xludf.DUMMYFUNCTION("""COMPUTED_VALUE"""),100.0)</f>
        <v/>
      </c>
      <c r="P409">
        <f>IFERROR(__xludf.DUMMYFUNCTION("""COMPUTED_VALUE"""),0.0)</f>
        <v/>
      </c>
      <c r="Q409">
        <f>IFERROR(__xludf.DUMMYFUNCTION("""COMPUTED_VALUE"""),0.3)</f>
        <v/>
      </c>
      <c r="R409">
        <f>IFERROR(__xludf.DUMMYFUNCTION("""COMPUTED_VALUE"""),100.0)</f>
        <v/>
      </c>
      <c r="S409">
        <f>IFERROR(__xludf.DUMMYFUNCTION("""COMPUTED_VALUE"""),10.0)</f>
        <v/>
      </c>
      <c r="T409">
        <f>IFERROR(__xludf.DUMMYFUNCTION("""COMPUTED_VALUE"""),"1.17")</f>
        <v/>
      </c>
      <c r="U409">
        <f>IFERROR(__xludf.DUMMYFUNCTION("""COMPUTED_VALUE"""),"stop有:1回目 0.56")</f>
        <v/>
      </c>
      <c r="V409">
        <f>IFERROR(__xludf.DUMMYFUNCTION("""COMPUTED_VALUE"""),200.0)</f>
        <v/>
      </c>
      <c r="W409">
        <f>IFERROR(__xludf.DUMMYFUNCTION("""COMPUTED_VALUE"""),"-")</f>
        <v/>
      </c>
      <c r="X409">
        <f>IFERROR(__xludf.DUMMYFUNCTION("""COMPUTED_VALUE"""),"-")</f>
        <v/>
      </c>
      <c r="Z409">
        <f>IFERROR(__xludf.DUMMYFUNCTION("""COMPUTED_VALUE"""),"-")</f>
        <v/>
      </c>
    </row>
    <row r="410">
      <c r="B410">
        <f>IFERROR(__xludf.DUMMYFUNCTION("""COMPUTED_VALUE"""),"chara_gam_00001")</f>
        <v/>
      </c>
      <c r="C410">
        <f>IFERROR(__xludf.DUMMYFUNCTION("""COMPUTED_VALUE"""),"_glo2_challenge")</f>
        <v/>
      </c>
      <c r="D410">
        <f>IFERROR(__xludf.DUMMYFUNCTION("""COMPUTED_VALUE"""),"c_gam_00001_glo2_challenge_Boss_Yellow")</f>
        <v/>
      </c>
      <c r="E410">
        <f>IFERROR(__xludf.DUMMYFUNCTION("""COMPUTED_VALUE"""),"ゲーミングお嬢様")</f>
        <v/>
      </c>
      <c r="F410">
        <f>IFERROR(__xludf.DUMMYFUNCTION("""COMPUTED_VALUE"""),"祥龍院 隆子")</f>
        <v/>
      </c>
      <c r="G410">
        <f>IFERROR(__xludf.DUMMYFUNCTION("""COMPUTED_VALUE"""),"祥龍院隆子_glo2_challenge")</f>
        <v/>
      </c>
      <c r="H410">
        <f>IFERROR(__xludf.DUMMYFUNCTION("""COMPUTED_VALUE"""),"Boss")</f>
        <v/>
      </c>
      <c r="I410">
        <f>IFERROR(__xludf.DUMMYFUNCTION("""COMPUTED_VALUE"""),"Attack")</f>
        <v/>
      </c>
      <c r="J410">
        <f>IFERROR(__xludf.DUMMYFUNCTION("""COMPUTED_VALUE"""),"Yellow")</f>
        <v/>
      </c>
      <c r="K410">
        <f>IFERROR(__xludf.DUMMYFUNCTION("""COMPUTED_VALUE"""),10000.0)</f>
        <v/>
      </c>
      <c r="L410">
        <f>IFERROR(__xludf.DUMMYFUNCTION("""COMPUTED_VALUE"""),2.0)</f>
        <v/>
      </c>
      <c r="M410">
        <f>IFERROR(__xludf.DUMMYFUNCTION("""COMPUTED_VALUE"""),25.0)</f>
        <v/>
      </c>
      <c r="N410">
        <f>IFERROR(__xludf.DUMMYFUNCTION("""COMPUTED_VALUE"""),0.27)</f>
        <v/>
      </c>
      <c r="O410">
        <f>IFERROR(__xludf.DUMMYFUNCTION("""COMPUTED_VALUE"""),100.0)</f>
        <v/>
      </c>
      <c r="P410">
        <f>IFERROR(__xludf.DUMMYFUNCTION("""COMPUTED_VALUE"""),0.0)</f>
        <v/>
      </c>
      <c r="Q410">
        <f>IFERROR(__xludf.DUMMYFUNCTION("""COMPUTED_VALUE"""),0.28)</f>
        <v/>
      </c>
      <c r="R410">
        <f>IFERROR(__xludf.DUMMYFUNCTION("""COMPUTED_VALUE"""),1.0)</f>
        <v/>
      </c>
      <c r="S410">
        <f>IFERROR(__xludf.DUMMYFUNCTION("""COMPUTED_VALUE"""),300.0)</f>
        <v/>
      </c>
      <c r="T410">
        <f>IFERROR(__xludf.DUMMYFUNCTION("""COMPUTED_VALUE"""),"1.08")</f>
        <v/>
      </c>
      <c r="U410">
        <f>IFERROR(__xludf.DUMMYFUNCTION("""COMPUTED_VALUE"""),"stop有 : 0.55")</f>
        <v/>
      </c>
      <c r="V410">
        <f>IFERROR(__xludf.DUMMYFUNCTION("""COMPUTED_VALUE"""),40.0)</f>
        <v/>
      </c>
      <c r="W410">
        <f>IFERROR(__xludf.DUMMYFUNCTION("""COMPUTED_VALUE"""),"3.45")</f>
        <v/>
      </c>
      <c r="X410">
        <f>IFERROR(__xludf.DUMMYFUNCTION("""COMPUTED_VALUE"""),"stop有 : 0.73")</f>
        <v/>
      </c>
      <c r="Y410">
        <f>IFERROR(__xludf.DUMMYFUNCTION("""COMPUTED_VALUE"""),"自身の攻撃50%Up")</f>
        <v/>
      </c>
      <c r="Z410">
        <f>IFERROR(__xludf.DUMMYFUNCTION("""COMPUTED_VALUE"""),7.0)</f>
        <v/>
      </c>
      <c r="AB410">
        <f>IFERROR(__xludf.DUMMYFUNCTION("""COMPUTED_VALUE"""),"dageki_1")</f>
        <v/>
      </c>
    </row>
    <row r="411">
      <c r="B411">
        <f>IFERROR(__xludf.DUMMYFUNCTION("""COMPUTED_VALUE"""),"enemy_glo_00001")</f>
        <v/>
      </c>
      <c r="C411">
        <f>IFERROR(__xludf.DUMMYFUNCTION("""COMPUTED_VALUE"""),"_glo2_challenge")</f>
        <v/>
      </c>
      <c r="D411">
        <f>IFERROR(__xludf.DUMMYFUNCTION("""COMPUTED_VALUE"""),"e_glo_00001_glo2_challenge_Normal_Yellow")</f>
        <v/>
      </c>
      <c r="E411">
        <f>IFERROR(__xludf.DUMMYFUNCTION("""COMPUTED_VALUE"""),"GLOW")</f>
        <v/>
      </c>
      <c r="F411">
        <f>IFERROR(__xludf.DUMMYFUNCTION("""COMPUTED_VALUE"""),"ファントム")</f>
        <v/>
      </c>
      <c r="G411">
        <f>IFERROR(__xludf.DUMMYFUNCTION("""COMPUTED_VALUE"""),"ファントム_glo2_challenge")</f>
        <v/>
      </c>
      <c r="H411">
        <f>IFERROR(__xludf.DUMMYFUNCTION("""COMPUTED_VALUE"""),"Normal")</f>
        <v/>
      </c>
      <c r="I411">
        <f>IFERROR(__xludf.DUMMYFUNCTION("""COMPUTED_VALUE"""),"Attack")</f>
        <v/>
      </c>
      <c r="J411">
        <f>IFERROR(__xludf.DUMMYFUNCTION("""COMPUTED_VALUE"""),"Yellow")</f>
        <v/>
      </c>
      <c r="K411">
        <f>IFERROR(__xludf.DUMMYFUNCTION("""COMPUTED_VALUE"""),1000.0)</f>
        <v/>
      </c>
      <c r="L411">
        <f>IFERROR(__xludf.DUMMYFUNCTION("""COMPUTED_VALUE"""),3.0)</f>
        <v/>
      </c>
      <c r="M411">
        <f>IFERROR(__xludf.DUMMYFUNCTION("""COMPUTED_VALUE"""),40.0)</f>
        <v/>
      </c>
      <c r="N411">
        <f>IFERROR(__xludf.DUMMYFUNCTION("""COMPUTED_VALUE"""),0.2)</f>
        <v/>
      </c>
      <c r="O411">
        <f>IFERROR(__xludf.DUMMYFUNCTION("""COMPUTED_VALUE"""),100.0)</f>
        <v/>
      </c>
      <c r="P411">
        <f>IFERROR(__xludf.DUMMYFUNCTION("""COMPUTED_VALUE"""),0.0)</f>
        <v/>
      </c>
      <c r="Q411">
        <f>IFERROR(__xludf.DUMMYFUNCTION("""COMPUTED_VALUE"""),0.21)</f>
        <v/>
      </c>
      <c r="R411">
        <f>IFERROR(__xludf.DUMMYFUNCTION("""COMPUTED_VALUE"""),1.0)</f>
        <v/>
      </c>
      <c r="S411">
        <f>IFERROR(__xludf.DUMMYFUNCTION("""COMPUTED_VALUE"""),50.0)</f>
        <v/>
      </c>
      <c r="T411">
        <f>IFERROR(__xludf.DUMMYFUNCTION("""COMPUTED_VALUE"""),"1.00")</f>
        <v/>
      </c>
      <c r="U411">
        <f>IFERROR(__xludf.DUMMYFUNCTION("""COMPUTED_VALUE"""),"0.50")</f>
        <v/>
      </c>
      <c r="V411">
        <f>IFERROR(__xludf.DUMMYFUNCTION("""COMPUTED_VALUE"""),30.0)</f>
        <v/>
      </c>
      <c r="Z411">
        <f>IFERROR(__xludf.DUMMYFUNCTION("""COMPUTED_VALUE"""),"-")</f>
        <v/>
      </c>
      <c r="AB411">
        <f>IFERROR(__xludf.DUMMYFUNCTION("""COMPUTED_VALUE"""),"dageki_1")</f>
        <v/>
      </c>
    </row>
    <row r="412">
      <c r="B412">
        <f>IFERROR(__xludf.DUMMYFUNCTION("""COMPUTED_VALUE"""),"chara_gam_00001")</f>
        <v/>
      </c>
      <c r="C412">
        <f>IFERROR(__xludf.DUMMYFUNCTION("""COMPUTED_VALUE"""),"_glo2_challenge")</f>
        <v/>
      </c>
      <c r="D412">
        <f>IFERROR(__xludf.DUMMYFUNCTION("""COMPUTED_VALUE"""),"c_gam_00001_glo2_challenge_Boss_Red")</f>
        <v/>
      </c>
      <c r="E412">
        <f>IFERROR(__xludf.DUMMYFUNCTION("""COMPUTED_VALUE"""),"ゲーミングお嬢様")</f>
        <v/>
      </c>
      <c r="F412">
        <f>IFERROR(__xludf.DUMMYFUNCTION("""COMPUTED_VALUE"""),"祥龍院 隆子")</f>
        <v/>
      </c>
      <c r="G412">
        <f>IFERROR(__xludf.DUMMYFUNCTION("""COMPUTED_VALUE"""),"祥龍院隆子_glo2_challenge")</f>
        <v/>
      </c>
      <c r="H412">
        <f>IFERROR(__xludf.DUMMYFUNCTION("""COMPUTED_VALUE"""),"Boss")</f>
        <v/>
      </c>
      <c r="I412">
        <f>IFERROR(__xludf.DUMMYFUNCTION("""COMPUTED_VALUE"""),"Attack")</f>
        <v/>
      </c>
      <c r="J412">
        <f>IFERROR(__xludf.DUMMYFUNCTION("""COMPUTED_VALUE"""),"Red")</f>
        <v/>
      </c>
      <c r="K412">
        <f>IFERROR(__xludf.DUMMYFUNCTION("""COMPUTED_VALUE"""),10000.0)</f>
        <v/>
      </c>
      <c r="L412">
        <f>IFERROR(__xludf.DUMMYFUNCTION("""COMPUTED_VALUE"""),2.0)</f>
        <v/>
      </c>
      <c r="M412">
        <f>IFERROR(__xludf.DUMMYFUNCTION("""COMPUTED_VALUE"""),25.0)</f>
        <v/>
      </c>
      <c r="N412">
        <f>IFERROR(__xludf.DUMMYFUNCTION("""COMPUTED_VALUE"""),0.27)</f>
        <v/>
      </c>
      <c r="O412">
        <f>IFERROR(__xludf.DUMMYFUNCTION("""COMPUTED_VALUE"""),100.0)</f>
        <v/>
      </c>
      <c r="P412">
        <f>IFERROR(__xludf.DUMMYFUNCTION("""COMPUTED_VALUE"""),0.0)</f>
        <v/>
      </c>
      <c r="Q412">
        <f>IFERROR(__xludf.DUMMYFUNCTION("""COMPUTED_VALUE"""),0.28)</f>
        <v/>
      </c>
      <c r="R412">
        <f>IFERROR(__xludf.DUMMYFUNCTION("""COMPUTED_VALUE"""),1.0)</f>
        <v/>
      </c>
      <c r="S412">
        <f>IFERROR(__xludf.DUMMYFUNCTION("""COMPUTED_VALUE"""),300.0)</f>
        <v/>
      </c>
      <c r="T412">
        <f>IFERROR(__xludf.DUMMYFUNCTION("""COMPUTED_VALUE"""),"1.08")</f>
        <v/>
      </c>
      <c r="U412">
        <f>IFERROR(__xludf.DUMMYFUNCTION("""COMPUTED_VALUE"""),"stop有 : 0.55")</f>
        <v/>
      </c>
      <c r="V412">
        <f>IFERROR(__xludf.DUMMYFUNCTION("""COMPUTED_VALUE"""),40.0)</f>
        <v/>
      </c>
      <c r="W412">
        <f>IFERROR(__xludf.DUMMYFUNCTION("""COMPUTED_VALUE"""),"3.45")</f>
        <v/>
      </c>
      <c r="X412">
        <f>IFERROR(__xludf.DUMMYFUNCTION("""COMPUTED_VALUE"""),"stop有 : 0.73")</f>
        <v/>
      </c>
      <c r="Y412">
        <f>IFERROR(__xludf.DUMMYFUNCTION("""COMPUTED_VALUE"""),"自身の攻撃50%Up")</f>
        <v/>
      </c>
      <c r="Z412">
        <f>IFERROR(__xludf.DUMMYFUNCTION("""COMPUTED_VALUE"""),7.0)</f>
        <v/>
      </c>
      <c r="AB412">
        <f>IFERROR(__xludf.DUMMYFUNCTION("""COMPUTED_VALUE"""),"dageki_1")</f>
        <v/>
      </c>
    </row>
    <row r="413">
      <c r="B413">
        <f>IFERROR(__xludf.DUMMYFUNCTION("""COMPUTED_VALUE"""),"enemy_glo_00001")</f>
        <v/>
      </c>
      <c r="C413">
        <f>IFERROR(__xludf.DUMMYFUNCTION("""COMPUTED_VALUE"""),"_glo2_challenge")</f>
        <v/>
      </c>
      <c r="D413">
        <f>IFERROR(__xludf.DUMMYFUNCTION("""COMPUTED_VALUE"""),"e_glo_00001_glo2_challenge_Normal_Red")</f>
        <v/>
      </c>
      <c r="E413">
        <f>IFERROR(__xludf.DUMMYFUNCTION("""COMPUTED_VALUE"""),"GLOW")</f>
        <v/>
      </c>
      <c r="F413">
        <f>IFERROR(__xludf.DUMMYFUNCTION("""COMPUTED_VALUE"""),"ファントム")</f>
        <v/>
      </c>
      <c r="G413">
        <f>IFERROR(__xludf.DUMMYFUNCTION("""COMPUTED_VALUE"""),"ファントム_glo2_challenge")</f>
        <v/>
      </c>
      <c r="H413">
        <f>IFERROR(__xludf.DUMMYFUNCTION("""COMPUTED_VALUE"""),"Normal")</f>
        <v/>
      </c>
      <c r="I413">
        <f>IFERROR(__xludf.DUMMYFUNCTION("""COMPUTED_VALUE"""),"Attack")</f>
        <v/>
      </c>
      <c r="J413">
        <f>IFERROR(__xludf.DUMMYFUNCTION("""COMPUTED_VALUE"""),"Red")</f>
        <v/>
      </c>
      <c r="K413">
        <f>IFERROR(__xludf.DUMMYFUNCTION("""COMPUTED_VALUE"""),1000.0)</f>
        <v/>
      </c>
      <c r="L413">
        <f>IFERROR(__xludf.DUMMYFUNCTION("""COMPUTED_VALUE"""),3.0)</f>
        <v/>
      </c>
      <c r="M413">
        <f>IFERROR(__xludf.DUMMYFUNCTION("""COMPUTED_VALUE"""),40.0)</f>
        <v/>
      </c>
      <c r="N413">
        <f>IFERROR(__xludf.DUMMYFUNCTION("""COMPUTED_VALUE"""),0.2)</f>
        <v/>
      </c>
      <c r="O413">
        <f>IFERROR(__xludf.DUMMYFUNCTION("""COMPUTED_VALUE"""),100.0)</f>
        <v/>
      </c>
      <c r="P413">
        <f>IFERROR(__xludf.DUMMYFUNCTION("""COMPUTED_VALUE"""),0.0)</f>
        <v/>
      </c>
      <c r="Q413">
        <f>IFERROR(__xludf.DUMMYFUNCTION("""COMPUTED_VALUE"""),0.21)</f>
        <v/>
      </c>
      <c r="R413">
        <f>IFERROR(__xludf.DUMMYFUNCTION("""COMPUTED_VALUE"""),1.0)</f>
        <v/>
      </c>
      <c r="S413">
        <f>IFERROR(__xludf.DUMMYFUNCTION("""COMPUTED_VALUE"""),50.0)</f>
        <v/>
      </c>
      <c r="T413">
        <f>IFERROR(__xludf.DUMMYFUNCTION("""COMPUTED_VALUE"""),"1.00")</f>
        <v/>
      </c>
      <c r="U413">
        <f>IFERROR(__xludf.DUMMYFUNCTION("""COMPUTED_VALUE"""),"0.50")</f>
        <v/>
      </c>
      <c r="V413">
        <f>IFERROR(__xludf.DUMMYFUNCTION("""COMPUTED_VALUE"""),30.0)</f>
        <v/>
      </c>
      <c r="Z413">
        <f>IFERROR(__xludf.DUMMYFUNCTION("""COMPUTED_VALUE"""),"-")</f>
        <v/>
      </c>
      <c r="AB413">
        <f>IFERROR(__xludf.DUMMYFUNCTION("""COMPUTED_VALUE"""),"dageki_1")</f>
        <v/>
      </c>
    </row>
    <row r="414">
      <c r="B414">
        <f>IFERROR(__xludf.DUMMYFUNCTION("""COMPUTED_VALUE"""),"enemy_glo_00101")</f>
        <v/>
      </c>
      <c r="C414">
        <f>IFERROR(__xludf.DUMMYFUNCTION("""COMPUTED_VALUE"""),"_glo2_challenge")</f>
        <v/>
      </c>
      <c r="D414">
        <f>IFERROR(__xludf.DUMMYFUNCTION("""COMPUTED_VALUE"""),"e_glo_00101_glo2_challenge_Boss_Red")</f>
        <v/>
      </c>
      <c r="E414">
        <f>IFERROR(__xludf.DUMMYFUNCTION("""COMPUTED_VALUE"""),"GLOW")</f>
        <v/>
      </c>
      <c r="F414">
        <f>IFERROR(__xludf.DUMMYFUNCTION("""COMPUTED_VALUE"""),"ボスファントム")</f>
        <v/>
      </c>
      <c r="G414">
        <f>IFERROR(__xludf.DUMMYFUNCTION("""COMPUTED_VALUE"""),"中ボスエネミー_glo2_challenge")</f>
        <v/>
      </c>
      <c r="H414">
        <f>IFERROR(__xludf.DUMMYFUNCTION("""COMPUTED_VALUE"""),"Boss")</f>
        <v/>
      </c>
      <c r="I414">
        <f>IFERROR(__xludf.DUMMYFUNCTION("""COMPUTED_VALUE"""),"Attack")</f>
        <v/>
      </c>
      <c r="J414">
        <f>IFERROR(__xludf.DUMMYFUNCTION("""COMPUTED_VALUE"""),"Red")</f>
        <v/>
      </c>
      <c r="K414">
        <f>IFERROR(__xludf.DUMMYFUNCTION("""COMPUTED_VALUE"""),10000.0)</f>
        <v/>
      </c>
      <c r="L414">
        <f>IFERROR(__xludf.DUMMYFUNCTION("""COMPUTED_VALUE"""),2.0)</f>
        <v/>
      </c>
      <c r="M414">
        <f>IFERROR(__xludf.DUMMYFUNCTION("""COMPUTED_VALUE"""),55.0)</f>
        <v/>
      </c>
      <c r="N414">
        <f>IFERROR(__xludf.DUMMYFUNCTION("""COMPUTED_VALUE"""),0.28)</f>
        <v/>
      </c>
      <c r="O414">
        <f>IFERROR(__xludf.DUMMYFUNCTION("""COMPUTED_VALUE"""),100.0)</f>
        <v/>
      </c>
      <c r="P414">
        <f>IFERROR(__xludf.DUMMYFUNCTION("""COMPUTED_VALUE"""),0.0)</f>
        <v/>
      </c>
      <c r="Q414">
        <f>IFERROR(__xludf.DUMMYFUNCTION("""COMPUTED_VALUE"""),0.3)</f>
        <v/>
      </c>
      <c r="R414">
        <f>IFERROR(__xludf.DUMMYFUNCTION("""COMPUTED_VALUE"""),100.0)</f>
        <v/>
      </c>
      <c r="S414">
        <f>IFERROR(__xludf.DUMMYFUNCTION("""COMPUTED_VALUE"""),10.0)</f>
        <v/>
      </c>
      <c r="T414">
        <f>IFERROR(__xludf.DUMMYFUNCTION("""COMPUTED_VALUE"""),"1.17")</f>
        <v/>
      </c>
      <c r="U414">
        <f>IFERROR(__xludf.DUMMYFUNCTION("""COMPUTED_VALUE"""),"stop有:1回目 0.56")</f>
        <v/>
      </c>
      <c r="V414">
        <f>IFERROR(__xludf.DUMMYFUNCTION("""COMPUTED_VALUE"""),200.0)</f>
        <v/>
      </c>
      <c r="W414">
        <f>IFERROR(__xludf.DUMMYFUNCTION("""COMPUTED_VALUE"""),"-")</f>
        <v/>
      </c>
      <c r="X414">
        <f>IFERROR(__xludf.DUMMYFUNCTION("""COMPUTED_VALUE"""),"-")</f>
        <v/>
      </c>
      <c r="Z414">
        <f>IFERROR(__xludf.DUMMYFUNCTION("""COMPUTED_VALUE"""),"-")</f>
        <v/>
      </c>
    </row>
    <row r="415">
      <c r="B415">
        <f>IFERROR(__xludf.DUMMYFUNCTION("""COMPUTED_VALUE"""),"chara_sur_00901")</f>
        <v/>
      </c>
      <c r="C415">
        <f>IFERROR(__xludf.DUMMYFUNCTION("""COMPUTED_VALUE"""),"_glo2_savage01")</f>
        <v/>
      </c>
      <c r="D415">
        <f>IFERROR(__xludf.DUMMYFUNCTION("""COMPUTED_VALUE"""),"c_sur_00901_glo2_savage01_Boss_Red")</f>
        <v/>
      </c>
      <c r="E415">
        <f>IFERROR(__xludf.DUMMYFUNCTION("""COMPUTED_VALUE"""),"魔都精兵のスレイブ")</f>
        <v/>
      </c>
      <c r="F415">
        <f>IFERROR(__xludf.DUMMYFUNCTION("""COMPUTED_VALUE"""),"万物を統べる総組長 山城 恋")</f>
        <v/>
      </c>
      <c r="G415">
        <f>IFERROR(__xludf.DUMMYFUNCTION("""COMPUTED_VALUE"""),"山城 恋_glo2_savage01")</f>
        <v/>
      </c>
      <c r="H415">
        <f>IFERROR(__xludf.DUMMYFUNCTION("""COMPUTED_VALUE"""),"Boss")</f>
        <v/>
      </c>
      <c r="I415">
        <f>IFERROR(__xludf.DUMMYFUNCTION("""COMPUTED_VALUE"""),"Attack")</f>
        <v/>
      </c>
      <c r="J415">
        <f>IFERROR(__xludf.DUMMYFUNCTION("""COMPUTED_VALUE"""),"Red")</f>
        <v/>
      </c>
      <c r="K415">
        <f>IFERROR(__xludf.DUMMYFUNCTION("""COMPUTED_VALUE"""),10000.0)</f>
        <v/>
      </c>
      <c r="L415">
        <f>IFERROR(__xludf.DUMMYFUNCTION("""COMPUTED_VALUE"""),1.0)</f>
        <v/>
      </c>
      <c r="M415">
        <f>IFERROR(__xludf.DUMMYFUNCTION("""COMPUTED_VALUE"""),30.0)</f>
        <v/>
      </c>
      <c r="N415">
        <f>IFERROR(__xludf.DUMMYFUNCTION("""COMPUTED_VALUE"""),0.39)</f>
        <v/>
      </c>
      <c r="O415">
        <f>IFERROR(__xludf.DUMMYFUNCTION("""COMPUTED_VALUE"""),300.0)</f>
        <v/>
      </c>
      <c r="P415">
        <f>IFERROR(__xludf.DUMMYFUNCTION("""COMPUTED_VALUE"""),0.0)</f>
        <v/>
      </c>
      <c r="Q415">
        <f>IFERROR(__xludf.DUMMYFUNCTION("""COMPUTED_VALUE"""),0.18)</f>
        <v/>
      </c>
      <c r="R415">
        <f>IFERROR(__xludf.DUMMYFUNCTION("""COMPUTED_VALUE"""),1.0)</f>
        <v/>
      </c>
      <c r="S415">
        <f>IFERROR(__xludf.DUMMYFUNCTION("""COMPUTED_VALUE"""),500.0)</f>
        <v/>
      </c>
      <c r="T415">
        <f>IFERROR(__xludf.DUMMYFUNCTION("""COMPUTED_VALUE"""),"1.17")</f>
        <v/>
      </c>
      <c r="U415">
        <f>IFERROR(__xludf.DUMMYFUNCTION("""COMPUTED_VALUE"""),"stop有 : 0.43")</f>
        <v/>
      </c>
      <c r="V415">
        <f>IFERROR(__xludf.DUMMYFUNCTION("""COMPUTED_VALUE"""),100.0)</f>
        <v/>
      </c>
      <c r="W415">
        <f>IFERROR(__xludf.DUMMYFUNCTION("""COMPUTED_VALUE"""),"2.92")</f>
        <v/>
      </c>
      <c r="X415">
        <f>IFERROR(__xludf.DUMMYFUNCTION("""COMPUTED_VALUE"""),"stop有 : 1.31")</f>
        <v/>
      </c>
      <c r="Z415">
        <f>IFERROR(__xludf.DUMMYFUNCTION("""COMPUTED_VALUE"""),"-")</f>
        <v/>
      </c>
    </row>
    <row r="416">
      <c r="B416">
        <f>IFERROR(__xludf.DUMMYFUNCTION("""COMPUTED_VALUE"""),"chara_sur_00901")</f>
        <v/>
      </c>
      <c r="C416">
        <f>IFERROR(__xludf.DUMMYFUNCTION("""COMPUTED_VALUE"""),"_glo2_savage01")</f>
        <v/>
      </c>
      <c r="D416">
        <f>IFERROR(__xludf.DUMMYFUNCTION("""COMPUTED_VALUE"""),"c_sur_00901_glo2_savage01_Boss_Colorless")</f>
        <v/>
      </c>
      <c r="E416">
        <f>IFERROR(__xludf.DUMMYFUNCTION("""COMPUTED_VALUE"""),"魔都精兵のスレイブ")</f>
        <v/>
      </c>
      <c r="F416">
        <f>IFERROR(__xludf.DUMMYFUNCTION("""COMPUTED_VALUE"""),"万物を統べる総組長 山城 恋")</f>
        <v/>
      </c>
      <c r="G416">
        <f>IFERROR(__xludf.DUMMYFUNCTION("""COMPUTED_VALUE"""),"山城 恋_glo2_savage01")</f>
        <v/>
      </c>
      <c r="H416">
        <f>IFERROR(__xludf.DUMMYFUNCTION("""COMPUTED_VALUE"""),"Boss")</f>
        <v/>
      </c>
      <c r="I416">
        <f>IFERROR(__xludf.DUMMYFUNCTION("""COMPUTED_VALUE"""),"Attack")</f>
        <v/>
      </c>
      <c r="J416">
        <f>IFERROR(__xludf.DUMMYFUNCTION("""COMPUTED_VALUE"""),"Colorless")</f>
        <v/>
      </c>
      <c r="K416">
        <f>IFERROR(__xludf.DUMMYFUNCTION("""COMPUTED_VALUE"""),10000.0)</f>
        <v/>
      </c>
      <c r="L416">
        <f>IFERROR(__xludf.DUMMYFUNCTION("""COMPUTED_VALUE"""),1.0)</f>
        <v/>
      </c>
      <c r="M416">
        <f>IFERROR(__xludf.DUMMYFUNCTION("""COMPUTED_VALUE"""),30.0)</f>
        <v/>
      </c>
      <c r="N416">
        <f>IFERROR(__xludf.DUMMYFUNCTION("""COMPUTED_VALUE"""),0.39)</f>
        <v/>
      </c>
      <c r="O416">
        <f>IFERROR(__xludf.DUMMYFUNCTION("""COMPUTED_VALUE"""),300.0)</f>
        <v/>
      </c>
      <c r="P416">
        <f>IFERROR(__xludf.DUMMYFUNCTION("""COMPUTED_VALUE"""),0.0)</f>
        <v/>
      </c>
      <c r="Q416">
        <f>IFERROR(__xludf.DUMMYFUNCTION("""COMPUTED_VALUE"""),0.18)</f>
        <v/>
      </c>
      <c r="R416">
        <f>IFERROR(__xludf.DUMMYFUNCTION("""COMPUTED_VALUE"""),1.0)</f>
        <v/>
      </c>
      <c r="S416">
        <f>IFERROR(__xludf.DUMMYFUNCTION("""COMPUTED_VALUE"""),500.0)</f>
        <v/>
      </c>
      <c r="T416">
        <f>IFERROR(__xludf.DUMMYFUNCTION("""COMPUTED_VALUE"""),"1.17")</f>
        <v/>
      </c>
      <c r="U416">
        <f>IFERROR(__xludf.DUMMYFUNCTION("""COMPUTED_VALUE"""),"stop有 : 0.43")</f>
        <v/>
      </c>
      <c r="V416">
        <f>IFERROR(__xludf.DUMMYFUNCTION("""COMPUTED_VALUE"""),100.0)</f>
        <v/>
      </c>
      <c r="W416">
        <f>IFERROR(__xludf.DUMMYFUNCTION("""COMPUTED_VALUE"""),"2.92")</f>
        <v/>
      </c>
      <c r="X416">
        <f>IFERROR(__xludf.DUMMYFUNCTION("""COMPUTED_VALUE"""),"stop有 : 1.31")</f>
        <v/>
      </c>
      <c r="Y416">
        <f>IFERROR(__xludf.DUMMYFUNCTION("""COMPUTED_VALUE"""),"ノックバック")</f>
        <v/>
      </c>
      <c r="Z416">
        <f>IFERROR(__xludf.DUMMYFUNCTION("""COMPUTED_VALUE"""),"-")</f>
        <v/>
      </c>
    </row>
    <row r="417">
      <c r="B417">
        <f>IFERROR(__xludf.DUMMYFUNCTION("""COMPUTED_VALUE"""),"chara_sur_00801")</f>
        <v/>
      </c>
      <c r="C417">
        <f>IFERROR(__xludf.DUMMYFUNCTION("""COMPUTED_VALUE"""),"_glo2_savage01")</f>
        <v/>
      </c>
      <c r="D417">
        <f>IFERROR(__xludf.DUMMYFUNCTION("""COMPUTED_VALUE"""),"c_sur_00801_glo2_savage01_Boss_Red")</f>
        <v/>
      </c>
      <c r="E417">
        <f>IFERROR(__xludf.DUMMYFUNCTION("""COMPUTED_VALUE"""),"魔都精兵のスレイブ")</f>
        <v/>
      </c>
      <c r="F417">
        <f>IFERROR(__xludf.DUMMYFUNCTION("""COMPUTED_VALUE"""),"無窮の鎖 和倉 優希")</f>
        <v/>
      </c>
      <c r="G417">
        <f>IFERROR(__xludf.DUMMYFUNCTION("""COMPUTED_VALUE"""),"和倉優希（変身）_glo2_savage01")</f>
        <v/>
      </c>
      <c r="H417">
        <f>IFERROR(__xludf.DUMMYFUNCTION("""COMPUTED_VALUE"""),"Boss")</f>
        <v/>
      </c>
      <c r="I417">
        <f>IFERROR(__xludf.DUMMYFUNCTION("""COMPUTED_VALUE"""),"Defense")</f>
        <v/>
      </c>
      <c r="J417">
        <f>IFERROR(__xludf.DUMMYFUNCTION("""COMPUTED_VALUE"""),"Red")</f>
        <v/>
      </c>
      <c r="K417">
        <f>IFERROR(__xludf.DUMMYFUNCTION("""COMPUTED_VALUE"""),10000.0)</f>
        <v/>
      </c>
      <c r="L417">
        <f>IFERROR(__xludf.DUMMYFUNCTION("""COMPUTED_VALUE"""),1.0)</f>
        <v/>
      </c>
      <c r="M417">
        <f>IFERROR(__xludf.DUMMYFUNCTION("""COMPUTED_VALUE"""),32.0)</f>
        <v/>
      </c>
      <c r="N417">
        <f>IFERROR(__xludf.DUMMYFUNCTION("""COMPUTED_VALUE"""),0.24)</f>
        <v/>
      </c>
      <c r="O417">
        <f>IFERROR(__xludf.DUMMYFUNCTION("""COMPUTED_VALUE"""),300.0)</f>
        <v/>
      </c>
      <c r="P417">
        <f>IFERROR(__xludf.DUMMYFUNCTION("""COMPUTED_VALUE"""),0.0)</f>
        <v/>
      </c>
      <c r="Q417">
        <f>IFERROR(__xludf.DUMMYFUNCTION("""COMPUTED_VALUE"""),0.24)</f>
        <v/>
      </c>
      <c r="R417">
        <f>IFERROR(__xludf.DUMMYFUNCTION("""COMPUTED_VALUE"""),1.0)</f>
        <v/>
      </c>
      <c r="S417">
        <f>IFERROR(__xludf.DUMMYFUNCTION("""COMPUTED_VALUE"""),100.0)</f>
        <v/>
      </c>
      <c r="T417">
        <f>IFERROR(__xludf.DUMMYFUNCTION("""COMPUTED_VALUE"""),"1.24")</f>
        <v/>
      </c>
      <c r="U417">
        <f>IFERROR(__xludf.DUMMYFUNCTION("""COMPUTED_VALUE"""),"stop有:1回目 0.66")</f>
        <v/>
      </c>
      <c r="W417">
        <f>IFERROR(__xludf.DUMMYFUNCTION("""COMPUTED_VALUE"""),"2.01")</f>
        <v/>
      </c>
      <c r="X417">
        <f>IFERROR(__xludf.DUMMYFUNCTION("""COMPUTED_VALUE"""),"stop有:1回目 1.06")</f>
        <v/>
      </c>
      <c r="Z417">
        <f>IFERROR(__xludf.DUMMYFUNCTION("""COMPUTED_VALUE"""),"-")</f>
        <v/>
      </c>
      <c r="AB417">
        <f>IFERROR(__xludf.DUMMYFUNCTION("""COMPUTED_VALUE"""),"dageki_1")</f>
        <v/>
      </c>
    </row>
    <row r="418">
      <c r="B418">
        <f>IFERROR(__xludf.DUMMYFUNCTION("""COMPUTED_VALUE"""),"enemy_sur_00101")</f>
        <v/>
      </c>
      <c r="C418">
        <f>IFERROR(__xludf.DUMMYFUNCTION("""COMPUTED_VALUE"""),"_glo2_savage01")</f>
        <v/>
      </c>
      <c r="D418">
        <f>IFERROR(__xludf.DUMMYFUNCTION("""COMPUTED_VALUE"""),"e_sur_00101_glo2_savage01_Normal_Red")</f>
        <v/>
      </c>
      <c r="E418">
        <f>IFERROR(__xludf.DUMMYFUNCTION("""COMPUTED_VALUE"""),"魔都精兵のスレイブ")</f>
        <v/>
      </c>
      <c r="F418">
        <f>IFERROR(__xludf.DUMMYFUNCTION("""COMPUTED_VALUE"""),"醜鬼")</f>
        <v/>
      </c>
      <c r="G418">
        <f>IFERROR(__xludf.DUMMYFUNCTION("""COMPUTED_VALUE"""),"醜鬼_glo2_savage01")</f>
        <v/>
      </c>
      <c r="H418">
        <f>IFERROR(__xludf.DUMMYFUNCTION("""COMPUTED_VALUE"""),"Normal")</f>
        <v/>
      </c>
      <c r="I418">
        <f>IFERROR(__xludf.DUMMYFUNCTION("""COMPUTED_VALUE"""),"Defense")</f>
        <v/>
      </c>
      <c r="J418">
        <f>IFERROR(__xludf.DUMMYFUNCTION("""COMPUTED_VALUE"""),"Red")</f>
        <v/>
      </c>
      <c r="K418">
        <f>IFERROR(__xludf.DUMMYFUNCTION("""COMPUTED_VALUE"""),10000.0)</f>
        <v/>
      </c>
      <c r="L418">
        <f>IFERROR(__xludf.DUMMYFUNCTION("""COMPUTED_VALUE"""),1.0)</f>
        <v/>
      </c>
      <c r="M418">
        <f>IFERROR(__xludf.DUMMYFUNCTION("""COMPUTED_VALUE"""),40.0)</f>
        <v/>
      </c>
      <c r="N418">
        <f>IFERROR(__xludf.DUMMYFUNCTION("""COMPUTED_VALUE"""),0.17)</f>
        <v/>
      </c>
      <c r="O418">
        <f>IFERROR(__xludf.DUMMYFUNCTION("""COMPUTED_VALUE"""),100.0)</f>
        <v/>
      </c>
      <c r="S418">
        <f>IFERROR(__xludf.DUMMYFUNCTION("""COMPUTED_VALUE"""),100.0)</f>
        <v/>
      </c>
      <c r="T418">
        <f>IFERROR(__xludf.DUMMYFUNCTION("""COMPUTED_VALUE"""),"0.80")</f>
        <v/>
      </c>
      <c r="U418">
        <f>IFERROR(__xludf.DUMMYFUNCTION("""COMPUTED_VALUE"""),"0.30")</f>
        <v/>
      </c>
      <c r="W418">
        <f>IFERROR(__xludf.DUMMYFUNCTION("""COMPUTED_VALUE"""),"-")</f>
        <v/>
      </c>
      <c r="X418">
        <f>IFERROR(__xludf.DUMMYFUNCTION("""COMPUTED_VALUE"""),"-")</f>
        <v/>
      </c>
      <c r="Z418">
        <f>IFERROR(__xludf.DUMMYFUNCTION("""COMPUTED_VALUE"""),"-")</f>
        <v/>
      </c>
      <c r="AB418">
        <f>IFERROR(__xludf.DUMMYFUNCTION("""COMPUTED_VALUE"""),"dageki_1")</f>
        <v/>
      </c>
    </row>
    <row r="419">
      <c r="B419">
        <f>IFERROR(__xludf.DUMMYFUNCTION("""COMPUTED_VALUE"""),"enemy_sur_00101")</f>
        <v/>
      </c>
      <c r="C419">
        <f>IFERROR(__xludf.DUMMYFUNCTION("""COMPUTED_VALUE"""),"_glo2_savage01")</f>
        <v/>
      </c>
      <c r="D419">
        <f>IFERROR(__xludf.DUMMYFUNCTION("""COMPUTED_VALUE"""),"e_sur_00101_glo2_savage01_Normal_Colorless")</f>
        <v/>
      </c>
      <c r="E419">
        <f>IFERROR(__xludf.DUMMYFUNCTION("""COMPUTED_VALUE"""),"魔都精兵のスレイブ")</f>
        <v/>
      </c>
      <c r="F419">
        <f>IFERROR(__xludf.DUMMYFUNCTION("""COMPUTED_VALUE"""),"醜鬼")</f>
        <v/>
      </c>
      <c r="G419">
        <f>IFERROR(__xludf.DUMMYFUNCTION("""COMPUTED_VALUE"""),"醜鬼_glo2_savage01")</f>
        <v/>
      </c>
      <c r="H419">
        <f>IFERROR(__xludf.DUMMYFUNCTION("""COMPUTED_VALUE"""),"Normal")</f>
        <v/>
      </c>
      <c r="I419">
        <f>IFERROR(__xludf.DUMMYFUNCTION("""COMPUTED_VALUE"""),"Defense")</f>
        <v/>
      </c>
      <c r="J419">
        <f>IFERROR(__xludf.DUMMYFUNCTION("""COMPUTED_VALUE"""),"Colorless")</f>
        <v/>
      </c>
      <c r="K419">
        <f>IFERROR(__xludf.DUMMYFUNCTION("""COMPUTED_VALUE"""),10000.0)</f>
        <v/>
      </c>
      <c r="L419">
        <f>IFERROR(__xludf.DUMMYFUNCTION("""COMPUTED_VALUE"""),1.0)</f>
        <v/>
      </c>
      <c r="M419">
        <f>IFERROR(__xludf.DUMMYFUNCTION("""COMPUTED_VALUE"""),40.0)</f>
        <v/>
      </c>
      <c r="N419">
        <f>IFERROR(__xludf.DUMMYFUNCTION("""COMPUTED_VALUE"""),0.17)</f>
        <v/>
      </c>
      <c r="O419">
        <f>IFERROR(__xludf.DUMMYFUNCTION("""COMPUTED_VALUE"""),100.0)</f>
        <v/>
      </c>
      <c r="S419">
        <f>IFERROR(__xludf.DUMMYFUNCTION("""COMPUTED_VALUE"""),100.0)</f>
        <v/>
      </c>
      <c r="T419">
        <f>IFERROR(__xludf.DUMMYFUNCTION("""COMPUTED_VALUE"""),"0.80")</f>
        <v/>
      </c>
      <c r="U419">
        <f>IFERROR(__xludf.DUMMYFUNCTION("""COMPUTED_VALUE"""),"0.30")</f>
        <v/>
      </c>
      <c r="W419">
        <f>IFERROR(__xludf.DUMMYFUNCTION("""COMPUTED_VALUE"""),"-")</f>
        <v/>
      </c>
      <c r="X419">
        <f>IFERROR(__xludf.DUMMYFUNCTION("""COMPUTED_VALUE"""),"-")</f>
        <v/>
      </c>
      <c r="Z419">
        <f>IFERROR(__xludf.DUMMYFUNCTION("""COMPUTED_VALUE"""),"-")</f>
        <v/>
      </c>
      <c r="AB419">
        <f>IFERROR(__xludf.DUMMYFUNCTION("""COMPUTED_VALUE"""),"dageki_1")</f>
        <v/>
      </c>
    </row>
    <row r="420">
      <c r="B420">
        <f>IFERROR(__xludf.DUMMYFUNCTION("""COMPUTED_VALUE"""),"chara_sur_00101")</f>
        <v/>
      </c>
      <c r="C420">
        <f>IFERROR(__xludf.DUMMYFUNCTION("""COMPUTED_VALUE"""),"_glo2_savage01")</f>
        <v/>
      </c>
      <c r="D420">
        <f>IFERROR(__xludf.DUMMYFUNCTION("""COMPUTED_VALUE"""),"c_sur_00101_glo2_savage01_Boss_Colorless")</f>
        <v/>
      </c>
      <c r="E420">
        <f>IFERROR(__xludf.DUMMYFUNCTION("""COMPUTED_VALUE"""),"魔都精兵のスレイブ")</f>
        <v/>
      </c>
      <c r="F420">
        <f>IFERROR(__xludf.DUMMYFUNCTION("""COMPUTED_VALUE"""),"誇り高き魔都の剣姫 羽前 京香")</f>
        <v/>
      </c>
      <c r="G420">
        <f>IFERROR(__xludf.DUMMYFUNCTION("""COMPUTED_VALUE"""),"誇り高き魔都の剣姫 羽前京香_glo2_savage01")</f>
        <v/>
      </c>
      <c r="H420">
        <f>IFERROR(__xludf.DUMMYFUNCTION("""COMPUTED_VALUE"""),"Boss")</f>
        <v/>
      </c>
      <c r="I420">
        <f>IFERROR(__xludf.DUMMYFUNCTION("""COMPUTED_VALUE"""),"Attack")</f>
        <v/>
      </c>
      <c r="J420">
        <f>IFERROR(__xludf.DUMMYFUNCTION("""COMPUTED_VALUE"""),"Colorless")</f>
        <v/>
      </c>
      <c r="K420">
        <f>IFERROR(__xludf.DUMMYFUNCTION("""COMPUTED_VALUE"""),10000.0)</f>
        <v/>
      </c>
      <c r="L420">
        <f>IFERROR(__xludf.DUMMYFUNCTION("""COMPUTED_VALUE"""),1.0)</f>
        <v/>
      </c>
      <c r="M420">
        <f>IFERROR(__xludf.DUMMYFUNCTION("""COMPUTED_VALUE"""),45.0)</f>
        <v/>
      </c>
      <c r="N420">
        <f>IFERROR(__xludf.DUMMYFUNCTION("""COMPUTED_VALUE"""),0.25)</f>
        <v/>
      </c>
      <c r="O420">
        <f>IFERROR(__xludf.DUMMYFUNCTION("""COMPUTED_VALUE"""),300.0)</f>
        <v/>
      </c>
      <c r="P420">
        <f>IFERROR(__xludf.DUMMYFUNCTION("""COMPUTED_VALUE"""),0.0)</f>
        <v/>
      </c>
      <c r="Q420">
        <f>IFERROR(__xludf.DUMMYFUNCTION("""COMPUTED_VALUE"""),0.27)</f>
        <v/>
      </c>
      <c r="R420">
        <f>IFERROR(__xludf.DUMMYFUNCTION("""COMPUTED_VALUE"""),1.0)</f>
        <v/>
      </c>
      <c r="S420">
        <f>IFERROR(__xludf.DUMMYFUNCTION("""COMPUTED_VALUE"""),500.0)</f>
        <v/>
      </c>
      <c r="T420">
        <f>IFERROR(__xludf.DUMMYFUNCTION("""COMPUTED_VALUE"""),"1.40")</f>
        <v/>
      </c>
      <c r="U420">
        <f>IFERROR(__xludf.DUMMYFUNCTION("""COMPUTED_VALUE"""),"stop無:1回目 0.33")</f>
        <v/>
      </c>
      <c r="W420">
        <f>IFERROR(__xludf.DUMMYFUNCTION("""COMPUTED_VALUE"""),"2.67")</f>
        <v/>
      </c>
      <c r="X420">
        <f>IFERROR(__xludf.DUMMYFUNCTION("""COMPUTED_VALUE"""),"stop無:1回目 0.40
stop無:2回目 0.60
stop無:3回目 0.80
stop無:4回目 0.90
stop無:5回目 1.03
stop有:6回目 1.57")</f>
        <v/>
      </c>
      <c r="Z420">
        <f>IFERROR(__xludf.DUMMYFUNCTION("""COMPUTED_VALUE"""),10.0)</f>
        <v/>
      </c>
      <c r="AB420">
        <f>IFERROR(__xludf.DUMMYFUNCTION("""COMPUTED_VALUE"""),"zangeki_1")</f>
        <v/>
      </c>
    </row>
    <row r="421">
      <c r="B421">
        <f>IFERROR(__xludf.DUMMYFUNCTION("""COMPUTED_VALUE"""),"chara_sur_00501")</f>
        <v/>
      </c>
      <c r="C421">
        <f>IFERROR(__xludf.DUMMYFUNCTION("""COMPUTED_VALUE"""),"_glo2_savage01")</f>
        <v/>
      </c>
      <c r="D421">
        <f>IFERROR(__xludf.DUMMYFUNCTION("""COMPUTED_VALUE"""),"c_sur_00501_glo2_savage01_Boss_Red")</f>
        <v/>
      </c>
      <c r="E421">
        <f>IFERROR(__xludf.DUMMYFUNCTION("""COMPUTED_VALUE"""),"魔都精兵のスレイブ")</f>
        <v/>
      </c>
      <c r="F421">
        <f>IFERROR(__xludf.DUMMYFUNCTION("""COMPUTED_VALUE"""),"空間を操る六番組組長 出雲 天花")</f>
        <v/>
      </c>
      <c r="G421">
        <f>IFERROR(__xludf.DUMMYFUNCTION("""COMPUTED_VALUE"""),"出雲 天花_glo2_savage01")</f>
        <v/>
      </c>
      <c r="H421">
        <f>IFERROR(__xludf.DUMMYFUNCTION("""COMPUTED_VALUE"""),"Boss")</f>
        <v/>
      </c>
      <c r="I421">
        <f>IFERROR(__xludf.DUMMYFUNCTION("""COMPUTED_VALUE"""),"Technical")</f>
        <v/>
      </c>
      <c r="J421">
        <f>IFERROR(__xludf.DUMMYFUNCTION("""COMPUTED_VALUE"""),"Red")</f>
        <v/>
      </c>
      <c r="K421">
        <f>IFERROR(__xludf.DUMMYFUNCTION("""COMPUTED_VALUE"""),10000.0)</f>
        <v/>
      </c>
      <c r="L421">
        <f>IFERROR(__xludf.DUMMYFUNCTION("""COMPUTED_VALUE"""),2.0)</f>
        <v/>
      </c>
      <c r="M421">
        <f>IFERROR(__xludf.DUMMYFUNCTION("""COMPUTED_VALUE"""),25.0)</f>
        <v/>
      </c>
      <c r="N421">
        <f>IFERROR(__xludf.DUMMYFUNCTION("""COMPUTED_VALUE"""),0.45)</f>
        <v/>
      </c>
      <c r="O421">
        <f>IFERROR(__xludf.DUMMYFUNCTION("""COMPUTED_VALUE"""),300.0)</f>
        <v/>
      </c>
      <c r="P421">
        <f>IFERROR(__xludf.DUMMYFUNCTION("""COMPUTED_VALUE"""),0.0)</f>
        <v/>
      </c>
      <c r="Q421">
        <f>IFERROR(__xludf.DUMMYFUNCTION("""COMPUTED_VALUE"""),0.47)</f>
        <v/>
      </c>
      <c r="R421">
        <f>IFERROR(__xludf.DUMMYFUNCTION("""COMPUTED_VALUE"""),1.0)</f>
        <v/>
      </c>
      <c r="S421">
        <f>IFERROR(__xludf.DUMMYFUNCTION("""COMPUTED_VALUE"""),500.0)</f>
        <v/>
      </c>
      <c r="T421">
        <f>IFERROR(__xludf.DUMMYFUNCTION("""COMPUTED_VALUE"""),"1.71")</f>
        <v/>
      </c>
      <c r="U421">
        <f>IFERROR(__xludf.DUMMYFUNCTION("""COMPUTED_VALUE"""),"stop有:1回目 0.93")</f>
        <v/>
      </c>
      <c r="W421">
        <f>IFERROR(__xludf.DUMMYFUNCTION("""COMPUTED_VALUE"""),"2.67")</f>
        <v/>
      </c>
      <c r="X421">
        <f>IFERROR(__xludf.DUMMYFUNCTION("""COMPUTED_VALUE"""),"stop有:1回目 1.53")</f>
        <v/>
      </c>
      <c r="Y421">
        <f>IFERROR(__xludf.DUMMYFUNCTION("""COMPUTED_VALUE"""),"自身のコマと前2コマまで300%の範囲ダメージ")</f>
        <v/>
      </c>
      <c r="Z421">
        <f>IFERROR(__xludf.DUMMYFUNCTION("""COMPUTED_VALUE"""),10.0)</f>
        <v/>
      </c>
      <c r="AB421">
        <f>IFERROR(__xludf.DUMMYFUNCTION("""COMPUTED_VALUE"""),"dageki_1")</f>
        <v/>
      </c>
    </row>
    <row r="422">
      <c r="D422">
        <f>IFERROR(__xludf.DUMMYFUNCTION("""COMPUTED_VALUE"""),"___")</f>
        <v/>
      </c>
      <c r="E422">
        <f>IFERROR(__xludf.DUMMYFUNCTION("""COMPUTED_VALUE"""),"none")</f>
        <v/>
      </c>
      <c r="F422">
        <f>IFERROR(__xludf.DUMMYFUNCTION("""COMPUTED_VALUE"""),"none")</f>
        <v/>
      </c>
      <c r="G422">
        <f>IFERROR(__xludf.DUMMYFUNCTION("""COMPUTED_VALUE"""),"none")</f>
        <v/>
      </c>
      <c r="I422">
        <f>IFERROR(__xludf.DUMMYFUNCTION("""COMPUTED_VALUE"""),"none")</f>
        <v/>
      </c>
      <c r="T422">
        <f>IFERROR(__xludf.DUMMYFUNCTION("""COMPUTED_VALUE"""),"none")</f>
        <v/>
      </c>
      <c r="U422">
        <f>IFERROR(__xludf.DUMMYFUNCTION("""COMPUTED_VALUE"""),"none")</f>
        <v/>
      </c>
      <c r="W422">
        <f>IFERROR(__xludf.DUMMYFUNCTION("""COMPUTED_VALUE"""),"none")</f>
        <v/>
      </c>
      <c r="X422">
        <f>IFERROR(__xludf.DUMMYFUNCTION("""COMPUTED_VALUE"""),"none")</f>
        <v/>
      </c>
      <c r="Z422">
        <f>IFERROR(__xludf.DUMMYFUNCTION("""COMPUTED_VALUE"""),"-")</f>
        <v/>
      </c>
      <c r="AB422">
        <f>IFERROR(__xludf.DUMMYFUNCTION("""COMPUTED_VALUE"""),"none")</f>
        <v/>
      </c>
    </row>
    <row r="423">
      <c r="B423">
        <f>IFERROR(__xludf.DUMMYFUNCTION("""COMPUTED_VALUE"""),"chara_kai_00701")</f>
        <v/>
      </c>
      <c r="C423">
        <f>IFERROR(__xludf.DUMMYFUNCTION("""COMPUTED_VALUE"""),"_glo2_1d1c")</f>
        <v/>
      </c>
      <c r="D423">
        <f>IFERROR(__xludf.DUMMYFUNCTION("""COMPUTED_VALUE"""),"c_kai_00701_glo2_1d1c_Normal_Colorless")</f>
        <v/>
      </c>
      <c r="E423">
        <f>IFERROR(__xludf.DUMMYFUNCTION("""COMPUTED_VALUE"""),"怪獣８号")</f>
        <v/>
      </c>
      <c r="F423">
        <f>IFERROR(__xludf.DUMMYFUNCTION("""COMPUTED_VALUE"""),"識別怪獣兵器1 鳴海 弦")</f>
        <v/>
      </c>
      <c r="G423">
        <f>IFERROR(__xludf.DUMMYFUNCTION("""COMPUTED_VALUE"""),"識別怪獣兵器1 鳴海 弦_glo2_1d1c")</f>
        <v/>
      </c>
      <c r="H423">
        <f>IFERROR(__xludf.DUMMYFUNCTION("""COMPUTED_VALUE"""),"Normal")</f>
        <v/>
      </c>
      <c r="I423">
        <f>IFERROR(__xludf.DUMMYFUNCTION("""COMPUTED_VALUE"""),"Defense")</f>
        <v/>
      </c>
      <c r="J423">
        <f>IFERROR(__xludf.DUMMYFUNCTION("""COMPUTED_VALUE"""),"Colorless")</f>
        <v/>
      </c>
      <c r="K423">
        <f>IFERROR(__xludf.DUMMYFUNCTION("""COMPUTED_VALUE"""),10000.0)</f>
        <v/>
      </c>
      <c r="L423">
        <f>IFERROR(__xludf.DUMMYFUNCTION("""COMPUTED_VALUE"""),1.0)</f>
        <v/>
      </c>
      <c r="M423">
        <f>IFERROR(__xludf.DUMMYFUNCTION("""COMPUTED_VALUE"""),50.0)</f>
        <v/>
      </c>
      <c r="N423">
        <f>IFERROR(__xludf.DUMMYFUNCTION("""COMPUTED_VALUE"""),0.21)</f>
        <v/>
      </c>
      <c r="O423">
        <f>IFERROR(__xludf.DUMMYFUNCTION("""COMPUTED_VALUE"""),300.0)</f>
        <v/>
      </c>
      <c r="P423">
        <f>IFERROR(__xludf.DUMMYFUNCTION("""COMPUTED_VALUE"""),0.0)</f>
        <v/>
      </c>
      <c r="Q423">
        <f>IFERROR(__xludf.DUMMYFUNCTION("""COMPUTED_VALUE"""),0.22)</f>
        <v/>
      </c>
      <c r="R423">
        <f>IFERROR(__xludf.DUMMYFUNCTION("""COMPUTED_VALUE"""),1.0)</f>
        <v/>
      </c>
      <c r="S423">
        <f>IFERROR(__xludf.DUMMYFUNCTION("""COMPUTED_VALUE"""),500.0)</f>
        <v/>
      </c>
      <c r="T423">
        <f>IFERROR(__xludf.DUMMYFUNCTION("""COMPUTED_VALUE"""),"1.3")</f>
        <v/>
      </c>
      <c r="U423">
        <f>IFERROR(__xludf.DUMMYFUNCTION("""COMPUTED_VALUE"""),"stop有:1回目 0.13")</f>
        <v/>
      </c>
      <c r="V423">
        <f>IFERROR(__xludf.DUMMYFUNCTION("""COMPUTED_VALUE"""),100.0)</f>
        <v/>
      </c>
      <c r="W423">
        <f>IFERROR(__xludf.DUMMYFUNCTION("""COMPUTED_VALUE"""),"2.88")</f>
        <v/>
      </c>
      <c r="X423">
        <f>IFERROR(__xludf.DUMMYFUNCTION("""COMPUTED_VALUE"""),"stop有:1回目 1.2")</f>
        <v/>
      </c>
      <c r="Z423">
        <f>IFERROR(__xludf.DUMMYFUNCTION("""COMPUTED_VALUE"""),"-")</f>
        <v/>
      </c>
    </row>
    <row r="424">
      <c r="B424">
        <f>IFERROR(__xludf.DUMMYFUNCTION("""COMPUTED_VALUE"""),"chara_gom_00701")</f>
        <v/>
      </c>
      <c r="C424">
        <f>IFERROR(__xludf.DUMMYFUNCTION("""COMPUTED_VALUE"""),"_glo2_1d1c")</f>
        <v/>
      </c>
      <c r="D424">
        <f>IFERROR(__xludf.DUMMYFUNCTION("""COMPUTED_VALUE"""),"c_gom_00701_glo2_1d1c_Normal_Colorless")</f>
        <v/>
      </c>
      <c r="E424">
        <f>IFERROR(__xludf.DUMMYFUNCTION("""COMPUTED_VALUE"""),"姫様“拷問”の時間です")</f>
        <v/>
      </c>
      <c r="F424">
        <f>IFERROR(__xludf.DUMMYFUNCTION("""COMPUTED_VALUE"""),"カナッジ")</f>
        <v/>
      </c>
      <c r="G424">
        <f>IFERROR(__xludf.DUMMYFUNCTION("""COMPUTED_VALUE"""),"カナッジ_glo2_1d1c")</f>
        <v/>
      </c>
      <c r="H424">
        <f>IFERROR(__xludf.DUMMYFUNCTION("""COMPUTED_VALUE"""),"Normal")</f>
        <v/>
      </c>
      <c r="I424">
        <f>IFERROR(__xludf.DUMMYFUNCTION("""COMPUTED_VALUE"""),"Technical")</f>
        <v/>
      </c>
      <c r="J424">
        <f>IFERROR(__xludf.DUMMYFUNCTION("""COMPUTED_VALUE"""),"Colorless")</f>
        <v/>
      </c>
      <c r="K424">
        <f>IFERROR(__xludf.DUMMYFUNCTION("""COMPUTED_VALUE"""),10000.0)</f>
        <v/>
      </c>
      <c r="L424">
        <f>IFERROR(__xludf.DUMMYFUNCTION("""COMPUTED_VALUE"""),1.0)</f>
        <v/>
      </c>
      <c r="M424">
        <f>IFERROR(__xludf.DUMMYFUNCTION("""COMPUTED_VALUE"""),30.0)</f>
        <v/>
      </c>
      <c r="N424">
        <f>IFERROR(__xludf.DUMMYFUNCTION("""COMPUTED_VALUE"""),0.19)</f>
        <v/>
      </c>
      <c r="O424">
        <f>IFERROR(__xludf.DUMMYFUNCTION("""COMPUTED_VALUE"""),300.0)</f>
        <v/>
      </c>
      <c r="P424">
        <f>IFERROR(__xludf.DUMMYFUNCTION("""COMPUTED_VALUE"""),0.0)</f>
        <v/>
      </c>
      <c r="Q424">
        <f>IFERROR(__xludf.DUMMYFUNCTION("""COMPUTED_VALUE"""),0.2)</f>
        <v/>
      </c>
      <c r="R424">
        <f>IFERROR(__xludf.DUMMYFUNCTION("""COMPUTED_VALUE"""),1.0)</f>
        <v/>
      </c>
      <c r="S424">
        <f>IFERROR(__xludf.DUMMYFUNCTION("""COMPUTED_VALUE"""),500.0)</f>
        <v/>
      </c>
      <c r="T424">
        <f>IFERROR(__xludf.DUMMYFUNCTION("""COMPUTED_VALUE"""),"1.57")</f>
        <v/>
      </c>
      <c r="U424">
        <f>IFERROR(__xludf.DUMMYFUNCTION("""COMPUTED_VALUE"""),"stop有: 0.42")</f>
        <v/>
      </c>
      <c r="V424">
        <f>IFERROR(__xludf.DUMMYFUNCTION("""COMPUTED_VALUE"""),100.0)</f>
        <v/>
      </c>
      <c r="W424">
        <f>IFERROR(__xludf.DUMMYFUNCTION("""COMPUTED_VALUE"""),"2.27")</f>
        <v/>
      </c>
      <c r="X424">
        <f>IFERROR(__xludf.DUMMYFUNCTION("""COMPUTED_VALUE"""),"stop無: 0.92")</f>
        <v/>
      </c>
      <c r="Z424">
        <f>IFERROR(__xludf.DUMMYFUNCTION("""COMPUTED_VALUE"""),"-")</f>
        <v/>
      </c>
      <c r="AB424">
        <f>IFERROR(__xludf.DUMMYFUNCTION("""COMPUTED_VALUE"""),"dageki_1")</f>
        <v/>
      </c>
    </row>
    <row r="425">
      <c r="B425">
        <f>IFERROR(__xludf.DUMMYFUNCTION("""COMPUTED_VALUE"""),"enemy_glo_00001")</f>
        <v/>
      </c>
      <c r="C425">
        <f>IFERROR(__xludf.DUMMYFUNCTION("""COMPUTED_VALUE"""),"_glo2_1d1c")</f>
        <v/>
      </c>
      <c r="D425">
        <f>IFERROR(__xludf.DUMMYFUNCTION("""COMPUTED_VALUE"""),"e_glo_00001_glo2_1d1c_Normal_Colorless")</f>
        <v/>
      </c>
      <c r="E425">
        <f>IFERROR(__xludf.DUMMYFUNCTION("""COMPUTED_VALUE"""),"GLOW")</f>
        <v/>
      </c>
      <c r="F425">
        <f>IFERROR(__xludf.DUMMYFUNCTION("""COMPUTED_VALUE"""),"ファントム")</f>
        <v/>
      </c>
      <c r="G425">
        <f>IFERROR(__xludf.DUMMYFUNCTION("""COMPUTED_VALUE"""),"ファントム_glo2_1d1c")</f>
        <v/>
      </c>
      <c r="H425">
        <f>IFERROR(__xludf.DUMMYFUNCTION("""COMPUTED_VALUE"""),"Normal")</f>
        <v/>
      </c>
      <c r="I425">
        <f>IFERROR(__xludf.DUMMYFUNCTION("""COMPUTED_VALUE"""),"Attack")</f>
        <v/>
      </c>
      <c r="J425">
        <f>IFERROR(__xludf.DUMMYFUNCTION("""COMPUTED_VALUE"""),"Colorless")</f>
        <v/>
      </c>
      <c r="K425">
        <f>IFERROR(__xludf.DUMMYFUNCTION("""COMPUTED_VALUE"""),1000.0)</f>
        <v/>
      </c>
      <c r="L425">
        <f>IFERROR(__xludf.DUMMYFUNCTION("""COMPUTED_VALUE"""),2.0)</f>
        <v/>
      </c>
      <c r="M425">
        <f>IFERROR(__xludf.DUMMYFUNCTION("""COMPUTED_VALUE"""),34.0)</f>
        <v/>
      </c>
      <c r="N425">
        <f>IFERROR(__xludf.DUMMYFUNCTION("""COMPUTED_VALUE"""),0.21)</f>
        <v/>
      </c>
      <c r="O425">
        <f>IFERROR(__xludf.DUMMYFUNCTION("""COMPUTED_VALUE"""),100.0)</f>
        <v/>
      </c>
      <c r="P425">
        <f>IFERROR(__xludf.DUMMYFUNCTION("""COMPUTED_VALUE"""),0.0)</f>
        <v/>
      </c>
      <c r="Q425">
        <f>IFERROR(__xludf.DUMMYFUNCTION("""COMPUTED_VALUE"""),0.22)</f>
        <v/>
      </c>
      <c r="R425">
        <f>IFERROR(__xludf.DUMMYFUNCTION("""COMPUTED_VALUE"""),1.0)</f>
        <v/>
      </c>
      <c r="S425">
        <f>IFERROR(__xludf.DUMMYFUNCTION("""COMPUTED_VALUE"""),100.0)</f>
        <v/>
      </c>
      <c r="T425">
        <f>IFERROR(__xludf.DUMMYFUNCTION("""COMPUTED_VALUE"""),"1.00")</f>
        <v/>
      </c>
      <c r="U425">
        <f>IFERROR(__xludf.DUMMYFUNCTION("""COMPUTED_VALUE"""),"0.50")</f>
        <v/>
      </c>
      <c r="V425">
        <f>IFERROR(__xludf.DUMMYFUNCTION("""COMPUTED_VALUE"""),100.0)</f>
        <v/>
      </c>
      <c r="Z425">
        <f>IFERROR(__xludf.DUMMYFUNCTION("""COMPUTED_VALUE"""),"-")</f>
        <v/>
      </c>
      <c r="AB425">
        <f>IFERROR(__xludf.DUMMYFUNCTION("""COMPUTED_VALUE"""),"dageki_1")</f>
        <v/>
      </c>
    </row>
    <row r="426">
      <c r="B426">
        <f>IFERROR(__xludf.DUMMYFUNCTION("""COMPUTED_VALUE"""),"chara_osh_00001")</f>
        <v/>
      </c>
      <c r="C426">
        <f>IFERROR(__xludf.DUMMYFUNCTION("""COMPUTED_VALUE"""),"_l05anniv_charaget01")</f>
        <v/>
      </c>
      <c r="D426">
        <f>IFERROR(__xludf.DUMMYFUNCTION("""COMPUTED_VALUE"""),"c_osh_00001_l05anniv_charaget01_Boss_Blue")</f>
        <v/>
      </c>
      <c r="E426">
        <f>IFERROR(__xludf.DUMMYFUNCTION("""COMPUTED_VALUE"""),"【推しの子】")</f>
        <v/>
      </c>
      <c r="F426">
        <f>IFERROR(__xludf.DUMMYFUNCTION("""COMPUTED_VALUE"""),"B小町不動のセンター アイ")</f>
        <v/>
      </c>
      <c r="G426">
        <f>IFERROR(__xludf.DUMMYFUNCTION("""COMPUTED_VALUE"""),"星野 アイ_l05anniv_charaget01")</f>
        <v/>
      </c>
      <c r="H426">
        <f>IFERROR(__xludf.DUMMYFUNCTION("""COMPUTED_VALUE"""),"Boss")</f>
        <v/>
      </c>
      <c r="I426">
        <f>IFERROR(__xludf.DUMMYFUNCTION("""COMPUTED_VALUE"""),"Support")</f>
        <v/>
      </c>
      <c r="J426">
        <f>IFERROR(__xludf.DUMMYFUNCTION("""COMPUTED_VALUE"""),"Blue")</f>
        <v/>
      </c>
      <c r="K426">
        <f>IFERROR(__xludf.DUMMYFUNCTION("""COMPUTED_VALUE"""),10000.0)</f>
        <v/>
      </c>
      <c r="L426">
        <f>IFERROR(__xludf.DUMMYFUNCTION("""COMPUTED_VALUE"""),2.0)</f>
        <v/>
      </c>
      <c r="M426">
        <f>IFERROR(__xludf.DUMMYFUNCTION("""COMPUTED_VALUE"""),25.0)</f>
        <v/>
      </c>
      <c r="N426">
        <f>IFERROR(__xludf.DUMMYFUNCTION("""COMPUTED_VALUE"""),0.35)</f>
        <v/>
      </c>
      <c r="O426">
        <f>IFERROR(__xludf.DUMMYFUNCTION("""COMPUTED_VALUE"""),100.0)</f>
        <v/>
      </c>
      <c r="P426">
        <f>IFERROR(__xludf.DUMMYFUNCTION("""COMPUTED_VALUE"""),0.0)</f>
        <v/>
      </c>
      <c r="Q426">
        <f>IFERROR(__xludf.DUMMYFUNCTION("""COMPUTED_VALUE"""),0.36)</f>
        <v/>
      </c>
      <c r="R426">
        <f>IFERROR(__xludf.DUMMYFUNCTION("""COMPUTED_VALUE"""),1.0)</f>
        <v/>
      </c>
      <c r="S426">
        <f>IFERROR(__xludf.DUMMYFUNCTION("""COMPUTED_VALUE"""),300.0)</f>
        <v/>
      </c>
      <c r="T426">
        <f>IFERROR(__xludf.DUMMYFUNCTION("""COMPUTED_VALUE"""),"1.60")</f>
        <v/>
      </c>
      <c r="U426">
        <f>IFERROR(__xludf.DUMMYFUNCTION("""COMPUTED_VALUE"""),"stop有:1回目 0.43")</f>
        <v/>
      </c>
      <c r="V426">
        <f>IFERROR(__xludf.DUMMYFUNCTION("""COMPUTED_VALUE"""),30.0)</f>
        <v/>
      </c>
      <c r="W426">
        <f>IFERROR(__xludf.DUMMYFUNCTION("""COMPUTED_VALUE"""),"3.24")</f>
        <v/>
      </c>
      <c r="X426">
        <f>IFERROR(__xludf.DUMMYFUNCTION("""COMPUTED_VALUE"""),"stop無:1回目 1.83")</f>
        <v/>
      </c>
      <c r="Y426">
        <f>IFERROR(__xludf.DUMMYFUNCTION("""COMPUTED_VALUE"""),"青属性の味方の体力10%回復")</f>
        <v/>
      </c>
      <c r="Z426">
        <f>IFERROR(__xludf.DUMMYFUNCTION("""COMPUTED_VALUE"""),5.0)</f>
        <v/>
      </c>
      <c r="AB426">
        <f>IFERROR(__xludf.DUMMYFUNCTION("""COMPUTED_VALUE"""),"shageki_1")</f>
        <v/>
      </c>
    </row>
    <row r="427">
      <c r="B427">
        <f>IFERROR(__xludf.DUMMYFUNCTION("""COMPUTED_VALUE"""),"enemy_glo_00002")</f>
        <v/>
      </c>
      <c r="C427">
        <f>IFERROR(__xludf.DUMMYFUNCTION("""COMPUTED_VALUE"""),"_l05anniv_charaget01")</f>
        <v/>
      </c>
      <c r="D427">
        <f>IFERROR(__xludf.DUMMYFUNCTION("""COMPUTED_VALUE"""),"e_glo_00002_l05anniv_charaget01_Normal_Blue")</f>
        <v/>
      </c>
      <c r="E427">
        <f>IFERROR(__xludf.DUMMYFUNCTION("""COMPUTED_VALUE"""),"GLOW")</f>
        <v/>
      </c>
      <c r="F427">
        <f>IFERROR(__xludf.DUMMYFUNCTION("""COMPUTED_VALUE"""),"推し活ファントム")</f>
        <v/>
      </c>
      <c r="G427">
        <f>IFERROR(__xludf.DUMMYFUNCTION("""COMPUTED_VALUE"""),"サイリウム持ちファントム_l05anniv_charaget01")</f>
        <v/>
      </c>
      <c r="H427">
        <f>IFERROR(__xludf.DUMMYFUNCTION("""COMPUTED_VALUE"""),"Normal")</f>
        <v/>
      </c>
      <c r="I427">
        <f>IFERROR(__xludf.DUMMYFUNCTION("""COMPUTED_VALUE"""),"Attack")</f>
        <v/>
      </c>
      <c r="J427">
        <f>IFERROR(__xludf.DUMMYFUNCTION("""COMPUTED_VALUE"""),"Blue")</f>
        <v/>
      </c>
      <c r="K427">
        <f>IFERROR(__xludf.DUMMYFUNCTION("""COMPUTED_VALUE"""),1000.0)</f>
        <v/>
      </c>
      <c r="L427">
        <f>IFERROR(__xludf.DUMMYFUNCTION("""COMPUTED_VALUE"""),3.0)</f>
        <v/>
      </c>
      <c r="M427">
        <f>IFERROR(__xludf.DUMMYFUNCTION("""COMPUTED_VALUE"""),25.0)</f>
        <v/>
      </c>
      <c r="N427">
        <f>IFERROR(__xludf.DUMMYFUNCTION("""COMPUTED_VALUE"""),0.19)</f>
        <v/>
      </c>
      <c r="O427">
        <f>IFERROR(__xludf.DUMMYFUNCTION("""COMPUTED_VALUE"""),100.0)</f>
        <v/>
      </c>
      <c r="P427">
        <f>IFERROR(__xludf.DUMMYFUNCTION("""COMPUTED_VALUE"""),0.0)</f>
        <v/>
      </c>
      <c r="Q427">
        <f>IFERROR(__xludf.DUMMYFUNCTION("""COMPUTED_VALUE"""),0.25)</f>
        <v/>
      </c>
      <c r="R427">
        <f>IFERROR(__xludf.DUMMYFUNCTION("""COMPUTED_VALUE"""),1.0)</f>
        <v/>
      </c>
      <c r="S427">
        <f>IFERROR(__xludf.DUMMYFUNCTION("""COMPUTED_VALUE"""),70.0)</f>
        <v/>
      </c>
      <c r="T427">
        <f>IFERROR(__xludf.DUMMYFUNCTION("""COMPUTED_VALUE"""),"1.17")</f>
        <v/>
      </c>
      <c r="U427">
        <f>IFERROR(__xludf.DUMMYFUNCTION("""COMPUTED_VALUE"""),"stop有:1回目 0.6")</f>
        <v/>
      </c>
      <c r="V427">
        <f>IFERROR(__xludf.DUMMYFUNCTION("""COMPUTED_VALUE"""),60.0)</f>
        <v/>
      </c>
      <c r="Z427">
        <f>IFERROR(__xludf.DUMMYFUNCTION("""COMPUTED_VALUE"""),"-")</f>
        <v/>
      </c>
      <c r="AB427">
        <f>IFERROR(__xludf.DUMMYFUNCTION("""COMPUTED_VALUE"""),"dageki_1")</f>
        <v/>
      </c>
    </row>
    <row r="428">
      <c r="B428">
        <f>IFERROR(__xludf.DUMMYFUNCTION("""COMPUTED_VALUE"""),"chara_osh_00201")</f>
        <v/>
      </c>
      <c r="C428">
        <f>IFERROR(__xludf.DUMMYFUNCTION("""COMPUTED_VALUE"""),"_l05anniv_charaget01")</f>
        <v/>
      </c>
      <c r="D428">
        <f>IFERROR(__xludf.DUMMYFUNCTION("""COMPUTED_VALUE"""),"c_osh_00201_l05anniv_charaget01_Normal_Blue")</f>
        <v/>
      </c>
      <c r="E428">
        <f>IFERROR(__xludf.DUMMYFUNCTION("""COMPUTED_VALUE"""),"【推しの子】")</f>
        <v/>
      </c>
      <c r="F428">
        <f>IFERROR(__xludf.DUMMYFUNCTION("""COMPUTED_VALUE"""),"星野 ルビー")</f>
        <v/>
      </c>
      <c r="G428">
        <f>IFERROR(__xludf.DUMMYFUNCTION("""COMPUTED_VALUE"""),"星野 ルビー_l05anniv_charaget01")</f>
        <v/>
      </c>
      <c r="H428">
        <f>IFERROR(__xludf.DUMMYFUNCTION("""COMPUTED_VALUE"""),"Normal")</f>
        <v/>
      </c>
      <c r="I428">
        <f>IFERROR(__xludf.DUMMYFUNCTION("""COMPUTED_VALUE"""),"Attack")</f>
        <v/>
      </c>
      <c r="J428">
        <f>IFERROR(__xludf.DUMMYFUNCTION("""COMPUTED_VALUE"""),"Blue")</f>
        <v/>
      </c>
      <c r="K428">
        <f>IFERROR(__xludf.DUMMYFUNCTION("""COMPUTED_VALUE"""),1000.0)</f>
        <v/>
      </c>
      <c r="L428">
        <f>IFERROR(__xludf.DUMMYFUNCTION("""COMPUTED_VALUE"""),2.0)</f>
        <v/>
      </c>
      <c r="M428">
        <f>IFERROR(__xludf.DUMMYFUNCTION("""COMPUTED_VALUE"""),35.0)</f>
        <v/>
      </c>
      <c r="N428">
        <f>IFERROR(__xludf.DUMMYFUNCTION("""COMPUTED_VALUE"""),0.22)</f>
        <v/>
      </c>
      <c r="O428">
        <f>IFERROR(__xludf.DUMMYFUNCTION("""COMPUTED_VALUE"""),100.0)</f>
        <v/>
      </c>
      <c r="P428">
        <f>IFERROR(__xludf.DUMMYFUNCTION("""COMPUTED_VALUE"""),0.0)</f>
        <v/>
      </c>
      <c r="Q428">
        <f>IFERROR(__xludf.DUMMYFUNCTION("""COMPUTED_VALUE"""),0.23)</f>
        <v/>
      </c>
      <c r="R428">
        <f>IFERROR(__xludf.DUMMYFUNCTION("""COMPUTED_VALUE"""),1.0)</f>
        <v/>
      </c>
      <c r="S428">
        <f>IFERROR(__xludf.DUMMYFUNCTION("""COMPUTED_VALUE"""),200.0)</f>
        <v/>
      </c>
      <c r="T428">
        <f>IFERROR(__xludf.DUMMYFUNCTION("""COMPUTED_VALUE"""),"1.37")</f>
        <v/>
      </c>
      <c r="U428">
        <f>IFERROR(__xludf.DUMMYFUNCTION("""COMPUTED_VALUE"""),"stop有:1回目 0.30
stop有:2回目 0.60")</f>
        <v/>
      </c>
      <c r="V428">
        <f>IFERROR(__xludf.DUMMYFUNCTION("""COMPUTED_VALUE"""),75.0)</f>
        <v/>
      </c>
      <c r="W428">
        <f>IFERROR(__xludf.DUMMYFUNCTION("""COMPUTED_VALUE"""),"3.00")</f>
        <v/>
      </c>
      <c r="X428">
        <f>IFERROR(__xludf.DUMMYFUNCTION("""COMPUTED_VALUE"""),"stop無:1回目 1.66")</f>
        <v/>
      </c>
      <c r="Y428">
        <f>IFERROR(__xludf.DUMMYFUNCTION("""COMPUTED_VALUE"""),"自身の攻撃を5秒間、50%Up")</f>
        <v/>
      </c>
      <c r="Z428">
        <f>IFERROR(__xludf.DUMMYFUNCTION("""COMPUTED_VALUE"""),6.0)</f>
        <v/>
      </c>
      <c r="AB428">
        <f>IFERROR(__xludf.DUMMYFUNCTION("""COMPUTED_VALUE"""),"dageki_2")</f>
        <v/>
      </c>
    </row>
    <row r="429">
      <c r="B429">
        <f>IFERROR(__xludf.DUMMYFUNCTION("""COMPUTED_VALUE"""),"chara_osh_00201")</f>
        <v/>
      </c>
      <c r="C429">
        <f>IFERROR(__xludf.DUMMYFUNCTION("""COMPUTED_VALUE"""),"_l05anniv_charaget01")</f>
        <v/>
      </c>
      <c r="D429">
        <f>IFERROR(__xludf.DUMMYFUNCTION("""COMPUTED_VALUE"""),"c_osh_00201_l05anniv_charaget01_Boss_Blue")</f>
        <v/>
      </c>
      <c r="E429">
        <f>IFERROR(__xludf.DUMMYFUNCTION("""COMPUTED_VALUE"""),"【推しの子】")</f>
        <v/>
      </c>
      <c r="F429">
        <f>IFERROR(__xludf.DUMMYFUNCTION("""COMPUTED_VALUE"""),"星野 ルビー")</f>
        <v/>
      </c>
      <c r="G429">
        <f>IFERROR(__xludf.DUMMYFUNCTION("""COMPUTED_VALUE"""),"星野 ルビー_l05anniv_charaget01")</f>
        <v/>
      </c>
      <c r="H429">
        <f>IFERROR(__xludf.DUMMYFUNCTION("""COMPUTED_VALUE"""),"Boss")</f>
        <v/>
      </c>
      <c r="I429">
        <f>IFERROR(__xludf.DUMMYFUNCTION("""COMPUTED_VALUE"""),"Attack")</f>
        <v/>
      </c>
      <c r="J429">
        <f>IFERROR(__xludf.DUMMYFUNCTION("""COMPUTED_VALUE"""),"Blue")</f>
        <v/>
      </c>
      <c r="K429">
        <f>IFERROR(__xludf.DUMMYFUNCTION("""COMPUTED_VALUE"""),10000.0)</f>
        <v/>
      </c>
      <c r="L429">
        <f>IFERROR(__xludf.DUMMYFUNCTION("""COMPUTED_VALUE"""),2.0)</f>
        <v/>
      </c>
      <c r="M429">
        <f>IFERROR(__xludf.DUMMYFUNCTION("""COMPUTED_VALUE"""),35.0)</f>
        <v/>
      </c>
      <c r="N429">
        <f>IFERROR(__xludf.DUMMYFUNCTION("""COMPUTED_VALUE"""),0.22)</f>
        <v/>
      </c>
      <c r="O429">
        <f>IFERROR(__xludf.DUMMYFUNCTION("""COMPUTED_VALUE"""),100.0)</f>
        <v/>
      </c>
      <c r="P429">
        <f>IFERROR(__xludf.DUMMYFUNCTION("""COMPUTED_VALUE"""),0.0)</f>
        <v/>
      </c>
      <c r="Q429">
        <f>IFERROR(__xludf.DUMMYFUNCTION("""COMPUTED_VALUE"""),0.23)</f>
        <v/>
      </c>
      <c r="R429">
        <f>IFERROR(__xludf.DUMMYFUNCTION("""COMPUTED_VALUE"""),1.0)</f>
        <v/>
      </c>
      <c r="S429">
        <f>IFERROR(__xludf.DUMMYFUNCTION("""COMPUTED_VALUE"""),200.0)</f>
        <v/>
      </c>
      <c r="T429">
        <f>IFERROR(__xludf.DUMMYFUNCTION("""COMPUTED_VALUE"""),"1.37")</f>
        <v/>
      </c>
      <c r="U429">
        <f>IFERROR(__xludf.DUMMYFUNCTION("""COMPUTED_VALUE"""),"stop有:1回目 0.30
stop有:2回目 0.60")</f>
        <v/>
      </c>
      <c r="V429">
        <f>IFERROR(__xludf.DUMMYFUNCTION("""COMPUTED_VALUE"""),75.0)</f>
        <v/>
      </c>
      <c r="W429">
        <f>IFERROR(__xludf.DUMMYFUNCTION("""COMPUTED_VALUE"""),"3.00")</f>
        <v/>
      </c>
      <c r="X429">
        <f>IFERROR(__xludf.DUMMYFUNCTION("""COMPUTED_VALUE"""),"stop無:1回目 1.66")</f>
        <v/>
      </c>
      <c r="Y429">
        <f>IFERROR(__xludf.DUMMYFUNCTION("""COMPUTED_VALUE"""),"自身の攻撃を5秒間、50%Up")</f>
        <v/>
      </c>
      <c r="Z429">
        <f>IFERROR(__xludf.DUMMYFUNCTION("""COMPUTED_VALUE"""),6.0)</f>
        <v/>
      </c>
      <c r="AB429">
        <f>IFERROR(__xludf.DUMMYFUNCTION("""COMPUTED_VALUE"""),"dageki_2")</f>
        <v/>
      </c>
    </row>
    <row r="430">
      <c r="B430">
        <f>IFERROR(__xludf.DUMMYFUNCTION("""COMPUTED_VALUE"""),"chara_gom_00001")</f>
        <v/>
      </c>
      <c r="C430">
        <f>IFERROR(__xludf.DUMMYFUNCTION("""COMPUTED_VALUE"""),"_l05anniv_challenge01")</f>
        <v/>
      </c>
      <c r="D430">
        <f>IFERROR(__xludf.DUMMYFUNCTION("""COMPUTED_VALUE"""),"c_gom_00001_l05anniv_challenge01_Boss_Colorless")</f>
        <v/>
      </c>
      <c r="E430">
        <f>IFERROR(__xludf.DUMMYFUNCTION("""COMPUTED_VALUE"""),"姫様“拷問”の時間です")</f>
        <v/>
      </c>
      <c r="F430">
        <f>IFERROR(__xludf.DUMMYFUNCTION("""COMPUTED_VALUE"""),"囚われの王女 姫様")</f>
        <v/>
      </c>
      <c r="G430">
        <f>IFERROR(__xludf.DUMMYFUNCTION("""COMPUTED_VALUE"""),"囚われの王女 姫様_l05anniv_challenge01")</f>
        <v/>
      </c>
      <c r="H430">
        <f>IFERROR(__xludf.DUMMYFUNCTION("""COMPUTED_VALUE"""),"Boss")</f>
        <v/>
      </c>
      <c r="I430">
        <f>IFERROR(__xludf.DUMMYFUNCTION("""COMPUTED_VALUE"""),"Defense")</f>
        <v/>
      </c>
      <c r="J430">
        <f>IFERROR(__xludf.DUMMYFUNCTION("""COMPUTED_VALUE"""),"Colorless")</f>
        <v/>
      </c>
      <c r="K430">
        <f>IFERROR(__xludf.DUMMYFUNCTION("""COMPUTED_VALUE"""),10000.0)</f>
        <v/>
      </c>
      <c r="L430">
        <f>IFERROR(__xludf.DUMMYFUNCTION("""COMPUTED_VALUE"""),0.0)</f>
        <v/>
      </c>
      <c r="M430">
        <f>IFERROR(__xludf.DUMMYFUNCTION("""COMPUTED_VALUE"""),75.0)</f>
        <v/>
      </c>
      <c r="N430">
        <f>IFERROR(__xludf.DUMMYFUNCTION("""COMPUTED_VALUE"""),0.18)</f>
        <v/>
      </c>
      <c r="O430">
        <f>IFERROR(__xludf.DUMMYFUNCTION("""COMPUTED_VALUE"""),100.0)</f>
        <v/>
      </c>
      <c r="P430">
        <f>IFERROR(__xludf.DUMMYFUNCTION("""COMPUTED_VALUE"""),0.0)</f>
        <v/>
      </c>
      <c r="Q430">
        <f>IFERROR(__xludf.DUMMYFUNCTION("""COMPUTED_VALUE"""),0.3)</f>
        <v/>
      </c>
      <c r="R430">
        <f>IFERROR(__xludf.DUMMYFUNCTION("""COMPUTED_VALUE"""),10.0)</f>
        <v/>
      </c>
      <c r="S430">
        <f>IFERROR(__xludf.DUMMYFUNCTION("""COMPUTED_VALUE"""),500.0)</f>
        <v/>
      </c>
      <c r="T430">
        <f>IFERROR(__xludf.DUMMYFUNCTION("""COMPUTED_VALUE"""),"1.30")</f>
        <v/>
      </c>
      <c r="U430">
        <f>IFERROR(__xludf.DUMMYFUNCTION("""COMPUTED_VALUE"""),"stop有:1回目 0.50")</f>
        <v/>
      </c>
      <c r="V430">
        <f>IFERROR(__xludf.DUMMYFUNCTION("""COMPUTED_VALUE"""),50.0)</f>
        <v/>
      </c>
      <c r="W430">
        <f>IFERROR(__xludf.DUMMYFUNCTION("""COMPUTED_VALUE"""),"4.00")</f>
        <v/>
      </c>
      <c r="X430">
        <f>IFERROR(__xludf.DUMMYFUNCTION("""COMPUTED_VALUE"""),"stop無:1回目 2.3")</f>
        <v/>
      </c>
      <c r="AB430">
        <f>IFERROR(__xludf.DUMMYFUNCTION("""COMPUTED_VALUE"""),"dageki_1")</f>
        <v/>
      </c>
    </row>
    <row r="431">
      <c r="B431">
        <f>IFERROR(__xludf.DUMMYFUNCTION("""COMPUTED_VALUE"""),"chara_gom_00101")</f>
        <v/>
      </c>
      <c r="C431">
        <f>IFERROR(__xludf.DUMMYFUNCTION("""COMPUTED_VALUE"""),"_l05anniv_challenge01")</f>
        <v/>
      </c>
      <c r="D431">
        <f>IFERROR(__xludf.DUMMYFUNCTION("""COMPUTED_VALUE"""),"c_gom_00101_l05anniv_challenge01_Boss_Colorless")</f>
        <v/>
      </c>
      <c r="E431">
        <f>IFERROR(__xludf.DUMMYFUNCTION("""COMPUTED_VALUE"""),"姫様“拷問”の時間です")</f>
        <v/>
      </c>
      <c r="F431">
        <f>IFERROR(__xludf.DUMMYFUNCTION("""COMPUTED_VALUE"""),"トーチャー・トルチュール")</f>
        <v/>
      </c>
      <c r="G431">
        <f>IFERROR(__xludf.DUMMYFUNCTION("""COMPUTED_VALUE"""),"トーチャー・トルチュール_l05anniv_challenge01")</f>
        <v/>
      </c>
      <c r="H431">
        <f>IFERROR(__xludf.DUMMYFUNCTION("""COMPUTED_VALUE"""),"Boss")</f>
        <v/>
      </c>
      <c r="I431">
        <f>IFERROR(__xludf.DUMMYFUNCTION("""COMPUTED_VALUE"""),"Technical")</f>
        <v/>
      </c>
      <c r="J431">
        <f>IFERROR(__xludf.DUMMYFUNCTION("""COMPUTED_VALUE"""),"Colorless")</f>
        <v/>
      </c>
      <c r="K431">
        <f>IFERROR(__xludf.DUMMYFUNCTION("""COMPUTED_VALUE"""),10000.0)</f>
        <v/>
      </c>
      <c r="L431">
        <f>IFERROR(__xludf.DUMMYFUNCTION("""COMPUTED_VALUE"""),1.0)</f>
        <v/>
      </c>
      <c r="M431">
        <f>IFERROR(__xludf.DUMMYFUNCTION("""COMPUTED_VALUE"""),40.0)</f>
        <v/>
      </c>
      <c r="N431">
        <f>IFERROR(__xludf.DUMMYFUNCTION("""COMPUTED_VALUE"""),0.25)</f>
        <v/>
      </c>
      <c r="O431">
        <f>IFERROR(__xludf.DUMMYFUNCTION("""COMPUTED_VALUE"""),100.0)</f>
        <v/>
      </c>
      <c r="P431">
        <f>IFERROR(__xludf.DUMMYFUNCTION("""COMPUTED_VALUE"""),0.0)</f>
        <v/>
      </c>
      <c r="Q431">
        <f>IFERROR(__xludf.DUMMYFUNCTION("""COMPUTED_VALUE"""),0.32)</f>
        <v/>
      </c>
      <c r="R431">
        <f>IFERROR(__xludf.DUMMYFUNCTION("""COMPUTED_VALUE"""),1.0)</f>
        <v/>
      </c>
      <c r="S431">
        <f>IFERROR(__xludf.DUMMYFUNCTION("""COMPUTED_VALUE"""),500.0)</f>
        <v/>
      </c>
      <c r="T431">
        <f>IFERROR(__xludf.DUMMYFUNCTION("""COMPUTED_VALUE"""),"1.34")</f>
        <v/>
      </c>
      <c r="U431">
        <f>IFERROR(__xludf.DUMMYFUNCTION("""COMPUTED_VALUE"""),"stop無:1回目 0.43")</f>
        <v/>
      </c>
      <c r="V431">
        <f>IFERROR(__xludf.DUMMYFUNCTION("""COMPUTED_VALUE"""),15.0)</f>
        <v/>
      </c>
      <c r="W431">
        <f>IFERROR(__xludf.DUMMYFUNCTION("""COMPUTED_VALUE"""),"4.84")</f>
        <v/>
      </c>
      <c r="X431">
        <f>IFERROR(__xludf.DUMMYFUNCTION("""COMPUTED_VALUE"""),"stop無:1回目 3.00")</f>
        <v/>
      </c>
      <c r="AB431">
        <f>IFERROR(__xludf.DUMMYFUNCTION("""COMPUTED_VALUE"""),"dageki_2")</f>
        <v/>
      </c>
    </row>
    <row r="432">
      <c r="B432">
        <f>IFERROR(__xludf.DUMMYFUNCTION("""COMPUTED_VALUE"""),"chara_gom_00201")</f>
        <v/>
      </c>
      <c r="C432">
        <f>IFERROR(__xludf.DUMMYFUNCTION("""COMPUTED_VALUE"""),"_l05anniv_challenge01")</f>
        <v/>
      </c>
      <c r="D432">
        <f>IFERROR(__xludf.DUMMYFUNCTION("""COMPUTED_VALUE"""),"c_gom_00201_l05anniv_challenge01_Boss_Colorless")</f>
        <v/>
      </c>
      <c r="E432">
        <f>IFERROR(__xludf.DUMMYFUNCTION("""COMPUTED_VALUE"""),"姫様“拷問”の時間です")</f>
        <v/>
      </c>
      <c r="F432">
        <f>IFERROR(__xludf.DUMMYFUNCTION("""COMPUTED_VALUE"""),"クロル")</f>
        <v/>
      </c>
      <c r="G432">
        <f>IFERROR(__xludf.DUMMYFUNCTION("""COMPUTED_VALUE"""),"クロル_l05anniv_challenge01")</f>
        <v/>
      </c>
      <c r="H432">
        <f>IFERROR(__xludf.DUMMYFUNCTION("""COMPUTED_VALUE"""),"Boss")</f>
        <v/>
      </c>
      <c r="I432">
        <f>IFERROR(__xludf.DUMMYFUNCTION("""COMPUTED_VALUE"""),"Attack")</f>
        <v/>
      </c>
      <c r="J432">
        <f>IFERROR(__xludf.DUMMYFUNCTION("""COMPUTED_VALUE"""),"Colorless")</f>
        <v/>
      </c>
      <c r="K432">
        <f>IFERROR(__xludf.DUMMYFUNCTION("""COMPUTED_VALUE"""),10000.0)</f>
        <v/>
      </c>
      <c r="L432">
        <f>IFERROR(__xludf.DUMMYFUNCTION("""COMPUTED_VALUE"""),1.0)</f>
        <v/>
      </c>
      <c r="M432">
        <f>IFERROR(__xludf.DUMMYFUNCTION("""COMPUTED_VALUE"""),55.0)</f>
        <v/>
      </c>
      <c r="N432">
        <f>IFERROR(__xludf.DUMMYFUNCTION("""COMPUTED_VALUE"""),0.52)</f>
        <v/>
      </c>
      <c r="O432">
        <f>IFERROR(__xludf.DUMMYFUNCTION("""COMPUTED_VALUE"""),100.0)</f>
        <v/>
      </c>
      <c r="P432">
        <f>IFERROR(__xludf.DUMMYFUNCTION("""COMPUTED_VALUE"""),0.0)</f>
        <v/>
      </c>
      <c r="Q432">
        <f>IFERROR(__xludf.DUMMYFUNCTION("""COMPUTED_VALUE"""),0.53)</f>
        <v/>
      </c>
      <c r="R432">
        <f>IFERROR(__xludf.DUMMYFUNCTION("""COMPUTED_VALUE"""),10.0)</f>
        <v/>
      </c>
      <c r="S432">
        <f>IFERROR(__xludf.DUMMYFUNCTION("""COMPUTED_VALUE"""),500.0)</f>
        <v/>
      </c>
      <c r="T432">
        <f>IFERROR(__xludf.DUMMYFUNCTION("""COMPUTED_VALUE"""),"1.43")</f>
        <v/>
      </c>
      <c r="U432">
        <f>IFERROR(__xludf.DUMMYFUNCTION("""COMPUTED_VALUE"""),"stop無:1回目 0.40
stop無:2回目 0.60
stop無:3回目 0.80")</f>
        <v/>
      </c>
      <c r="V432">
        <f>IFERROR(__xludf.DUMMYFUNCTION("""COMPUTED_VALUE"""),140.0)</f>
        <v/>
      </c>
      <c r="W432">
        <f>IFERROR(__xludf.DUMMYFUNCTION("""COMPUTED_VALUE"""),"5.00")</f>
        <v/>
      </c>
      <c r="X432">
        <f>IFERROR(__xludf.DUMMYFUNCTION("""COMPUTED_VALUE"""),"stop無:1回目 2.10
stop無:2回目 2.30
stop無:3回目 2.50
stop無:4回目 2.70
stop無:5回目 2.90
stop無:6回目 3.20
stop無:7回目 3.40
stop無:8回目 3.60
stop無:9回目 3.80")</f>
        <v/>
      </c>
      <c r="AB432">
        <f>IFERROR(__xludf.DUMMYFUNCTION("""COMPUTED_VALUE"""),"dageki_1")</f>
        <v/>
      </c>
    </row>
    <row r="433">
      <c r="B433">
        <f>IFERROR(__xludf.DUMMYFUNCTION("""COMPUTED_VALUE"""),"enemy_gom_00502")</f>
        <v/>
      </c>
      <c r="C433">
        <f>IFERROR(__xludf.DUMMYFUNCTION("""COMPUTED_VALUE"""),"_l05anniv_challenge01")</f>
        <v/>
      </c>
      <c r="D433">
        <f>IFERROR(__xludf.DUMMYFUNCTION("""COMPUTED_VALUE"""),"e_gom_00502_l05anniv_challenge01_Boss_Colorless")</f>
        <v/>
      </c>
      <c r="E433">
        <f>IFERROR(__xludf.DUMMYFUNCTION("""COMPUTED_VALUE"""),"姫様“拷問”の時間です")</f>
        <v/>
      </c>
      <c r="F433">
        <f>IFERROR(__xludf.DUMMYFUNCTION("""COMPUTED_VALUE"""),"割きトースト")</f>
        <v/>
      </c>
      <c r="G433">
        <f>IFERROR(__xludf.DUMMYFUNCTION("""COMPUTED_VALUE"""),"割きトースト_l05anniv_challenge01")</f>
        <v/>
      </c>
      <c r="H433">
        <f>IFERROR(__xludf.DUMMYFUNCTION("""COMPUTED_VALUE"""),"Boss")</f>
        <v/>
      </c>
      <c r="I433">
        <f>IFERROR(__xludf.DUMMYFUNCTION("""COMPUTED_VALUE"""),"Defense")</f>
        <v/>
      </c>
      <c r="J433">
        <f>IFERROR(__xludf.DUMMYFUNCTION("""COMPUTED_VALUE"""),"Colorless")</f>
        <v/>
      </c>
      <c r="K433">
        <f>IFERROR(__xludf.DUMMYFUNCTION("""COMPUTED_VALUE"""),10000.0)</f>
        <v/>
      </c>
      <c r="L433">
        <f>IFERROR(__xludf.DUMMYFUNCTION("""COMPUTED_VALUE"""),2.0)</f>
        <v/>
      </c>
      <c r="M433">
        <f>IFERROR(__xludf.DUMMYFUNCTION("""COMPUTED_VALUE"""),60.0)</f>
        <v/>
      </c>
      <c r="N433">
        <f>IFERROR(__xludf.DUMMYFUNCTION("""COMPUTED_VALUE"""),0.2)</f>
        <v/>
      </c>
      <c r="O433">
        <f>IFERROR(__xludf.DUMMYFUNCTION("""COMPUTED_VALUE"""),100.0)</f>
        <v/>
      </c>
      <c r="P433">
        <f>IFERROR(__xludf.DUMMYFUNCTION("""COMPUTED_VALUE"""),0.0)</f>
        <v/>
      </c>
      <c r="Q433">
        <f>IFERROR(__xludf.DUMMYFUNCTION("""COMPUTED_VALUE"""),0.23)</f>
        <v/>
      </c>
      <c r="R433">
        <f>IFERROR(__xludf.DUMMYFUNCTION("""COMPUTED_VALUE"""),1.0)</f>
        <v/>
      </c>
      <c r="S433">
        <f>IFERROR(__xludf.DUMMYFUNCTION("""COMPUTED_VALUE"""),200.0)</f>
        <v/>
      </c>
      <c r="T433">
        <f>IFERROR(__xludf.DUMMYFUNCTION("""COMPUTED_VALUE"""),"1.00")</f>
        <v/>
      </c>
      <c r="U433">
        <f>IFERROR(__xludf.DUMMYFUNCTION("""COMPUTED_VALUE"""),"0.833")</f>
        <v/>
      </c>
      <c r="V433">
        <f>IFERROR(__xludf.DUMMYFUNCTION("""COMPUTED_VALUE"""),100.0)</f>
        <v/>
      </c>
      <c r="W433">
        <f>IFERROR(__xludf.DUMMYFUNCTION("""COMPUTED_VALUE"""),"-")</f>
        <v/>
      </c>
      <c r="X433">
        <f>IFERROR(__xludf.DUMMYFUNCTION("""COMPUTED_VALUE"""),"-")</f>
        <v/>
      </c>
      <c r="AB433">
        <f>IFERROR(__xludf.DUMMYFUNCTION("""COMPUTED_VALUE"""),"dageki_1")</f>
        <v/>
      </c>
    </row>
    <row r="434">
      <c r="B434">
        <f>IFERROR(__xludf.DUMMYFUNCTION("""COMPUTED_VALUE"""),"enemy_gom_01001")</f>
        <v/>
      </c>
      <c r="C434">
        <f>IFERROR(__xludf.DUMMYFUNCTION("""COMPUTED_VALUE"""),"_l05anniv_challenge01")</f>
        <v/>
      </c>
      <c r="D434">
        <f>IFERROR(__xludf.DUMMYFUNCTION("""COMPUTED_VALUE"""),"e_gom_01001_l05anniv_challenge01_Boss_Colorless")</f>
        <v/>
      </c>
      <c r="E434">
        <f>IFERROR(__xludf.DUMMYFUNCTION("""COMPUTED_VALUE"""),"姫様“拷問”の時間です")</f>
        <v/>
      </c>
      <c r="F434">
        <f>IFERROR(__xludf.DUMMYFUNCTION("""COMPUTED_VALUE"""),"あんぱん")</f>
        <v/>
      </c>
      <c r="G434">
        <f>IFERROR(__xludf.DUMMYFUNCTION("""COMPUTED_VALUE"""),"あんぱん_l05anniv_challenge01")</f>
        <v/>
      </c>
      <c r="H434">
        <f>IFERROR(__xludf.DUMMYFUNCTION("""COMPUTED_VALUE"""),"Boss")</f>
        <v/>
      </c>
      <c r="I434">
        <f>IFERROR(__xludf.DUMMYFUNCTION("""COMPUTED_VALUE"""),"Attack")</f>
        <v/>
      </c>
      <c r="J434">
        <f>IFERROR(__xludf.DUMMYFUNCTION("""COMPUTED_VALUE"""),"Colorless")</f>
        <v/>
      </c>
      <c r="K434">
        <f>IFERROR(__xludf.DUMMYFUNCTION("""COMPUTED_VALUE"""),10000.0)</f>
        <v/>
      </c>
      <c r="L434">
        <f>IFERROR(__xludf.DUMMYFUNCTION("""COMPUTED_VALUE"""),2.0)</f>
        <v/>
      </c>
      <c r="M434">
        <f>IFERROR(__xludf.DUMMYFUNCTION("""COMPUTED_VALUE"""),60.0)</f>
        <v/>
      </c>
      <c r="N434">
        <f>IFERROR(__xludf.DUMMYFUNCTION("""COMPUTED_VALUE"""),0.3)</f>
        <v/>
      </c>
      <c r="O434">
        <f>IFERROR(__xludf.DUMMYFUNCTION("""COMPUTED_VALUE"""),100.0)</f>
        <v/>
      </c>
      <c r="P434">
        <f>IFERROR(__xludf.DUMMYFUNCTION("""COMPUTED_VALUE"""),0.0)</f>
        <v/>
      </c>
      <c r="Q434">
        <f>IFERROR(__xludf.DUMMYFUNCTION("""COMPUTED_VALUE"""),0.33)</f>
        <v/>
      </c>
      <c r="R434">
        <f>IFERROR(__xludf.DUMMYFUNCTION("""COMPUTED_VALUE"""),3.0)</f>
        <v/>
      </c>
      <c r="S434">
        <f>IFERROR(__xludf.DUMMYFUNCTION("""COMPUTED_VALUE"""),200.0)</f>
        <v/>
      </c>
      <c r="V434">
        <f>IFERROR(__xludf.DUMMYFUNCTION("""COMPUTED_VALUE"""),100.0)</f>
        <v/>
      </c>
      <c r="W434">
        <f>IFERROR(__xludf.DUMMYFUNCTION("""COMPUTED_VALUE"""),"-")</f>
        <v/>
      </c>
      <c r="X434">
        <f>IFERROR(__xludf.DUMMYFUNCTION("""COMPUTED_VALUE"""),"-")</f>
        <v/>
      </c>
    </row>
    <row r="435">
      <c r="B435">
        <f>IFERROR(__xludf.DUMMYFUNCTION("""COMPUTED_VALUE"""),"enemy_gom_00501")</f>
        <v/>
      </c>
      <c r="C435">
        <f>IFERROR(__xludf.DUMMYFUNCTION("""COMPUTED_VALUE"""),"_l05anniv_challenge01")</f>
        <v/>
      </c>
      <c r="D435">
        <f>IFERROR(__xludf.DUMMYFUNCTION("""COMPUTED_VALUE"""),"e_gom_00501_l05anniv_challenge01_Boss_Colorless")</f>
        <v/>
      </c>
      <c r="E435">
        <f>IFERROR(__xludf.DUMMYFUNCTION("""COMPUTED_VALUE"""),"姫様“拷問”の時間です")</f>
        <v/>
      </c>
      <c r="F435">
        <f>IFERROR(__xludf.DUMMYFUNCTION("""COMPUTED_VALUE"""),"バタートースト")</f>
        <v/>
      </c>
      <c r="G435">
        <f>IFERROR(__xludf.DUMMYFUNCTION("""COMPUTED_VALUE"""),"バタートースト_l05anniv_challenge01")</f>
        <v/>
      </c>
      <c r="H435">
        <f>IFERROR(__xludf.DUMMYFUNCTION("""COMPUTED_VALUE"""),"Boss")</f>
        <v/>
      </c>
      <c r="I435">
        <f>IFERROR(__xludf.DUMMYFUNCTION("""COMPUTED_VALUE"""),"Defense")</f>
        <v/>
      </c>
      <c r="J435">
        <f>IFERROR(__xludf.DUMMYFUNCTION("""COMPUTED_VALUE"""),"Colorless")</f>
        <v/>
      </c>
      <c r="K435">
        <f>IFERROR(__xludf.DUMMYFUNCTION("""COMPUTED_VALUE"""),10000.0)</f>
        <v/>
      </c>
      <c r="L435">
        <f>IFERROR(__xludf.DUMMYFUNCTION("""COMPUTED_VALUE"""),2.0)</f>
        <v/>
      </c>
      <c r="M435">
        <f>IFERROR(__xludf.DUMMYFUNCTION("""COMPUTED_VALUE"""),60.0)</f>
        <v/>
      </c>
      <c r="N435">
        <f>IFERROR(__xludf.DUMMYFUNCTION("""COMPUTED_VALUE"""),0.2)</f>
        <v/>
      </c>
      <c r="O435">
        <f>IFERROR(__xludf.DUMMYFUNCTION("""COMPUTED_VALUE"""),100.0)</f>
        <v/>
      </c>
      <c r="P435">
        <f>IFERROR(__xludf.DUMMYFUNCTION("""COMPUTED_VALUE"""),0.0)</f>
        <v/>
      </c>
      <c r="Q435">
        <f>IFERROR(__xludf.DUMMYFUNCTION("""COMPUTED_VALUE"""),0.23)</f>
        <v/>
      </c>
      <c r="R435">
        <f>IFERROR(__xludf.DUMMYFUNCTION("""COMPUTED_VALUE"""),1.0)</f>
        <v/>
      </c>
      <c r="S435">
        <f>IFERROR(__xludf.DUMMYFUNCTION("""COMPUTED_VALUE"""),200.0)</f>
        <v/>
      </c>
      <c r="T435">
        <f>IFERROR(__xludf.DUMMYFUNCTION("""COMPUTED_VALUE"""),"1.00")</f>
        <v/>
      </c>
      <c r="U435">
        <f>IFERROR(__xludf.DUMMYFUNCTION("""COMPUTED_VALUE"""),"0.833")</f>
        <v/>
      </c>
      <c r="V435">
        <f>IFERROR(__xludf.DUMMYFUNCTION("""COMPUTED_VALUE"""),80.0)</f>
        <v/>
      </c>
      <c r="W435">
        <f>IFERROR(__xludf.DUMMYFUNCTION("""COMPUTED_VALUE"""),"-")</f>
        <v/>
      </c>
      <c r="X435">
        <f>IFERROR(__xludf.DUMMYFUNCTION("""COMPUTED_VALUE"""),"-")</f>
        <v/>
      </c>
      <c r="AB435">
        <f>IFERROR(__xludf.DUMMYFUNCTION("""COMPUTED_VALUE"""),"dageki_1")</f>
        <v/>
      </c>
    </row>
    <row r="436">
      <c r="B436">
        <f>IFERROR(__xludf.DUMMYFUNCTION("""COMPUTED_VALUE"""),"enemy_gom_01002")</f>
        <v/>
      </c>
      <c r="C436">
        <f>IFERROR(__xludf.DUMMYFUNCTION("""COMPUTED_VALUE"""),"_l05anniv_challenge01")</f>
        <v/>
      </c>
      <c r="D436">
        <f>IFERROR(__xludf.DUMMYFUNCTION("""COMPUTED_VALUE"""),"e_gom_01002_l05anniv_challenge01_Boss_Colorless")</f>
        <v/>
      </c>
      <c r="E436">
        <f>IFERROR(__xludf.DUMMYFUNCTION("""COMPUTED_VALUE"""),"姫様“拷問”の時間です")</f>
        <v/>
      </c>
      <c r="F436">
        <f>IFERROR(__xludf.DUMMYFUNCTION("""COMPUTED_VALUE"""),"トーストあんぱん")</f>
        <v/>
      </c>
      <c r="G436">
        <f>IFERROR(__xludf.DUMMYFUNCTION("""COMPUTED_VALUE"""),"トーストあんぱん_l05anniv_challenge01")</f>
        <v/>
      </c>
      <c r="H436">
        <f>IFERROR(__xludf.DUMMYFUNCTION("""COMPUTED_VALUE"""),"Boss")</f>
        <v/>
      </c>
      <c r="I436">
        <f>IFERROR(__xludf.DUMMYFUNCTION("""COMPUTED_VALUE"""),"Attack")</f>
        <v/>
      </c>
      <c r="J436">
        <f>IFERROR(__xludf.DUMMYFUNCTION("""COMPUTED_VALUE"""),"Colorless")</f>
        <v/>
      </c>
      <c r="K436">
        <f>IFERROR(__xludf.DUMMYFUNCTION("""COMPUTED_VALUE"""),10000.0)</f>
        <v/>
      </c>
      <c r="L436">
        <f>IFERROR(__xludf.DUMMYFUNCTION("""COMPUTED_VALUE"""),2.0)</f>
        <v/>
      </c>
      <c r="M436">
        <f>IFERROR(__xludf.DUMMYFUNCTION("""COMPUTED_VALUE"""),60.0)</f>
        <v/>
      </c>
      <c r="N436">
        <f>IFERROR(__xludf.DUMMYFUNCTION("""COMPUTED_VALUE"""),0.3)</f>
        <v/>
      </c>
      <c r="O436">
        <f>IFERROR(__xludf.DUMMYFUNCTION("""COMPUTED_VALUE"""),100.0)</f>
        <v/>
      </c>
      <c r="P436">
        <f>IFERROR(__xludf.DUMMYFUNCTION("""COMPUTED_VALUE"""),0.0)</f>
        <v/>
      </c>
      <c r="Q436">
        <f>IFERROR(__xludf.DUMMYFUNCTION("""COMPUTED_VALUE"""),0.33)</f>
        <v/>
      </c>
      <c r="R436">
        <f>IFERROR(__xludf.DUMMYFUNCTION("""COMPUTED_VALUE"""),3.0)</f>
        <v/>
      </c>
      <c r="S436">
        <f>IFERROR(__xludf.DUMMYFUNCTION("""COMPUTED_VALUE"""),200.0)</f>
        <v/>
      </c>
      <c r="V436">
        <f>IFERROR(__xludf.DUMMYFUNCTION("""COMPUTED_VALUE"""),80.0)</f>
        <v/>
      </c>
      <c r="W436">
        <f>IFERROR(__xludf.DUMMYFUNCTION("""COMPUTED_VALUE"""),"-")</f>
        <v/>
      </c>
      <c r="X436">
        <f>IFERROR(__xludf.DUMMYFUNCTION("""COMPUTED_VALUE"""),"-")</f>
        <v/>
      </c>
    </row>
    <row r="437">
      <c r="B437">
        <f>IFERROR(__xludf.DUMMYFUNCTION("""COMPUTED_VALUE"""),"enemy_gom_00701")</f>
        <v/>
      </c>
      <c r="C437">
        <f>IFERROR(__xludf.DUMMYFUNCTION("""COMPUTED_VALUE"""),"_l05anniv_challenge01")</f>
        <v/>
      </c>
      <c r="D437">
        <f>IFERROR(__xludf.DUMMYFUNCTION("""COMPUTED_VALUE"""),"e_gom_00701_l05anniv_challenge01_Boss_Colorless")</f>
        <v/>
      </c>
      <c r="E437">
        <f>IFERROR(__xludf.DUMMYFUNCTION("""COMPUTED_VALUE"""),"姫様“拷問”の時間です")</f>
        <v/>
      </c>
      <c r="F437">
        <f>IFERROR(__xludf.DUMMYFUNCTION("""COMPUTED_VALUE"""),"ラーメン")</f>
        <v/>
      </c>
      <c r="G437">
        <f>IFERROR(__xludf.DUMMYFUNCTION("""COMPUTED_VALUE"""),"ラーメン_l05anniv_challenge01")</f>
        <v/>
      </c>
      <c r="H437">
        <f>IFERROR(__xludf.DUMMYFUNCTION("""COMPUTED_VALUE"""),"Boss")</f>
        <v/>
      </c>
      <c r="I437">
        <f>IFERROR(__xludf.DUMMYFUNCTION("""COMPUTED_VALUE"""),"Attack")</f>
        <v/>
      </c>
      <c r="J437">
        <f>IFERROR(__xludf.DUMMYFUNCTION("""COMPUTED_VALUE"""),"Colorless")</f>
        <v/>
      </c>
      <c r="K437">
        <f>IFERROR(__xludf.DUMMYFUNCTION("""COMPUTED_VALUE"""),10000.0)</f>
        <v/>
      </c>
      <c r="L437">
        <f>IFERROR(__xludf.DUMMYFUNCTION("""COMPUTED_VALUE"""),1.0)</f>
        <v/>
      </c>
      <c r="M437">
        <f>IFERROR(__xludf.DUMMYFUNCTION("""COMPUTED_VALUE"""),30.0)</f>
        <v/>
      </c>
      <c r="N437">
        <f>IFERROR(__xludf.DUMMYFUNCTION("""COMPUTED_VALUE"""),0.2)</f>
        <v/>
      </c>
      <c r="O437">
        <f>IFERROR(__xludf.DUMMYFUNCTION("""COMPUTED_VALUE"""),100.0)</f>
        <v/>
      </c>
      <c r="P437">
        <f>IFERROR(__xludf.DUMMYFUNCTION("""COMPUTED_VALUE"""),0.0)</f>
        <v/>
      </c>
      <c r="Q437">
        <f>IFERROR(__xludf.DUMMYFUNCTION("""COMPUTED_VALUE"""),0.25)</f>
        <v/>
      </c>
      <c r="R437">
        <f>IFERROR(__xludf.DUMMYFUNCTION("""COMPUTED_VALUE"""),10.0)</f>
        <v/>
      </c>
      <c r="S437">
        <f>IFERROR(__xludf.DUMMYFUNCTION("""COMPUTED_VALUE"""),200.0)</f>
        <v/>
      </c>
      <c r="T437">
        <f>IFERROR(__xludf.DUMMYFUNCTION("""COMPUTED_VALUE"""),"1.00")</f>
        <v/>
      </c>
      <c r="U437">
        <f>IFERROR(__xludf.DUMMYFUNCTION("""COMPUTED_VALUE"""),"0.833")</f>
        <v/>
      </c>
      <c r="V437">
        <f>IFERROR(__xludf.DUMMYFUNCTION("""COMPUTED_VALUE"""),15.0)</f>
        <v/>
      </c>
      <c r="W437">
        <f>IFERROR(__xludf.DUMMYFUNCTION("""COMPUTED_VALUE"""),"-")</f>
        <v/>
      </c>
      <c r="X437">
        <f>IFERROR(__xludf.DUMMYFUNCTION("""COMPUTED_VALUE"""),"-")</f>
        <v/>
      </c>
      <c r="AB437">
        <f>IFERROR(__xludf.DUMMYFUNCTION("""COMPUTED_VALUE"""),"dageki_1")</f>
        <v/>
      </c>
    </row>
    <row r="438">
      <c r="B438">
        <f>IFERROR(__xludf.DUMMYFUNCTION("""COMPUTED_VALUE"""),"enemy_gom_00901")</f>
        <v/>
      </c>
      <c r="C438">
        <f>IFERROR(__xludf.DUMMYFUNCTION("""COMPUTED_VALUE"""),"_l05anniv_challenge01")</f>
        <v/>
      </c>
      <c r="D438">
        <f>IFERROR(__xludf.DUMMYFUNCTION("""COMPUTED_VALUE"""),"e_gom_00901_l05anniv_challenge01_Boss_Colorless")</f>
        <v/>
      </c>
      <c r="E438">
        <f>IFERROR(__xludf.DUMMYFUNCTION("""COMPUTED_VALUE"""),"姫様“拷問”の時間です")</f>
        <v/>
      </c>
      <c r="F438">
        <f>IFERROR(__xludf.DUMMYFUNCTION("""COMPUTED_VALUE"""),"ライス (海苔)")</f>
        <v/>
      </c>
      <c r="G438">
        <f>IFERROR(__xludf.DUMMYFUNCTION("""COMPUTED_VALUE"""),"ライス(海苔)_l05anniv_challenge01")</f>
        <v/>
      </c>
      <c r="H438">
        <f>IFERROR(__xludf.DUMMYFUNCTION("""COMPUTED_VALUE"""),"Boss")</f>
        <v/>
      </c>
      <c r="I438">
        <f>IFERROR(__xludf.DUMMYFUNCTION("""COMPUTED_VALUE"""),"Attack")</f>
        <v/>
      </c>
      <c r="J438">
        <f>IFERROR(__xludf.DUMMYFUNCTION("""COMPUTED_VALUE"""),"Colorless")</f>
        <v/>
      </c>
      <c r="K438">
        <f>IFERROR(__xludf.DUMMYFUNCTION("""COMPUTED_VALUE"""),10000.0)</f>
        <v/>
      </c>
      <c r="L438">
        <f>IFERROR(__xludf.DUMMYFUNCTION("""COMPUTED_VALUE"""),1.0)</f>
        <v/>
      </c>
      <c r="M438">
        <f>IFERROR(__xludf.DUMMYFUNCTION("""COMPUTED_VALUE"""),30.0)</f>
        <v/>
      </c>
      <c r="N438">
        <f>IFERROR(__xludf.DUMMYFUNCTION("""COMPUTED_VALUE"""),0.2)</f>
        <v/>
      </c>
      <c r="O438">
        <f>IFERROR(__xludf.DUMMYFUNCTION("""COMPUTED_VALUE"""),100.0)</f>
        <v/>
      </c>
      <c r="P438">
        <f>IFERROR(__xludf.DUMMYFUNCTION("""COMPUTED_VALUE"""),0.0)</f>
        <v/>
      </c>
      <c r="Q438">
        <f>IFERROR(__xludf.DUMMYFUNCTION("""COMPUTED_VALUE"""),0.3)</f>
        <v/>
      </c>
      <c r="R438">
        <f>IFERROR(__xludf.DUMMYFUNCTION("""COMPUTED_VALUE"""),10.0)</f>
        <v/>
      </c>
      <c r="S438">
        <f>IFERROR(__xludf.DUMMYFUNCTION("""COMPUTED_VALUE"""),200.0)</f>
        <v/>
      </c>
      <c r="T438">
        <f>IFERROR(__xludf.DUMMYFUNCTION("""COMPUTED_VALUE"""),"1.00")</f>
        <v/>
      </c>
      <c r="U438">
        <f>IFERROR(__xludf.DUMMYFUNCTION("""COMPUTED_VALUE"""),"0.833")</f>
        <v/>
      </c>
      <c r="V438">
        <f>IFERROR(__xludf.DUMMYFUNCTION("""COMPUTED_VALUE"""),15.0)</f>
        <v/>
      </c>
      <c r="W438">
        <f>IFERROR(__xludf.DUMMYFUNCTION("""COMPUTED_VALUE"""),"-")</f>
        <v/>
      </c>
      <c r="X438">
        <f>IFERROR(__xludf.DUMMYFUNCTION("""COMPUTED_VALUE"""),"-")</f>
        <v/>
      </c>
      <c r="AB438">
        <f>IFERROR(__xludf.DUMMYFUNCTION("""COMPUTED_VALUE"""),"dageki_1")</f>
        <v/>
      </c>
    </row>
    <row r="439">
      <c r="B439">
        <f>IFERROR(__xludf.DUMMYFUNCTION("""COMPUTED_VALUE"""),"enemy_gom_00402")</f>
        <v/>
      </c>
      <c r="C439">
        <f>IFERROR(__xludf.DUMMYFUNCTION("""COMPUTED_VALUE"""),"_l05anniv_challenge01")</f>
        <v/>
      </c>
      <c r="D439">
        <f>IFERROR(__xludf.DUMMYFUNCTION("""COMPUTED_VALUE"""),"e_gom_00402_l05anniv_challenge01_Boss_Colorless")</f>
        <v/>
      </c>
      <c r="E439">
        <f>IFERROR(__xludf.DUMMYFUNCTION("""COMPUTED_VALUE"""),"姫様“拷問”の時間です")</f>
        <v/>
      </c>
      <c r="F439">
        <f>IFERROR(__xludf.DUMMYFUNCTION("""COMPUTED_VALUE"""),"たこ焼き")</f>
        <v/>
      </c>
      <c r="G439">
        <f>IFERROR(__xludf.DUMMYFUNCTION("""COMPUTED_VALUE"""),"たこ焼き_l05anniv_challenge01")</f>
        <v/>
      </c>
      <c r="H439">
        <f>IFERROR(__xludf.DUMMYFUNCTION("""COMPUTED_VALUE"""),"Boss")</f>
        <v/>
      </c>
      <c r="I439">
        <f>IFERROR(__xludf.DUMMYFUNCTION("""COMPUTED_VALUE"""),"Attack")</f>
        <v/>
      </c>
      <c r="J439">
        <f>IFERROR(__xludf.DUMMYFUNCTION("""COMPUTED_VALUE"""),"Colorless")</f>
        <v/>
      </c>
      <c r="K439">
        <f>IFERROR(__xludf.DUMMYFUNCTION("""COMPUTED_VALUE"""),10000.0)</f>
        <v/>
      </c>
      <c r="L439">
        <f>IFERROR(__xludf.DUMMYFUNCTION("""COMPUTED_VALUE"""),1.0)</f>
        <v/>
      </c>
      <c r="M439">
        <f>IFERROR(__xludf.DUMMYFUNCTION("""COMPUTED_VALUE"""),30.0)</f>
        <v/>
      </c>
      <c r="N439">
        <f>IFERROR(__xludf.DUMMYFUNCTION("""COMPUTED_VALUE"""),0.2)</f>
        <v/>
      </c>
      <c r="O439">
        <f>IFERROR(__xludf.DUMMYFUNCTION("""COMPUTED_VALUE"""),100.0)</f>
        <v/>
      </c>
      <c r="P439">
        <f>IFERROR(__xludf.DUMMYFUNCTION("""COMPUTED_VALUE"""),0.0)</f>
        <v/>
      </c>
      <c r="Q439">
        <f>IFERROR(__xludf.DUMMYFUNCTION("""COMPUTED_VALUE"""),0.21)</f>
        <v/>
      </c>
      <c r="R439">
        <f>IFERROR(__xludf.DUMMYFUNCTION("""COMPUTED_VALUE"""),10.0)</f>
        <v/>
      </c>
      <c r="S439">
        <f>IFERROR(__xludf.DUMMYFUNCTION("""COMPUTED_VALUE"""),200.0)</f>
        <v/>
      </c>
      <c r="T439">
        <f>IFERROR(__xludf.DUMMYFUNCTION("""COMPUTED_VALUE"""),"1.00")</f>
        <v/>
      </c>
      <c r="U439">
        <f>IFERROR(__xludf.DUMMYFUNCTION("""COMPUTED_VALUE"""),"0.833")</f>
        <v/>
      </c>
      <c r="V439">
        <f>IFERROR(__xludf.DUMMYFUNCTION("""COMPUTED_VALUE"""),15.0)</f>
        <v/>
      </c>
      <c r="W439">
        <f>IFERROR(__xludf.DUMMYFUNCTION("""COMPUTED_VALUE"""),"-")</f>
        <v/>
      </c>
      <c r="X439">
        <f>IFERROR(__xludf.DUMMYFUNCTION("""COMPUTED_VALUE"""),"-")</f>
        <v/>
      </c>
      <c r="AB439">
        <f>IFERROR(__xludf.DUMMYFUNCTION("""COMPUTED_VALUE"""),"dageki_1")</f>
        <v/>
      </c>
    </row>
    <row r="440">
      <c r="B440">
        <f>IFERROR(__xludf.DUMMYFUNCTION("""COMPUTED_VALUE"""),"enemy_glo_00001")</f>
        <v/>
      </c>
      <c r="C440">
        <f>IFERROR(__xludf.DUMMYFUNCTION("""COMPUTED_VALUE"""),"_l05anniv_challenge01")</f>
        <v/>
      </c>
      <c r="D440">
        <f>IFERROR(__xludf.DUMMYFUNCTION("""COMPUTED_VALUE"""),"e_glo_00001_l05anniv_challenge01_Normal_Colorless")</f>
        <v/>
      </c>
      <c r="E440">
        <f>IFERROR(__xludf.DUMMYFUNCTION("""COMPUTED_VALUE"""),"GLOW")</f>
        <v/>
      </c>
      <c r="F440">
        <f>IFERROR(__xludf.DUMMYFUNCTION("""COMPUTED_VALUE"""),"ファントム")</f>
        <v/>
      </c>
      <c r="G440">
        <f>IFERROR(__xludf.DUMMYFUNCTION("""COMPUTED_VALUE"""),"ファントム_l05anniv_challenge01")</f>
        <v/>
      </c>
      <c r="H440">
        <f>IFERROR(__xludf.DUMMYFUNCTION("""COMPUTED_VALUE"""),"Normal")</f>
        <v/>
      </c>
      <c r="I440">
        <f>IFERROR(__xludf.DUMMYFUNCTION("""COMPUTED_VALUE"""),"Attack")</f>
        <v/>
      </c>
      <c r="J440">
        <f>IFERROR(__xludf.DUMMYFUNCTION("""COMPUTED_VALUE"""),"Colorless")</f>
        <v/>
      </c>
      <c r="K440">
        <f>IFERROR(__xludf.DUMMYFUNCTION("""COMPUTED_VALUE"""),1000.0)</f>
        <v/>
      </c>
      <c r="L440">
        <f>IFERROR(__xludf.DUMMYFUNCTION("""COMPUTED_VALUE"""),2.0)</f>
        <v/>
      </c>
      <c r="M440">
        <f>IFERROR(__xludf.DUMMYFUNCTION("""COMPUTED_VALUE"""),25.0)</f>
        <v/>
      </c>
      <c r="N440">
        <f>IFERROR(__xludf.DUMMYFUNCTION("""COMPUTED_VALUE"""),0.18)</f>
        <v/>
      </c>
      <c r="O440">
        <f>IFERROR(__xludf.DUMMYFUNCTION("""COMPUTED_VALUE"""),100.0)</f>
        <v/>
      </c>
      <c r="P440">
        <f>IFERROR(__xludf.DUMMYFUNCTION("""COMPUTED_VALUE"""),0.0)</f>
        <v/>
      </c>
      <c r="Q440">
        <f>IFERROR(__xludf.DUMMYFUNCTION("""COMPUTED_VALUE"""),0.2)</f>
        <v/>
      </c>
      <c r="R440">
        <f>IFERROR(__xludf.DUMMYFUNCTION("""COMPUTED_VALUE"""),1.0)</f>
        <v/>
      </c>
      <c r="S440">
        <f>IFERROR(__xludf.DUMMYFUNCTION("""COMPUTED_VALUE"""),100.0)</f>
        <v/>
      </c>
      <c r="T440">
        <f>IFERROR(__xludf.DUMMYFUNCTION("""COMPUTED_VALUE"""),"1.00")</f>
        <v/>
      </c>
      <c r="U440">
        <f>IFERROR(__xludf.DUMMYFUNCTION("""COMPUTED_VALUE"""),"0.50")</f>
        <v/>
      </c>
      <c r="V440">
        <f>IFERROR(__xludf.DUMMYFUNCTION("""COMPUTED_VALUE"""),70.0)</f>
        <v/>
      </c>
      <c r="AB440">
        <f>IFERROR(__xludf.DUMMYFUNCTION("""COMPUTED_VALUE"""),"dageki_1")</f>
        <v/>
      </c>
    </row>
    <row r="441">
      <c r="D441">
        <f>IFERROR(__xludf.DUMMYFUNCTION("""COMPUTED_VALUE"""),"___")</f>
        <v/>
      </c>
      <c r="E441">
        <f>IFERROR(__xludf.DUMMYFUNCTION("""COMPUTED_VALUE"""),"none")</f>
        <v/>
      </c>
      <c r="F441">
        <f>IFERROR(__xludf.DUMMYFUNCTION("""COMPUTED_VALUE"""),"none")</f>
        <v/>
      </c>
      <c r="G441">
        <f>IFERROR(__xludf.DUMMYFUNCTION("""COMPUTED_VALUE"""),"none")</f>
        <v/>
      </c>
      <c r="I441">
        <f>IFERROR(__xludf.DUMMYFUNCTION("""COMPUTED_VALUE"""),"none")</f>
        <v/>
      </c>
      <c r="T441">
        <f>IFERROR(__xludf.DUMMYFUNCTION("""COMPUTED_VALUE"""),"none")</f>
        <v/>
      </c>
      <c r="U441">
        <f>IFERROR(__xludf.DUMMYFUNCTION("""COMPUTED_VALUE"""),"none")</f>
        <v/>
      </c>
      <c r="W441">
        <f>IFERROR(__xludf.DUMMYFUNCTION("""COMPUTED_VALUE"""),"none")</f>
        <v/>
      </c>
      <c r="X441">
        <f>IFERROR(__xludf.DUMMYFUNCTION("""COMPUTED_VALUE"""),"none")</f>
        <v/>
      </c>
      <c r="Z441">
        <f>IFERROR(__xludf.DUMMYFUNCTION("""COMPUTED_VALUE"""),"-")</f>
        <v/>
      </c>
      <c r="AB441">
        <f>IFERROR(__xludf.DUMMYFUNCTION("""COMPUTED_VALUE"""),"none")</f>
        <v/>
      </c>
    </row>
    <row r="442">
      <c r="B442">
        <f>IFERROR(__xludf.DUMMYFUNCTION("""COMPUTED_VALUE"""),"enemy_aya_00001")</f>
        <v/>
      </c>
      <c r="C442">
        <f>IFERROR(__xludf.DUMMYFUNCTION("""COMPUTED_VALUE"""),"_aya1_1d1c")</f>
        <v/>
      </c>
      <c r="D442">
        <f>IFERROR(__xludf.DUMMYFUNCTION("""COMPUTED_VALUE"""),"e_aya_00001_aya1_1d1c_Boss_Colorless")</f>
        <v/>
      </c>
      <c r="E442">
        <f>IFERROR(__xludf.DUMMYFUNCTION("""COMPUTED_VALUE"""),"あやかしトライアングル")</f>
        <v/>
      </c>
      <c r="F442">
        <f>IFERROR(__xludf.DUMMYFUNCTION("""COMPUTED_VALUE"""),"シロガネ")</f>
        <v/>
      </c>
      <c r="G442">
        <f>IFERROR(__xludf.DUMMYFUNCTION("""COMPUTED_VALUE"""),"シロガネ_aya1_1d1c")</f>
        <v/>
      </c>
      <c r="H442">
        <f>IFERROR(__xludf.DUMMYFUNCTION("""COMPUTED_VALUE"""),"Boss")</f>
        <v/>
      </c>
      <c r="I442">
        <f>IFERROR(__xludf.DUMMYFUNCTION("""COMPUTED_VALUE"""),"Attack")</f>
        <v/>
      </c>
      <c r="J442">
        <f>IFERROR(__xludf.DUMMYFUNCTION("""COMPUTED_VALUE"""),"Colorless")</f>
        <v/>
      </c>
      <c r="K442">
        <f>IFERROR(__xludf.DUMMYFUNCTION("""COMPUTED_VALUE"""),10000.0)</f>
        <v/>
      </c>
      <c r="L442">
        <f>IFERROR(__xludf.DUMMYFUNCTION("""COMPUTED_VALUE"""),2.0)</f>
        <v/>
      </c>
      <c r="M442">
        <f>IFERROR(__xludf.DUMMYFUNCTION("""COMPUTED_VALUE"""),34.0)</f>
        <v/>
      </c>
      <c r="N442">
        <f>IFERROR(__xludf.DUMMYFUNCTION("""COMPUTED_VALUE"""),0.3)</f>
        <v/>
      </c>
      <c r="O442">
        <f>IFERROR(__xludf.DUMMYFUNCTION("""COMPUTED_VALUE"""),100.0)</f>
        <v/>
      </c>
      <c r="P442">
        <f>IFERROR(__xludf.DUMMYFUNCTION("""COMPUTED_VALUE"""),0.0)</f>
        <v/>
      </c>
      <c r="Q442">
        <f>IFERROR(__xludf.DUMMYFUNCTION("""COMPUTED_VALUE"""),0.32)</f>
        <v/>
      </c>
      <c r="R442">
        <f>IFERROR(__xludf.DUMMYFUNCTION("""COMPUTED_VALUE"""),1.0)</f>
        <v/>
      </c>
      <c r="S442">
        <f>IFERROR(__xludf.DUMMYFUNCTION("""COMPUTED_VALUE"""),200.0)</f>
        <v/>
      </c>
      <c r="U442">
        <f>IFERROR(__xludf.DUMMYFUNCTION("""COMPUTED_VALUE"""),"stop有:0.63")</f>
        <v/>
      </c>
      <c r="V442">
        <f>IFERROR(__xludf.DUMMYFUNCTION("""COMPUTED_VALUE"""),70.0)</f>
        <v/>
      </c>
      <c r="W442">
        <f>IFERROR(__xludf.DUMMYFUNCTION("""COMPUTED_VALUE"""),"-")</f>
        <v/>
      </c>
      <c r="X442">
        <f>IFERROR(__xludf.DUMMYFUNCTION("""COMPUTED_VALUE"""),"-")</f>
        <v/>
      </c>
      <c r="Z442">
        <f>IFERROR(__xludf.DUMMYFUNCTION("""COMPUTED_VALUE"""),"-")</f>
        <v/>
      </c>
    </row>
    <row r="443">
      <c r="B443">
        <f>IFERROR(__xludf.DUMMYFUNCTION("""COMPUTED_VALUE"""),"enemy_glo_00001")</f>
        <v/>
      </c>
      <c r="C443">
        <f>IFERROR(__xludf.DUMMYFUNCTION("""COMPUTED_VALUE"""),"_aya1_1d1c")</f>
        <v/>
      </c>
      <c r="D443">
        <f>IFERROR(__xludf.DUMMYFUNCTION("""COMPUTED_VALUE"""),"e_glo_00001_aya1_1d1c_Normal_Colorless")</f>
        <v/>
      </c>
      <c r="E443">
        <f>IFERROR(__xludf.DUMMYFUNCTION("""COMPUTED_VALUE"""),"GLOW")</f>
        <v/>
      </c>
      <c r="F443">
        <f>IFERROR(__xludf.DUMMYFUNCTION("""COMPUTED_VALUE"""),"ファントム")</f>
        <v/>
      </c>
      <c r="G443">
        <f>IFERROR(__xludf.DUMMYFUNCTION("""COMPUTED_VALUE"""),"ファントム_aya1_1d1c")</f>
        <v/>
      </c>
      <c r="H443">
        <f>IFERROR(__xludf.DUMMYFUNCTION("""COMPUTED_VALUE"""),"Normal")</f>
        <v/>
      </c>
      <c r="I443">
        <f>IFERROR(__xludf.DUMMYFUNCTION("""COMPUTED_VALUE"""),"Attack")</f>
        <v/>
      </c>
      <c r="J443">
        <f>IFERROR(__xludf.DUMMYFUNCTION("""COMPUTED_VALUE"""),"Colorless")</f>
        <v/>
      </c>
      <c r="K443">
        <f>IFERROR(__xludf.DUMMYFUNCTION("""COMPUTED_VALUE"""),1000.0)</f>
        <v/>
      </c>
      <c r="L443">
        <f>IFERROR(__xludf.DUMMYFUNCTION("""COMPUTED_VALUE"""),2.0)</f>
        <v/>
      </c>
      <c r="M443">
        <f>IFERROR(__xludf.DUMMYFUNCTION("""COMPUTED_VALUE"""),34.0)</f>
        <v/>
      </c>
      <c r="N443">
        <f>IFERROR(__xludf.DUMMYFUNCTION("""COMPUTED_VALUE"""),0.21)</f>
        <v/>
      </c>
      <c r="O443">
        <f>IFERROR(__xludf.DUMMYFUNCTION("""COMPUTED_VALUE"""),100.0)</f>
        <v/>
      </c>
      <c r="P443">
        <f>IFERROR(__xludf.DUMMYFUNCTION("""COMPUTED_VALUE"""),0.0)</f>
        <v/>
      </c>
      <c r="Q443">
        <f>IFERROR(__xludf.DUMMYFUNCTION("""COMPUTED_VALUE"""),0.22)</f>
        <v/>
      </c>
      <c r="R443">
        <f>IFERROR(__xludf.DUMMYFUNCTION("""COMPUTED_VALUE"""),1.0)</f>
        <v/>
      </c>
      <c r="S443">
        <f>IFERROR(__xludf.DUMMYFUNCTION("""COMPUTED_VALUE"""),100.0)</f>
        <v/>
      </c>
      <c r="T443">
        <f>IFERROR(__xludf.DUMMYFUNCTION("""COMPUTED_VALUE"""),"1.00")</f>
        <v/>
      </c>
      <c r="U443">
        <f>IFERROR(__xludf.DUMMYFUNCTION("""COMPUTED_VALUE"""),"0.50")</f>
        <v/>
      </c>
      <c r="V443">
        <f>IFERROR(__xludf.DUMMYFUNCTION("""COMPUTED_VALUE"""),100.0)</f>
        <v/>
      </c>
      <c r="Z443">
        <f>IFERROR(__xludf.DUMMYFUNCTION("""COMPUTED_VALUE"""),"-")</f>
        <v/>
      </c>
      <c r="AB443">
        <f>IFERROR(__xludf.DUMMYFUNCTION("""COMPUTED_VALUE"""),"dageki_1")</f>
        <v/>
      </c>
    </row>
    <row r="444">
      <c r="D444">
        <f>IFERROR(__xludf.DUMMYFUNCTION("""COMPUTED_VALUE"""),"___")</f>
        <v/>
      </c>
      <c r="E444">
        <f>IFERROR(__xludf.DUMMYFUNCTION("""COMPUTED_VALUE"""),"none")</f>
        <v/>
      </c>
      <c r="F444">
        <f>IFERROR(__xludf.DUMMYFUNCTION("""COMPUTED_VALUE"""),"none")</f>
        <v/>
      </c>
      <c r="G444">
        <f>IFERROR(__xludf.DUMMYFUNCTION("""COMPUTED_VALUE"""),"none")</f>
        <v/>
      </c>
      <c r="I444">
        <f>IFERROR(__xludf.DUMMYFUNCTION("""COMPUTED_VALUE"""),"none")</f>
        <v/>
      </c>
      <c r="T444">
        <f>IFERROR(__xludf.DUMMYFUNCTION("""COMPUTED_VALUE"""),"none")</f>
        <v/>
      </c>
      <c r="U444">
        <f>IFERROR(__xludf.DUMMYFUNCTION("""COMPUTED_VALUE"""),"none")</f>
        <v/>
      </c>
      <c r="W444">
        <f>IFERROR(__xludf.DUMMYFUNCTION("""COMPUTED_VALUE"""),"none")</f>
        <v/>
      </c>
      <c r="X444">
        <f>IFERROR(__xludf.DUMMYFUNCTION("""COMPUTED_VALUE"""),"none")</f>
        <v/>
      </c>
      <c r="Z444">
        <f>IFERROR(__xludf.DUMMYFUNCTION("""COMPUTED_VALUE"""),"-")</f>
        <v/>
      </c>
      <c r="AB444">
        <f>IFERROR(__xludf.DUMMYFUNCTION("""COMPUTED_VALUE"""),"none")</f>
        <v/>
      </c>
    </row>
    <row r="445">
      <c r="D445">
        <f>IFERROR(__xludf.DUMMYFUNCTION("""COMPUTED_VALUE"""),"___")</f>
        <v/>
      </c>
      <c r="E445">
        <f>IFERROR(__xludf.DUMMYFUNCTION("""COMPUTED_VALUE"""),"none")</f>
        <v/>
      </c>
      <c r="F445">
        <f>IFERROR(__xludf.DUMMYFUNCTION("""COMPUTED_VALUE"""),"none")</f>
        <v/>
      </c>
      <c r="G445">
        <f>IFERROR(__xludf.DUMMYFUNCTION("""COMPUTED_VALUE"""),"none")</f>
        <v/>
      </c>
      <c r="I445">
        <f>IFERROR(__xludf.DUMMYFUNCTION("""COMPUTED_VALUE"""),"none")</f>
        <v/>
      </c>
      <c r="T445">
        <f>IFERROR(__xludf.DUMMYFUNCTION("""COMPUTED_VALUE"""),"none")</f>
        <v/>
      </c>
      <c r="U445">
        <f>IFERROR(__xludf.DUMMYFUNCTION("""COMPUTED_VALUE"""),"none")</f>
        <v/>
      </c>
      <c r="W445">
        <f>IFERROR(__xludf.DUMMYFUNCTION("""COMPUTED_VALUE"""),"none")</f>
        <v/>
      </c>
      <c r="X445">
        <f>IFERROR(__xludf.DUMMYFUNCTION("""COMPUTED_VALUE"""),"none")</f>
        <v/>
      </c>
      <c r="Z445">
        <f>IFERROR(__xludf.DUMMYFUNCTION("""COMPUTED_VALUE"""),"-")</f>
        <v/>
      </c>
      <c r="AB445">
        <f>IFERROR(__xludf.DUMMYFUNCTION("""COMPUTED_VALUE"""),"none")</f>
        <v/>
      </c>
    </row>
    <row r="446">
      <c r="D446">
        <f>IFERROR(__xludf.DUMMYFUNCTION("""COMPUTED_VALUE"""),"___")</f>
        <v/>
      </c>
      <c r="E446">
        <f>IFERROR(__xludf.DUMMYFUNCTION("""COMPUTED_VALUE"""),"none")</f>
        <v/>
      </c>
      <c r="F446">
        <f>IFERROR(__xludf.DUMMYFUNCTION("""COMPUTED_VALUE"""),"none")</f>
        <v/>
      </c>
      <c r="G446">
        <f>IFERROR(__xludf.DUMMYFUNCTION("""COMPUTED_VALUE"""),"none")</f>
        <v/>
      </c>
      <c r="I446">
        <f>IFERROR(__xludf.DUMMYFUNCTION("""COMPUTED_VALUE"""),"none")</f>
        <v/>
      </c>
      <c r="T446">
        <f>IFERROR(__xludf.DUMMYFUNCTION("""COMPUTED_VALUE"""),"none")</f>
        <v/>
      </c>
      <c r="U446">
        <f>IFERROR(__xludf.DUMMYFUNCTION("""COMPUTED_VALUE"""),"none")</f>
        <v/>
      </c>
      <c r="W446">
        <f>IFERROR(__xludf.DUMMYFUNCTION("""COMPUTED_VALUE"""),"none")</f>
        <v/>
      </c>
      <c r="X446">
        <f>IFERROR(__xludf.DUMMYFUNCTION("""COMPUTED_VALUE"""),"none")</f>
        <v/>
      </c>
      <c r="Z446">
        <f>IFERROR(__xludf.DUMMYFUNCTION("""COMPUTED_VALUE"""),"-")</f>
        <v/>
      </c>
      <c r="AB446">
        <f>IFERROR(__xludf.DUMMYFUNCTION("""COMPUTED_VALUE"""),"none")</f>
        <v/>
      </c>
    </row>
    <row r="447">
      <c r="D447">
        <f>IFERROR(__xludf.DUMMYFUNCTION("""COMPUTED_VALUE"""),"___")</f>
        <v/>
      </c>
      <c r="E447">
        <f>IFERROR(__xludf.DUMMYFUNCTION("""COMPUTED_VALUE"""),"none")</f>
        <v/>
      </c>
      <c r="F447">
        <f>IFERROR(__xludf.DUMMYFUNCTION("""COMPUTED_VALUE"""),"none")</f>
        <v/>
      </c>
      <c r="G447">
        <f>IFERROR(__xludf.DUMMYFUNCTION("""COMPUTED_VALUE"""),"none")</f>
        <v/>
      </c>
      <c r="I447">
        <f>IFERROR(__xludf.DUMMYFUNCTION("""COMPUTED_VALUE"""),"none")</f>
        <v/>
      </c>
      <c r="T447">
        <f>IFERROR(__xludf.DUMMYFUNCTION("""COMPUTED_VALUE"""),"none")</f>
        <v/>
      </c>
      <c r="U447">
        <f>IFERROR(__xludf.DUMMYFUNCTION("""COMPUTED_VALUE"""),"none")</f>
        <v/>
      </c>
      <c r="W447">
        <f>IFERROR(__xludf.DUMMYFUNCTION("""COMPUTED_VALUE"""),"none")</f>
        <v/>
      </c>
      <c r="X447">
        <f>IFERROR(__xludf.DUMMYFUNCTION("""COMPUTED_VALUE"""),"none")</f>
        <v/>
      </c>
      <c r="Z447">
        <f>IFERROR(__xludf.DUMMYFUNCTION("""COMPUTED_VALUE"""),"-")</f>
        <v/>
      </c>
      <c r="AB447">
        <f>IFERROR(__xludf.DUMMYFUNCTION("""COMPUTED_VALUE"""),"none")</f>
        <v/>
      </c>
    </row>
    <row r="448">
      <c r="D448">
        <f>IFERROR(__xludf.DUMMYFUNCTION("""COMPUTED_VALUE"""),"___")</f>
        <v/>
      </c>
      <c r="E448">
        <f>IFERROR(__xludf.DUMMYFUNCTION("""COMPUTED_VALUE"""),"none")</f>
        <v/>
      </c>
      <c r="F448">
        <f>IFERROR(__xludf.DUMMYFUNCTION("""COMPUTED_VALUE"""),"none")</f>
        <v/>
      </c>
      <c r="G448">
        <f>IFERROR(__xludf.DUMMYFUNCTION("""COMPUTED_VALUE"""),"none")</f>
        <v/>
      </c>
      <c r="I448">
        <f>IFERROR(__xludf.DUMMYFUNCTION("""COMPUTED_VALUE"""),"none")</f>
        <v/>
      </c>
      <c r="T448">
        <f>IFERROR(__xludf.DUMMYFUNCTION("""COMPUTED_VALUE"""),"none")</f>
        <v/>
      </c>
      <c r="U448">
        <f>IFERROR(__xludf.DUMMYFUNCTION("""COMPUTED_VALUE"""),"none")</f>
        <v/>
      </c>
      <c r="W448">
        <f>IFERROR(__xludf.DUMMYFUNCTION("""COMPUTED_VALUE"""),"none")</f>
        <v/>
      </c>
      <c r="X448">
        <f>IFERROR(__xludf.DUMMYFUNCTION("""COMPUTED_VALUE"""),"none")</f>
        <v/>
      </c>
      <c r="Z448">
        <f>IFERROR(__xludf.DUMMYFUNCTION("""COMPUTED_VALUE"""),"-")</f>
        <v/>
      </c>
      <c r="AB448">
        <f>IFERROR(__xludf.DUMMYFUNCTION("""COMPUTED_VALUE"""),"none")</f>
        <v/>
      </c>
    </row>
    <row r="449">
      <c r="D449">
        <f>IFERROR(__xludf.DUMMYFUNCTION("""COMPUTED_VALUE"""),"___")</f>
        <v/>
      </c>
      <c r="E449">
        <f>IFERROR(__xludf.DUMMYFUNCTION("""COMPUTED_VALUE"""),"none")</f>
        <v/>
      </c>
      <c r="F449">
        <f>IFERROR(__xludf.DUMMYFUNCTION("""COMPUTED_VALUE"""),"none")</f>
        <v/>
      </c>
      <c r="G449">
        <f>IFERROR(__xludf.DUMMYFUNCTION("""COMPUTED_VALUE"""),"none")</f>
        <v/>
      </c>
      <c r="I449">
        <f>IFERROR(__xludf.DUMMYFUNCTION("""COMPUTED_VALUE"""),"none")</f>
        <v/>
      </c>
      <c r="T449">
        <f>IFERROR(__xludf.DUMMYFUNCTION("""COMPUTED_VALUE"""),"none")</f>
        <v/>
      </c>
      <c r="U449">
        <f>IFERROR(__xludf.DUMMYFUNCTION("""COMPUTED_VALUE"""),"none")</f>
        <v/>
      </c>
      <c r="W449">
        <f>IFERROR(__xludf.DUMMYFUNCTION("""COMPUTED_VALUE"""),"none")</f>
        <v/>
      </c>
      <c r="X449">
        <f>IFERROR(__xludf.DUMMYFUNCTION("""COMPUTED_VALUE"""),"none")</f>
        <v/>
      </c>
      <c r="Z449">
        <f>IFERROR(__xludf.DUMMYFUNCTION("""COMPUTED_VALUE"""),"-")</f>
        <v/>
      </c>
      <c r="AB449">
        <f>IFERROR(__xludf.DUMMYFUNCTION("""COMPUTED_VALUE"""),"none")</f>
        <v/>
      </c>
    </row>
    <row r="450">
      <c r="D450">
        <f>IFERROR(__xludf.DUMMYFUNCTION("""COMPUTED_VALUE"""),"___")</f>
        <v/>
      </c>
      <c r="E450">
        <f>IFERROR(__xludf.DUMMYFUNCTION("""COMPUTED_VALUE"""),"none")</f>
        <v/>
      </c>
      <c r="F450">
        <f>IFERROR(__xludf.DUMMYFUNCTION("""COMPUTED_VALUE"""),"none")</f>
        <v/>
      </c>
      <c r="G450">
        <f>IFERROR(__xludf.DUMMYFUNCTION("""COMPUTED_VALUE"""),"none")</f>
        <v/>
      </c>
      <c r="I450">
        <f>IFERROR(__xludf.DUMMYFUNCTION("""COMPUTED_VALUE"""),"none")</f>
        <v/>
      </c>
      <c r="T450">
        <f>IFERROR(__xludf.DUMMYFUNCTION("""COMPUTED_VALUE"""),"none")</f>
        <v/>
      </c>
      <c r="U450">
        <f>IFERROR(__xludf.DUMMYFUNCTION("""COMPUTED_VALUE"""),"none")</f>
        <v/>
      </c>
      <c r="W450">
        <f>IFERROR(__xludf.DUMMYFUNCTION("""COMPUTED_VALUE"""),"none")</f>
        <v/>
      </c>
      <c r="X450">
        <f>IFERROR(__xludf.DUMMYFUNCTION("""COMPUTED_VALUE"""),"none")</f>
        <v/>
      </c>
      <c r="Z450">
        <f>IFERROR(__xludf.DUMMYFUNCTION("""COMPUTED_VALUE"""),"-")</f>
        <v/>
      </c>
      <c r="AB450">
        <f>IFERROR(__xludf.DUMMYFUNCTION("""COMPUTED_VALUE"""),"none")</f>
        <v/>
      </c>
    </row>
    <row r="451">
      <c r="D451">
        <f>IFERROR(__xludf.DUMMYFUNCTION("""COMPUTED_VALUE"""),"___")</f>
        <v/>
      </c>
      <c r="E451">
        <f>IFERROR(__xludf.DUMMYFUNCTION("""COMPUTED_VALUE"""),"none")</f>
        <v/>
      </c>
      <c r="F451">
        <f>IFERROR(__xludf.DUMMYFUNCTION("""COMPUTED_VALUE"""),"none")</f>
        <v/>
      </c>
      <c r="G451">
        <f>IFERROR(__xludf.DUMMYFUNCTION("""COMPUTED_VALUE"""),"none")</f>
        <v/>
      </c>
      <c r="I451">
        <f>IFERROR(__xludf.DUMMYFUNCTION("""COMPUTED_VALUE"""),"none")</f>
        <v/>
      </c>
      <c r="T451">
        <f>IFERROR(__xludf.DUMMYFUNCTION("""COMPUTED_VALUE"""),"none")</f>
        <v/>
      </c>
      <c r="U451">
        <f>IFERROR(__xludf.DUMMYFUNCTION("""COMPUTED_VALUE"""),"none")</f>
        <v/>
      </c>
      <c r="W451">
        <f>IFERROR(__xludf.DUMMYFUNCTION("""COMPUTED_VALUE"""),"none")</f>
        <v/>
      </c>
      <c r="X451">
        <f>IFERROR(__xludf.DUMMYFUNCTION("""COMPUTED_VALUE"""),"none")</f>
        <v/>
      </c>
      <c r="Z451">
        <f>IFERROR(__xludf.DUMMYFUNCTION("""COMPUTED_VALUE"""),"-")</f>
        <v/>
      </c>
      <c r="AB451">
        <f>IFERROR(__xludf.DUMMYFUNCTION("""COMPUTED_VALUE"""),"none")</f>
        <v/>
      </c>
    </row>
    <row r="452">
      <c r="D452">
        <f>IFERROR(__xludf.DUMMYFUNCTION("""COMPUTED_VALUE"""),"___")</f>
        <v/>
      </c>
      <c r="E452">
        <f>IFERROR(__xludf.DUMMYFUNCTION("""COMPUTED_VALUE"""),"none")</f>
        <v/>
      </c>
      <c r="F452">
        <f>IFERROR(__xludf.DUMMYFUNCTION("""COMPUTED_VALUE"""),"none")</f>
        <v/>
      </c>
      <c r="G452">
        <f>IFERROR(__xludf.DUMMYFUNCTION("""COMPUTED_VALUE"""),"none")</f>
        <v/>
      </c>
      <c r="I452">
        <f>IFERROR(__xludf.DUMMYFUNCTION("""COMPUTED_VALUE"""),"none")</f>
        <v/>
      </c>
      <c r="T452">
        <f>IFERROR(__xludf.DUMMYFUNCTION("""COMPUTED_VALUE"""),"none")</f>
        <v/>
      </c>
      <c r="U452">
        <f>IFERROR(__xludf.DUMMYFUNCTION("""COMPUTED_VALUE"""),"none")</f>
        <v/>
      </c>
      <c r="W452">
        <f>IFERROR(__xludf.DUMMYFUNCTION("""COMPUTED_VALUE"""),"none")</f>
        <v/>
      </c>
      <c r="X452">
        <f>IFERROR(__xludf.DUMMYFUNCTION("""COMPUTED_VALUE"""),"none")</f>
        <v/>
      </c>
      <c r="Z452">
        <f>IFERROR(__xludf.DUMMYFUNCTION("""COMPUTED_VALUE"""),"-")</f>
        <v/>
      </c>
      <c r="AB452">
        <f>IFERROR(__xludf.DUMMYFUNCTION("""COMPUTED_VALUE"""),"none")</f>
        <v/>
      </c>
    </row>
    <row r="453">
      <c r="D453">
        <f>IFERROR(__xludf.DUMMYFUNCTION("""COMPUTED_VALUE"""),"___")</f>
        <v/>
      </c>
      <c r="E453">
        <f>IFERROR(__xludf.DUMMYFUNCTION("""COMPUTED_VALUE"""),"none")</f>
        <v/>
      </c>
      <c r="F453">
        <f>IFERROR(__xludf.DUMMYFUNCTION("""COMPUTED_VALUE"""),"none")</f>
        <v/>
      </c>
      <c r="G453">
        <f>IFERROR(__xludf.DUMMYFUNCTION("""COMPUTED_VALUE"""),"none")</f>
        <v/>
      </c>
      <c r="I453">
        <f>IFERROR(__xludf.DUMMYFUNCTION("""COMPUTED_VALUE"""),"none")</f>
        <v/>
      </c>
      <c r="T453">
        <f>IFERROR(__xludf.DUMMYFUNCTION("""COMPUTED_VALUE"""),"none")</f>
        <v/>
      </c>
      <c r="U453">
        <f>IFERROR(__xludf.DUMMYFUNCTION("""COMPUTED_VALUE"""),"none")</f>
        <v/>
      </c>
      <c r="W453">
        <f>IFERROR(__xludf.DUMMYFUNCTION("""COMPUTED_VALUE"""),"none")</f>
        <v/>
      </c>
      <c r="X453">
        <f>IFERROR(__xludf.DUMMYFUNCTION("""COMPUTED_VALUE"""),"none")</f>
        <v/>
      </c>
      <c r="Z453">
        <f>IFERROR(__xludf.DUMMYFUNCTION("""COMPUTED_VALUE"""),"-")</f>
        <v/>
      </c>
      <c r="AB453">
        <f>IFERROR(__xludf.DUMMYFUNCTION("""COMPUTED_VALUE"""),"none")</f>
        <v/>
      </c>
    </row>
    <row r="454">
      <c r="D454">
        <f>IFERROR(__xludf.DUMMYFUNCTION("""COMPUTED_VALUE"""),"___")</f>
        <v/>
      </c>
      <c r="E454">
        <f>IFERROR(__xludf.DUMMYFUNCTION("""COMPUTED_VALUE"""),"none")</f>
        <v/>
      </c>
      <c r="F454">
        <f>IFERROR(__xludf.DUMMYFUNCTION("""COMPUTED_VALUE"""),"none")</f>
        <v/>
      </c>
      <c r="G454">
        <f>IFERROR(__xludf.DUMMYFUNCTION("""COMPUTED_VALUE"""),"none")</f>
        <v/>
      </c>
      <c r="I454">
        <f>IFERROR(__xludf.DUMMYFUNCTION("""COMPUTED_VALUE"""),"none")</f>
        <v/>
      </c>
      <c r="T454">
        <f>IFERROR(__xludf.DUMMYFUNCTION("""COMPUTED_VALUE"""),"none")</f>
        <v/>
      </c>
      <c r="U454">
        <f>IFERROR(__xludf.DUMMYFUNCTION("""COMPUTED_VALUE"""),"none")</f>
        <v/>
      </c>
      <c r="W454">
        <f>IFERROR(__xludf.DUMMYFUNCTION("""COMPUTED_VALUE"""),"none")</f>
        <v/>
      </c>
      <c r="X454">
        <f>IFERROR(__xludf.DUMMYFUNCTION("""COMPUTED_VALUE"""),"none")</f>
        <v/>
      </c>
      <c r="Z454">
        <f>IFERROR(__xludf.DUMMYFUNCTION("""COMPUTED_VALUE"""),"-")</f>
        <v/>
      </c>
      <c r="AB454">
        <f>IFERROR(__xludf.DUMMYFUNCTION("""COMPUTED_VALUE"""),"none")</f>
        <v/>
      </c>
    </row>
    <row r="455">
      <c r="D455">
        <f>IFERROR(__xludf.DUMMYFUNCTION("""COMPUTED_VALUE"""),"___")</f>
        <v/>
      </c>
      <c r="E455">
        <f>IFERROR(__xludf.DUMMYFUNCTION("""COMPUTED_VALUE"""),"none")</f>
        <v/>
      </c>
      <c r="F455">
        <f>IFERROR(__xludf.DUMMYFUNCTION("""COMPUTED_VALUE"""),"none")</f>
        <v/>
      </c>
      <c r="G455">
        <f>IFERROR(__xludf.DUMMYFUNCTION("""COMPUTED_VALUE"""),"none")</f>
        <v/>
      </c>
      <c r="I455">
        <f>IFERROR(__xludf.DUMMYFUNCTION("""COMPUTED_VALUE"""),"none")</f>
        <v/>
      </c>
      <c r="T455">
        <f>IFERROR(__xludf.DUMMYFUNCTION("""COMPUTED_VALUE"""),"none")</f>
        <v/>
      </c>
      <c r="U455">
        <f>IFERROR(__xludf.DUMMYFUNCTION("""COMPUTED_VALUE"""),"none")</f>
        <v/>
      </c>
      <c r="W455">
        <f>IFERROR(__xludf.DUMMYFUNCTION("""COMPUTED_VALUE"""),"none")</f>
        <v/>
      </c>
      <c r="X455">
        <f>IFERROR(__xludf.DUMMYFUNCTION("""COMPUTED_VALUE"""),"none")</f>
        <v/>
      </c>
      <c r="Z455">
        <f>IFERROR(__xludf.DUMMYFUNCTION("""COMPUTED_VALUE"""),"-")</f>
        <v/>
      </c>
      <c r="AB455">
        <f>IFERROR(__xludf.DUMMYFUNCTION("""COMPUTED_VALUE"""),"none")</f>
        <v/>
      </c>
    </row>
    <row r="456">
      <c r="D456">
        <f>IFERROR(__xludf.DUMMYFUNCTION("""COMPUTED_VALUE"""),"___")</f>
        <v/>
      </c>
      <c r="E456">
        <f>IFERROR(__xludf.DUMMYFUNCTION("""COMPUTED_VALUE"""),"none")</f>
        <v/>
      </c>
      <c r="F456">
        <f>IFERROR(__xludf.DUMMYFUNCTION("""COMPUTED_VALUE"""),"none")</f>
        <v/>
      </c>
      <c r="G456">
        <f>IFERROR(__xludf.DUMMYFUNCTION("""COMPUTED_VALUE"""),"none")</f>
        <v/>
      </c>
      <c r="I456">
        <f>IFERROR(__xludf.DUMMYFUNCTION("""COMPUTED_VALUE"""),"none")</f>
        <v/>
      </c>
      <c r="T456">
        <f>IFERROR(__xludf.DUMMYFUNCTION("""COMPUTED_VALUE"""),"none")</f>
        <v/>
      </c>
      <c r="U456">
        <f>IFERROR(__xludf.DUMMYFUNCTION("""COMPUTED_VALUE"""),"none")</f>
        <v/>
      </c>
      <c r="W456">
        <f>IFERROR(__xludf.DUMMYFUNCTION("""COMPUTED_VALUE"""),"none")</f>
        <v/>
      </c>
      <c r="X456">
        <f>IFERROR(__xludf.DUMMYFUNCTION("""COMPUTED_VALUE"""),"none")</f>
        <v/>
      </c>
      <c r="Z456">
        <f>IFERROR(__xludf.DUMMYFUNCTION("""COMPUTED_VALUE"""),"-")</f>
        <v/>
      </c>
      <c r="AB456">
        <f>IFERROR(__xludf.DUMMYFUNCTION("""COMPUTED_VALUE"""),"none")</f>
        <v/>
      </c>
    </row>
    <row r="457">
      <c r="D457">
        <f>IFERROR(__xludf.DUMMYFUNCTION("""COMPUTED_VALUE"""),"___")</f>
        <v/>
      </c>
      <c r="E457">
        <f>IFERROR(__xludf.DUMMYFUNCTION("""COMPUTED_VALUE"""),"none")</f>
        <v/>
      </c>
      <c r="F457">
        <f>IFERROR(__xludf.DUMMYFUNCTION("""COMPUTED_VALUE"""),"none")</f>
        <v/>
      </c>
      <c r="G457">
        <f>IFERROR(__xludf.DUMMYFUNCTION("""COMPUTED_VALUE"""),"none")</f>
        <v/>
      </c>
      <c r="I457">
        <f>IFERROR(__xludf.DUMMYFUNCTION("""COMPUTED_VALUE"""),"none")</f>
        <v/>
      </c>
      <c r="T457">
        <f>IFERROR(__xludf.DUMMYFUNCTION("""COMPUTED_VALUE"""),"none")</f>
        <v/>
      </c>
      <c r="U457">
        <f>IFERROR(__xludf.DUMMYFUNCTION("""COMPUTED_VALUE"""),"none")</f>
        <v/>
      </c>
      <c r="W457">
        <f>IFERROR(__xludf.DUMMYFUNCTION("""COMPUTED_VALUE"""),"none")</f>
        <v/>
      </c>
      <c r="X457">
        <f>IFERROR(__xludf.DUMMYFUNCTION("""COMPUTED_VALUE"""),"none")</f>
        <v/>
      </c>
      <c r="Z457">
        <f>IFERROR(__xludf.DUMMYFUNCTION("""COMPUTED_VALUE"""),"-")</f>
        <v/>
      </c>
      <c r="AB457">
        <f>IFERROR(__xludf.DUMMYFUNCTION("""COMPUTED_VALUE"""),"none")</f>
        <v/>
      </c>
    </row>
    <row r="458">
      <c r="D458">
        <f>IFERROR(__xludf.DUMMYFUNCTION("""COMPUTED_VALUE"""),"___")</f>
        <v/>
      </c>
      <c r="E458">
        <f>IFERROR(__xludf.DUMMYFUNCTION("""COMPUTED_VALUE"""),"none")</f>
        <v/>
      </c>
      <c r="F458">
        <f>IFERROR(__xludf.DUMMYFUNCTION("""COMPUTED_VALUE"""),"none")</f>
        <v/>
      </c>
      <c r="G458">
        <f>IFERROR(__xludf.DUMMYFUNCTION("""COMPUTED_VALUE"""),"none")</f>
        <v/>
      </c>
      <c r="I458">
        <f>IFERROR(__xludf.DUMMYFUNCTION("""COMPUTED_VALUE"""),"none")</f>
        <v/>
      </c>
      <c r="T458">
        <f>IFERROR(__xludf.DUMMYFUNCTION("""COMPUTED_VALUE"""),"none")</f>
        <v/>
      </c>
      <c r="U458">
        <f>IFERROR(__xludf.DUMMYFUNCTION("""COMPUTED_VALUE"""),"none")</f>
        <v/>
      </c>
      <c r="W458">
        <f>IFERROR(__xludf.DUMMYFUNCTION("""COMPUTED_VALUE"""),"none")</f>
        <v/>
      </c>
      <c r="X458">
        <f>IFERROR(__xludf.DUMMYFUNCTION("""COMPUTED_VALUE"""),"none")</f>
        <v/>
      </c>
      <c r="Z458">
        <f>IFERROR(__xludf.DUMMYFUNCTION("""COMPUTED_VALUE"""),"-")</f>
        <v/>
      </c>
      <c r="AB458">
        <f>IFERROR(__xludf.DUMMYFUNCTION("""COMPUTED_VALUE"""),"none")</f>
        <v/>
      </c>
    </row>
    <row r="459">
      <c r="D459">
        <f>IFERROR(__xludf.DUMMYFUNCTION("""COMPUTED_VALUE"""),"___")</f>
        <v/>
      </c>
      <c r="E459">
        <f>IFERROR(__xludf.DUMMYFUNCTION("""COMPUTED_VALUE"""),"none")</f>
        <v/>
      </c>
      <c r="F459">
        <f>IFERROR(__xludf.DUMMYFUNCTION("""COMPUTED_VALUE"""),"none")</f>
        <v/>
      </c>
      <c r="G459">
        <f>IFERROR(__xludf.DUMMYFUNCTION("""COMPUTED_VALUE"""),"none")</f>
        <v/>
      </c>
      <c r="I459">
        <f>IFERROR(__xludf.DUMMYFUNCTION("""COMPUTED_VALUE"""),"none")</f>
        <v/>
      </c>
      <c r="T459">
        <f>IFERROR(__xludf.DUMMYFUNCTION("""COMPUTED_VALUE"""),"none")</f>
        <v/>
      </c>
      <c r="U459">
        <f>IFERROR(__xludf.DUMMYFUNCTION("""COMPUTED_VALUE"""),"none")</f>
        <v/>
      </c>
      <c r="W459">
        <f>IFERROR(__xludf.DUMMYFUNCTION("""COMPUTED_VALUE"""),"none")</f>
        <v/>
      </c>
      <c r="X459">
        <f>IFERROR(__xludf.DUMMYFUNCTION("""COMPUTED_VALUE"""),"none")</f>
        <v/>
      </c>
      <c r="Z459">
        <f>IFERROR(__xludf.DUMMYFUNCTION("""COMPUTED_VALUE"""),"-")</f>
        <v/>
      </c>
      <c r="AB459">
        <f>IFERROR(__xludf.DUMMYFUNCTION("""COMPUTED_VALUE"""),"none")</f>
        <v/>
      </c>
    </row>
    <row r="460">
      <c r="D460">
        <f>IFERROR(__xludf.DUMMYFUNCTION("""COMPUTED_VALUE"""),"___")</f>
        <v/>
      </c>
      <c r="E460">
        <f>IFERROR(__xludf.DUMMYFUNCTION("""COMPUTED_VALUE"""),"none")</f>
        <v/>
      </c>
      <c r="F460">
        <f>IFERROR(__xludf.DUMMYFUNCTION("""COMPUTED_VALUE"""),"none")</f>
        <v/>
      </c>
      <c r="G460">
        <f>IFERROR(__xludf.DUMMYFUNCTION("""COMPUTED_VALUE"""),"none")</f>
        <v/>
      </c>
      <c r="I460">
        <f>IFERROR(__xludf.DUMMYFUNCTION("""COMPUTED_VALUE"""),"none")</f>
        <v/>
      </c>
      <c r="T460">
        <f>IFERROR(__xludf.DUMMYFUNCTION("""COMPUTED_VALUE"""),"none")</f>
        <v/>
      </c>
      <c r="U460">
        <f>IFERROR(__xludf.DUMMYFUNCTION("""COMPUTED_VALUE"""),"none")</f>
        <v/>
      </c>
      <c r="W460">
        <f>IFERROR(__xludf.DUMMYFUNCTION("""COMPUTED_VALUE"""),"none")</f>
        <v/>
      </c>
      <c r="X460">
        <f>IFERROR(__xludf.DUMMYFUNCTION("""COMPUTED_VALUE"""),"none")</f>
        <v/>
      </c>
      <c r="Z460">
        <f>IFERROR(__xludf.DUMMYFUNCTION("""COMPUTED_VALUE"""),"-")</f>
        <v/>
      </c>
      <c r="AB460">
        <f>IFERROR(__xludf.DUMMYFUNCTION("""COMPUTED_VALUE"""),"none")</f>
        <v/>
      </c>
    </row>
    <row r="461">
      <c r="D461">
        <f>IFERROR(__xludf.DUMMYFUNCTION("""COMPUTED_VALUE"""),"___")</f>
        <v/>
      </c>
      <c r="E461">
        <f>IFERROR(__xludf.DUMMYFUNCTION("""COMPUTED_VALUE"""),"none")</f>
        <v/>
      </c>
      <c r="F461">
        <f>IFERROR(__xludf.DUMMYFUNCTION("""COMPUTED_VALUE"""),"none")</f>
        <v/>
      </c>
      <c r="G461">
        <f>IFERROR(__xludf.DUMMYFUNCTION("""COMPUTED_VALUE"""),"none")</f>
        <v/>
      </c>
      <c r="I461">
        <f>IFERROR(__xludf.DUMMYFUNCTION("""COMPUTED_VALUE"""),"none")</f>
        <v/>
      </c>
      <c r="T461">
        <f>IFERROR(__xludf.DUMMYFUNCTION("""COMPUTED_VALUE"""),"none")</f>
        <v/>
      </c>
      <c r="U461">
        <f>IFERROR(__xludf.DUMMYFUNCTION("""COMPUTED_VALUE"""),"none")</f>
        <v/>
      </c>
      <c r="W461">
        <f>IFERROR(__xludf.DUMMYFUNCTION("""COMPUTED_VALUE"""),"none")</f>
        <v/>
      </c>
      <c r="X461">
        <f>IFERROR(__xludf.DUMMYFUNCTION("""COMPUTED_VALUE"""),"none")</f>
        <v/>
      </c>
      <c r="Z461">
        <f>IFERROR(__xludf.DUMMYFUNCTION("""COMPUTED_VALUE"""),"-")</f>
        <v/>
      </c>
      <c r="AB461">
        <f>IFERROR(__xludf.DUMMYFUNCTION("""COMPUTED_VALUE"""),"none")</f>
        <v/>
      </c>
    </row>
    <row r="462">
      <c r="D462">
        <f>IFERROR(__xludf.DUMMYFUNCTION("""COMPUTED_VALUE"""),"___")</f>
        <v/>
      </c>
      <c r="E462">
        <f>IFERROR(__xludf.DUMMYFUNCTION("""COMPUTED_VALUE"""),"none")</f>
        <v/>
      </c>
      <c r="F462">
        <f>IFERROR(__xludf.DUMMYFUNCTION("""COMPUTED_VALUE"""),"none")</f>
        <v/>
      </c>
      <c r="G462">
        <f>IFERROR(__xludf.DUMMYFUNCTION("""COMPUTED_VALUE"""),"none")</f>
        <v/>
      </c>
      <c r="I462">
        <f>IFERROR(__xludf.DUMMYFUNCTION("""COMPUTED_VALUE"""),"none")</f>
        <v/>
      </c>
      <c r="T462">
        <f>IFERROR(__xludf.DUMMYFUNCTION("""COMPUTED_VALUE"""),"none")</f>
        <v/>
      </c>
      <c r="U462">
        <f>IFERROR(__xludf.DUMMYFUNCTION("""COMPUTED_VALUE"""),"none")</f>
        <v/>
      </c>
      <c r="W462">
        <f>IFERROR(__xludf.DUMMYFUNCTION("""COMPUTED_VALUE"""),"none")</f>
        <v/>
      </c>
      <c r="X462">
        <f>IFERROR(__xludf.DUMMYFUNCTION("""COMPUTED_VALUE"""),"none")</f>
        <v/>
      </c>
      <c r="Z462">
        <f>IFERROR(__xludf.DUMMYFUNCTION("""COMPUTED_VALUE"""),"-")</f>
        <v/>
      </c>
      <c r="AB462">
        <f>IFERROR(__xludf.DUMMYFUNCTION("""COMPUTED_VALUE"""),"none")</f>
        <v/>
      </c>
    </row>
    <row r="463">
      <c r="D463">
        <f>IFERROR(__xludf.DUMMYFUNCTION("""COMPUTED_VALUE"""),"___")</f>
        <v/>
      </c>
      <c r="E463">
        <f>IFERROR(__xludf.DUMMYFUNCTION("""COMPUTED_VALUE"""),"none")</f>
        <v/>
      </c>
      <c r="F463">
        <f>IFERROR(__xludf.DUMMYFUNCTION("""COMPUTED_VALUE"""),"none")</f>
        <v/>
      </c>
      <c r="G463">
        <f>IFERROR(__xludf.DUMMYFUNCTION("""COMPUTED_VALUE"""),"none")</f>
        <v/>
      </c>
      <c r="I463">
        <f>IFERROR(__xludf.DUMMYFUNCTION("""COMPUTED_VALUE"""),"none")</f>
        <v/>
      </c>
      <c r="T463">
        <f>IFERROR(__xludf.DUMMYFUNCTION("""COMPUTED_VALUE"""),"none")</f>
        <v/>
      </c>
      <c r="U463">
        <f>IFERROR(__xludf.DUMMYFUNCTION("""COMPUTED_VALUE"""),"none")</f>
        <v/>
      </c>
      <c r="W463">
        <f>IFERROR(__xludf.DUMMYFUNCTION("""COMPUTED_VALUE"""),"none")</f>
        <v/>
      </c>
      <c r="X463">
        <f>IFERROR(__xludf.DUMMYFUNCTION("""COMPUTED_VALUE"""),"none")</f>
        <v/>
      </c>
      <c r="Z463">
        <f>IFERROR(__xludf.DUMMYFUNCTION("""COMPUTED_VALUE"""),"-")</f>
        <v/>
      </c>
      <c r="AB463">
        <f>IFERROR(__xludf.DUMMYFUNCTION("""COMPUTED_VALUE"""),"none")</f>
        <v/>
      </c>
    </row>
    <row r="464">
      <c r="D464">
        <f>IFERROR(__xludf.DUMMYFUNCTION("""COMPUTED_VALUE"""),"___")</f>
        <v/>
      </c>
      <c r="E464">
        <f>IFERROR(__xludf.DUMMYFUNCTION("""COMPUTED_VALUE"""),"none")</f>
        <v/>
      </c>
      <c r="F464">
        <f>IFERROR(__xludf.DUMMYFUNCTION("""COMPUTED_VALUE"""),"none")</f>
        <v/>
      </c>
      <c r="G464">
        <f>IFERROR(__xludf.DUMMYFUNCTION("""COMPUTED_VALUE"""),"none")</f>
        <v/>
      </c>
      <c r="I464">
        <f>IFERROR(__xludf.DUMMYFUNCTION("""COMPUTED_VALUE"""),"none")</f>
        <v/>
      </c>
      <c r="T464">
        <f>IFERROR(__xludf.DUMMYFUNCTION("""COMPUTED_VALUE"""),"none")</f>
        <v/>
      </c>
      <c r="U464">
        <f>IFERROR(__xludf.DUMMYFUNCTION("""COMPUTED_VALUE"""),"none")</f>
        <v/>
      </c>
      <c r="W464">
        <f>IFERROR(__xludf.DUMMYFUNCTION("""COMPUTED_VALUE"""),"none")</f>
        <v/>
      </c>
      <c r="X464">
        <f>IFERROR(__xludf.DUMMYFUNCTION("""COMPUTED_VALUE"""),"none")</f>
        <v/>
      </c>
      <c r="Z464">
        <f>IFERROR(__xludf.DUMMYFUNCTION("""COMPUTED_VALUE"""),"-")</f>
        <v/>
      </c>
      <c r="AB464">
        <f>IFERROR(__xludf.DUMMYFUNCTION("""COMPUTED_VALUE"""),"none")</f>
        <v/>
      </c>
    </row>
    <row r="465">
      <c r="D465">
        <f>IFERROR(__xludf.DUMMYFUNCTION("""COMPUTED_VALUE"""),"___")</f>
        <v/>
      </c>
      <c r="E465">
        <f>IFERROR(__xludf.DUMMYFUNCTION("""COMPUTED_VALUE"""),"none")</f>
        <v/>
      </c>
      <c r="F465">
        <f>IFERROR(__xludf.DUMMYFUNCTION("""COMPUTED_VALUE"""),"none")</f>
        <v/>
      </c>
      <c r="G465">
        <f>IFERROR(__xludf.DUMMYFUNCTION("""COMPUTED_VALUE"""),"none")</f>
        <v/>
      </c>
      <c r="I465">
        <f>IFERROR(__xludf.DUMMYFUNCTION("""COMPUTED_VALUE"""),"none")</f>
        <v/>
      </c>
      <c r="T465">
        <f>IFERROR(__xludf.DUMMYFUNCTION("""COMPUTED_VALUE"""),"none")</f>
        <v/>
      </c>
      <c r="U465">
        <f>IFERROR(__xludf.DUMMYFUNCTION("""COMPUTED_VALUE"""),"none")</f>
        <v/>
      </c>
      <c r="W465">
        <f>IFERROR(__xludf.DUMMYFUNCTION("""COMPUTED_VALUE"""),"none")</f>
        <v/>
      </c>
      <c r="X465">
        <f>IFERROR(__xludf.DUMMYFUNCTION("""COMPUTED_VALUE"""),"none")</f>
        <v/>
      </c>
      <c r="Z465">
        <f>IFERROR(__xludf.DUMMYFUNCTION("""COMPUTED_VALUE"""),"-")</f>
        <v/>
      </c>
      <c r="AB465">
        <f>IFERROR(__xludf.DUMMYFUNCTION("""COMPUTED_VALUE"""),"none")</f>
        <v/>
      </c>
    </row>
    <row r="466">
      <c r="D466">
        <f>IFERROR(__xludf.DUMMYFUNCTION("""COMPUTED_VALUE"""),"___")</f>
        <v/>
      </c>
      <c r="E466">
        <f>IFERROR(__xludf.DUMMYFUNCTION("""COMPUTED_VALUE"""),"none")</f>
        <v/>
      </c>
      <c r="F466">
        <f>IFERROR(__xludf.DUMMYFUNCTION("""COMPUTED_VALUE"""),"none")</f>
        <v/>
      </c>
      <c r="G466">
        <f>IFERROR(__xludf.DUMMYFUNCTION("""COMPUTED_VALUE"""),"none")</f>
        <v/>
      </c>
      <c r="I466">
        <f>IFERROR(__xludf.DUMMYFUNCTION("""COMPUTED_VALUE"""),"none")</f>
        <v/>
      </c>
      <c r="T466">
        <f>IFERROR(__xludf.DUMMYFUNCTION("""COMPUTED_VALUE"""),"none")</f>
        <v/>
      </c>
      <c r="U466">
        <f>IFERROR(__xludf.DUMMYFUNCTION("""COMPUTED_VALUE"""),"none")</f>
        <v/>
      </c>
      <c r="W466">
        <f>IFERROR(__xludf.DUMMYFUNCTION("""COMPUTED_VALUE"""),"none")</f>
        <v/>
      </c>
      <c r="X466">
        <f>IFERROR(__xludf.DUMMYFUNCTION("""COMPUTED_VALUE"""),"none")</f>
        <v/>
      </c>
      <c r="Z466">
        <f>IFERROR(__xludf.DUMMYFUNCTION("""COMPUTED_VALUE"""),"-")</f>
        <v/>
      </c>
      <c r="AB466">
        <f>IFERROR(__xludf.DUMMYFUNCTION("""COMPUTED_VALUE"""),"none")</f>
        <v/>
      </c>
    </row>
    <row r="467">
      <c r="D467">
        <f>IFERROR(__xludf.DUMMYFUNCTION("""COMPUTED_VALUE"""),"___")</f>
        <v/>
      </c>
      <c r="E467">
        <f>IFERROR(__xludf.DUMMYFUNCTION("""COMPUTED_VALUE"""),"none")</f>
        <v/>
      </c>
      <c r="F467">
        <f>IFERROR(__xludf.DUMMYFUNCTION("""COMPUTED_VALUE"""),"none")</f>
        <v/>
      </c>
      <c r="G467">
        <f>IFERROR(__xludf.DUMMYFUNCTION("""COMPUTED_VALUE"""),"none")</f>
        <v/>
      </c>
      <c r="I467">
        <f>IFERROR(__xludf.DUMMYFUNCTION("""COMPUTED_VALUE"""),"none")</f>
        <v/>
      </c>
      <c r="T467">
        <f>IFERROR(__xludf.DUMMYFUNCTION("""COMPUTED_VALUE"""),"none")</f>
        <v/>
      </c>
      <c r="U467">
        <f>IFERROR(__xludf.DUMMYFUNCTION("""COMPUTED_VALUE"""),"none")</f>
        <v/>
      </c>
      <c r="W467">
        <f>IFERROR(__xludf.DUMMYFUNCTION("""COMPUTED_VALUE"""),"none")</f>
        <v/>
      </c>
      <c r="X467">
        <f>IFERROR(__xludf.DUMMYFUNCTION("""COMPUTED_VALUE"""),"none")</f>
        <v/>
      </c>
      <c r="Z467">
        <f>IFERROR(__xludf.DUMMYFUNCTION("""COMPUTED_VALUE"""),"-")</f>
        <v/>
      </c>
      <c r="AB467">
        <f>IFERROR(__xludf.DUMMYFUNCTION("""COMPUTED_VALUE"""),"none")</f>
        <v/>
      </c>
    </row>
    <row r="468">
      <c r="D468">
        <f>IFERROR(__xludf.DUMMYFUNCTION("""COMPUTED_VALUE"""),"___")</f>
        <v/>
      </c>
      <c r="E468">
        <f>IFERROR(__xludf.DUMMYFUNCTION("""COMPUTED_VALUE"""),"none")</f>
        <v/>
      </c>
      <c r="F468">
        <f>IFERROR(__xludf.DUMMYFUNCTION("""COMPUTED_VALUE"""),"none")</f>
        <v/>
      </c>
      <c r="G468">
        <f>IFERROR(__xludf.DUMMYFUNCTION("""COMPUTED_VALUE"""),"none")</f>
        <v/>
      </c>
      <c r="I468">
        <f>IFERROR(__xludf.DUMMYFUNCTION("""COMPUTED_VALUE"""),"none")</f>
        <v/>
      </c>
      <c r="T468">
        <f>IFERROR(__xludf.DUMMYFUNCTION("""COMPUTED_VALUE"""),"none")</f>
        <v/>
      </c>
      <c r="U468">
        <f>IFERROR(__xludf.DUMMYFUNCTION("""COMPUTED_VALUE"""),"none")</f>
        <v/>
      </c>
      <c r="W468">
        <f>IFERROR(__xludf.DUMMYFUNCTION("""COMPUTED_VALUE"""),"none")</f>
        <v/>
      </c>
      <c r="X468">
        <f>IFERROR(__xludf.DUMMYFUNCTION("""COMPUTED_VALUE"""),"none")</f>
        <v/>
      </c>
      <c r="Z468">
        <f>IFERROR(__xludf.DUMMYFUNCTION("""COMPUTED_VALUE"""),"-")</f>
        <v/>
      </c>
      <c r="AB468">
        <f>IFERROR(__xludf.DUMMYFUNCTION("""COMPUTED_VALUE"""),"none")</f>
        <v/>
      </c>
    </row>
    <row r="469">
      <c r="D469">
        <f>IFERROR(__xludf.DUMMYFUNCTION("""COMPUTED_VALUE"""),"___")</f>
        <v/>
      </c>
      <c r="E469">
        <f>IFERROR(__xludf.DUMMYFUNCTION("""COMPUTED_VALUE"""),"none")</f>
        <v/>
      </c>
      <c r="F469">
        <f>IFERROR(__xludf.DUMMYFUNCTION("""COMPUTED_VALUE"""),"none")</f>
        <v/>
      </c>
      <c r="G469">
        <f>IFERROR(__xludf.DUMMYFUNCTION("""COMPUTED_VALUE"""),"none")</f>
        <v/>
      </c>
      <c r="I469">
        <f>IFERROR(__xludf.DUMMYFUNCTION("""COMPUTED_VALUE"""),"none")</f>
        <v/>
      </c>
      <c r="T469">
        <f>IFERROR(__xludf.DUMMYFUNCTION("""COMPUTED_VALUE"""),"none")</f>
        <v/>
      </c>
      <c r="U469">
        <f>IFERROR(__xludf.DUMMYFUNCTION("""COMPUTED_VALUE"""),"none")</f>
        <v/>
      </c>
      <c r="W469">
        <f>IFERROR(__xludf.DUMMYFUNCTION("""COMPUTED_VALUE"""),"none")</f>
        <v/>
      </c>
      <c r="X469">
        <f>IFERROR(__xludf.DUMMYFUNCTION("""COMPUTED_VALUE"""),"none")</f>
        <v/>
      </c>
      <c r="Z469">
        <f>IFERROR(__xludf.DUMMYFUNCTION("""COMPUTED_VALUE"""),"-")</f>
        <v/>
      </c>
      <c r="AB469">
        <f>IFERROR(__xludf.DUMMYFUNCTION("""COMPUTED_VALUE"""),"none")</f>
        <v/>
      </c>
    </row>
    <row r="470">
      <c r="D470">
        <f>IFERROR(__xludf.DUMMYFUNCTION("""COMPUTED_VALUE"""),"___")</f>
        <v/>
      </c>
      <c r="E470">
        <f>IFERROR(__xludf.DUMMYFUNCTION("""COMPUTED_VALUE"""),"none")</f>
        <v/>
      </c>
      <c r="F470">
        <f>IFERROR(__xludf.DUMMYFUNCTION("""COMPUTED_VALUE"""),"none")</f>
        <v/>
      </c>
      <c r="G470">
        <f>IFERROR(__xludf.DUMMYFUNCTION("""COMPUTED_VALUE"""),"none")</f>
        <v/>
      </c>
      <c r="I470">
        <f>IFERROR(__xludf.DUMMYFUNCTION("""COMPUTED_VALUE"""),"none")</f>
        <v/>
      </c>
      <c r="T470">
        <f>IFERROR(__xludf.DUMMYFUNCTION("""COMPUTED_VALUE"""),"none")</f>
        <v/>
      </c>
      <c r="U470">
        <f>IFERROR(__xludf.DUMMYFUNCTION("""COMPUTED_VALUE"""),"none")</f>
        <v/>
      </c>
      <c r="W470">
        <f>IFERROR(__xludf.DUMMYFUNCTION("""COMPUTED_VALUE"""),"none")</f>
        <v/>
      </c>
      <c r="X470">
        <f>IFERROR(__xludf.DUMMYFUNCTION("""COMPUTED_VALUE"""),"none")</f>
        <v/>
      </c>
      <c r="Z470">
        <f>IFERROR(__xludf.DUMMYFUNCTION("""COMPUTED_VALUE"""),"-")</f>
        <v/>
      </c>
      <c r="AB470">
        <f>IFERROR(__xludf.DUMMYFUNCTION("""COMPUTED_VALUE"""),"none")</f>
        <v/>
      </c>
    </row>
    <row r="471">
      <c r="D471">
        <f>IFERROR(__xludf.DUMMYFUNCTION("""COMPUTED_VALUE"""),"___")</f>
        <v/>
      </c>
      <c r="E471">
        <f>IFERROR(__xludf.DUMMYFUNCTION("""COMPUTED_VALUE"""),"none")</f>
        <v/>
      </c>
      <c r="F471">
        <f>IFERROR(__xludf.DUMMYFUNCTION("""COMPUTED_VALUE"""),"none")</f>
        <v/>
      </c>
      <c r="G471">
        <f>IFERROR(__xludf.DUMMYFUNCTION("""COMPUTED_VALUE"""),"none")</f>
        <v/>
      </c>
      <c r="I471">
        <f>IFERROR(__xludf.DUMMYFUNCTION("""COMPUTED_VALUE"""),"none")</f>
        <v/>
      </c>
      <c r="T471">
        <f>IFERROR(__xludf.DUMMYFUNCTION("""COMPUTED_VALUE"""),"none")</f>
        <v/>
      </c>
      <c r="U471">
        <f>IFERROR(__xludf.DUMMYFUNCTION("""COMPUTED_VALUE"""),"none")</f>
        <v/>
      </c>
      <c r="W471">
        <f>IFERROR(__xludf.DUMMYFUNCTION("""COMPUTED_VALUE"""),"none")</f>
        <v/>
      </c>
      <c r="X471">
        <f>IFERROR(__xludf.DUMMYFUNCTION("""COMPUTED_VALUE"""),"none")</f>
        <v/>
      </c>
      <c r="Z471">
        <f>IFERROR(__xludf.DUMMYFUNCTION("""COMPUTED_VALUE"""),"-")</f>
        <v/>
      </c>
      <c r="AB471">
        <f>IFERROR(__xludf.DUMMYFUNCTION("""COMPUTED_VALUE"""),"none")</f>
        <v/>
      </c>
    </row>
    <row r="472">
      <c r="D472">
        <f>IFERROR(__xludf.DUMMYFUNCTION("""COMPUTED_VALUE"""),"___")</f>
        <v/>
      </c>
      <c r="E472">
        <f>IFERROR(__xludf.DUMMYFUNCTION("""COMPUTED_VALUE"""),"none")</f>
        <v/>
      </c>
      <c r="F472">
        <f>IFERROR(__xludf.DUMMYFUNCTION("""COMPUTED_VALUE"""),"none")</f>
        <v/>
      </c>
      <c r="G472">
        <f>IFERROR(__xludf.DUMMYFUNCTION("""COMPUTED_VALUE"""),"none")</f>
        <v/>
      </c>
      <c r="I472">
        <f>IFERROR(__xludf.DUMMYFUNCTION("""COMPUTED_VALUE"""),"none")</f>
        <v/>
      </c>
      <c r="T472">
        <f>IFERROR(__xludf.DUMMYFUNCTION("""COMPUTED_VALUE"""),"none")</f>
        <v/>
      </c>
      <c r="U472">
        <f>IFERROR(__xludf.DUMMYFUNCTION("""COMPUTED_VALUE"""),"none")</f>
        <v/>
      </c>
      <c r="W472">
        <f>IFERROR(__xludf.DUMMYFUNCTION("""COMPUTED_VALUE"""),"none")</f>
        <v/>
      </c>
      <c r="X472">
        <f>IFERROR(__xludf.DUMMYFUNCTION("""COMPUTED_VALUE"""),"none")</f>
        <v/>
      </c>
      <c r="Z472">
        <f>IFERROR(__xludf.DUMMYFUNCTION("""COMPUTED_VALUE"""),"-")</f>
        <v/>
      </c>
      <c r="AB472">
        <f>IFERROR(__xludf.DUMMYFUNCTION("""COMPUTED_VALUE"""),"none")</f>
        <v/>
      </c>
    </row>
    <row r="473">
      <c r="D473">
        <f>IFERROR(__xludf.DUMMYFUNCTION("""COMPUTED_VALUE"""),"___")</f>
        <v/>
      </c>
      <c r="E473">
        <f>IFERROR(__xludf.DUMMYFUNCTION("""COMPUTED_VALUE"""),"none")</f>
        <v/>
      </c>
      <c r="F473">
        <f>IFERROR(__xludf.DUMMYFUNCTION("""COMPUTED_VALUE"""),"none")</f>
        <v/>
      </c>
      <c r="G473">
        <f>IFERROR(__xludf.DUMMYFUNCTION("""COMPUTED_VALUE"""),"none")</f>
        <v/>
      </c>
      <c r="I473">
        <f>IFERROR(__xludf.DUMMYFUNCTION("""COMPUTED_VALUE"""),"none")</f>
        <v/>
      </c>
      <c r="T473">
        <f>IFERROR(__xludf.DUMMYFUNCTION("""COMPUTED_VALUE"""),"none")</f>
        <v/>
      </c>
      <c r="U473">
        <f>IFERROR(__xludf.DUMMYFUNCTION("""COMPUTED_VALUE"""),"none")</f>
        <v/>
      </c>
      <c r="W473">
        <f>IFERROR(__xludf.DUMMYFUNCTION("""COMPUTED_VALUE"""),"none")</f>
        <v/>
      </c>
      <c r="X473">
        <f>IFERROR(__xludf.DUMMYFUNCTION("""COMPUTED_VALUE"""),"none")</f>
        <v/>
      </c>
      <c r="Z473">
        <f>IFERROR(__xludf.DUMMYFUNCTION("""COMPUTED_VALUE"""),"-")</f>
        <v/>
      </c>
      <c r="AB473">
        <f>IFERROR(__xludf.DUMMYFUNCTION("""COMPUTED_VALUE"""),"none")</f>
        <v/>
      </c>
    </row>
    <row r="474">
      <c r="D474">
        <f>IFERROR(__xludf.DUMMYFUNCTION("""COMPUTED_VALUE"""),"___")</f>
        <v/>
      </c>
      <c r="E474">
        <f>IFERROR(__xludf.DUMMYFUNCTION("""COMPUTED_VALUE"""),"none")</f>
        <v/>
      </c>
      <c r="F474">
        <f>IFERROR(__xludf.DUMMYFUNCTION("""COMPUTED_VALUE"""),"none")</f>
        <v/>
      </c>
      <c r="G474">
        <f>IFERROR(__xludf.DUMMYFUNCTION("""COMPUTED_VALUE"""),"none")</f>
        <v/>
      </c>
      <c r="I474">
        <f>IFERROR(__xludf.DUMMYFUNCTION("""COMPUTED_VALUE"""),"none")</f>
        <v/>
      </c>
      <c r="T474">
        <f>IFERROR(__xludf.DUMMYFUNCTION("""COMPUTED_VALUE"""),"none")</f>
        <v/>
      </c>
      <c r="U474">
        <f>IFERROR(__xludf.DUMMYFUNCTION("""COMPUTED_VALUE"""),"none")</f>
        <v/>
      </c>
      <c r="W474">
        <f>IFERROR(__xludf.DUMMYFUNCTION("""COMPUTED_VALUE"""),"none")</f>
        <v/>
      </c>
      <c r="X474">
        <f>IFERROR(__xludf.DUMMYFUNCTION("""COMPUTED_VALUE"""),"none")</f>
        <v/>
      </c>
      <c r="Z474">
        <f>IFERROR(__xludf.DUMMYFUNCTION("""COMPUTED_VALUE"""),"-")</f>
        <v/>
      </c>
      <c r="AB474">
        <f>IFERROR(__xludf.DUMMYFUNCTION("""COMPUTED_VALUE"""),"none")</f>
        <v/>
      </c>
    </row>
    <row r="475">
      <c r="D475">
        <f>IFERROR(__xludf.DUMMYFUNCTION("""COMPUTED_VALUE"""),"___")</f>
        <v/>
      </c>
      <c r="E475">
        <f>IFERROR(__xludf.DUMMYFUNCTION("""COMPUTED_VALUE"""),"none")</f>
        <v/>
      </c>
      <c r="F475">
        <f>IFERROR(__xludf.DUMMYFUNCTION("""COMPUTED_VALUE"""),"none")</f>
        <v/>
      </c>
      <c r="G475">
        <f>IFERROR(__xludf.DUMMYFUNCTION("""COMPUTED_VALUE"""),"none")</f>
        <v/>
      </c>
      <c r="I475">
        <f>IFERROR(__xludf.DUMMYFUNCTION("""COMPUTED_VALUE"""),"none")</f>
        <v/>
      </c>
      <c r="T475">
        <f>IFERROR(__xludf.DUMMYFUNCTION("""COMPUTED_VALUE"""),"none")</f>
        <v/>
      </c>
      <c r="U475">
        <f>IFERROR(__xludf.DUMMYFUNCTION("""COMPUTED_VALUE"""),"none")</f>
        <v/>
      </c>
      <c r="W475">
        <f>IFERROR(__xludf.DUMMYFUNCTION("""COMPUTED_VALUE"""),"none")</f>
        <v/>
      </c>
      <c r="X475">
        <f>IFERROR(__xludf.DUMMYFUNCTION("""COMPUTED_VALUE"""),"none")</f>
        <v/>
      </c>
      <c r="Z475">
        <f>IFERROR(__xludf.DUMMYFUNCTION("""COMPUTED_VALUE"""),"-")</f>
        <v/>
      </c>
      <c r="AB475">
        <f>IFERROR(__xludf.DUMMYFUNCTION("""COMPUTED_VALUE"""),"none")</f>
        <v/>
      </c>
    </row>
    <row r="476">
      <c r="D476">
        <f>IFERROR(__xludf.DUMMYFUNCTION("""COMPUTED_VALUE"""),"___")</f>
        <v/>
      </c>
      <c r="E476">
        <f>IFERROR(__xludf.DUMMYFUNCTION("""COMPUTED_VALUE"""),"none")</f>
        <v/>
      </c>
      <c r="F476">
        <f>IFERROR(__xludf.DUMMYFUNCTION("""COMPUTED_VALUE"""),"none")</f>
        <v/>
      </c>
      <c r="G476">
        <f>IFERROR(__xludf.DUMMYFUNCTION("""COMPUTED_VALUE"""),"none")</f>
        <v/>
      </c>
      <c r="I476">
        <f>IFERROR(__xludf.DUMMYFUNCTION("""COMPUTED_VALUE"""),"none")</f>
        <v/>
      </c>
      <c r="T476">
        <f>IFERROR(__xludf.DUMMYFUNCTION("""COMPUTED_VALUE"""),"none")</f>
        <v/>
      </c>
      <c r="U476">
        <f>IFERROR(__xludf.DUMMYFUNCTION("""COMPUTED_VALUE"""),"none")</f>
        <v/>
      </c>
      <c r="W476">
        <f>IFERROR(__xludf.DUMMYFUNCTION("""COMPUTED_VALUE"""),"none")</f>
        <v/>
      </c>
      <c r="X476">
        <f>IFERROR(__xludf.DUMMYFUNCTION("""COMPUTED_VALUE"""),"none")</f>
        <v/>
      </c>
      <c r="Z476">
        <f>IFERROR(__xludf.DUMMYFUNCTION("""COMPUTED_VALUE"""),"-")</f>
        <v/>
      </c>
      <c r="AB476">
        <f>IFERROR(__xludf.DUMMYFUNCTION("""COMPUTED_VALUE"""),"none")</f>
        <v/>
      </c>
    </row>
    <row r="477">
      <c r="D477">
        <f>IFERROR(__xludf.DUMMYFUNCTION("""COMPUTED_VALUE"""),"___")</f>
        <v/>
      </c>
      <c r="E477">
        <f>IFERROR(__xludf.DUMMYFUNCTION("""COMPUTED_VALUE"""),"none")</f>
        <v/>
      </c>
      <c r="F477">
        <f>IFERROR(__xludf.DUMMYFUNCTION("""COMPUTED_VALUE"""),"none")</f>
        <v/>
      </c>
      <c r="G477">
        <f>IFERROR(__xludf.DUMMYFUNCTION("""COMPUTED_VALUE"""),"none")</f>
        <v/>
      </c>
      <c r="I477">
        <f>IFERROR(__xludf.DUMMYFUNCTION("""COMPUTED_VALUE"""),"none")</f>
        <v/>
      </c>
      <c r="T477">
        <f>IFERROR(__xludf.DUMMYFUNCTION("""COMPUTED_VALUE"""),"none")</f>
        <v/>
      </c>
      <c r="U477">
        <f>IFERROR(__xludf.DUMMYFUNCTION("""COMPUTED_VALUE"""),"none")</f>
        <v/>
      </c>
      <c r="W477">
        <f>IFERROR(__xludf.DUMMYFUNCTION("""COMPUTED_VALUE"""),"none")</f>
        <v/>
      </c>
      <c r="X477">
        <f>IFERROR(__xludf.DUMMYFUNCTION("""COMPUTED_VALUE"""),"none")</f>
        <v/>
      </c>
      <c r="Z477">
        <f>IFERROR(__xludf.DUMMYFUNCTION("""COMPUTED_VALUE"""),"-")</f>
        <v/>
      </c>
      <c r="AB477">
        <f>IFERROR(__xludf.DUMMYFUNCTION("""COMPUTED_VALUE"""),"none")</f>
        <v/>
      </c>
    </row>
    <row r="478">
      <c r="D478">
        <f>IFERROR(__xludf.DUMMYFUNCTION("""COMPUTED_VALUE"""),"___")</f>
        <v/>
      </c>
      <c r="E478">
        <f>IFERROR(__xludf.DUMMYFUNCTION("""COMPUTED_VALUE"""),"none")</f>
        <v/>
      </c>
      <c r="F478">
        <f>IFERROR(__xludf.DUMMYFUNCTION("""COMPUTED_VALUE"""),"none")</f>
        <v/>
      </c>
      <c r="G478">
        <f>IFERROR(__xludf.DUMMYFUNCTION("""COMPUTED_VALUE"""),"none")</f>
        <v/>
      </c>
      <c r="I478">
        <f>IFERROR(__xludf.DUMMYFUNCTION("""COMPUTED_VALUE"""),"none")</f>
        <v/>
      </c>
      <c r="T478">
        <f>IFERROR(__xludf.DUMMYFUNCTION("""COMPUTED_VALUE"""),"none")</f>
        <v/>
      </c>
      <c r="U478">
        <f>IFERROR(__xludf.DUMMYFUNCTION("""COMPUTED_VALUE"""),"none")</f>
        <v/>
      </c>
      <c r="W478">
        <f>IFERROR(__xludf.DUMMYFUNCTION("""COMPUTED_VALUE"""),"none")</f>
        <v/>
      </c>
      <c r="X478">
        <f>IFERROR(__xludf.DUMMYFUNCTION("""COMPUTED_VALUE"""),"none")</f>
        <v/>
      </c>
      <c r="Z478">
        <f>IFERROR(__xludf.DUMMYFUNCTION("""COMPUTED_VALUE"""),"-")</f>
        <v/>
      </c>
      <c r="AB478">
        <f>IFERROR(__xludf.DUMMYFUNCTION("""COMPUTED_VALUE"""),"none")</f>
        <v/>
      </c>
    </row>
    <row r="479">
      <c r="D479">
        <f>IFERROR(__xludf.DUMMYFUNCTION("""COMPUTED_VALUE"""),"___")</f>
        <v/>
      </c>
      <c r="E479">
        <f>IFERROR(__xludf.DUMMYFUNCTION("""COMPUTED_VALUE"""),"none")</f>
        <v/>
      </c>
      <c r="F479">
        <f>IFERROR(__xludf.DUMMYFUNCTION("""COMPUTED_VALUE"""),"none")</f>
        <v/>
      </c>
      <c r="G479">
        <f>IFERROR(__xludf.DUMMYFUNCTION("""COMPUTED_VALUE"""),"none")</f>
        <v/>
      </c>
      <c r="I479">
        <f>IFERROR(__xludf.DUMMYFUNCTION("""COMPUTED_VALUE"""),"none")</f>
        <v/>
      </c>
      <c r="T479">
        <f>IFERROR(__xludf.DUMMYFUNCTION("""COMPUTED_VALUE"""),"none")</f>
        <v/>
      </c>
      <c r="U479">
        <f>IFERROR(__xludf.DUMMYFUNCTION("""COMPUTED_VALUE"""),"none")</f>
        <v/>
      </c>
      <c r="W479">
        <f>IFERROR(__xludf.DUMMYFUNCTION("""COMPUTED_VALUE"""),"none")</f>
        <v/>
      </c>
      <c r="X479">
        <f>IFERROR(__xludf.DUMMYFUNCTION("""COMPUTED_VALUE"""),"none")</f>
        <v/>
      </c>
      <c r="Z479">
        <f>IFERROR(__xludf.DUMMYFUNCTION("""COMPUTED_VALUE"""),"-")</f>
        <v/>
      </c>
      <c r="AB479">
        <f>IFERROR(__xludf.DUMMYFUNCTION("""COMPUTED_VALUE"""),"none")</f>
        <v/>
      </c>
    </row>
    <row r="480">
      <c r="D480">
        <f>IFERROR(__xludf.DUMMYFUNCTION("""COMPUTED_VALUE"""),"___")</f>
        <v/>
      </c>
      <c r="E480">
        <f>IFERROR(__xludf.DUMMYFUNCTION("""COMPUTED_VALUE"""),"none")</f>
        <v/>
      </c>
      <c r="F480">
        <f>IFERROR(__xludf.DUMMYFUNCTION("""COMPUTED_VALUE"""),"none")</f>
        <v/>
      </c>
      <c r="G480">
        <f>IFERROR(__xludf.DUMMYFUNCTION("""COMPUTED_VALUE"""),"none")</f>
        <v/>
      </c>
      <c r="I480">
        <f>IFERROR(__xludf.DUMMYFUNCTION("""COMPUTED_VALUE"""),"none")</f>
        <v/>
      </c>
      <c r="T480">
        <f>IFERROR(__xludf.DUMMYFUNCTION("""COMPUTED_VALUE"""),"none")</f>
        <v/>
      </c>
      <c r="U480">
        <f>IFERROR(__xludf.DUMMYFUNCTION("""COMPUTED_VALUE"""),"none")</f>
        <v/>
      </c>
      <c r="W480">
        <f>IFERROR(__xludf.DUMMYFUNCTION("""COMPUTED_VALUE"""),"none")</f>
        <v/>
      </c>
      <c r="X480">
        <f>IFERROR(__xludf.DUMMYFUNCTION("""COMPUTED_VALUE"""),"none")</f>
        <v/>
      </c>
      <c r="Z480">
        <f>IFERROR(__xludf.DUMMYFUNCTION("""COMPUTED_VALUE"""),"-")</f>
        <v/>
      </c>
      <c r="AB480">
        <f>IFERROR(__xludf.DUMMYFUNCTION("""COMPUTED_VALUE"""),"none")</f>
        <v/>
      </c>
    </row>
    <row r="481">
      <c r="D481">
        <f>IFERROR(__xludf.DUMMYFUNCTION("""COMPUTED_VALUE"""),"___")</f>
        <v/>
      </c>
      <c r="E481">
        <f>IFERROR(__xludf.DUMMYFUNCTION("""COMPUTED_VALUE"""),"none")</f>
        <v/>
      </c>
      <c r="F481">
        <f>IFERROR(__xludf.DUMMYFUNCTION("""COMPUTED_VALUE"""),"none")</f>
        <v/>
      </c>
      <c r="G481">
        <f>IFERROR(__xludf.DUMMYFUNCTION("""COMPUTED_VALUE"""),"none")</f>
        <v/>
      </c>
      <c r="I481">
        <f>IFERROR(__xludf.DUMMYFUNCTION("""COMPUTED_VALUE"""),"none")</f>
        <v/>
      </c>
      <c r="T481">
        <f>IFERROR(__xludf.DUMMYFUNCTION("""COMPUTED_VALUE"""),"none")</f>
        <v/>
      </c>
      <c r="U481">
        <f>IFERROR(__xludf.DUMMYFUNCTION("""COMPUTED_VALUE"""),"none")</f>
        <v/>
      </c>
      <c r="W481">
        <f>IFERROR(__xludf.DUMMYFUNCTION("""COMPUTED_VALUE"""),"none")</f>
        <v/>
      </c>
      <c r="X481">
        <f>IFERROR(__xludf.DUMMYFUNCTION("""COMPUTED_VALUE"""),"none")</f>
        <v/>
      </c>
      <c r="Z481">
        <f>IFERROR(__xludf.DUMMYFUNCTION("""COMPUTED_VALUE"""),"-")</f>
        <v/>
      </c>
      <c r="AB481">
        <f>IFERROR(__xludf.DUMMYFUNCTION("""COMPUTED_VALUE"""),"none")</f>
        <v/>
      </c>
    </row>
    <row r="482">
      <c r="D482">
        <f>IFERROR(__xludf.DUMMYFUNCTION("""COMPUTED_VALUE"""),"___")</f>
        <v/>
      </c>
      <c r="E482">
        <f>IFERROR(__xludf.DUMMYFUNCTION("""COMPUTED_VALUE"""),"none")</f>
        <v/>
      </c>
      <c r="F482">
        <f>IFERROR(__xludf.DUMMYFUNCTION("""COMPUTED_VALUE"""),"none")</f>
        <v/>
      </c>
      <c r="G482">
        <f>IFERROR(__xludf.DUMMYFUNCTION("""COMPUTED_VALUE"""),"none")</f>
        <v/>
      </c>
      <c r="I482">
        <f>IFERROR(__xludf.DUMMYFUNCTION("""COMPUTED_VALUE"""),"none")</f>
        <v/>
      </c>
      <c r="T482">
        <f>IFERROR(__xludf.DUMMYFUNCTION("""COMPUTED_VALUE"""),"none")</f>
        <v/>
      </c>
      <c r="U482">
        <f>IFERROR(__xludf.DUMMYFUNCTION("""COMPUTED_VALUE"""),"none")</f>
        <v/>
      </c>
      <c r="W482">
        <f>IFERROR(__xludf.DUMMYFUNCTION("""COMPUTED_VALUE"""),"none")</f>
        <v/>
      </c>
      <c r="X482">
        <f>IFERROR(__xludf.DUMMYFUNCTION("""COMPUTED_VALUE"""),"none")</f>
        <v/>
      </c>
      <c r="Z482">
        <f>IFERROR(__xludf.DUMMYFUNCTION("""COMPUTED_VALUE"""),"-")</f>
        <v/>
      </c>
      <c r="AB482">
        <f>IFERROR(__xludf.DUMMYFUNCTION("""COMPUTED_VALUE"""),"none")</f>
        <v/>
      </c>
    </row>
    <row r="483">
      <c r="D483">
        <f>IFERROR(__xludf.DUMMYFUNCTION("""COMPUTED_VALUE"""),"___")</f>
        <v/>
      </c>
      <c r="E483">
        <f>IFERROR(__xludf.DUMMYFUNCTION("""COMPUTED_VALUE"""),"none")</f>
        <v/>
      </c>
      <c r="F483">
        <f>IFERROR(__xludf.DUMMYFUNCTION("""COMPUTED_VALUE"""),"none")</f>
        <v/>
      </c>
      <c r="G483">
        <f>IFERROR(__xludf.DUMMYFUNCTION("""COMPUTED_VALUE"""),"none")</f>
        <v/>
      </c>
      <c r="I483">
        <f>IFERROR(__xludf.DUMMYFUNCTION("""COMPUTED_VALUE"""),"none")</f>
        <v/>
      </c>
      <c r="T483">
        <f>IFERROR(__xludf.DUMMYFUNCTION("""COMPUTED_VALUE"""),"none")</f>
        <v/>
      </c>
      <c r="U483">
        <f>IFERROR(__xludf.DUMMYFUNCTION("""COMPUTED_VALUE"""),"none")</f>
        <v/>
      </c>
      <c r="W483">
        <f>IFERROR(__xludf.DUMMYFUNCTION("""COMPUTED_VALUE"""),"none")</f>
        <v/>
      </c>
      <c r="X483">
        <f>IFERROR(__xludf.DUMMYFUNCTION("""COMPUTED_VALUE"""),"none")</f>
        <v/>
      </c>
      <c r="Z483">
        <f>IFERROR(__xludf.DUMMYFUNCTION("""COMPUTED_VALUE"""),"-")</f>
        <v/>
      </c>
      <c r="AB483">
        <f>IFERROR(__xludf.DUMMYFUNCTION("""COMPUTED_VALUE"""),"none")</f>
        <v/>
      </c>
    </row>
    <row r="484">
      <c r="D484">
        <f>IFERROR(__xludf.DUMMYFUNCTION("""COMPUTED_VALUE"""),"___")</f>
        <v/>
      </c>
      <c r="E484">
        <f>IFERROR(__xludf.DUMMYFUNCTION("""COMPUTED_VALUE"""),"none")</f>
        <v/>
      </c>
      <c r="F484">
        <f>IFERROR(__xludf.DUMMYFUNCTION("""COMPUTED_VALUE"""),"none")</f>
        <v/>
      </c>
      <c r="G484">
        <f>IFERROR(__xludf.DUMMYFUNCTION("""COMPUTED_VALUE"""),"none")</f>
        <v/>
      </c>
      <c r="I484">
        <f>IFERROR(__xludf.DUMMYFUNCTION("""COMPUTED_VALUE"""),"none")</f>
        <v/>
      </c>
      <c r="T484">
        <f>IFERROR(__xludf.DUMMYFUNCTION("""COMPUTED_VALUE"""),"none")</f>
        <v/>
      </c>
      <c r="U484">
        <f>IFERROR(__xludf.DUMMYFUNCTION("""COMPUTED_VALUE"""),"none")</f>
        <v/>
      </c>
      <c r="W484">
        <f>IFERROR(__xludf.DUMMYFUNCTION("""COMPUTED_VALUE"""),"none")</f>
        <v/>
      </c>
      <c r="X484">
        <f>IFERROR(__xludf.DUMMYFUNCTION("""COMPUTED_VALUE"""),"none")</f>
        <v/>
      </c>
      <c r="Z484">
        <f>IFERROR(__xludf.DUMMYFUNCTION("""COMPUTED_VALUE"""),"-")</f>
        <v/>
      </c>
      <c r="AB484">
        <f>IFERROR(__xludf.DUMMYFUNCTION("""COMPUTED_VALUE"""),"none")</f>
        <v/>
      </c>
    </row>
    <row r="485">
      <c r="D485">
        <f>IFERROR(__xludf.DUMMYFUNCTION("""COMPUTED_VALUE"""),"___")</f>
        <v/>
      </c>
      <c r="E485">
        <f>IFERROR(__xludf.DUMMYFUNCTION("""COMPUTED_VALUE"""),"none")</f>
        <v/>
      </c>
      <c r="F485">
        <f>IFERROR(__xludf.DUMMYFUNCTION("""COMPUTED_VALUE"""),"none")</f>
        <v/>
      </c>
      <c r="G485">
        <f>IFERROR(__xludf.DUMMYFUNCTION("""COMPUTED_VALUE"""),"none")</f>
        <v/>
      </c>
      <c r="I485">
        <f>IFERROR(__xludf.DUMMYFUNCTION("""COMPUTED_VALUE"""),"none")</f>
        <v/>
      </c>
      <c r="T485">
        <f>IFERROR(__xludf.DUMMYFUNCTION("""COMPUTED_VALUE"""),"none")</f>
        <v/>
      </c>
      <c r="U485">
        <f>IFERROR(__xludf.DUMMYFUNCTION("""COMPUTED_VALUE"""),"none")</f>
        <v/>
      </c>
      <c r="W485">
        <f>IFERROR(__xludf.DUMMYFUNCTION("""COMPUTED_VALUE"""),"none")</f>
        <v/>
      </c>
      <c r="X485">
        <f>IFERROR(__xludf.DUMMYFUNCTION("""COMPUTED_VALUE"""),"none")</f>
        <v/>
      </c>
      <c r="Z485">
        <f>IFERROR(__xludf.DUMMYFUNCTION("""COMPUTED_VALUE"""),"-")</f>
        <v/>
      </c>
      <c r="AB485">
        <f>IFERROR(__xludf.DUMMYFUNCTION("""COMPUTED_VALUE"""),"none")</f>
        <v/>
      </c>
    </row>
    <row r="486">
      <c r="D486">
        <f>IFERROR(__xludf.DUMMYFUNCTION("""COMPUTED_VALUE"""),"___")</f>
        <v/>
      </c>
      <c r="E486">
        <f>IFERROR(__xludf.DUMMYFUNCTION("""COMPUTED_VALUE"""),"none")</f>
        <v/>
      </c>
      <c r="F486">
        <f>IFERROR(__xludf.DUMMYFUNCTION("""COMPUTED_VALUE"""),"none")</f>
        <v/>
      </c>
      <c r="G486">
        <f>IFERROR(__xludf.DUMMYFUNCTION("""COMPUTED_VALUE"""),"none")</f>
        <v/>
      </c>
      <c r="I486">
        <f>IFERROR(__xludf.DUMMYFUNCTION("""COMPUTED_VALUE"""),"none")</f>
        <v/>
      </c>
      <c r="T486">
        <f>IFERROR(__xludf.DUMMYFUNCTION("""COMPUTED_VALUE"""),"none")</f>
        <v/>
      </c>
      <c r="U486">
        <f>IFERROR(__xludf.DUMMYFUNCTION("""COMPUTED_VALUE"""),"none")</f>
        <v/>
      </c>
      <c r="W486">
        <f>IFERROR(__xludf.DUMMYFUNCTION("""COMPUTED_VALUE"""),"none")</f>
        <v/>
      </c>
      <c r="X486">
        <f>IFERROR(__xludf.DUMMYFUNCTION("""COMPUTED_VALUE"""),"none")</f>
        <v/>
      </c>
      <c r="Z486">
        <f>IFERROR(__xludf.DUMMYFUNCTION("""COMPUTED_VALUE"""),"-")</f>
        <v/>
      </c>
      <c r="AB486">
        <f>IFERROR(__xludf.DUMMYFUNCTION("""COMPUTED_VALUE"""),"none")</f>
        <v/>
      </c>
    </row>
    <row r="487">
      <c r="D487">
        <f>IFERROR(__xludf.DUMMYFUNCTION("""COMPUTED_VALUE"""),"___")</f>
        <v/>
      </c>
      <c r="E487">
        <f>IFERROR(__xludf.DUMMYFUNCTION("""COMPUTED_VALUE"""),"none")</f>
        <v/>
      </c>
      <c r="F487">
        <f>IFERROR(__xludf.DUMMYFUNCTION("""COMPUTED_VALUE"""),"none")</f>
        <v/>
      </c>
      <c r="G487">
        <f>IFERROR(__xludf.DUMMYFUNCTION("""COMPUTED_VALUE"""),"none")</f>
        <v/>
      </c>
      <c r="I487">
        <f>IFERROR(__xludf.DUMMYFUNCTION("""COMPUTED_VALUE"""),"none")</f>
        <v/>
      </c>
      <c r="T487">
        <f>IFERROR(__xludf.DUMMYFUNCTION("""COMPUTED_VALUE"""),"none")</f>
        <v/>
      </c>
      <c r="U487">
        <f>IFERROR(__xludf.DUMMYFUNCTION("""COMPUTED_VALUE"""),"none")</f>
        <v/>
      </c>
      <c r="W487">
        <f>IFERROR(__xludf.DUMMYFUNCTION("""COMPUTED_VALUE"""),"none")</f>
        <v/>
      </c>
      <c r="X487">
        <f>IFERROR(__xludf.DUMMYFUNCTION("""COMPUTED_VALUE"""),"none")</f>
        <v/>
      </c>
      <c r="Z487">
        <f>IFERROR(__xludf.DUMMYFUNCTION("""COMPUTED_VALUE"""),"-")</f>
        <v/>
      </c>
      <c r="AB487">
        <f>IFERROR(__xludf.DUMMYFUNCTION("""COMPUTED_VALUE"""),"none")</f>
        <v/>
      </c>
    </row>
    <row r="488">
      <c r="D488">
        <f>IFERROR(__xludf.DUMMYFUNCTION("""COMPUTED_VALUE"""),"___")</f>
        <v/>
      </c>
      <c r="E488">
        <f>IFERROR(__xludf.DUMMYFUNCTION("""COMPUTED_VALUE"""),"none")</f>
        <v/>
      </c>
      <c r="F488">
        <f>IFERROR(__xludf.DUMMYFUNCTION("""COMPUTED_VALUE"""),"none")</f>
        <v/>
      </c>
      <c r="G488">
        <f>IFERROR(__xludf.DUMMYFUNCTION("""COMPUTED_VALUE"""),"none")</f>
        <v/>
      </c>
      <c r="I488">
        <f>IFERROR(__xludf.DUMMYFUNCTION("""COMPUTED_VALUE"""),"none")</f>
        <v/>
      </c>
      <c r="T488">
        <f>IFERROR(__xludf.DUMMYFUNCTION("""COMPUTED_VALUE"""),"none")</f>
        <v/>
      </c>
      <c r="U488">
        <f>IFERROR(__xludf.DUMMYFUNCTION("""COMPUTED_VALUE"""),"none")</f>
        <v/>
      </c>
      <c r="W488">
        <f>IFERROR(__xludf.DUMMYFUNCTION("""COMPUTED_VALUE"""),"none")</f>
        <v/>
      </c>
      <c r="X488">
        <f>IFERROR(__xludf.DUMMYFUNCTION("""COMPUTED_VALUE"""),"none")</f>
        <v/>
      </c>
      <c r="Z488">
        <f>IFERROR(__xludf.DUMMYFUNCTION("""COMPUTED_VALUE"""),"-")</f>
        <v/>
      </c>
      <c r="AB488">
        <f>IFERROR(__xludf.DUMMYFUNCTION("""COMPUTED_VALUE"""),"none")</f>
        <v/>
      </c>
    </row>
    <row r="489">
      <c r="D489">
        <f>IFERROR(__xludf.DUMMYFUNCTION("""COMPUTED_VALUE"""),"___")</f>
        <v/>
      </c>
      <c r="E489">
        <f>IFERROR(__xludf.DUMMYFUNCTION("""COMPUTED_VALUE"""),"none")</f>
        <v/>
      </c>
      <c r="F489">
        <f>IFERROR(__xludf.DUMMYFUNCTION("""COMPUTED_VALUE"""),"none")</f>
        <v/>
      </c>
      <c r="G489">
        <f>IFERROR(__xludf.DUMMYFUNCTION("""COMPUTED_VALUE"""),"none")</f>
        <v/>
      </c>
      <c r="I489">
        <f>IFERROR(__xludf.DUMMYFUNCTION("""COMPUTED_VALUE"""),"none")</f>
        <v/>
      </c>
      <c r="T489">
        <f>IFERROR(__xludf.DUMMYFUNCTION("""COMPUTED_VALUE"""),"none")</f>
        <v/>
      </c>
      <c r="U489">
        <f>IFERROR(__xludf.DUMMYFUNCTION("""COMPUTED_VALUE"""),"none")</f>
        <v/>
      </c>
      <c r="W489">
        <f>IFERROR(__xludf.DUMMYFUNCTION("""COMPUTED_VALUE"""),"none")</f>
        <v/>
      </c>
      <c r="X489">
        <f>IFERROR(__xludf.DUMMYFUNCTION("""COMPUTED_VALUE"""),"none")</f>
        <v/>
      </c>
      <c r="Z489">
        <f>IFERROR(__xludf.DUMMYFUNCTION("""COMPUTED_VALUE"""),"-")</f>
        <v/>
      </c>
      <c r="AB489">
        <f>IFERROR(__xludf.DUMMYFUNCTION("""COMPUTED_VALUE"""),"none")</f>
        <v/>
      </c>
    </row>
    <row r="490">
      <c r="D490">
        <f>IFERROR(__xludf.DUMMYFUNCTION("""COMPUTED_VALUE"""),"___")</f>
        <v/>
      </c>
      <c r="E490">
        <f>IFERROR(__xludf.DUMMYFUNCTION("""COMPUTED_VALUE"""),"none")</f>
        <v/>
      </c>
      <c r="F490">
        <f>IFERROR(__xludf.DUMMYFUNCTION("""COMPUTED_VALUE"""),"none")</f>
        <v/>
      </c>
      <c r="G490">
        <f>IFERROR(__xludf.DUMMYFUNCTION("""COMPUTED_VALUE"""),"none")</f>
        <v/>
      </c>
      <c r="I490">
        <f>IFERROR(__xludf.DUMMYFUNCTION("""COMPUTED_VALUE"""),"none")</f>
        <v/>
      </c>
      <c r="T490">
        <f>IFERROR(__xludf.DUMMYFUNCTION("""COMPUTED_VALUE"""),"none")</f>
        <v/>
      </c>
      <c r="U490">
        <f>IFERROR(__xludf.DUMMYFUNCTION("""COMPUTED_VALUE"""),"none")</f>
        <v/>
      </c>
      <c r="W490">
        <f>IFERROR(__xludf.DUMMYFUNCTION("""COMPUTED_VALUE"""),"none")</f>
        <v/>
      </c>
      <c r="X490">
        <f>IFERROR(__xludf.DUMMYFUNCTION("""COMPUTED_VALUE"""),"none")</f>
        <v/>
      </c>
      <c r="Z490">
        <f>IFERROR(__xludf.DUMMYFUNCTION("""COMPUTED_VALUE"""),"-")</f>
        <v/>
      </c>
      <c r="AB490">
        <f>IFERROR(__xludf.DUMMYFUNCTION("""COMPUTED_VALUE"""),"none")</f>
        <v/>
      </c>
    </row>
    <row r="491">
      <c r="D491">
        <f>IFERROR(__xludf.DUMMYFUNCTION("""COMPUTED_VALUE"""),"___")</f>
        <v/>
      </c>
      <c r="E491">
        <f>IFERROR(__xludf.DUMMYFUNCTION("""COMPUTED_VALUE"""),"none")</f>
        <v/>
      </c>
      <c r="F491">
        <f>IFERROR(__xludf.DUMMYFUNCTION("""COMPUTED_VALUE"""),"none")</f>
        <v/>
      </c>
      <c r="G491">
        <f>IFERROR(__xludf.DUMMYFUNCTION("""COMPUTED_VALUE"""),"none")</f>
        <v/>
      </c>
      <c r="I491">
        <f>IFERROR(__xludf.DUMMYFUNCTION("""COMPUTED_VALUE"""),"none")</f>
        <v/>
      </c>
      <c r="T491">
        <f>IFERROR(__xludf.DUMMYFUNCTION("""COMPUTED_VALUE"""),"none")</f>
        <v/>
      </c>
      <c r="U491">
        <f>IFERROR(__xludf.DUMMYFUNCTION("""COMPUTED_VALUE"""),"none")</f>
        <v/>
      </c>
      <c r="W491">
        <f>IFERROR(__xludf.DUMMYFUNCTION("""COMPUTED_VALUE"""),"none")</f>
        <v/>
      </c>
      <c r="X491">
        <f>IFERROR(__xludf.DUMMYFUNCTION("""COMPUTED_VALUE"""),"none")</f>
        <v/>
      </c>
      <c r="Z491">
        <f>IFERROR(__xludf.DUMMYFUNCTION("""COMPUTED_VALUE"""),"-")</f>
        <v/>
      </c>
      <c r="AB491">
        <f>IFERROR(__xludf.DUMMYFUNCTION("""COMPUTED_VALUE"""),"none")</f>
        <v/>
      </c>
    </row>
    <row r="492">
      <c r="D492">
        <f>IFERROR(__xludf.DUMMYFUNCTION("""COMPUTED_VALUE"""),"___")</f>
        <v/>
      </c>
      <c r="E492">
        <f>IFERROR(__xludf.DUMMYFUNCTION("""COMPUTED_VALUE"""),"none")</f>
        <v/>
      </c>
      <c r="F492">
        <f>IFERROR(__xludf.DUMMYFUNCTION("""COMPUTED_VALUE"""),"none")</f>
        <v/>
      </c>
      <c r="G492">
        <f>IFERROR(__xludf.DUMMYFUNCTION("""COMPUTED_VALUE"""),"none")</f>
        <v/>
      </c>
      <c r="I492">
        <f>IFERROR(__xludf.DUMMYFUNCTION("""COMPUTED_VALUE"""),"none")</f>
        <v/>
      </c>
      <c r="T492">
        <f>IFERROR(__xludf.DUMMYFUNCTION("""COMPUTED_VALUE"""),"none")</f>
        <v/>
      </c>
      <c r="U492">
        <f>IFERROR(__xludf.DUMMYFUNCTION("""COMPUTED_VALUE"""),"none")</f>
        <v/>
      </c>
      <c r="W492">
        <f>IFERROR(__xludf.DUMMYFUNCTION("""COMPUTED_VALUE"""),"none")</f>
        <v/>
      </c>
      <c r="X492">
        <f>IFERROR(__xludf.DUMMYFUNCTION("""COMPUTED_VALUE"""),"none")</f>
        <v/>
      </c>
      <c r="Z492">
        <f>IFERROR(__xludf.DUMMYFUNCTION("""COMPUTED_VALUE"""),"-")</f>
        <v/>
      </c>
      <c r="AB492">
        <f>IFERROR(__xludf.DUMMYFUNCTION("""COMPUTED_VALUE"""),"none")</f>
        <v/>
      </c>
    </row>
    <row r="493">
      <c r="D493">
        <f>IFERROR(__xludf.DUMMYFUNCTION("""COMPUTED_VALUE"""),"___")</f>
        <v/>
      </c>
      <c r="E493">
        <f>IFERROR(__xludf.DUMMYFUNCTION("""COMPUTED_VALUE"""),"none")</f>
        <v/>
      </c>
      <c r="F493">
        <f>IFERROR(__xludf.DUMMYFUNCTION("""COMPUTED_VALUE"""),"none")</f>
        <v/>
      </c>
      <c r="G493">
        <f>IFERROR(__xludf.DUMMYFUNCTION("""COMPUTED_VALUE"""),"none")</f>
        <v/>
      </c>
      <c r="I493">
        <f>IFERROR(__xludf.DUMMYFUNCTION("""COMPUTED_VALUE"""),"none")</f>
        <v/>
      </c>
      <c r="T493">
        <f>IFERROR(__xludf.DUMMYFUNCTION("""COMPUTED_VALUE"""),"none")</f>
        <v/>
      </c>
      <c r="U493">
        <f>IFERROR(__xludf.DUMMYFUNCTION("""COMPUTED_VALUE"""),"none")</f>
        <v/>
      </c>
      <c r="W493">
        <f>IFERROR(__xludf.DUMMYFUNCTION("""COMPUTED_VALUE"""),"none")</f>
        <v/>
      </c>
      <c r="X493">
        <f>IFERROR(__xludf.DUMMYFUNCTION("""COMPUTED_VALUE"""),"none")</f>
        <v/>
      </c>
      <c r="Z493">
        <f>IFERROR(__xludf.DUMMYFUNCTION("""COMPUTED_VALUE"""),"-")</f>
        <v/>
      </c>
      <c r="AB493">
        <f>IFERROR(__xludf.DUMMYFUNCTION("""COMPUTED_VALUE"""),"none")</f>
        <v/>
      </c>
    </row>
    <row r="494">
      <c r="D494">
        <f>IFERROR(__xludf.DUMMYFUNCTION("""COMPUTED_VALUE"""),"___")</f>
        <v/>
      </c>
      <c r="E494">
        <f>IFERROR(__xludf.DUMMYFUNCTION("""COMPUTED_VALUE"""),"none")</f>
        <v/>
      </c>
      <c r="F494">
        <f>IFERROR(__xludf.DUMMYFUNCTION("""COMPUTED_VALUE"""),"none")</f>
        <v/>
      </c>
      <c r="G494">
        <f>IFERROR(__xludf.DUMMYFUNCTION("""COMPUTED_VALUE"""),"none")</f>
        <v/>
      </c>
      <c r="I494">
        <f>IFERROR(__xludf.DUMMYFUNCTION("""COMPUTED_VALUE"""),"none")</f>
        <v/>
      </c>
      <c r="T494">
        <f>IFERROR(__xludf.DUMMYFUNCTION("""COMPUTED_VALUE"""),"none")</f>
        <v/>
      </c>
      <c r="U494">
        <f>IFERROR(__xludf.DUMMYFUNCTION("""COMPUTED_VALUE"""),"none")</f>
        <v/>
      </c>
      <c r="W494">
        <f>IFERROR(__xludf.DUMMYFUNCTION("""COMPUTED_VALUE"""),"none")</f>
        <v/>
      </c>
      <c r="X494">
        <f>IFERROR(__xludf.DUMMYFUNCTION("""COMPUTED_VALUE"""),"none")</f>
        <v/>
      </c>
      <c r="Z494">
        <f>IFERROR(__xludf.DUMMYFUNCTION("""COMPUTED_VALUE"""),"-")</f>
        <v/>
      </c>
      <c r="AB494">
        <f>IFERROR(__xludf.DUMMYFUNCTION("""COMPUTED_VALUE"""),"none")</f>
        <v/>
      </c>
    </row>
    <row r="495">
      <c r="D495">
        <f>IFERROR(__xludf.DUMMYFUNCTION("""COMPUTED_VALUE"""),"___")</f>
        <v/>
      </c>
      <c r="E495">
        <f>IFERROR(__xludf.DUMMYFUNCTION("""COMPUTED_VALUE"""),"none")</f>
        <v/>
      </c>
      <c r="F495">
        <f>IFERROR(__xludf.DUMMYFUNCTION("""COMPUTED_VALUE"""),"none")</f>
        <v/>
      </c>
      <c r="G495">
        <f>IFERROR(__xludf.DUMMYFUNCTION("""COMPUTED_VALUE"""),"none")</f>
        <v/>
      </c>
      <c r="I495">
        <f>IFERROR(__xludf.DUMMYFUNCTION("""COMPUTED_VALUE"""),"none")</f>
        <v/>
      </c>
      <c r="T495">
        <f>IFERROR(__xludf.DUMMYFUNCTION("""COMPUTED_VALUE"""),"none")</f>
        <v/>
      </c>
      <c r="U495">
        <f>IFERROR(__xludf.DUMMYFUNCTION("""COMPUTED_VALUE"""),"none")</f>
        <v/>
      </c>
      <c r="W495">
        <f>IFERROR(__xludf.DUMMYFUNCTION("""COMPUTED_VALUE"""),"none")</f>
        <v/>
      </c>
      <c r="X495">
        <f>IFERROR(__xludf.DUMMYFUNCTION("""COMPUTED_VALUE"""),"none")</f>
        <v/>
      </c>
      <c r="Z495">
        <f>IFERROR(__xludf.DUMMYFUNCTION("""COMPUTED_VALUE"""),"-")</f>
        <v/>
      </c>
      <c r="AB495">
        <f>IFERROR(__xludf.DUMMYFUNCTION("""COMPUTED_VALUE"""),"none")</f>
        <v/>
      </c>
    </row>
    <row r="496">
      <c r="D496">
        <f>IFERROR(__xludf.DUMMYFUNCTION("""COMPUTED_VALUE"""),"___")</f>
        <v/>
      </c>
      <c r="E496">
        <f>IFERROR(__xludf.DUMMYFUNCTION("""COMPUTED_VALUE"""),"none")</f>
        <v/>
      </c>
      <c r="F496">
        <f>IFERROR(__xludf.DUMMYFUNCTION("""COMPUTED_VALUE"""),"none")</f>
        <v/>
      </c>
      <c r="G496">
        <f>IFERROR(__xludf.DUMMYFUNCTION("""COMPUTED_VALUE"""),"none")</f>
        <v/>
      </c>
      <c r="I496">
        <f>IFERROR(__xludf.DUMMYFUNCTION("""COMPUTED_VALUE"""),"none")</f>
        <v/>
      </c>
      <c r="T496">
        <f>IFERROR(__xludf.DUMMYFUNCTION("""COMPUTED_VALUE"""),"none")</f>
        <v/>
      </c>
      <c r="U496">
        <f>IFERROR(__xludf.DUMMYFUNCTION("""COMPUTED_VALUE"""),"none")</f>
        <v/>
      </c>
      <c r="W496">
        <f>IFERROR(__xludf.DUMMYFUNCTION("""COMPUTED_VALUE"""),"none")</f>
        <v/>
      </c>
      <c r="X496">
        <f>IFERROR(__xludf.DUMMYFUNCTION("""COMPUTED_VALUE"""),"none")</f>
        <v/>
      </c>
      <c r="Z496">
        <f>IFERROR(__xludf.DUMMYFUNCTION("""COMPUTED_VALUE"""),"-")</f>
        <v/>
      </c>
      <c r="AB496">
        <f>IFERROR(__xludf.DUMMYFUNCTION("""COMPUTED_VALUE"""),"none")</f>
        <v/>
      </c>
    </row>
    <row r="497">
      <c r="D497">
        <f>IFERROR(__xludf.DUMMYFUNCTION("""COMPUTED_VALUE"""),"___")</f>
        <v/>
      </c>
      <c r="E497">
        <f>IFERROR(__xludf.DUMMYFUNCTION("""COMPUTED_VALUE"""),"none")</f>
        <v/>
      </c>
      <c r="F497">
        <f>IFERROR(__xludf.DUMMYFUNCTION("""COMPUTED_VALUE"""),"none")</f>
        <v/>
      </c>
      <c r="G497">
        <f>IFERROR(__xludf.DUMMYFUNCTION("""COMPUTED_VALUE"""),"none")</f>
        <v/>
      </c>
      <c r="I497">
        <f>IFERROR(__xludf.DUMMYFUNCTION("""COMPUTED_VALUE"""),"none")</f>
        <v/>
      </c>
      <c r="T497">
        <f>IFERROR(__xludf.DUMMYFUNCTION("""COMPUTED_VALUE"""),"none")</f>
        <v/>
      </c>
      <c r="U497">
        <f>IFERROR(__xludf.DUMMYFUNCTION("""COMPUTED_VALUE"""),"none")</f>
        <v/>
      </c>
      <c r="W497">
        <f>IFERROR(__xludf.DUMMYFUNCTION("""COMPUTED_VALUE"""),"none")</f>
        <v/>
      </c>
      <c r="X497">
        <f>IFERROR(__xludf.DUMMYFUNCTION("""COMPUTED_VALUE"""),"none")</f>
        <v/>
      </c>
      <c r="Z497">
        <f>IFERROR(__xludf.DUMMYFUNCTION("""COMPUTED_VALUE"""),"-")</f>
        <v/>
      </c>
      <c r="AB497">
        <f>IFERROR(__xludf.DUMMYFUNCTION("""COMPUTED_VALUE"""),"none")</f>
        <v/>
      </c>
    </row>
    <row r="498">
      <c r="D498">
        <f>IFERROR(__xludf.DUMMYFUNCTION("""COMPUTED_VALUE"""),"___")</f>
        <v/>
      </c>
      <c r="E498">
        <f>IFERROR(__xludf.DUMMYFUNCTION("""COMPUTED_VALUE"""),"none")</f>
        <v/>
      </c>
      <c r="F498">
        <f>IFERROR(__xludf.DUMMYFUNCTION("""COMPUTED_VALUE"""),"none")</f>
        <v/>
      </c>
      <c r="G498">
        <f>IFERROR(__xludf.DUMMYFUNCTION("""COMPUTED_VALUE"""),"none")</f>
        <v/>
      </c>
      <c r="I498">
        <f>IFERROR(__xludf.DUMMYFUNCTION("""COMPUTED_VALUE"""),"none")</f>
        <v/>
      </c>
      <c r="T498">
        <f>IFERROR(__xludf.DUMMYFUNCTION("""COMPUTED_VALUE"""),"none")</f>
        <v/>
      </c>
      <c r="U498">
        <f>IFERROR(__xludf.DUMMYFUNCTION("""COMPUTED_VALUE"""),"none")</f>
        <v/>
      </c>
      <c r="W498">
        <f>IFERROR(__xludf.DUMMYFUNCTION("""COMPUTED_VALUE"""),"none")</f>
        <v/>
      </c>
      <c r="X498">
        <f>IFERROR(__xludf.DUMMYFUNCTION("""COMPUTED_VALUE"""),"none")</f>
        <v/>
      </c>
      <c r="Z498">
        <f>IFERROR(__xludf.DUMMYFUNCTION("""COMPUTED_VALUE"""),"-")</f>
        <v/>
      </c>
      <c r="AB498">
        <f>IFERROR(__xludf.DUMMYFUNCTION("""COMPUTED_VALUE"""),"none")</f>
        <v/>
      </c>
    </row>
    <row r="499">
      <c r="D499">
        <f>IFERROR(__xludf.DUMMYFUNCTION("""COMPUTED_VALUE"""),"___")</f>
        <v/>
      </c>
      <c r="E499">
        <f>IFERROR(__xludf.DUMMYFUNCTION("""COMPUTED_VALUE"""),"none")</f>
        <v/>
      </c>
      <c r="F499">
        <f>IFERROR(__xludf.DUMMYFUNCTION("""COMPUTED_VALUE"""),"none")</f>
        <v/>
      </c>
      <c r="G499">
        <f>IFERROR(__xludf.DUMMYFUNCTION("""COMPUTED_VALUE"""),"none")</f>
        <v/>
      </c>
      <c r="I499">
        <f>IFERROR(__xludf.DUMMYFUNCTION("""COMPUTED_VALUE"""),"none")</f>
        <v/>
      </c>
      <c r="T499">
        <f>IFERROR(__xludf.DUMMYFUNCTION("""COMPUTED_VALUE"""),"none")</f>
        <v/>
      </c>
      <c r="U499">
        <f>IFERROR(__xludf.DUMMYFUNCTION("""COMPUTED_VALUE"""),"none")</f>
        <v/>
      </c>
      <c r="W499">
        <f>IFERROR(__xludf.DUMMYFUNCTION("""COMPUTED_VALUE"""),"none")</f>
        <v/>
      </c>
      <c r="X499">
        <f>IFERROR(__xludf.DUMMYFUNCTION("""COMPUTED_VALUE"""),"none")</f>
        <v/>
      </c>
      <c r="Z499">
        <f>IFERROR(__xludf.DUMMYFUNCTION("""COMPUTED_VALUE"""),"-")</f>
        <v/>
      </c>
      <c r="AB499">
        <f>IFERROR(__xludf.DUMMYFUNCTION("""COMPUTED_VALUE"""),"none")</f>
        <v/>
      </c>
    </row>
    <row r="500">
      <c r="D500">
        <f>IFERROR(__xludf.DUMMYFUNCTION("""COMPUTED_VALUE"""),"___")</f>
        <v/>
      </c>
      <c r="E500">
        <f>IFERROR(__xludf.DUMMYFUNCTION("""COMPUTED_VALUE"""),"none")</f>
        <v/>
      </c>
      <c r="F500">
        <f>IFERROR(__xludf.DUMMYFUNCTION("""COMPUTED_VALUE"""),"none")</f>
        <v/>
      </c>
      <c r="G500">
        <f>IFERROR(__xludf.DUMMYFUNCTION("""COMPUTED_VALUE"""),"none")</f>
        <v/>
      </c>
      <c r="I500">
        <f>IFERROR(__xludf.DUMMYFUNCTION("""COMPUTED_VALUE"""),"none")</f>
        <v/>
      </c>
      <c r="T500">
        <f>IFERROR(__xludf.DUMMYFUNCTION("""COMPUTED_VALUE"""),"none")</f>
        <v/>
      </c>
      <c r="U500">
        <f>IFERROR(__xludf.DUMMYFUNCTION("""COMPUTED_VALUE"""),"none")</f>
        <v/>
      </c>
      <c r="W500">
        <f>IFERROR(__xludf.DUMMYFUNCTION("""COMPUTED_VALUE"""),"none")</f>
        <v/>
      </c>
      <c r="X500">
        <f>IFERROR(__xludf.DUMMYFUNCTION("""COMPUTED_VALUE"""),"none")</f>
        <v/>
      </c>
      <c r="Z500">
        <f>IFERROR(__xludf.DUMMYFUNCTION("""COMPUTED_VALUE"""),"-")</f>
        <v/>
      </c>
      <c r="AB500">
        <f>IFERROR(__xludf.DUMMYFUNCTION("""COMPUTED_VALUE"""),"none")</f>
        <v/>
      </c>
    </row>
    <row r="501">
      <c r="D501">
        <f>IFERROR(__xludf.DUMMYFUNCTION("""COMPUTED_VALUE"""),"___")</f>
        <v/>
      </c>
      <c r="E501">
        <f>IFERROR(__xludf.DUMMYFUNCTION("""COMPUTED_VALUE"""),"none")</f>
        <v/>
      </c>
      <c r="F501">
        <f>IFERROR(__xludf.DUMMYFUNCTION("""COMPUTED_VALUE"""),"none")</f>
        <v/>
      </c>
      <c r="G501">
        <f>IFERROR(__xludf.DUMMYFUNCTION("""COMPUTED_VALUE"""),"none")</f>
        <v/>
      </c>
      <c r="I501">
        <f>IFERROR(__xludf.DUMMYFUNCTION("""COMPUTED_VALUE"""),"none")</f>
        <v/>
      </c>
      <c r="T501">
        <f>IFERROR(__xludf.DUMMYFUNCTION("""COMPUTED_VALUE"""),"none")</f>
        <v/>
      </c>
      <c r="U501">
        <f>IFERROR(__xludf.DUMMYFUNCTION("""COMPUTED_VALUE"""),"none")</f>
        <v/>
      </c>
      <c r="W501">
        <f>IFERROR(__xludf.DUMMYFUNCTION("""COMPUTED_VALUE"""),"none")</f>
        <v/>
      </c>
      <c r="X501">
        <f>IFERROR(__xludf.DUMMYFUNCTION("""COMPUTED_VALUE"""),"none")</f>
        <v/>
      </c>
      <c r="Z501">
        <f>IFERROR(__xludf.DUMMYFUNCTION("""COMPUTED_VALUE"""),"-")</f>
        <v/>
      </c>
      <c r="AB501">
        <f>IFERROR(__xludf.DUMMYFUNCTION("""COMPUTED_VALUE"""),"none")</f>
        <v/>
      </c>
    </row>
    <row r="502">
      <c r="D502">
        <f>IFERROR(__xludf.DUMMYFUNCTION("""COMPUTED_VALUE"""),"___")</f>
        <v/>
      </c>
      <c r="E502">
        <f>IFERROR(__xludf.DUMMYFUNCTION("""COMPUTED_VALUE"""),"none")</f>
        <v/>
      </c>
      <c r="F502">
        <f>IFERROR(__xludf.DUMMYFUNCTION("""COMPUTED_VALUE"""),"none")</f>
        <v/>
      </c>
      <c r="G502">
        <f>IFERROR(__xludf.DUMMYFUNCTION("""COMPUTED_VALUE"""),"none")</f>
        <v/>
      </c>
      <c r="I502">
        <f>IFERROR(__xludf.DUMMYFUNCTION("""COMPUTED_VALUE"""),"none")</f>
        <v/>
      </c>
      <c r="T502">
        <f>IFERROR(__xludf.DUMMYFUNCTION("""COMPUTED_VALUE"""),"none")</f>
        <v/>
      </c>
      <c r="U502">
        <f>IFERROR(__xludf.DUMMYFUNCTION("""COMPUTED_VALUE"""),"none")</f>
        <v/>
      </c>
      <c r="W502">
        <f>IFERROR(__xludf.DUMMYFUNCTION("""COMPUTED_VALUE"""),"none")</f>
        <v/>
      </c>
      <c r="X502">
        <f>IFERROR(__xludf.DUMMYFUNCTION("""COMPUTED_VALUE"""),"none")</f>
        <v/>
      </c>
      <c r="Z502">
        <f>IFERROR(__xludf.DUMMYFUNCTION("""COMPUTED_VALUE"""),"-")</f>
        <v/>
      </c>
      <c r="AB502">
        <f>IFERROR(__xludf.DUMMYFUNCTION("""COMPUTED_VALUE"""),"none")</f>
        <v/>
      </c>
    </row>
    <row r="503">
      <c r="D503">
        <f>IFERROR(__xludf.DUMMYFUNCTION("""COMPUTED_VALUE"""),"___")</f>
        <v/>
      </c>
      <c r="E503">
        <f>IFERROR(__xludf.DUMMYFUNCTION("""COMPUTED_VALUE"""),"none")</f>
        <v/>
      </c>
      <c r="F503">
        <f>IFERROR(__xludf.DUMMYFUNCTION("""COMPUTED_VALUE"""),"none")</f>
        <v/>
      </c>
      <c r="G503">
        <f>IFERROR(__xludf.DUMMYFUNCTION("""COMPUTED_VALUE"""),"none")</f>
        <v/>
      </c>
      <c r="I503">
        <f>IFERROR(__xludf.DUMMYFUNCTION("""COMPUTED_VALUE"""),"none")</f>
        <v/>
      </c>
      <c r="T503">
        <f>IFERROR(__xludf.DUMMYFUNCTION("""COMPUTED_VALUE"""),"none")</f>
        <v/>
      </c>
      <c r="U503">
        <f>IFERROR(__xludf.DUMMYFUNCTION("""COMPUTED_VALUE"""),"none")</f>
        <v/>
      </c>
      <c r="W503">
        <f>IFERROR(__xludf.DUMMYFUNCTION("""COMPUTED_VALUE"""),"none")</f>
        <v/>
      </c>
      <c r="X503">
        <f>IFERROR(__xludf.DUMMYFUNCTION("""COMPUTED_VALUE"""),"none")</f>
        <v/>
      </c>
      <c r="Z503">
        <f>IFERROR(__xludf.DUMMYFUNCTION("""COMPUTED_VALUE"""),"-")</f>
        <v/>
      </c>
      <c r="AB503">
        <f>IFERROR(__xludf.DUMMYFUNCTION("""COMPUTED_VALUE"""),"none")</f>
        <v/>
      </c>
    </row>
    <row r="504">
      <c r="D504">
        <f>IFERROR(__xludf.DUMMYFUNCTION("""COMPUTED_VALUE"""),"___")</f>
        <v/>
      </c>
      <c r="E504">
        <f>IFERROR(__xludf.DUMMYFUNCTION("""COMPUTED_VALUE"""),"none")</f>
        <v/>
      </c>
      <c r="F504">
        <f>IFERROR(__xludf.DUMMYFUNCTION("""COMPUTED_VALUE"""),"none")</f>
        <v/>
      </c>
      <c r="G504">
        <f>IFERROR(__xludf.DUMMYFUNCTION("""COMPUTED_VALUE"""),"none")</f>
        <v/>
      </c>
      <c r="I504">
        <f>IFERROR(__xludf.DUMMYFUNCTION("""COMPUTED_VALUE"""),"none")</f>
        <v/>
      </c>
      <c r="T504">
        <f>IFERROR(__xludf.DUMMYFUNCTION("""COMPUTED_VALUE"""),"none")</f>
        <v/>
      </c>
      <c r="U504">
        <f>IFERROR(__xludf.DUMMYFUNCTION("""COMPUTED_VALUE"""),"none")</f>
        <v/>
      </c>
      <c r="W504">
        <f>IFERROR(__xludf.DUMMYFUNCTION("""COMPUTED_VALUE"""),"none")</f>
        <v/>
      </c>
      <c r="X504">
        <f>IFERROR(__xludf.DUMMYFUNCTION("""COMPUTED_VALUE"""),"none")</f>
        <v/>
      </c>
      <c r="Z504">
        <f>IFERROR(__xludf.DUMMYFUNCTION("""COMPUTED_VALUE"""),"-")</f>
        <v/>
      </c>
      <c r="AB504">
        <f>IFERROR(__xludf.DUMMYFUNCTION("""COMPUTED_VALUE"""),"none")</f>
        <v/>
      </c>
    </row>
    <row r="505">
      <c r="D505">
        <f>IFERROR(__xludf.DUMMYFUNCTION("""COMPUTED_VALUE"""),"___")</f>
        <v/>
      </c>
      <c r="E505">
        <f>IFERROR(__xludf.DUMMYFUNCTION("""COMPUTED_VALUE"""),"none")</f>
        <v/>
      </c>
      <c r="F505">
        <f>IFERROR(__xludf.DUMMYFUNCTION("""COMPUTED_VALUE"""),"none")</f>
        <v/>
      </c>
      <c r="G505">
        <f>IFERROR(__xludf.DUMMYFUNCTION("""COMPUTED_VALUE"""),"none")</f>
        <v/>
      </c>
      <c r="I505">
        <f>IFERROR(__xludf.DUMMYFUNCTION("""COMPUTED_VALUE"""),"none")</f>
        <v/>
      </c>
      <c r="T505">
        <f>IFERROR(__xludf.DUMMYFUNCTION("""COMPUTED_VALUE"""),"none")</f>
        <v/>
      </c>
      <c r="U505">
        <f>IFERROR(__xludf.DUMMYFUNCTION("""COMPUTED_VALUE"""),"none")</f>
        <v/>
      </c>
      <c r="W505">
        <f>IFERROR(__xludf.DUMMYFUNCTION("""COMPUTED_VALUE"""),"none")</f>
        <v/>
      </c>
      <c r="X505">
        <f>IFERROR(__xludf.DUMMYFUNCTION("""COMPUTED_VALUE"""),"none")</f>
        <v/>
      </c>
      <c r="Z505">
        <f>IFERROR(__xludf.DUMMYFUNCTION("""COMPUTED_VALUE"""),"-")</f>
        <v/>
      </c>
      <c r="AB505">
        <f>IFERROR(__xludf.DUMMYFUNCTION("""COMPUTED_VALUE"""),"none")</f>
        <v/>
      </c>
    </row>
    <row r="506">
      <c r="D506">
        <f>IFERROR(__xludf.DUMMYFUNCTION("""COMPUTED_VALUE"""),"___")</f>
        <v/>
      </c>
      <c r="E506">
        <f>IFERROR(__xludf.DUMMYFUNCTION("""COMPUTED_VALUE"""),"none")</f>
        <v/>
      </c>
      <c r="F506">
        <f>IFERROR(__xludf.DUMMYFUNCTION("""COMPUTED_VALUE"""),"none")</f>
        <v/>
      </c>
      <c r="G506">
        <f>IFERROR(__xludf.DUMMYFUNCTION("""COMPUTED_VALUE"""),"none")</f>
        <v/>
      </c>
      <c r="I506">
        <f>IFERROR(__xludf.DUMMYFUNCTION("""COMPUTED_VALUE"""),"none")</f>
        <v/>
      </c>
      <c r="T506">
        <f>IFERROR(__xludf.DUMMYFUNCTION("""COMPUTED_VALUE"""),"none")</f>
        <v/>
      </c>
      <c r="U506">
        <f>IFERROR(__xludf.DUMMYFUNCTION("""COMPUTED_VALUE"""),"none")</f>
        <v/>
      </c>
      <c r="W506">
        <f>IFERROR(__xludf.DUMMYFUNCTION("""COMPUTED_VALUE"""),"none")</f>
        <v/>
      </c>
      <c r="X506">
        <f>IFERROR(__xludf.DUMMYFUNCTION("""COMPUTED_VALUE"""),"none")</f>
        <v/>
      </c>
      <c r="Z506">
        <f>IFERROR(__xludf.DUMMYFUNCTION("""COMPUTED_VALUE"""),"-")</f>
        <v/>
      </c>
      <c r="AB506">
        <f>IFERROR(__xludf.DUMMYFUNCTION("""COMPUTED_VALUE"""),"none")</f>
        <v/>
      </c>
    </row>
    <row r="507">
      <c r="D507">
        <f>IFERROR(__xludf.DUMMYFUNCTION("""COMPUTED_VALUE"""),"___")</f>
        <v/>
      </c>
      <c r="E507">
        <f>IFERROR(__xludf.DUMMYFUNCTION("""COMPUTED_VALUE"""),"none")</f>
        <v/>
      </c>
      <c r="F507">
        <f>IFERROR(__xludf.DUMMYFUNCTION("""COMPUTED_VALUE"""),"none")</f>
        <v/>
      </c>
      <c r="G507">
        <f>IFERROR(__xludf.DUMMYFUNCTION("""COMPUTED_VALUE"""),"none")</f>
        <v/>
      </c>
      <c r="I507">
        <f>IFERROR(__xludf.DUMMYFUNCTION("""COMPUTED_VALUE"""),"none")</f>
        <v/>
      </c>
      <c r="T507">
        <f>IFERROR(__xludf.DUMMYFUNCTION("""COMPUTED_VALUE"""),"none")</f>
        <v/>
      </c>
      <c r="U507">
        <f>IFERROR(__xludf.DUMMYFUNCTION("""COMPUTED_VALUE"""),"none")</f>
        <v/>
      </c>
      <c r="W507">
        <f>IFERROR(__xludf.DUMMYFUNCTION("""COMPUTED_VALUE"""),"none")</f>
        <v/>
      </c>
      <c r="X507">
        <f>IFERROR(__xludf.DUMMYFUNCTION("""COMPUTED_VALUE"""),"none")</f>
        <v/>
      </c>
      <c r="Z507">
        <f>IFERROR(__xludf.DUMMYFUNCTION("""COMPUTED_VALUE"""),"-")</f>
        <v/>
      </c>
      <c r="AB507">
        <f>IFERROR(__xludf.DUMMYFUNCTION("""COMPUTED_VALUE"""),"none")</f>
        <v/>
      </c>
    </row>
    <row r="508">
      <c r="D508">
        <f>IFERROR(__xludf.DUMMYFUNCTION("""COMPUTED_VALUE"""),"___")</f>
        <v/>
      </c>
      <c r="E508">
        <f>IFERROR(__xludf.DUMMYFUNCTION("""COMPUTED_VALUE"""),"none")</f>
        <v/>
      </c>
      <c r="F508">
        <f>IFERROR(__xludf.DUMMYFUNCTION("""COMPUTED_VALUE"""),"none")</f>
        <v/>
      </c>
      <c r="G508">
        <f>IFERROR(__xludf.DUMMYFUNCTION("""COMPUTED_VALUE"""),"none")</f>
        <v/>
      </c>
      <c r="I508">
        <f>IFERROR(__xludf.DUMMYFUNCTION("""COMPUTED_VALUE"""),"none")</f>
        <v/>
      </c>
      <c r="T508">
        <f>IFERROR(__xludf.DUMMYFUNCTION("""COMPUTED_VALUE"""),"none")</f>
        <v/>
      </c>
      <c r="U508">
        <f>IFERROR(__xludf.DUMMYFUNCTION("""COMPUTED_VALUE"""),"none")</f>
        <v/>
      </c>
      <c r="W508">
        <f>IFERROR(__xludf.DUMMYFUNCTION("""COMPUTED_VALUE"""),"none")</f>
        <v/>
      </c>
      <c r="X508">
        <f>IFERROR(__xludf.DUMMYFUNCTION("""COMPUTED_VALUE"""),"none")</f>
        <v/>
      </c>
      <c r="Z508">
        <f>IFERROR(__xludf.DUMMYFUNCTION("""COMPUTED_VALUE"""),"-")</f>
        <v/>
      </c>
      <c r="AB508">
        <f>IFERROR(__xludf.DUMMYFUNCTION("""COMPUTED_VALUE"""),"none")</f>
        <v/>
      </c>
    </row>
    <row r="509">
      <c r="D509">
        <f>IFERROR(__xludf.DUMMYFUNCTION("""COMPUTED_VALUE"""),"___")</f>
        <v/>
      </c>
      <c r="E509">
        <f>IFERROR(__xludf.DUMMYFUNCTION("""COMPUTED_VALUE"""),"none")</f>
        <v/>
      </c>
      <c r="F509">
        <f>IFERROR(__xludf.DUMMYFUNCTION("""COMPUTED_VALUE"""),"none")</f>
        <v/>
      </c>
      <c r="G509">
        <f>IFERROR(__xludf.DUMMYFUNCTION("""COMPUTED_VALUE"""),"none")</f>
        <v/>
      </c>
      <c r="I509">
        <f>IFERROR(__xludf.DUMMYFUNCTION("""COMPUTED_VALUE"""),"none")</f>
        <v/>
      </c>
      <c r="T509">
        <f>IFERROR(__xludf.DUMMYFUNCTION("""COMPUTED_VALUE"""),"none")</f>
        <v/>
      </c>
      <c r="U509">
        <f>IFERROR(__xludf.DUMMYFUNCTION("""COMPUTED_VALUE"""),"none")</f>
        <v/>
      </c>
      <c r="W509">
        <f>IFERROR(__xludf.DUMMYFUNCTION("""COMPUTED_VALUE"""),"none")</f>
        <v/>
      </c>
      <c r="X509">
        <f>IFERROR(__xludf.DUMMYFUNCTION("""COMPUTED_VALUE"""),"none")</f>
        <v/>
      </c>
      <c r="Z509">
        <f>IFERROR(__xludf.DUMMYFUNCTION("""COMPUTED_VALUE"""),"-")</f>
        <v/>
      </c>
      <c r="AB509">
        <f>IFERROR(__xludf.DUMMYFUNCTION("""COMPUTED_VALUE"""),"none")</f>
        <v/>
      </c>
    </row>
    <row r="510">
      <c r="D510">
        <f>IFERROR(__xludf.DUMMYFUNCTION("""COMPUTED_VALUE"""),"___")</f>
        <v/>
      </c>
      <c r="E510">
        <f>IFERROR(__xludf.DUMMYFUNCTION("""COMPUTED_VALUE"""),"none")</f>
        <v/>
      </c>
      <c r="F510">
        <f>IFERROR(__xludf.DUMMYFUNCTION("""COMPUTED_VALUE"""),"none")</f>
        <v/>
      </c>
      <c r="G510">
        <f>IFERROR(__xludf.DUMMYFUNCTION("""COMPUTED_VALUE"""),"none")</f>
        <v/>
      </c>
      <c r="I510">
        <f>IFERROR(__xludf.DUMMYFUNCTION("""COMPUTED_VALUE"""),"none")</f>
        <v/>
      </c>
      <c r="T510">
        <f>IFERROR(__xludf.DUMMYFUNCTION("""COMPUTED_VALUE"""),"none")</f>
        <v/>
      </c>
      <c r="U510">
        <f>IFERROR(__xludf.DUMMYFUNCTION("""COMPUTED_VALUE"""),"none")</f>
        <v/>
      </c>
      <c r="W510">
        <f>IFERROR(__xludf.DUMMYFUNCTION("""COMPUTED_VALUE"""),"none")</f>
        <v/>
      </c>
      <c r="X510">
        <f>IFERROR(__xludf.DUMMYFUNCTION("""COMPUTED_VALUE"""),"none")</f>
        <v/>
      </c>
      <c r="Z510">
        <f>IFERROR(__xludf.DUMMYFUNCTION("""COMPUTED_VALUE"""),"-")</f>
        <v/>
      </c>
      <c r="AB510">
        <f>IFERROR(__xludf.DUMMYFUNCTION("""COMPUTED_VALUE"""),"none")</f>
        <v/>
      </c>
    </row>
    <row r="511">
      <c r="D511">
        <f>IFERROR(__xludf.DUMMYFUNCTION("""COMPUTED_VALUE"""),"___")</f>
        <v/>
      </c>
      <c r="E511">
        <f>IFERROR(__xludf.DUMMYFUNCTION("""COMPUTED_VALUE"""),"none")</f>
        <v/>
      </c>
      <c r="F511">
        <f>IFERROR(__xludf.DUMMYFUNCTION("""COMPUTED_VALUE"""),"none")</f>
        <v/>
      </c>
      <c r="G511">
        <f>IFERROR(__xludf.DUMMYFUNCTION("""COMPUTED_VALUE"""),"none")</f>
        <v/>
      </c>
      <c r="I511">
        <f>IFERROR(__xludf.DUMMYFUNCTION("""COMPUTED_VALUE"""),"none")</f>
        <v/>
      </c>
      <c r="T511">
        <f>IFERROR(__xludf.DUMMYFUNCTION("""COMPUTED_VALUE"""),"none")</f>
        <v/>
      </c>
      <c r="U511">
        <f>IFERROR(__xludf.DUMMYFUNCTION("""COMPUTED_VALUE"""),"none")</f>
        <v/>
      </c>
      <c r="W511">
        <f>IFERROR(__xludf.DUMMYFUNCTION("""COMPUTED_VALUE"""),"none")</f>
        <v/>
      </c>
      <c r="X511">
        <f>IFERROR(__xludf.DUMMYFUNCTION("""COMPUTED_VALUE"""),"none")</f>
        <v/>
      </c>
      <c r="Z511">
        <f>IFERROR(__xludf.DUMMYFUNCTION("""COMPUTED_VALUE"""),"-")</f>
        <v/>
      </c>
      <c r="AB511">
        <f>IFERROR(__xludf.DUMMYFUNCTION("""COMPUTED_VALUE"""),"none")</f>
        <v/>
      </c>
    </row>
    <row r="512">
      <c r="D512">
        <f>IFERROR(__xludf.DUMMYFUNCTION("""COMPUTED_VALUE"""),"___")</f>
        <v/>
      </c>
      <c r="E512">
        <f>IFERROR(__xludf.DUMMYFUNCTION("""COMPUTED_VALUE"""),"none")</f>
        <v/>
      </c>
      <c r="F512">
        <f>IFERROR(__xludf.DUMMYFUNCTION("""COMPUTED_VALUE"""),"none")</f>
        <v/>
      </c>
      <c r="G512">
        <f>IFERROR(__xludf.DUMMYFUNCTION("""COMPUTED_VALUE"""),"none")</f>
        <v/>
      </c>
      <c r="I512">
        <f>IFERROR(__xludf.DUMMYFUNCTION("""COMPUTED_VALUE"""),"none")</f>
        <v/>
      </c>
      <c r="T512">
        <f>IFERROR(__xludf.DUMMYFUNCTION("""COMPUTED_VALUE"""),"none")</f>
        <v/>
      </c>
      <c r="U512">
        <f>IFERROR(__xludf.DUMMYFUNCTION("""COMPUTED_VALUE"""),"none")</f>
        <v/>
      </c>
      <c r="W512">
        <f>IFERROR(__xludf.DUMMYFUNCTION("""COMPUTED_VALUE"""),"none")</f>
        <v/>
      </c>
      <c r="X512">
        <f>IFERROR(__xludf.DUMMYFUNCTION("""COMPUTED_VALUE"""),"none")</f>
        <v/>
      </c>
      <c r="Z512">
        <f>IFERROR(__xludf.DUMMYFUNCTION("""COMPUTED_VALUE"""),"-")</f>
        <v/>
      </c>
      <c r="AB512">
        <f>IFERROR(__xludf.DUMMYFUNCTION("""COMPUTED_VALUE"""),"none")</f>
        <v/>
      </c>
    </row>
    <row r="513">
      <c r="D513">
        <f>IFERROR(__xludf.DUMMYFUNCTION("""COMPUTED_VALUE"""),"___")</f>
        <v/>
      </c>
      <c r="E513">
        <f>IFERROR(__xludf.DUMMYFUNCTION("""COMPUTED_VALUE"""),"none")</f>
        <v/>
      </c>
      <c r="F513">
        <f>IFERROR(__xludf.DUMMYFUNCTION("""COMPUTED_VALUE"""),"none")</f>
        <v/>
      </c>
      <c r="G513">
        <f>IFERROR(__xludf.DUMMYFUNCTION("""COMPUTED_VALUE"""),"none")</f>
        <v/>
      </c>
      <c r="I513">
        <f>IFERROR(__xludf.DUMMYFUNCTION("""COMPUTED_VALUE"""),"none")</f>
        <v/>
      </c>
      <c r="T513">
        <f>IFERROR(__xludf.DUMMYFUNCTION("""COMPUTED_VALUE"""),"none")</f>
        <v/>
      </c>
      <c r="U513">
        <f>IFERROR(__xludf.DUMMYFUNCTION("""COMPUTED_VALUE"""),"none")</f>
        <v/>
      </c>
      <c r="W513">
        <f>IFERROR(__xludf.DUMMYFUNCTION("""COMPUTED_VALUE"""),"none")</f>
        <v/>
      </c>
      <c r="X513">
        <f>IFERROR(__xludf.DUMMYFUNCTION("""COMPUTED_VALUE"""),"none")</f>
        <v/>
      </c>
      <c r="Z513">
        <f>IFERROR(__xludf.DUMMYFUNCTION("""COMPUTED_VALUE"""),"-")</f>
        <v/>
      </c>
      <c r="AB513">
        <f>IFERROR(__xludf.DUMMYFUNCTION("""COMPUTED_VALUE"""),"none")</f>
        <v/>
      </c>
    </row>
    <row r="514">
      <c r="D514">
        <f>IFERROR(__xludf.DUMMYFUNCTION("""COMPUTED_VALUE"""),"___")</f>
        <v/>
      </c>
      <c r="E514">
        <f>IFERROR(__xludf.DUMMYFUNCTION("""COMPUTED_VALUE"""),"none")</f>
        <v/>
      </c>
      <c r="F514">
        <f>IFERROR(__xludf.DUMMYFUNCTION("""COMPUTED_VALUE"""),"none")</f>
        <v/>
      </c>
      <c r="G514">
        <f>IFERROR(__xludf.DUMMYFUNCTION("""COMPUTED_VALUE"""),"none")</f>
        <v/>
      </c>
      <c r="I514">
        <f>IFERROR(__xludf.DUMMYFUNCTION("""COMPUTED_VALUE"""),"none")</f>
        <v/>
      </c>
      <c r="T514">
        <f>IFERROR(__xludf.DUMMYFUNCTION("""COMPUTED_VALUE"""),"none")</f>
        <v/>
      </c>
      <c r="U514">
        <f>IFERROR(__xludf.DUMMYFUNCTION("""COMPUTED_VALUE"""),"none")</f>
        <v/>
      </c>
      <c r="W514">
        <f>IFERROR(__xludf.DUMMYFUNCTION("""COMPUTED_VALUE"""),"none")</f>
        <v/>
      </c>
      <c r="X514">
        <f>IFERROR(__xludf.DUMMYFUNCTION("""COMPUTED_VALUE"""),"none")</f>
        <v/>
      </c>
      <c r="Z514">
        <f>IFERROR(__xludf.DUMMYFUNCTION("""COMPUTED_VALUE"""),"-")</f>
        <v/>
      </c>
      <c r="AB514">
        <f>IFERROR(__xludf.DUMMYFUNCTION("""COMPUTED_VALUE"""),"none")</f>
        <v/>
      </c>
    </row>
    <row r="515">
      <c r="D515">
        <f>IFERROR(__xludf.DUMMYFUNCTION("""COMPUTED_VALUE"""),"___")</f>
        <v/>
      </c>
      <c r="E515">
        <f>IFERROR(__xludf.DUMMYFUNCTION("""COMPUTED_VALUE"""),"none")</f>
        <v/>
      </c>
      <c r="F515">
        <f>IFERROR(__xludf.DUMMYFUNCTION("""COMPUTED_VALUE"""),"none")</f>
        <v/>
      </c>
      <c r="G515">
        <f>IFERROR(__xludf.DUMMYFUNCTION("""COMPUTED_VALUE"""),"none")</f>
        <v/>
      </c>
      <c r="I515">
        <f>IFERROR(__xludf.DUMMYFUNCTION("""COMPUTED_VALUE"""),"none")</f>
        <v/>
      </c>
      <c r="T515">
        <f>IFERROR(__xludf.DUMMYFUNCTION("""COMPUTED_VALUE"""),"none")</f>
        <v/>
      </c>
      <c r="U515">
        <f>IFERROR(__xludf.DUMMYFUNCTION("""COMPUTED_VALUE"""),"none")</f>
        <v/>
      </c>
      <c r="W515">
        <f>IFERROR(__xludf.DUMMYFUNCTION("""COMPUTED_VALUE"""),"none")</f>
        <v/>
      </c>
      <c r="X515">
        <f>IFERROR(__xludf.DUMMYFUNCTION("""COMPUTED_VALUE"""),"none")</f>
        <v/>
      </c>
      <c r="Z515">
        <f>IFERROR(__xludf.DUMMYFUNCTION("""COMPUTED_VALUE"""),"-")</f>
        <v/>
      </c>
      <c r="AB515">
        <f>IFERROR(__xludf.DUMMYFUNCTION("""COMPUTED_VALUE"""),"none")</f>
        <v/>
      </c>
    </row>
    <row r="516">
      <c r="D516">
        <f>IFERROR(__xludf.DUMMYFUNCTION("""COMPUTED_VALUE"""),"___")</f>
        <v/>
      </c>
      <c r="E516">
        <f>IFERROR(__xludf.DUMMYFUNCTION("""COMPUTED_VALUE"""),"none")</f>
        <v/>
      </c>
      <c r="F516">
        <f>IFERROR(__xludf.DUMMYFUNCTION("""COMPUTED_VALUE"""),"none")</f>
        <v/>
      </c>
      <c r="G516">
        <f>IFERROR(__xludf.DUMMYFUNCTION("""COMPUTED_VALUE"""),"none")</f>
        <v/>
      </c>
      <c r="I516">
        <f>IFERROR(__xludf.DUMMYFUNCTION("""COMPUTED_VALUE"""),"none")</f>
        <v/>
      </c>
      <c r="T516">
        <f>IFERROR(__xludf.DUMMYFUNCTION("""COMPUTED_VALUE"""),"none")</f>
        <v/>
      </c>
      <c r="U516">
        <f>IFERROR(__xludf.DUMMYFUNCTION("""COMPUTED_VALUE"""),"none")</f>
        <v/>
      </c>
      <c r="W516">
        <f>IFERROR(__xludf.DUMMYFUNCTION("""COMPUTED_VALUE"""),"none")</f>
        <v/>
      </c>
      <c r="X516">
        <f>IFERROR(__xludf.DUMMYFUNCTION("""COMPUTED_VALUE"""),"none")</f>
        <v/>
      </c>
      <c r="Z516">
        <f>IFERROR(__xludf.DUMMYFUNCTION("""COMPUTED_VALUE"""),"-")</f>
        <v/>
      </c>
      <c r="AB516">
        <f>IFERROR(__xludf.DUMMYFUNCTION("""COMPUTED_VALUE"""),"none")</f>
        <v/>
      </c>
    </row>
    <row r="517">
      <c r="D517">
        <f>IFERROR(__xludf.DUMMYFUNCTION("""COMPUTED_VALUE"""),"___")</f>
        <v/>
      </c>
      <c r="E517">
        <f>IFERROR(__xludf.DUMMYFUNCTION("""COMPUTED_VALUE"""),"none")</f>
        <v/>
      </c>
      <c r="F517">
        <f>IFERROR(__xludf.DUMMYFUNCTION("""COMPUTED_VALUE"""),"none")</f>
        <v/>
      </c>
      <c r="G517">
        <f>IFERROR(__xludf.DUMMYFUNCTION("""COMPUTED_VALUE"""),"none")</f>
        <v/>
      </c>
      <c r="I517">
        <f>IFERROR(__xludf.DUMMYFUNCTION("""COMPUTED_VALUE"""),"none")</f>
        <v/>
      </c>
      <c r="T517">
        <f>IFERROR(__xludf.DUMMYFUNCTION("""COMPUTED_VALUE"""),"none")</f>
        <v/>
      </c>
      <c r="U517">
        <f>IFERROR(__xludf.DUMMYFUNCTION("""COMPUTED_VALUE"""),"none")</f>
        <v/>
      </c>
      <c r="W517">
        <f>IFERROR(__xludf.DUMMYFUNCTION("""COMPUTED_VALUE"""),"none")</f>
        <v/>
      </c>
      <c r="X517">
        <f>IFERROR(__xludf.DUMMYFUNCTION("""COMPUTED_VALUE"""),"none")</f>
        <v/>
      </c>
      <c r="Z517">
        <f>IFERROR(__xludf.DUMMYFUNCTION("""COMPUTED_VALUE"""),"-")</f>
        <v/>
      </c>
      <c r="AB517">
        <f>IFERROR(__xludf.DUMMYFUNCTION("""COMPUTED_VALUE"""),"none")</f>
        <v/>
      </c>
    </row>
    <row r="518">
      <c r="D518">
        <f>IFERROR(__xludf.DUMMYFUNCTION("""COMPUTED_VALUE"""),"___")</f>
        <v/>
      </c>
      <c r="E518">
        <f>IFERROR(__xludf.DUMMYFUNCTION("""COMPUTED_VALUE"""),"none")</f>
        <v/>
      </c>
      <c r="F518">
        <f>IFERROR(__xludf.DUMMYFUNCTION("""COMPUTED_VALUE"""),"none")</f>
        <v/>
      </c>
      <c r="G518">
        <f>IFERROR(__xludf.DUMMYFUNCTION("""COMPUTED_VALUE"""),"none")</f>
        <v/>
      </c>
      <c r="I518">
        <f>IFERROR(__xludf.DUMMYFUNCTION("""COMPUTED_VALUE"""),"none")</f>
        <v/>
      </c>
      <c r="T518">
        <f>IFERROR(__xludf.DUMMYFUNCTION("""COMPUTED_VALUE"""),"none")</f>
        <v/>
      </c>
      <c r="U518">
        <f>IFERROR(__xludf.DUMMYFUNCTION("""COMPUTED_VALUE"""),"none")</f>
        <v/>
      </c>
      <c r="W518">
        <f>IFERROR(__xludf.DUMMYFUNCTION("""COMPUTED_VALUE"""),"none")</f>
        <v/>
      </c>
      <c r="X518">
        <f>IFERROR(__xludf.DUMMYFUNCTION("""COMPUTED_VALUE"""),"none")</f>
        <v/>
      </c>
      <c r="Z518">
        <f>IFERROR(__xludf.DUMMYFUNCTION("""COMPUTED_VALUE"""),"-")</f>
        <v/>
      </c>
      <c r="AB518">
        <f>IFERROR(__xludf.DUMMYFUNCTION("""COMPUTED_VALUE"""),"none")</f>
        <v/>
      </c>
    </row>
    <row r="519">
      <c r="D519">
        <f>IFERROR(__xludf.DUMMYFUNCTION("""COMPUTED_VALUE"""),"___")</f>
        <v/>
      </c>
      <c r="E519">
        <f>IFERROR(__xludf.DUMMYFUNCTION("""COMPUTED_VALUE"""),"none")</f>
        <v/>
      </c>
      <c r="F519">
        <f>IFERROR(__xludf.DUMMYFUNCTION("""COMPUTED_VALUE"""),"none")</f>
        <v/>
      </c>
      <c r="G519">
        <f>IFERROR(__xludf.DUMMYFUNCTION("""COMPUTED_VALUE"""),"none")</f>
        <v/>
      </c>
      <c r="I519">
        <f>IFERROR(__xludf.DUMMYFUNCTION("""COMPUTED_VALUE"""),"none")</f>
        <v/>
      </c>
      <c r="T519">
        <f>IFERROR(__xludf.DUMMYFUNCTION("""COMPUTED_VALUE"""),"none")</f>
        <v/>
      </c>
      <c r="U519">
        <f>IFERROR(__xludf.DUMMYFUNCTION("""COMPUTED_VALUE"""),"none")</f>
        <v/>
      </c>
      <c r="W519">
        <f>IFERROR(__xludf.DUMMYFUNCTION("""COMPUTED_VALUE"""),"none")</f>
        <v/>
      </c>
      <c r="X519">
        <f>IFERROR(__xludf.DUMMYFUNCTION("""COMPUTED_VALUE"""),"none")</f>
        <v/>
      </c>
      <c r="Z519">
        <f>IFERROR(__xludf.DUMMYFUNCTION("""COMPUTED_VALUE"""),"-")</f>
        <v/>
      </c>
      <c r="AB519">
        <f>IFERROR(__xludf.DUMMYFUNCTION("""COMPUTED_VALUE"""),"none")</f>
        <v/>
      </c>
    </row>
    <row r="520">
      <c r="D520">
        <f>IFERROR(__xludf.DUMMYFUNCTION("""COMPUTED_VALUE"""),"___")</f>
        <v/>
      </c>
      <c r="E520">
        <f>IFERROR(__xludf.DUMMYFUNCTION("""COMPUTED_VALUE"""),"none")</f>
        <v/>
      </c>
      <c r="F520">
        <f>IFERROR(__xludf.DUMMYFUNCTION("""COMPUTED_VALUE"""),"none")</f>
        <v/>
      </c>
      <c r="G520">
        <f>IFERROR(__xludf.DUMMYFUNCTION("""COMPUTED_VALUE"""),"none")</f>
        <v/>
      </c>
      <c r="I520">
        <f>IFERROR(__xludf.DUMMYFUNCTION("""COMPUTED_VALUE"""),"none")</f>
        <v/>
      </c>
      <c r="T520">
        <f>IFERROR(__xludf.DUMMYFUNCTION("""COMPUTED_VALUE"""),"none")</f>
        <v/>
      </c>
      <c r="U520">
        <f>IFERROR(__xludf.DUMMYFUNCTION("""COMPUTED_VALUE"""),"none")</f>
        <v/>
      </c>
      <c r="W520">
        <f>IFERROR(__xludf.DUMMYFUNCTION("""COMPUTED_VALUE"""),"none")</f>
        <v/>
      </c>
      <c r="X520">
        <f>IFERROR(__xludf.DUMMYFUNCTION("""COMPUTED_VALUE"""),"none")</f>
        <v/>
      </c>
      <c r="Z520">
        <f>IFERROR(__xludf.DUMMYFUNCTION("""COMPUTED_VALUE"""),"-")</f>
        <v/>
      </c>
      <c r="AB520">
        <f>IFERROR(__xludf.DUMMYFUNCTION("""COMPUTED_VALUE"""),"none")</f>
        <v/>
      </c>
    </row>
    <row r="521">
      <c r="D521">
        <f>IFERROR(__xludf.DUMMYFUNCTION("""COMPUTED_VALUE"""),"___")</f>
        <v/>
      </c>
      <c r="E521">
        <f>IFERROR(__xludf.DUMMYFUNCTION("""COMPUTED_VALUE"""),"none")</f>
        <v/>
      </c>
      <c r="F521">
        <f>IFERROR(__xludf.DUMMYFUNCTION("""COMPUTED_VALUE"""),"none")</f>
        <v/>
      </c>
      <c r="G521">
        <f>IFERROR(__xludf.DUMMYFUNCTION("""COMPUTED_VALUE"""),"none")</f>
        <v/>
      </c>
      <c r="I521">
        <f>IFERROR(__xludf.DUMMYFUNCTION("""COMPUTED_VALUE"""),"none")</f>
        <v/>
      </c>
      <c r="T521">
        <f>IFERROR(__xludf.DUMMYFUNCTION("""COMPUTED_VALUE"""),"none")</f>
        <v/>
      </c>
      <c r="U521">
        <f>IFERROR(__xludf.DUMMYFUNCTION("""COMPUTED_VALUE"""),"none")</f>
        <v/>
      </c>
      <c r="W521">
        <f>IFERROR(__xludf.DUMMYFUNCTION("""COMPUTED_VALUE"""),"none")</f>
        <v/>
      </c>
      <c r="X521">
        <f>IFERROR(__xludf.DUMMYFUNCTION("""COMPUTED_VALUE"""),"none")</f>
        <v/>
      </c>
      <c r="Z521">
        <f>IFERROR(__xludf.DUMMYFUNCTION("""COMPUTED_VALUE"""),"-")</f>
        <v/>
      </c>
      <c r="AB521">
        <f>IFERROR(__xludf.DUMMYFUNCTION("""COMPUTED_VALUE"""),"none")</f>
        <v/>
      </c>
    </row>
    <row r="522">
      <c r="D522">
        <f>IFERROR(__xludf.DUMMYFUNCTION("""COMPUTED_VALUE"""),"___")</f>
        <v/>
      </c>
      <c r="E522">
        <f>IFERROR(__xludf.DUMMYFUNCTION("""COMPUTED_VALUE"""),"none")</f>
        <v/>
      </c>
      <c r="F522">
        <f>IFERROR(__xludf.DUMMYFUNCTION("""COMPUTED_VALUE"""),"none")</f>
        <v/>
      </c>
      <c r="G522">
        <f>IFERROR(__xludf.DUMMYFUNCTION("""COMPUTED_VALUE"""),"none")</f>
        <v/>
      </c>
      <c r="I522">
        <f>IFERROR(__xludf.DUMMYFUNCTION("""COMPUTED_VALUE"""),"none")</f>
        <v/>
      </c>
      <c r="T522">
        <f>IFERROR(__xludf.DUMMYFUNCTION("""COMPUTED_VALUE"""),"none")</f>
        <v/>
      </c>
      <c r="U522">
        <f>IFERROR(__xludf.DUMMYFUNCTION("""COMPUTED_VALUE"""),"none")</f>
        <v/>
      </c>
      <c r="W522">
        <f>IFERROR(__xludf.DUMMYFUNCTION("""COMPUTED_VALUE"""),"none")</f>
        <v/>
      </c>
      <c r="X522">
        <f>IFERROR(__xludf.DUMMYFUNCTION("""COMPUTED_VALUE"""),"none")</f>
        <v/>
      </c>
      <c r="Z522">
        <f>IFERROR(__xludf.DUMMYFUNCTION("""COMPUTED_VALUE"""),"-")</f>
        <v/>
      </c>
      <c r="AB522">
        <f>IFERROR(__xludf.DUMMYFUNCTION("""COMPUTED_VALUE"""),"none")</f>
        <v/>
      </c>
    </row>
    <row r="523">
      <c r="D523">
        <f>IFERROR(__xludf.DUMMYFUNCTION("""COMPUTED_VALUE"""),"___")</f>
        <v/>
      </c>
      <c r="E523">
        <f>IFERROR(__xludf.DUMMYFUNCTION("""COMPUTED_VALUE"""),"none")</f>
        <v/>
      </c>
      <c r="F523">
        <f>IFERROR(__xludf.DUMMYFUNCTION("""COMPUTED_VALUE"""),"none")</f>
        <v/>
      </c>
      <c r="G523">
        <f>IFERROR(__xludf.DUMMYFUNCTION("""COMPUTED_VALUE"""),"none")</f>
        <v/>
      </c>
      <c r="I523">
        <f>IFERROR(__xludf.DUMMYFUNCTION("""COMPUTED_VALUE"""),"none")</f>
        <v/>
      </c>
      <c r="T523">
        <f>IFERROR(__xludf.DUMMYFUNCTION("""COMPUTED_VALUE"""),"none")</f>
        <v/>
      </c>
      <c r="U523">
        <f>IFERROR(__xludf.DUMMYFUNCTION("""COMPUTED_VALUE"""),"none")</f>
        <v/>
      </c>
      <c r="W523">
        <f>IFERROR(__xludf.DUMMYFUNCTION("""COMPUTED_VALUE"""),"none")</f>
        <v/>
      </c>
      <c r="X523">
        <f>IFERROR(__xludf.DUMMYFUNCTION("""COMPUTED_VALUE"""),"none")</f>
        <v/>
      </c>
      <c r="Z523">
        <f>IFERROR(__xludf.DUMMYFUNCTION("""COMPUTED_VALUE"""),"-")</f>
        <v/>
      </c>
      <c r="AB523">
        <f>IFERROR(__xludf.DUMMYFUNCTION("""COMPUTED_VALUE"""),"none")</f>
        <v/>
      </c>
    </row>
    <row r="524">
      <c r="D524">
        <f>IFERROR(__xludf.DUMMYFUNCTION("""COMPUTED_VALUE"""),"___")</f>
        <v/>
      </c>
      <c r="E524">
        <f>IFERROR(__xludf.DUMMYFUNCTION("""COMPUTED_VALUE"""),"none")</f>
        <v/>
      </c>
      <c r="F524">
        <f>IFERROR(__xludf.DUMMYFUNCTION("""COMPUTED_VALUE"""),"none")</f>
        <v/>
      </c>
      <c r="G524">
        <f>IFERROR(__xludf.DUMMYFUNCTION("""COMPUTED_VALUE"""),"none")</f>
        <v/>
      </c>
      <c r="I524">
        <f>IFERROR(__xludf.DUMMYFUNCTION("""COMPUTED_VALUE"""),"none")</f>
        <v/>
      </c>
      <c r="T524">
        <f>IFERROR(__xludf.DUMMYFUNCTION("""COMPUTED_VALUE"""),"none")</f>
        <v/>
      </c>
      <c r="U524">
        <f>IFERROR(__xludf.DUMMYFUNCTION("""COMPUTED_VALUE"""),"none")</f>
        <v/>
      </c>
      <c r="W524">
        <f>IFERROR(__xludf.DUMMYFUNCTION("""COMPUTED_VALUE"""),"none")</f>
        <v/>
      </c>
      <c r="X524">
        <f>IFERROR(__xludf.DUMMYFUNCTION("""COMPUTED_VALUE"""),"none")</f>
        <v/>
      </c>
      <c r="Z524">
        <f>IFERROR(__xludf.DUMMYFUNCTION("""COMPUTED_VALUE"""),"-")</f>
        <v/>
      </c>
      <c r="AB524">
        <f>IFERROR(__xludf.DUMMYFUNCTION("""COMPUTED_VALUE"""),"none")</f>
        <v/>
      </c>
    </row>
    <row r="525">
      <c r="D525">
        <f>IFERROR(__xludf.DUMMYFUNCTION("""COMPUTED_VALUE"""),"___")</f>
        <v/>
      </c>
      <c r="E525">
        <f>IFERROR(__xludf.DUMMYFUNCTION("""COMPUTED_VALUE"""),"none")</f>
        <v/>
      </c>
      <c r="F525">
        <f>IFERROR(__xludf.DUMMYFUNCTION("""COMPUTED_VALUE"""),"none")</f>
        <v/>
      </c>
      <c r="G525">
        <f>IFERROR(__xludf.DUMMYFUNCTION("""COMPUTED_VALUE"""),"none")</f>
        <v/>
      </c>
      <c r="I525">
        <f>IFERROR(__xludf.DUMMYFUNCTION("""COMPUTED_VALUE"""),"none")</f>
        <v/>
      </c>
      <c r="T525">
        <f>IFERROR(__xludf.DUMMYFUNCTION("""COMPUTED_VALUE"""),"none")</f>
        <v/>
      </c>
      <c r="U525">
        <f>IFERROR(__xludf.DUMMYFUNCTION("""COMPUTED_VALUE"""),"none")</f>
        <v/>
      </c>
      <c r="W525">
        <f>IFERROR(__xludf.DUMMYFUNCTION("""COMPUTED_VALUE"""),"none")</f>
        <v/>
      </c>
      <c r="X525">
        <f>IFERROR(__xludf.DUMMYFUNCTION("""COMPUTED_VALUE"""),"none")</f>
        <v/>
      </c>
      <c r="Z525">
        <f>IFERROR(__xludf.DUMMYFUNCTION("""COMPUTED_VALUE"""),"-")</f>
        <v/>
      </c>
      <c r="AB525">
        <f>IFERROR(__xludf.DUMMYFUNCTION("""COMPUTED_VALUE"""),"none")</f>
        <v/>
      </c>
    </row>
    <row r="526">
      <c r="D526">
        <f>IFERROR(__xludf.DUMMYFUNCTION("""COMPUTED_VALUE"""),"___")</f>
        <v/>
      </c>
      <c r="E526">
        <f>IFERROR(__xludf.DUMMYFUNCTION("""COMPUTED_VALUE"""),"none")</f>
        <v/>
      </c>
      <c r="F526">
        <f>IFERROR(__xludf.DUMMYFUNCTION("""COMPUTED_VALUE"""),"none")</f>
        <v/>
      </c>
      <c r="G526">
        <f>IFERROR(__xludf.DUMMYFUNCTION("""COMPUTED_VALUE"""),"none")</f>
        <v/>
      </c>
      <c r="I526">
        <f>IFERROR(__xludf.DUMMYFUNCTION("""COMPUTED_VALUE"""),"none")</f>
        <v/>
      </c>
      <c r="T526">
        <f>IFERROR(__xludf.DUMMYFUNCTION("""COMPUTED_VALUE"""),"none")</f>
        <v/>
      </c>
      <c r="U526">
        <f>IFERROR(__xludf.DUMMYFUNCTION("""COMPUTED_VALUE"""),"none")</f>
        <v/>
      </c>
      <c r="W526">
        <f>IFERROR(__xludf.DUMMYFUNCTION("""COMPUTED_VALUE"""),"none")</f>
        <v/>
      </c>
      <c r="X526">
        <f>IFERROR(__xludf.DUMMYFUNCTION("""COMPUTED_VALUE"""),"none")</f>
        <v/>
      </c>
      <c r="Z526">
        <f>IFERROR(__xludf.DUMMYFUNCTION("""COMPUTED_VALUE"""),"-")</f>
        <v/>
      </c>
      <c r="AB526">
        <f>IFERROR(__xludf.DUMMYFUNCTION("""COMPUTED_VALUE"""),"none")</f>
        <v/>
      </c>
    </row>
    <row r="527">
      <c r="D527">
        <f>IFERROR(__xludf.DUMMYFUNCTION("""COMPUTED_VALUE"""),"___")</f>
        <v/>
      </c>
      <c r="E527">
        <f>IFERROR(__xludf.DUMMYFUNCTION("""COMPUTED_VALUE"""),"none")</f>
        <v/>
      </c>
      <c r="F527">
        <f>IFERROR(__xludf.DUMMYFUNCTION("""COMPUTED_VALUE"""),"none")</f>
        <v/>
      </c>
      <c r="G527">
        <f>IFERROR(__xludf.DUMMYFUNCTION("""COMPUTED_VALUE"""),"none")</f>
        <v/>
      </c>
      <c r="I527">
        <f>IFERROR(__xludf.DUMMYFUNCTION("""COMPUTED_VALUE"""),"none")</f>
        <v/>
      </c>
      <c r="T527">
        <f>IFERROR(__xludf.DUMMYFUNCTION("""COMPUTED_VALUE"""),"none")</f>
        <v/>
      </c>
      <c r="U527">
        <f>IFERROR(__xludf.DUMMYFUNCTION("""COMPUTED_VALUE"""),"none")</f>
        <v/>
      </c>
      <c r="W527">
        <f>IFERROR(__xludf.DUMMYFUNCTION("""COMPUTED_VALUE"""),"none")</f>
        <v/>
      </c>
      <c r="X527">
        <f>IFERROR(__xludf.DUMMYFUNCTION("""COMPUTED_VALUE"""),"none")</f>
        <v/>
      </c>
      <c r="Z527">
        <f>IFERROR(__xludf.DUMMYFUNCTION("""COMPUTED_VALUE"""),"-")</f>
        <v/>
      </c>
      <c r="AB527">
        <f>IFERROR(__xludf.DUMMYFUNCTION("""COMPUTED_VALUE"""),"none")</f>
        <v/>
      </c>
    </row>
    <row r="528">
      <c r="D528">
        <f>IFERROR(__xludf.DUMMYFUNCTION("""COMPUTED_VALUE"""),"___")</f>
        <v/>
      </c>
      <c r="E528">
        <f>IFERROR(__xludf.DUMMYFUNCTION("""COMPUTED_VALUE"""),"none")</f>
        <v/>
      </c>
      <c r="F528">
        <f>IFERROR(__xludf.DUMMYFUNCTION("""COMPUTED_VALUE"""),"none")</f>
        <v/>
      </c>
      <c r="G528">
        <f>IFERROR(__xludf.DUMMYFUNCTION("""COMPUTED_VALUE"""),"none")</f>
        <v/>
      </c>
      <c r="I528">
        <f>IFERROR(__xludf.DUMMYFUNCTION("""COMPUTED_VALUE"""),"none")</f>
        <v/>
      </c>
      <c r="T528">
        <f>IFERROR(__xludf.DUMMYFUNCTION("""COMPUTED_VALUE"""),"none")</f>
        <v/>
      </c>
      <c r="U528">
        <f>IFERROR(__xludf.DUMMYFUNCTION("""COMPUTED_VALUE"""),"none")</f>
        <v/>
      </c>
      <c r="W528">
        <f>IFERROR(__xludf.DUMMYFUNCTION("""COMPUTED_VALUE"""),"none")</f>
        <v/>
      </c>
      <c r="X528">
        <f>IFERROR(__xludf.DUMMYFUNCTION("""COMPUTED_VALUE"""),"none")</f>
        <v/>
      </c>
      <c r="Z528">
        <f>IFERROR(__xludf.DUMMYFUNCTION("""COMPUTED_VALUE"""),"-")</f>
        <v/>
      </c>
      <c r="AB528">
        <f>IFERROR(__xludf.DUMMYFUNCTION("""COMPUTED_VALUE"""),"none")</f>
        <v/>
      </c>
    </row>
    <row r="529">
      <c r="D529">
        <f>IFERROR(__xludf.DUMMYFUNCTION("""COMPUTED_VALUE"""),"___")</f>
        <v/>
      </c>
      <c r="E529">
        <f>IFERROR(__xludf.DUMMYFUNCTION("""COMPUTED_VALUE"""),"none")</f>
        <v/>
      </c>
      <c r="F529">
        <f>IFERROR(__xludf.DUMMYFUNCTION("""COMPUTED_VALUE"""),"none")</f>
        <v/>
      </c>
      <c r="G529">
        <f>IFERROR(__xludf.DUMMYFUNCTION("""COMPUTED_VALUE"""),"none")</f>
        <v/>
      </c>
      <c r="I529">
        <f>IFERROR(__xludf.DUMMYFUNCTION("""COMPUTED_VALUE"""),"none")</f>
        <v/>
      </c>
      <c r="T529">
        <f>IFERROR(__xludf.DUMMYFUNCTION("""COMPUTED_VALUE"""),"none")</f>
        <v/>
      </c>
      <c r="U529">
        <f>IFERROR(__xludf.DUMMYFUNCTION("""COMPUTED_VALUE"""),"none")</f>
        <v/>
      </c>
      <c r="W529">
        <f>IFERROR(__xludf.DUMMYFUNCTION("""COMPUTED_VALUE"""),"none")</f>
        <v/>
      </c>
      <c r="X529">
        <f>IFERROR(__xludf.DUMMYFUNCTION("""COMPUTED_VALUE"""),"none")</f>
        <v/>
      </c>
      <c r="Z529">
        <f>IFERROR(__xludf.DUMMYFUNCTION("""COMPUTED_VALUE"""),"-")</f>
        <v/>
      </c>
      <c r="AB529">
        <f>IFERROR(__xludf.DUMMYFUNCTION("""COMPUTED_VALUE"""),"none")</f>
        <v/>
      </c>
    </row>
    <row r="530">
      <c r="D530">
        <f>IFERROR(__xludf.DUMMYFUNCTION("""COMPUTED_VALUE"""),"___")</f>
        <v/>
      </c>
      <c r="E530">
        <f>IFERROR(__xludf.DUMMYFUNCTION("""COMPUTED_VALUE"""),"none")</f>
        <v/>
      </c>
      <c r="F530">
        <f>IFERROR(__xludf.DUMMYFUNCTION("""COMPUTED_VALUE"""),"none")</f>
        <v/>
      </c>
      <c r="G530">
        <f>IFERROR(__xludf.DUMMYFUNCTION("""COMPUTED_VALUE"""),"none")</f>
        <v/>
      </c>
      <c r="I530">
        <f>IFERROR(__xludf.DUMMYFUNCTION("""COMPUTED_VALUE"""),"none")</f>
        <v/>
      </c>
      <c r="T530">
        <f>IFERROR(__xludf.DUMMYFUNCTION("""COMPUTED_VALUE"""),"none")</f>
        <v/>
      </c>
      <c r="U530">
        <f>IFERROR(__xludf.DUMMYFUNCTION("""COMPUTED_VALUE"""),"none")</f>
        <v/>
      </c>
      <c r="W530">
        <f>IFERROR(__xludf.DUMMYFUNCTION("""COMPUTED_VALUE"""),"none")</f>
        <v/>
      </c>
      <c r="X530">
        <f>IFERROR(__xludf.DUMMYFUNCTION("""COMPUTED_VALUE"""),"none")</f>
        <v/>
      </c>
      <c r="Z530">
        <f>IFERROR(__xludf.DUMMYFUNCTION("""COMPUTED_VALUE"""),"-")</f>
        <v/>
      </c>
      <c r="AB530">
        <f>IFERROR(__xludf.DUMMYFUNCTION("""COMPUTED_VALUE"""),"none")</f>
        <v/>
      </c>
    </row>
    <row r="531">
      <c r="D531">
        <f>IFERROR(__xludf.DUMMYFUNCTION("""COMPUTED_VALUE"""),"___")</f>
        <v/>
      </c>
      <c r="E531">
        <f>IFERROR(__xludf.DUMMYFUNCTION("""COMPUTED_VALUE"""),"none")</f>
        <v/>
      </c>
      <c r="F531">
        <f>IFERROR(__xludf.DUMMYFUNCTION("""COMPUTED_VALUE"""),"none")</f>
        <v/>
      </c>
      <c r="G531">
        <f>IFERROR(__xludf.DUMMYFUNCTION("""COMPUTED_VALUE"""),"none")</f>
        <v/>
      </c>
      <c r="I531">
        <f>IFERROR(__xludf.DUMMYFUNCTION("""COMPUTED_VALUE"""),"none")</f>
        <v/>
      </c>
      <c r="T531">
        <f>IFERROR(__xludf.DUMMYFUNCTION("""COMPUTED_VALUE"""),"none")</f>
        <v/>
      </c>
      <c r="U531">
        <f>IFERROR(__xludf.DUMMYFUNCTION("""COMPUTED_VALUE"""),"none")</f>
        <v/>
      </c>
      <c r="W531">
        <f>IFERROR(__xludf.DUMMYFUNCTION("""COMPUTED_VALUE"""),"none")</f>
        <v/>
      </c>
      <c r="X531">
        <f>IFERROR(__xludf.DUMMYFUNCTION("""COMPUTED_VALUE"""),"none")</f>
        <v/>
      </c>
      <c r="Z531">
        <f>IFERROR(__xludf.DUMMYFUNCTION("""COMPUTED_VALUE"""),"-")</f>
        <v/>
      </c>
      <c r="AB531">
        <f>IFERROR(__xludf.DUMMYFUNCTION("""COMPUTED_VALUE"""),"none")</f>
        <v/>
      </c>
    </row>
    <row r="532">
      <c r="D532">
        <f>IFERROR(__xludf.DUMMYFUNCTION("""COMPUTED_VALUE"""),"___")</f>
        <v/>
      </c>
      <c r="E532">
        <f>IFERROR(__xludf.DUMMYFUNCTION("""COMPUTED_VALUE"""),"none")</f>
        <v/>
      </c>
      <c r="F532">
        <f>IFERROR(__xludf.DUMMYFUNCTION("""COMPUTED_VALUE"""),"none")</f>
        <v/>
      </c>
      <c r="G532">
        <f>IFERROR(__xludf.DUMMYFUNCTION("""COMPUTED_VALUE"""),"none")</f>
        <v/>
      </c>
      <c r="I532">
        <f>IFERROR(__xludf.DUMMYFUNCTION("""COMPUTED_VALUE"""),"none")</f>
        <v/>
      </c>
      <c r="T532">
        <f>IFERROR(__xludf.DUMMYFUNCTION("""COMPUTED_VALUE"""),"none")</f>
        <v/>
      </c>
      <c r="U532">
        <f>IFERROR(__xludf.DUMMYFUNCTION("""COMPUTED_VALUE"""),"none")</f>
        <v/>
      </c>
      <c r="W532">
        <f>IFERROR(__xludf.DUMMYFUNCTION("""COMPUTED_VALUE"""),"none")</f>
        <v/>
      </c>
      <c r="X532">
        <f>IFERROR(__xludf.DUMMYFUNCTION("""COMPUTED_VALUE"""),"none")</f>
        <v/>
      </c>
      <c r="Z532">
        <f>IFERROR(__xludf.DUMMYFUNCTION("""COMPUTED_VALUE"""),"-")</f>
        <v/>
      </c>
      <c r="AB532">
        <f>IFERROR(__xludf.DUMMYFUNCTION("""COMPUTED_VALUE"""),"none")</f>
        <v/>
      </c>
    </row>
    <row r="533">
      <c r="D533">
        <f>IFERROR(__xludf.DUMMYFUNCTION("""COMPUTED_VALUE"""),"___")</f>
        <v/>
      </c>
      <c r="E533">
        <f>IFERROR(__xludf.DUMMYFUNCTION("""COMPUTED_VALUE"""),"none")</f>
        <v/>
      </c>
      <c r="F533">
        <f>IFERROR(__xludf.DUMMYFUNCTION("""COMPUTED_VALUE"""),"none")</f>
        <v/>
      </c>
      <c r="G533">
        <f>IFERROR(__xludf.DUMMYFUNCTION("""COMPUTED_VALUE"""),"none")</f>
        <v/>
      </c>
      <c r="I533">
        <f>IFERROR(__xludf.DUMMYFUNCTION("""COMPUTED_VALUE"""),"none")</f>
        <v/>
      </c>
      <c r="T533">
        <f>IFERROR(__xludf.DUMMYFUNCTION("""COMPUTED_VALUE"""),"none")</f>
        <v/>
      </c>
      <c r="U533">
        <f>IFERROR(__xludf.DUMMYFUNCTION("""COMPUTED_VALUE"""),"none")</f>
        <v/>
      </c>
      <c r="W533">
        <f>IFERROR(__xludf.DUMMYFUNCTION("""COMPUTED_VALUE"""),"none")</f>
        <v/>
      </c>
      <c r="X533">
        <f>IFERROR(__xludf.DUMMYFUNCTION("""COMPUTED_VALUE"""),"none")</f>
        <v/>
      </c>
      <c r="Z533">
        <f>IFERROR(__xludf.DUMMYFUNCTION("""COMPUTED_VALUE"""),"-")</f>
        <v/>
      </c>
      <c r="AB533">
        <f>IFERROR(__xludf.DUMMYFUNCTION("""COMPUTED_VALUE"""),"none")</f>
        <v/>
      </c>
    </row>
    <row r="534">
      <c r="D534">
        <f>IFERROR(__xludf.DUMMYFUNCTION("""COMPUTED_VALUE"""),"___")</f>
        <v/>
      </c>
      <c r="E534">
        <f>IFERROR(__xludf.DUMMYFUNCTION("""COMPUTED_VALUE"""),"none")</f>
        <v/>
      </c>
      <c r="F534">
        <f>IFERROR(__xludf.DUMMYFUNCTION("""COMPUTED_VALUE"""),"none")</f>
        <v/>
      </c>
      <c r="G534">
        <f>IFERROR(__xludf.DUMMYFUNCTION("""COMPUTED_VALUE"""),"none")</f>
        <v/>
      </c>
      <c r="I534">
        <f>IFERROR(__xludf.DUMMYFUNCTION("""COMPUTED_VALUE"""),"none")</f>
        <v/>
      </c>
      <c r="T534">
        <f>IFERROR(__xludf.DUMMYFUNCTION("""COMPUTED_VALUE"""),"none")</f>
        <v/>
      </c>
      <c r="U534">
        <f>IFERROR(__xludf.DUMMYFUNCTION("""COMPUTED_VALUE"""),"none")</f>
        <v/>
      </c>
      <c r="W534">
        <f>IFERROR(__xludf.DUMMYFUNCTION("""COMPUTED_VALUE"""),"none")</f>
        <v/>
      </c>
      <c r="X534">
        <f>IFERROR(__xludf.DUMMYFUNCTION("""COMPUTED_VALUE"""),"none")</f>
        <v/>
      </c>
      <c r="Z534">
        <f>IFERROR(__xludf.DUMMYFUNCTION("""COMPUTED_VALUE"""),"-")</f>
        <v/>
      </c>
      <c r="AB534">
        <f>IFERROR(__xludf.DUMMYFUNCTION("""COMPUTED_VALUE"""),"none")</f>
        <v/>
      </c>
    </row>
    <row r="535">
      <c r="D535">
        <f>IFERROR(__xludf.DUMMYFUNCTION("""COMPUTED_VALUE"""),"___")</f>
        <v/>
      </c>
      <c r="E535">
        <f>IFERROR(__xludf.DUMMYFUNCTION("""COMPUTED_VALUE"""),"none")</f>
        <v/>
      </c>
      <c r="F535">
        <f>IFERROR(__xludf.DUMMYFUNCTION("""COMPUTED_VALUE"""),"none")</f>
        <v/>
      </c>
      <c r="G535">
        <f>IFERROR(__xludf.DUMMYFUNCTION("""COMPUTED_VALUE"""),"none")</f>
        <v/>
      </c>
      <c r="I535">
        <f>IFERROR(__xludf.DUMMYFUNCTION("""COMPUTED_VALUE"""),"none")</f>
        <v/>
      </c>
      <c r="T535">
        <f>IFERROR(__xludf.DUMMYFUNCTION("""COMPUTED_VALUE"""),"none")</f>
        <v/>
      </c>
      <c r="U535">
        <f>IFERROR(__xludf.DUMMYFUNCTION("""COMPUTED_VALUE"""),"none")</f>
        <v/>
      </c>
      <c r="W535">
        <f>IFERROR(__xludf.DUMMYFUNCTION("""COMPUTED_VALUE"""),"none")</f>
        <v/>
      </c>
      <c r="X535">
        <f>IFERROR(__xludf.DUMMYFUNCTION("""COMPUTED_VALUE"""),"none")</f>
        <v/>
      </c>
      <c r="Z535">
        <f>IFERROR(__xludf.DUMMYFUNCTION("""COMPUTED_VALUE"""),"-")</f>
        <v/>
      </c>
      <c r="AB535">
        <f>IFERROR(__xludf.DUMMYFUNCTION("""COMPUTED_VALUE"""),"none")</f>
        <v/>
      </c>
    </row>
    <row r="536">
      <c r="D536">
        <f>IFERROR(__xludf.DUMMYFUNCTION("""COMPUTED_VALUE"""),"___")</f>
        <v/>
      </c>
      <c r="E536">
        <f>IFERROR(__xludf.DUMMYFUNCTION("""COMPUTED_VALUE"""),"none")</f>
        <v/>
      </c>
      <c r="F536">
        <f>IFERROR(__xludf.DUMMYFUNCTION("""COMPUTED_VALUE"""),"none")</f>
        <v/>
      </c>
      <c r="G536">
        <f>IFERROR(__xludf.DUMMYFUNCTION("""COMPUTED_VALUE"""),"none")</f>
        <v/>
      </c>
      <c r="I536">
        <f>IFERROR(__xludf.DUMMYFUNCTION("""COMPUTED_VALUE"""),"none")</f>
        <v/>
      </c>
      <c r="T536">
        <f>IFERROR(__xludf.DUMMYFUNCTION("""COMPUTED_VALUE"""),"none")</f>
        <v/>
      </c>
      <c r="U536">
        <f>IFERROR(__xludf.DUMMYFUNCTION("""COMPUTED_VALUE"""),"none")</f>
        <v/>
      </c>
      <c r="W536">
        <f>IFERROR(__xludf.DUMMYFUNCTION("""COMPUTED_VALUE"""),"none")</f>
        <v/>
      </c>
      <c r="X536">
        <f>IFERROR(__xludf.DUMMYFUNCTION("""COMPUTED_VALUE"""),"none")</f>
        <v/>
      </c>
      <c r="Z536">
        <f>IFERROR(__xludf.DUMMYFUNCTION("""COMPUTED_VALUE"""),"-")</f>
        <v/>
      </c>
      <c r="AB536">
        <f>IFERROR(__xludf.DUMMYFUNCTION("""COMPUTED_VALUE"""),"none")</f>
        <v/>
      </c>
    </row>
    <row r="537">
      <c r="D537">
        <f>IFERROR(__xludf.DUMMYFUNCTION("""COMPUTED_VALUE"""),"___")</f>
        <v/>
      </c>
      <c r="E537">
        <f>IFERROR(__xludf.DUMMYFUNCTION("""COMPUTED_VALUE"""),"none")</f>
        <v/>
      </c>
      <c r="F537">
        <f>IFERROR(__xludf.DUMMYFUNCTION("""COMPUTED_VALUE"""),"none")</f>
        <v/>
      </c>
      <c r="G537">
        <f>IFERROR(__xludf.DUMMYFUNCTION("""COMPUTED_VALUE"""),"none")</f>
        <v/>
      </c>
      <c r="I537">
        <f>IFERROR(__xludf.DUMMYFUNCTION("""COMPUTED_VALUE"""),"none")</f>
        <v/>
      </c>
      <c r="T537">
        <f>IFERROR(__xludf.DUMMYFUNCTION("""COMPUTED_VALUE"""),"none")</f>
        <v/>
      </c>
      <c r="U537">
        <f>IFERROR(__xludf.DUMMYFUNCTION("""COMPUTED_VALUE"""),"none")</f>
        <v/>
      </c>
      <c r="W537">
        <f>IFERROR(__xludf.DUMMYFUNCTION("""COMPUTED_VALUE"""),"none")</f>
        <v/>
      </c>
      <c r="X537">
        <f>IFERROR(__xludf.DUMMYFUNCTION("""COMPUTED_VALUE"""),"none")</f>
        <v/>
      </c>
      <c r="Z537">
        <f>IFERROR(__xludf.DUMMYFUNCTION("""COMPUTED_VALUE"""),"-")</f>
        <v/>
      </c>
      <c r="AB537">
        <f>IFERROR(__xludf.DUMMYFUNCTION("""COMPUTED_VALUE"""),"none")</f>
        <v/>
      </c>
    </row>
    <row r="538">
      <c r="D538">
        <f>IFERROR(__xludf.DUMMYFUNCTION("""COMPUTED_VALUE"""),"___")</f>
        <v/>
      </c>
      <c r="E538">
        <f>IFERROR(__xludf.DUMMYFUNCTION("""COMPUTED_VALUE"""),"none")</f>
        <v/>
      </c>
      <c r="F538">
        <f>IFERROR(__xludf.DUMMYFUNCTION("""COMPUTED_VALUE"""),"none")</f>
        <v/>
      </c>
      <c r="G538">
        <f>IFERROR(__xludf.DUMMYFUNCTION("""COMPUTED_VALUE"""),"none")</f>
        <v/>
      </c>
      <c r="I538">
        <f>IFERROR(__xludf.DUMMYFUNCTION("""COMPUTED_VALUE"""),"none")</f>
        <v/>
      </c>
      <c r="T538">
        <f>IFERROR(__xludf.DUMMYFUNCTION("""COMPUTED_VALUE"""),"none")</f>
        <v/>
      </c>
      <c r="U538">
        <f>IFERROR(__xludf.DUMMYFUNCTION("""COMPUTED_VALUE"""),"none")</f>
        <v/>
      </c>
      <c r="W538">
        <f>IFERROR(__xludf.DUMMYFUNCTION("""COMPUTED_VALUE"""),"none")</f>
        <v/>
      </c>
      <c r="X538">
        <f>IFERROR(__xludf.DUMMYFUNCTION("""COMPUTED_VALUE"""),"none")</f>
        <v/>
      </c>
      <c r="Z538">
        <f>IFERROR(__xludf.DUMMYFUNCTION("""COMPUTED_VALUE"""),"-")</f>
        <v/>
      </c>
      <c r="AB538">
        <f>IFERROR(__xludf.DUMMYFUNCTION("""COMPUTED_VALUE"""),"none")</f>
        <v/>
      </c>
    </row>
    <row r="539">
      <c r="D539">
        <f>IFERROR(__xludf.DUMMYFUNCTION("""COMPUTED_VALUE"""),"___")</f>
        <v/>
      </c>
      <c r="E539">
        <f>IFERROR(__xludf.DUMMYFUNCTION("""COMPUTED_VALUE"""),"none")</f>
        <v/>
      </c>
      <c r="F539">
        <f>IFERROR(__xludf.DUMMYFUNCTION("""COMPUTED_VALUE"""),"none")</f>
        <v/>
      </c>
      <c r="G539">
        <f>IFERROR(__xludf.DUMMYFUNCTION("""COMPUTED_VALUE"""),"none")</f>
        <v/>
      </c>
      <c r="I539">
        <f>IFERROR(__xludf.DUMMYFUNCTION("""COMPUTED_VALUE"""),"none")</f>
        <v/>
      </c>
      <c r="T539">
        <f>IFERROR(__xludf.DUMMYFUNCTION("""COMPUTED_VALUE"""),"none")</f>
        <v/>
      </c>
      <c r="U539">
        <f>IFERROR(__xludf.DUMMYFUNCTION("""COMPUTED_VALUE"""),"none")</f>
        <v/>
      </c>
      <c r="W539">
        <f>IFERROR(__xludf.DUMMYFUNCTION("""COMPUTED_VALUE"""),"none")</f>
        <v/>
      </c>
      <c r="X539">
        <f>IFERROR(__xludf.DUMMYFUNCTION("""COMPUTED_VALUE"""),"none")</f>
        <v/>
      </c>
      <c r="Z539">
        <f>IFERROR(__xludf.DUMMYFUNCTION("""COMPUTED_VALUE"""),"-")</f>
        <v/>
      </c>
      <c r="AB539">
        <f>IFERROR(__xludf.DUMMYFUNCTION("""COMPUTED_VALUE"""),"none")</f>
        <v/>
      </c>
    </row>
    <row r="540">
      <c r="D540">
        <f>IFERROR(__xludf.DUMMYFUNCTION("""COMPUTED_VALUE"""),"___")</f>
        <v/>
      </c>
      <c r="E540">
        <f>IFERROR(__xludf.DUMMYFUNCTION("""COMPUTED_VALUE"""),"none")</f>
        <v/>
      </c>
      <c r="F540">
        <f>IFERROR(__xludf.DUMMYFUNCTION("""COMPUTED_VALUE"""),"none")</f>
        <v/>
      </c>
      <c r="G540">
        <f>IFERROR(__xludf.DUMMYFUNCTION("""COMPUTED_VALUE"""),"none")</f>
        <v/>
      </c>
      <c r="I540">
        <f>IFERROR(__xludf.DUMMYFUNCTION("""COMPUTED_VALUE"""),"none")</f>
        <v/>
      </c>
      <c r="T540">
        <f>IFERROR(__xludf.DUMMYFUNCTION("""COMPUTED_VALUE"""),"none")</f>
        <v/>
      </c>
      <c r="U540">
        <f>IFERROR(__xludf.DUMMYFUNCTION("""COMPUTED_VALUE"""),"none")</f>
        <v/>
      </c>
      <c r="W540">
        <f>IFERROR(__xludf.DUMMYFUNCTION("""COMPUTED_VALUE"""),"none")</f>
        <v/>
      </c>
      <c r="X540">
        <f>IFERROR(__xludf.DUMMYFUNCTION("""COMPUTED_VALUE"""),"none")</f>
        <v/>
      </c>
      <c r="Z540">
        <f>IFERROR(__xludf.DUMMYFUNCTION("""COMPUTED_VALUE"""),"-")</f>
        <v/>
      </c>
      <c r="AB540">
        <f>IFERROR(__xludf.DUMMYFUNCTION("""COMPUTED_VALUE"""),"none")</f>
        <v/>
      </c>
    </row>
    <row r="541">
      <c r="D541">
        <f>IFERROR(__xludf.DUMMYFUNCTION("""COMPUTED_VALUE"""),"___")</f>
        <v/>
      </c>
      <c r="E541">
        <f>IFERROR(__xludf.DUMMYFUNCTION("""COMPUTED_VALUE"""),"none")</f>
        <v/>
      </c>
      <c r="F541">
        <f>IFERROR(__xludf.DUMMYFUNCTION("""COMPUTED_VALUE"""),"none")</f>
        <v/>
      </c>
      <c r="G541">
        <f>IFERROR(__xludf.DUMMYFUNCTION("""COMPUTED_VALUE"""),"none")</f>
        <v/>
      </c>
      <c r="I541">
        <f>IFERROR(__xludf.DUMMYFUNCTION("""COMPUTED_VALUE"""),"none")</f>
        <v/>
      </c>
      <c r="T541">
        <f>IFERROR(__xludf.DUMMYFUNCTION("""COMPUTED_VALUE"""),"none")</f>
        <v/>
      </c>
      <c r="U541">
        <f>IFERROR(__xludf.DUMMYFUNCTION("""COMPUTED_VALUE"""),"none")</f>
        <v/>
      </c>
      <c r="W541">
        <f>IFERROR(__xludf.DUMMYFUNCTION("""COMPUTED_VALUE"""),"none")</f>
        <v/>
      </c>
      <c r="X541">
        <f>IFERROR(__xludf.DUMMYFUNCTION("""COMPUTED_VALUE"""),"none")</f>
        <v/>
      </c>
      <c r="Z541">
        <f>IFERROR(__xludf.DUMMYFUNCTION("""COMPUTED_VALUE"""),"-")</f>
        <v/>
      </c>
      <c r="AB541">
        <f>IFERROR(__xludf.DUMMYFUNCTION("""COMPUTED_VALUE"""),"none")</f>
        <v/>
      </c>
    </row>
    <row r="542">
      <c r="D542">
        <f>IFERROR(__xludf.DUMMYFUNCTION("""COMPUTED_VALUE"""),"___")</f>
        <v/>
      </c>
      <c r="E542">
        <f>IFERROR(__xludf.DUMMYFUNCTION("""COMPUTED_VALUE"""),"none")</f>
        <v/>
      </c>
      <c r="F542">
        <f>IFERROR(__xludf.DUMMYFUNCTION("""COMPUTED_VALUE"""),"none")</f>
        <v/>
      </c>
      <c r="G542">
        <f>IFERROR(__xludf.DUMMYFUNCTION("""COMPUTED_VALUE"""),"none")</f>
        <v/>
      </c>
      <c r="I542">
        <f>IFERROR(__xludf.DUMMYFUNCTION("""COMPUTED_VALUE"""),"none")</f>
        <v/>
      </c>
      <c r="T542">
        <f>IFERROR(__xludf.DUMMYFUNCTION("""COMPUTED_VALUE"""),"none")</f>
        <v/>
      </c>
      <c r="U542">
        <f>IFERROR(__xludf.DUMMYFUNCTION("""COMPUTED_VALUE"""),"none")</f>
        <v/>
      </c>
      <c r="W542">
        <f>IFERROR(__xludf.DUMMYFUNCTION("""COMPUTED_VALUE"""),"none")</f>
        <v/>
      </c>
      <c r="X542">
        <f>IFERROR(__xludf.DUMMYFUNCTION("""COMPUTED_VALUE"""),"none")</f>
        <v/>
      </c>
      <c r="Z542">
        <f>IFERROR(__xludf.DUMMYFUNCTION("""COMPUTED_VALUE"""),"-")</f>
        <v/>
      </c>
      <c r="AB542">
        <f>IFERROR(__xludf.DUMMYFUNCTION("""COMPUTED_VALUE"""),"none")</f>
        <v/>
      </c>
    </row>
    <row r="543">
      <c r="D543">
        <f>IFERROR(__xludf.DUMMYFUNCTION("""COMPUTED_VALUE"""),"___")</f>
        <v/>
      </c>
      <c r="E543">
        <f>IFERROR(__xludf.DUMMYFUNCTION("""COMPUTED_VALUE"""),"none")</f>
        <v/>
      </c>
      <c r="F543">
        <f>IFERROR(__xludf.DUMMYFUNCTION("""COMPUTED_VALUE"""),"none")</f>
        <v/>
      </c>
      <c r="G543">
        <f>IFERROR(__xludf.DUMMYFUNCTION("""COMPUTED_VALUE"""),"none")</f>
        <v/>
      </c>
      <c r="I543">
        <f>IFERROR(__xludf.DUMMYFUNCTION("""COMPUTED_VALUE"""),"none")</f>
        <v/>
      </c>
      <c r="T543">
        <f>IFERROR(__xludf.DUMMYFUNCTION("""COMPUTED_VALUE"""),"none")</f>
        <v/>
      </c>
      <c r="U543">
        <f>IFERROR(__xludf.DUMMYFUNCTION("""COMPUTED_VALUE"""),"none")</f>
        <v/>
      </c>
      <c r="W543">
        <f>IFERROR(__xludf.DUMMYFUNCTION("""COMPUTED_VALUE"""),"none")</f>
        <v/>
      </c>
      <c r="X543">
        <f>IFERROR(__xludf.DUMMYFUNCTION("""COMPUTED_VALUE"""),"none")</f>
        <v/>
      </c>
      <c r="Z543">
        <f>IFERROR(__xludf.DUMMYFUNCTION("""COMPUTED_VALUE"""),"-")</f>
        <v/>
      </c>
      <c r="AB543">
        <f>IFERROR(__xludf.DUMMYFUNCTION("""COMPUTED_VALUE"""),"none")</f>
        <v/>
      </c>
    </row>
    <row r="544">
      <c r="D544">
        <f>IFERROR(__xludf.DUMMYFUNCTION("""COMPUTED_VALUE"""),"___")</f>
        <v/>
      </c>
      <c r="E544">
        <f>IFERROR(__xludf.DUMMYFUNCTION("""COMPUTED_VALUE"""),"none")</f>
        <v/>
      </c>
      <c r="F544">
        <f>IFERROR(__xludf.DUMMYFUNCTION("""COMPUTED_VALUE"""),"none")</f>
        <v/>
      </c>
      <c r="G544">
        <f>IFERROR(__xludf.DUMMYFUNCTION("""COMPUTED_VALUE"""),"none")</f>
        <v/>
      </c>
      <c r="I544">
        <f>IFERROR(__xludf.DUMMYFUNCTION("""COMPUTED_VALUE"""),"none")</f>
        <v/>
      </c>
      <c r="T544">
        <f>IFERROR(__xludf.DUMMYFUNCTION("""COMPUTED_VALUE"""),"none")</f>
        <v/>
      </c>
      <c r="U544">
        <f>IFERROR(__xludf.DUMMYFUNCTION("""COMPUTED_VALUE"""),"none")</f>
        <v/>
      </c>
      <c r="W544">
        <f>IFERROR(__xludf.DUMMYFUNCTION("""COMPUTED_VALUE"""),"none")</f>
        <v/>
      </c>
      <c r="X544">
        <f>IFERROR(__xludf.DUMMYFUNCTION("""COMPUTED_VALUE"""),"none")</f>
        <v/>
      </c>
      <c r="Z544">
        <f>IFERROR(__xludf.DUMMYFUNCTION("""COMPUTED_VALUE"""),"-")</f>
        <v/>
      </c>
      <c r="AB544">
        <f>IFERROR(__xludf.DUMMYFUNCTION("""COMPUTED_VALUE"""),"none")</f>
        <v/>
      </c>
    </row>
    <row r="545">
      <c r="D545">
        <f>IFERROR(__xludf.DUMMYFUNCTION("""COMPUTED_VALUE"""),"___")</f>
        <v/>
      </c>
      <c r="E545">
        <f>IFERROR(__xludf.DUMMYFUNCTION("""COMPUTED_VALUE"""),"none")</f>
        <v/>
      </c>
      <c r="F545">
        <f>IFERROR(__xludf.DUMMYFUNCTION("""COMPUTED_VALUE"""),"none")</f>
        <v/>
      </c>
      <c r="G545">
        <f>IFERROR(__xludf.DUMMYFUNCTION("""COMPUTED_VALUE"""),"none")</f>
        <v/>
      </c>
      <c r="I545">
        <f>IFERROR(__xludf.DUMMYFUNCTION("""COMPUTED_VALUE"""),"none")</f>
        <v/>
      </c>
      <c r="T545">
        <f>IFERROR(__xludf.DUMMYFUNCTION("""COMPUTED_VALUE"""),"none")</f>
        <v/>
      </c>
      <c r="U545">
        <f>IFERROR(__xludf.DUMMYFUNCTION("""COMPUTED_VALUE"""),"none")</f>
        <v/>
      </c>
      <c r="W545">
        <f>IFERROR(__xludf.DUMMYFUNCTION("""COMPUTED_VALUE"""),"none")</f>
        <v/>
      </c>
      <c r="X545">
        <f>IFERROR(__xludf.DUMMYFUNCTION("""COMPUTED_VALUE"""),"none")</f>
        <v/>
      </c>
      <c r="Z545">
        <f>IFERROR(__xludf.DUMMYFUNCTION("""COMPUTED_VALUE"""),"-")</f>
        <v/>
      </c>
      <c r="AB545">
        <f>IFERROR(__xludf.DUMMYFUNCTION("""COMPUTED_VALUE"""),"none")</f>
        <v/>
      </c>
    </row>
    <row r="546">
      <c r="D546">
        <f>IFERROR(__xludf.DUMMYFUNCTION("""COMPUTED_VALUE"""),"___")</f>
        <v/>
      </c>
      <c r="E546">
        <f>IFERROR(__xludf.DUMMYFUNCTION("""COMPUTED_VALUE"""),"none")</f>
        <v/>
      </c>
      <c r="F546">
        <f>IFERROR(__xludf.DUMMYFUNCTION("""COMPUTED_VALUE"""),"none")</f>
        <v/>
      </c>
      <c r="G546">
        <f>IFERROR(__xludf.DUMMYFUNCTION("""COMPUTED_VALUE"""),"none")</f>
        <v/>
      </c>
      <c r="I546">
        <f>IFERROR(__xludf.DUMMYFUNCTION("""COMPUTED_VALUE"""),"none")</f>
        <v/>
      </c>
      <c r="T546">
        <f>IFERROR(__xludf.DUMMYFUNCTION("""COMPUTED_VALUE"""),"none")</f>
        <v/>
      </c>
      <c r="U546">
        <f>IFERROR(__xludf.DUMMYFUNCTION("""COMPUTED_VALUE"""),"none")</f>
        <v/>
      </c>
      <c r="W546">
        <f>IFERROR(__xludf.DUMMYFUNCTION("""COMPUTED_VALUE"""),"none")</f>
        <v/>
      </c>
      <c r="X546">
        <f>IFERROR(__xludf.DUMMYFUNCTION("""COMPUTED_VALUE"""),"none")</f>
        <v/>
      </c>
      <c r="Z546">
        <f>IFERROR(__xludf.DUMMYFUNCTION("""COMPUTED_VALUE"""),"-")</f>
        <v/>
      </c>
      <c r="AB546">
        <f>IFERROR(__xludf.DUMMYFUNCTION("""COMPUTED_VALUE"""),"none")</f>
        <v/>
      </c>
    </row>
    <row r="547">
      <c r="D547">
        <f>IFERROR(__xludf.DUMMYFUNCTION("""COMPUTED_VALUE"""),"___")</f>
        <v/>
      </c>
      <c r="E547">
        <f>IFERROR(__xludf.DUMMYFUNCTION("""COMPUTED_VALUE"""),"none")</f>
        <v/>
      </c>
      <c r="F547">
        <f>IFERROR(__xludf.DUMMYFUNCTION("""COMPUTED_VALUE"""),"none")</f>
        <v/>
      </c>
      <c r="G547">
        <f>IFERROR(__xludf.DUMMYFUNCTION("""COMPUTED_VALUE"""),"none")</f>
        <v/>
      </c>
      <c r="I547">
        <f>IFERROR(__xludf.DUMMYFUNCTION("""COMPUTED_VALUE"""),"none")</f>
        <v/>
      </c>
      <c r="T547">
        <f>IFERROR(__xludf.DUMMYFUNCTION("""COMPUTED_VALUE"""),"none")</f>
        <v/>
      </c>
      <c r="U547">
        <f>IFERROR(__xludf.DUMMYFUNCTION("""COMPUTED_VALUE"""),"none")</f>
        <v/>
      </c>
      <c r="W547">
        <f>IFERROR(__xludf.DUMMYFUNCTION("""COMPUTED_VALUE"""),"none")</f>
        <v/>
      </c>
      <c r="X547">
        <f>IFERROR(__xludf.DUMMYFUNCTION("""COMPUTED_VALUE"""),"none")</f>
        <v/>
      </c>
      <c r="Z547">
        <f>IFERROR(__xludf.DUMMYFUNCTION("""COMPUTED_VALUE"""),"-")</f>
        <v/>
      </c>
      <c r="AB547">
        <f>IFERROR(__xludf.DUMMYFUNCTION("""COMPUTED_VALUE"""),"none")</f>
        <v/>
      </c>
    </row>
    <row r="548">
      <c r="D548">
        <f>IFERROR(__xludf.DUMMYFUNCTION("""COMPUTED_VALUE"""),"___")</f>
        <v/>
      </c>
      <c r="E548">
        <f>IFERROR(__xludf.DUMMYFUNCTION("""COMPUTED_VALUE"""),"none")</f>
        <v/>
      </c>
      <c r="F548">
        <f>IFERROR(__xludf.DUMMYFUNCTION("""COMPUTED_VALUE"""),"none")</f>
        <v/>
      </c>
      <c r="G548">
        <f>IFERROR(__xludf.DUMMYFUNCTION("""COMPUTED_VALUE"""),"none")</f>
        <v/>
      </c>
      <c r="I548">
        <f>IFERROR(__xludf.DUMMYFUNCTION("""COMPUTED_VALUE"""),"none")</f>
        <v/>
      </c>
      <c r="T548">
        <f>IFERROR(__xludf.DUMMYFUNCTION("""COMPUTED_VALUE"""),"none")</f>
        <v/>
      </c>
      <c r="U548">
        <f>IFERROR(__xludf.DUMMYFUNCTION("""COMPUTED_VALUE"""),"none")</f>
        <v/>
      </c>
      <c r="W548">
        <f>IFERROR(__xludf.DUMMYFUNCTION("""COMPUTED_VALUE"""),"none")</f>
        <v/>
      </c>
      <c r="X548">
        <f>IFERROR(__xludf.DUMMYFUNCTION("""COMPUTED_VALUE"""),"none")</f>
        <v/>
      </c>
      <c r="Z548">
        <f>IFERROR(__xludf.DUMMYFUNCTION("""COMPUTED_VALUE"""),"-")</f>
        <v/>
      </c>
      <c r="AB548">
        <f>IFERROR(__xludf.DUMMYFUNCTION("""COMPUTED_VALUE"""),"none")</f>
        <v/>
      </c>
    </row>
    <row r="549">
      <c r="D549">
        <f>IFERROR(__xludf.DUMMYFUNCTION("""COMPUTED_VALUE"""),"___")</f>
        <v/>
      </c>
      <c r="E549">
        <f>IFERROR(__xludf.DUMMYFUNCTION("""COMPUTED_VALUE"""),"none")</f>
        <v/>
      </c>
      <c r="F549">
        <f>IFERROR(__xludf.DUMMYFUNCTION("""COMPUTED_VALUE"""),"none")</f>
        <v/>
      </c>
      <c r="G549">
        <f>IFERROR(__xludf.DUMMYFUNCTION("""COMPUTED_VALUE"""),"none")</f>
        <v/>
      </c>
      <c r="I549">
        <f>IFERROR(__xludf.DUMMYFUNCTION("""COMPUTED_VALUE"""),"none")</f>
        <v/>
      </c>
      <c r="T549">
        <f>IFERROR(__xludf.DUMMYFUNCTION("""COMPUTED_VALUE"""),"none")</f>
        <v/>
      </c>
      <c r="U549">
        <f>IFERROR(__xludf.DUMMYFUNCTION("""COMPUTED_VALUE"""),"none")</f>
        <v/>
      </c>
      <c r="W549">
        <f>IFERROR(__xludf.DUMMYFUNCTION("""COMPUTED_VALUE"""),"none")</f>
        <v/>
      </c>
      <c r="X549">
        <f>IFERROR(__xludf.DUMMYFUNCTION("""COMPUTED_VALUE"""),"none")</f>
        <v/>
      </c>
      <c r="Z549">
        <f>IFERROR(__xludf.DUMMYFUNCTION("""COMPUTED_VALUE"""),"-")</f>
        <v/>
      </c>
      <c r="AB549">
        <f>IFERROR(__xludf.DUMMYFUNCTION("""COMPUTED_VALUE"""),"none")</f>
        <v/>
      </c>
    </row>
    <row r="550">
      <c r="D550">
        <f>IFERROR(__xludf.DUMMYFUNCTION("""COMPUTED_VALUE"""),"___")</f>
        <v/>
      </c>
      <c r="E550">
        <f>IFERROR(__xludf.DUMMYFUNCTION("""COMPUTED_VALUE"""),"none")</f>
        <v/>
      </c>
      <c r="F550">
        <f>IFERROR(__xludf.DUMMYFUNCTION("""COMPUTED_VALUE"""),"none")</f>
        <v/>
      </c>
      <c r="G550">
        <f>IFERROR(__xludf.DUMMYFUNCTION("""COMPUTED_VALUE"""),"none")</f>
        <v/>
      </c>
      <c r="I550">
        <f>IFERROR(__xludf.DUMMYFUNCTION("""COMPUTED_VALUE"""),"none")</f>
        <v/>
      </c>
      <c r="T550">
        <f>IFERROR(__xludf.DUMMYFUNCTION("""COMPUTED_VALUE"""),"none")</f>
        <v/>
      </c>
      <c r="U550">
        <f>IFERROR(__xludf.DUMMYFUNCTION("""COMPUTED_VALUE"""),"none")</f>
        <v/>
      </c>
      <c r="W550">
        <f>IFERROR(__xludf.DUMMYFUNCTION("""COMPUTED_VALUE"""),"none")</f>
        <v/>
      </c>
      <c r="X550">
        <f>IFERROR(__xludf.DUMMYFUNCTION("""COMPUTED_VALUE"""),"none")</f>
        <v/>
      </c>
      <c r="Z550">
        <f>IFERROR(__xludf.DUMMYFUNCTION("""COMPUTED_VALUE"""),"-")</f>
        <v/>
      </c>
      <c r="AB550">
        <f>IFERROR(__xludf.DUMMYFUNCTION("""COMPUTED_VALUE"""),"none")</f>
        <v/>
      </c>
    </row>
    <row r="551">
      <c r="D551">
        <f>IFERROR(__xludf.DUMMYFUNCTION("""COMPUTED_VALUE"""),"___")</f>
        <v/>
      </c>
      <c r="E551">
        <f>IFERROR(__xludf.DUMMYFUNCTION("""COMPUTED_VALUE"""),"none")</f>
        <v/>
      </c>
      <c r="F551">
        <f>IFERROR(__xludf.DUMMYFUNCTION("""COMPUTED_VALUE"""),"none")</f>
        <v/>
      </c>
      <c r="G551">
        <f>IFERROR(__xludf.DUMMYFUNCTION("""COMPUTED_VALUE"""),"none")</f>
        <v/>
      </c>
      <c r="I551">
        <f>IFERROR(__xludf.DUMMYFUNCTION("""COMPUTED_VALUE"""),"none")</f>
        <v/>
      </c>
      <c r="T551">
        <f>IFERROR(__xludf.DUMMYFUNCTION("""COMPUTED_VALUE"""),"none")</f>
        <v/>
      </c>
      <c r="U551">
        <f>IFERROR(__xludf.DUMMYFUNCTION("""COMPUTED_VALUE"""),"none")</f>
        <v/>
      </c>
      <c r="W551">
        <f>IFERROR(__xludf.DUMMYFUNCTION("""COMPUTED_VALUE"""),"none")</f>
        <v/>
      </c>
      <c r="X551">
        <f>IFERROR(__xludf.DUMMYFUNCTION("""COMPUTED_VALUE"""),"none")</f>
        <v/>
      </c>
      <c r="Z551">
        <f>IFERROR(__xludf.DUMMYFUNCTION("""COMPUTED_VALUE"""),"-")</f>
        <v/>
      </c>
      <c r="AB551">
        <f>IFERROR(__xludf.DUMMYFUNCTION("""COMPUTED_VALUE"""),"none")</f>
        <v/>
      </c>
    </row>
    <row r="552">
      <c r="D552">
        <f>IFERROR(__xludf.DUMMYFUNCTION("""COMPUTED_VALUE"""),"___")</f>
        <v/>
      </c>
      <c r="E552">
        <f>IFERROR(__xludf.DUMMYFUNCTION("""COMPUTED_VALUE"""),"none")</f>
        <v/>
      </c>
      <c r="F552">
        <f>IFERROR(__xludf.DUMMYFUNCTION("""COMPUTED_VALUE"""),"none")</f>
        <v/>
      </c>
      <c r="G552">
        <f>IFERROR(__xludf.DUMMYFUNCTION("""COMPUTED_VALUE"""),"none")</f>
        <v/>
      </c>
      <c r="I552">
        <f>IFERROR(__xludf.DUMMYFUNCTION("""COMPUTED_VALUE"""),"none")</f>
        <v/>
      </c>
      <c r="T552">
        <f>IFERROR(__xludf.DUMMYFUNCTION("""COMPUTED_VALUE"""),"none")</f>
        <v/>
      </c>
      <c r="U552">
        <f>IFERROR(__xludf.DUMMYFUNCTION("""COMPUTED_VALUE"""),"none")</f>
        <v/>
      </c>
      <c r="W552">
        <f>IFERROR(__xludf.DUMMYFUNCTION("""COMPUTED_VALUE"""),"none")</f>
        <v/>
      </c>
      <c r="X552">
        <f>IFERROR(__xludf.DUMMYFUNCTION("""COMPUTED_VALUE"""),"none")</f>
        <v/>
      </c>
      <c r="Z552">
        <f>IFERROR(__xludf.DUMMYFUNCTION("""COMPUTED_VALUE"""),"-")</f>
        <v/>
      </c>
      <c r="AB552">
        <f>IFERROR(__xludf.DUMMYFUNCTION("""COMPUTED_VALUE"""),"none")</f>
        <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N330"/>
  <sheetViews>
    <sheetView workbookViewId="0">
      <selection activeCell="A1" sqref="A1"/>
    </sheetView>
  </sheetViews>
  <sheetFormatPr baseColWidth="8" defaultRowHeight="15"/>
  <sheetData>
    <row r="1">
      <c r="A1">
        <f>IFERROR(__xludf.DUMMYFUNCTION("IMPORTRANGE(""https://docs.google.com/spreadsheets/d/1oJmkDK37Qizzdaxn4KCwh1BMwdNWuHCx3AGH8BC9yu0/edit#gid=1994449604"",""アイテム!A1:N1000"")"),"作品_ID")</f>
        <v/>
      </c>
      <c r="B1">
        <f>IFERROR(__xludf.DUMMYFUNCTION("""COMPUTED_VALUE"""),"作品名")</f>
        <v/>
      </c>
      <c r="C1">
        <f>IFERROR(__xludf.DUMMYFUNCTION("""COMPUTED_VALUE"""),"接頭語（カテゴリー）")</f>
        <v/>
      </c>
      <c r="D1">
        <f>IFERROR(__xludf.DUMMYFUNCTION("""COMPUTED_VALUE"""),"識別ID")</f>
        <v/>
      </c>
      <c r="E1">
        <f>IFERROR(__xludf.DUMMYFUNCTION("""COMPUTED_VALUE"""),"アイテム_ID")</f>
        <v/>
      </c>
      <c r="F1">
        <f>IFERROR(__xludf.DUMMYFUNCTION("""COMPUTED_VALUE"""),"assetKey")</f>
        <v/>
      </c>
      <c r="G1">
        <f>IFERROR(__xludf.DUMMYFUNCTION("""COMPUTED_VALUE"""),"画像ファイルID")</f>
        <v/>
      </c>
      <c r="H1">
        <f>IFERROR(__xludf.DUMMYFUNCTION("""COMPUTED_VALUE"""),"アイテム名")</f>
        <v/>
      </c>
      <c r="I1">
        <f>IFERROR(__xludf.DUMMYFUNCTION("""COMPUTED_VALUE"""),"レアリティ")</f>
        <v/>
      </c>
      <c r="J1">
        <f>IFERROR(__xludf.DUMMYFUNCTION("""COMPUTED_VALUE"""),"最大所持数")</f>
        <v/>
      </c>
      <c r="K1">
        <f>IFERROR(__xludf.DUMMYFUNCTION("""COMPUTED_VALUE"""),"最大表示上限数")</f>
        <v/>
      </c>
      <c r="L1">
        <f>IFERROR(__xludf.DUMMYFUNCTION("""COMPUTED_VALUE"""),"フレーバーテキスト")</f>
        <v/>
      </c>
      <c r="M1">
        <f>IFERROR(__xludf.DUMMYFUNCTION("""COMPUTED_VALUE"""),"アイテム備考")</f>
        <v/>
      </c>
      <c r="N1">
        <f>IFERROR(__xludf.DUMMYFUNCTION("""COMPUTED_VALUE"""),"start_date")</f>
        <v/>
      </c>
    </row>
    <row r="2">
      <c r="A2">
        <f>IFERROR(__xludf.DUMMYFUNCTION("""COMPUTED_VALUE"""),"▼ゲーム内通貨")</f>
        <v/>
      </c>
    </row>
    <row r="3">
      <c r="A3">
        <f>IFERROR(__xludf.DUMMYFUNCTION("""COMPUTED_VALUE"""),"glo")</f>
        <v/>
      </c>
      <c r="B3">
        <f>IFERROR(__xludf.DUMMYFUNCTION("""COMPUTED_VALUE"""),"GLOW")</f>
        <v/>
      </c>
      <c r="C3">
        <f>IFERROR(__xludf.DUMMYFUNCTION("""COMPUTED_VALUE"""),"prism")</f>
        <v/>
      </c>
      <c r="D3">
        <f>IFERROR(__xludf.DUMMYFUNCTION("""COMPUTED_VALUE"""),"00001")</f>
        <v/>
      </c>
      <c r="E3">
        <f>IFERROR(__xludf.DUMMYFUNCTION("""COMPUTED_VALUE"""),"prism_glo_00001")</f>
        <v/>
      </c>
      <c r="F3">
        <f>IFERROR(__xludf.DUMMYFUNCTION("""COMPUTED_VALUE"""),"prism_glo_00001")</f>
        <v/>
      </c>
      <c r="G3">
        <f>IFERROR(__xludf.DUMMYFUNCTION("""COMPUTED_VALUE"""),"item_icon_prism_glo_00001")</f>
        <v/>
      </c>
      <c r="H3">
        <f>IFERROR(__xludf.DUMMYFUNCTION("""COMPUTED_VALUE"""),"プリズム")</f>
        <v/>
      </c>
      <c r="I3">
        <f>IFERROR(__xludf.DUMMYFUNCTION("""COMPUTED_VALUE"""),"UR")</f>
        <v/>
      </c>
      <c r="J3">
        <f>IFERROR(__xludf.DUMMYFUNCTION("""COMPUTED_VALUE"""),9.99999999E8)</f>
        <v/>
      </c>
      <c r="K3">
        <f>IFERROR(__xludf.DUMMYFUNCTION("""COMPUTED_VALUE"""),9.99999999E8)</f>
        <v/>
      </c>
      <c r="L3">
        <f>IFERROR(__xludf.DUMMYFUNCTION("""COMPUTED_VALUE"""),"未定")</f>
        <v/>
      </c>
      <c r="N3">
        <f>IFERROR(__xludf.DUMMYFUNCTION("""COMPUTED_VALUE"""),"2024-01-01 00:00:00")</f>
        <v/>
      </c>
    </row>
    <row r="4">
      <c r="A4">
        <f>IFERROR(__xludf.DUMMYFUNCTION("""COMPUTED_VALUE"""),"glo")</f>
        <v/>
      </c>
      <c r="B4">
        <f>IFERROR(__xludf.DUMMYFUNCTION("""COMPUTED_VALUE"""),"GLOW")</f>
        <v/>
      </c>
      <c r="C4">
        <f>IFERROR(__xludf.DUMMYFUNCTION("""COMPUTED_VALUE"""),"coin")</f>
        <v/>
      </c>
      <c r="D4">
        <f>IFERROR(__xludf.DUMMYFUNCTION("""COMPUTED_VALUE"""),"00001")</f>
        <v/>
      </c>
      <c r="E4">
        <f>IFERROR(__xludf.DUMMYFUNCTION("""COMPUTED_VALUE"""),"Coin")</f>
        <v/>
      </c>
      <c r="F4">
        <f>IFERROR(__xludf.DUMMYFUNCTION("""COMPUTED_VALUE"""),"coin_glo_00001")</f>
        <v/>
      </c>
      <c r="G4">
        <f>IFERROR(__xludf.DUMMYFUNCTION("""COMPUTED_VALUE"""),"item_icon_coin_glo_00001")</f>
        <v/>
      </c>
      <c r="H4">
        <f>IFERROR(__xludf.DUMMYFUNCTION("""COMPUTED_VALUE"""),"コイン")</f>
        <v/>
      </c>
      <c r="I4">
        <f>IFERROR(__xludf.DUMMYFUNCTION("""COMPUTED_VALUE"""),"SR")</f>
        <v/>
      </c>
      <c r="J4">
        <f>IFERROR(__xludf.DUMMYFUNCTION("""COMPUTED_VALUE"""),9.99999999E8)</f>
        <v/>
      </c>
      <c r="K4">
        <f>IFERROR(__xludf.DUMMYFUNCTION("""COMPUTED_VALUE"""),9.99999999E8)</f>
        <v/>
      </c>
      <c r="L4">
        <f>IFERROR(__xludf.DUMMYFUNCTION("""COMPUTED_VALUE"""),"未定")</f>
        <v/>
      </c>
      <c r="N4">
        <f>IFERROR(__xludf.DUMMYFUNCTION("""COMPUTED_VALUE"""),"2024-01-01 00:00:00")</f>
        <v/>
      </c>
    </row>
    <row r="5">
      <c r="A5">
        <f>IFERROR(__xludf.DUMMYFUNCTION("""COMPUTED_VALUE"""),"▼基本アイテム")</f>
        <v/>
      </c>
    </row>
    <row r="6">
      <c r="A6">
        <f>IFERROR(__xludf.DUMMYFUNCTION("""COMPUTED_VALUE"""),"glo")</f>
        <v/>
      </c>
      <c r="B6">
        <f>IFERROR(__xludf.DUMMYFUNCTION("""COMPUTED_VALUE"""),"GLOW")</f>
        <v/>
      </c>
      <c r="C6">
        <f>IFERROR(__xludf.DUMMYFUNCTION("""COMPUTED_VALUE"""),"stamina")</f>
        <v/>
      </c>
      <c r="D6">
        <f>IFERROR(__xludf.DUMMYFUNCTION("""COMPUTED_VALUE"""),"00001")</f>
        <v/>
      </c>
      <c r="E6">
        <f>IFERROR(__xludf.DUMMYFUNCTION("""COMPUTED_VALUE"""),"stamina_glo_00001")</f>
        <v/>
      </c>
      <c r="F6">
        <f>IFERROR(__xludf.DUMMYFUNCTION("""COMPUTED_VALUE"""),"stamina_glo_00001")</f>
        <v/>
      </c>
      <c r="G6">
        <f>IFERROR(__xludf.DUMMYFUNCTION("""COMPUTED_VALUE"""),"item_icon_stamina_glo_00001")</f>
        <v/>
      </c>
      <c r="H6">
        <f>IFERROR(__xludf.DUMMYFUNCTION("""COMPUTED_VALUE"""),"スタミナ")</f>
        <v/>
      </c>
      <c r="I6">
        <f>IFERROR(__xludf.DUMMYFUNCTION("""COMPUTED_VALUE"""),"R")</f>
        <v/>
      </c>
      <c r="J6">
        <f>IFERROR(__xludf.DUMMYFUNCTION("""COMPUTED_VALUE"""),999.0)</f>
        <v/>
      </c>
      <c r="K6">
        <f>IFERROR(__xludf.DUMMYFUNCTION("""COMPUTED_VALUE"""),999.0)</f>
        <v/>
      </c>
      <c r="N6">
        <f>IFERROR(__xludf.DUMMYFUNCTION("""COMPUTED_VALUE"""),"2024-01-01 00:00:00")</f>
        <v/>
      </c>
    </row>
    <row r="7">
      <c r="A7">
        <f>IFERROR(__xludf.DUMMYFUNCTION("""COMPUTED_VALUE"""),"glo")</f>
        <v/>
      </c>
      <c r="B7">
        <f>IFERROR(__xludf.DUMMYFUNCTION("""COMPUTED_VALUE"""),"GLOW")</f>
        <v/>
      </c>
      <c r="C7">
        <f>IFERROR(__xludf.DUMMYFUNCTION("""COMPUTED_VALUE"""),"stamina_item")</f>
        <v/>
      </c>
      <c r="D7">
        <f>IFERROR(__xludf.DUMMYFUNCTION("""COMPUTED_VALUE"""),"00001")</f>
        <v/>
      </c>
      <c r="E7">
        <f>IFERROR(__xludf.DUMMYFUNCTION("""COMPUTED_VALUE"""),"stamina_item_glo_00001")</f>
        <v/>
      </c>
      <c r="F7">
        <f>IFERROR(__xludf.DUMMYFUNCTION("""COMPUTED_VALUE"""),"stamina_item_glo_00001")</f>
        <v/>
      </c>
      <c r="G7">
        <f>IFERROR(__xludf.DUMMYFUNCTION("""COMPUTED_VALUE"""),"item_icon_stamina_item_glo_00001")</f>
        <v/>
      </c>
      <c r="H7">
        <f>IFERROR(__xludf.DUMMYFUNCTION("""COMPUTED_VALUE"""),"スタミナドリンク")</f>
        <v/>
      </c>
      <c r="I7">
        <f>IFERROR(__xludf.DUMMYFUNCTION("""COMPUTED_VALUE"""),"R")</f>
        <v/>
      </c>
      <c r="J7">
        <f>IFERROR(__xludf.DUMMYFUNCTION("""COMPUTED_VALUE"""),9.99999999E8)</f>
        <v/>
      </c>
      <c r="K7">
        <f>IFERROR(__xludf.DUMMYFUNCTION("""COMPUTED_VALUE"""),9.99999999E8)</f>
        <v/>
      </c>
      <c r="L7">
        <f>IFERROR(__xludf.DUMMYFUNCTION("""COMPUTED_VALUE"""),"使用することでスタミナ最を10回復できるアイテム")</f>
        <v/>
      </c>
      <c r="N7">
        <f>IFERROR(__xludf.DUMMYFUNCTION("""COMPUTED_VALUE"""),"2026-02-01 15:00:00")</f>
        <v/>
      </c>
    </row>
    <row r="8">
      <c r="A8">
        <f>IFERROR(__xludf.DUMMYFUNCTION("""COMPUTED_VALUE"""),"glo")</f>
        <v/>
      </c>
      <c r="B8">
        <f>IFERROR(__xludf.DUMMYFUNCTION("""COMPUTED_VALUE"""),"GLOW")</f>
        <v/>
      </c>
      <c r="C8">
        <f>IFERROR(__xludf.DUMMYFUNCTION("""COMPUTED_VALUE"""),"stamina_item")</f>
        <v/>
      </c>
      <c r="D8">
        <f>IFERROR(__xludf.DUMMYFUNCTION("""COMPUTED_VALUE"""),"00002")</f>
        <v/>
      </c>
      <c r="E8">
        <f>IFERROR(__xludf.DUMMYFUNCTION("""COMPUTED_VALUE"""),"stamina_item_glo_00002")</f>
        <v/>
      </c>
      <c r="F8">
        <f>IFERROR(__xludf.DUMMYFUNCTION("""COMPUTED_VALUE"""),"stamina_item_glo_00002")</f>
        <v/>
      </c>
      <c r="G8">
        <f>IFERROR(__xludf.DUMMYFUNCTION("""COMPUTED_VALUE"""),"item_icon_stamina_item_glo_00002")</f>
        <v/>
      </c>
      <c r="H8">
        <f>IFERROR(__xludf.DUMMYFUNCTION("""COMPUTED_VALUE"""),"スーパースタミナドリンク")</f>
        <v/>
      </c>
      <c r="I8">
        <f>IFERROR(__xludf.DUMMYFUNCTION("""COMPUTED_VALUE"""),"SR")</f>
        <v/>
      </c>
      <c r="J8">
        <f>IFERROR(__xludf.DUMMYFUNCTION("""COMPUTED_VALUE"""),9.99999999E8)</f>
        <v/>
      </c>
      <c r="K8">
        <f>IFERROR(__xludf.DUMMYFUNCTION("""COMPUTED_VALUE"""),9.99999999E8)</f>
        <v/>
      </c>
      <c r="L8">
        <f>IFERROR(__xludf.DUMMYFUNCTION("""COMPUTED_VALUE"""),"使用することでスタミナ最を50回復できるアイテム")</f>
        <v/>
      </c>
      <c r="N8">
        <f>IFERROR(__xludf.DUMMYFUNCTION("""COMPUTED_VALUE"""),"2024-01-01 00:00:00")</f>
        <v/>
      </c>
    </row>
    <row r="9">
      <c r="A9">
        <f>IFERROR(__xludf.DUMMYFUNCTION("""COMPUTED_VALUE"""),"glo")</f>
        <v/>
      </c>
      <c r="B9">
        <f>IFERROR(__xludf.DUMMYFUNCTION("""COMPUTED_VALUE"""),"GLOW")</f>
        <v/>
      </c>
      <c r="C9">
        <f>IFERROR(__xludf.DUMMYFUNCTION("""COMPUTED_VALUE"""),"exp")</f>
        <v/>
      </c>
      <c r="D9">
        <f>IFERROR(__xludf.DUMMYFUNCTION("""COMPUTED_VALUE"""),"00001")</f>
        <v/>
      </c>
      <c r="E9">
        <f>IFERROR(__xludf.DUMMYFUNCTION("""COMPUTED_VALUE"""),"exp_glo_00001")</f>
        <v/>
      </c>
      <c r="F9">
        <f>IFERROR(__xludf.DUMMYFUNCTION("""COMPUTED_VALUE"""),"exp_glo_00001")</f>
        <v/>
      </c>
      <c r="G9">
        <f>IFERROR(__xludf.DUMMYFUNCTION("""COMPUTED_VALUE"""),"item_icon_exp_glo_00001")</f>
        <v/>
      </c>
      <c r="H9">
        <f>IFERROR(__xludf.DUMMYFUNCTION("""COMPUTED_VALUE"""),"リーダーEXP")</f>
        <v/>
      </c>
      <c r="I9">
        <f>IFERROR(__xludf.DUMMYFUNCTION("""COMPUTED_VALUE"""),"R")</f>
        <v/>
      </c>
      <c r="J9">
        <f>IFERROR(__xludf.DUMMYFUNCTION("""COMPUTED_VALUE"""),"-")</f>
        <v/>
      </c>
      <c r="K9">
        <f>IFERROR(__xludf.DUMMYFUNCTION("""COMPUTED_VALUE"""),"-")</f>
        <v/>
      </c>
      <c r="N9">
        <f>IFERROR(__xludf.DUMMYFUNCTION("""COMPUTED_VALUE"""),"2024-01-01 00:00:00")</f>
        <v/>
      </c>
    </row>
    <row r="10">
      <c r="A10">
        <f>IFERROR(__xludf.DUMMYFUNCTION("""COMPUTED_VALUE"""),"▼ガシャチケット")</f>
        <v/>
      </c>
    </row>
    <row r="11">
      <c r="A11">
        <f>IFERROR(__xludf.DUMMYFUNCTION("""COMPUTED_VALUE"""),"glo")</f>
        <v/>
      </c>
      <c r="B11">
        <f>IFERROR(__xludf.DUMMYFUNCTION("""COMPUTED_VALUE"""),"GLOW")</f>
        <v/>
      </c>
      <c r="C11">
        <f>IFERROR(__xludf.DUMMYFUNCTION("""COMPUTED_VALUE"""),"ticket")</f>
        <v/>
      </c>
      <c r="D11">
        <f>IFERROR(__xludf.DUMMYFUNCTION("""COMPUTED_VALUE"""),"00001")</f>
        <v/>
      </c>
      <c r="E11">
        <f>IFERROR(__xludf.DUMMYFUNCTION("""COMPUTED_VALUE"""),"ticket_glo_00001")</f>
        <v/>
      </c>
      <c r="F11">
        <f>IFERROR(__xludf.DUMMYFUNCTION("""COMPUTED_VALUE"""),"ticket_glo_00001")</f>
        <v/>
      </c>
      <c r="G11">
        <f>IFERROR(__xludf.DUMMYFUNCTION("""COMPUTED_VALUE"""),"item_icon_ticket_glo_00001")</f>
        <v/>
      </c>
      <c r="H11">
        <f>IFERROR(__xludf.DUMMYFUNCTION("""COMPUTED_VALUE"""),"ノーマルガシャチケット")</f>
        <v/>
      </c>
      <c r="I11">
        <f>IFERROR(__xludf.DUMMYFUNCTION("""COMPUTED_VALUE"""),"R")</f>
        <v/>
      </c>
      <c r="J11">
        <f>IFERROR(__xludf.DUMMYFUNCTION("""COMPUTED_VALUE"""),9.99999999E8)</f>
        <v/>
      </c>
      <c r="K11">
        <f>IFERROR(__xludf.DUMMYFUNCTION("""COMPUTED_VALUE"""),9.99999999E8)</f>
        <v/>
      </c>
      <c r="L11">
        <f>IFERROR(__xludf.DUMMYFUNCTION("""COMPUTED_VALUE"""),"ノーマルガシャを引くことができるアイテム")</f>
        <v/>
      </c>
      <c r="M11">
        <f>IFERROR(__xludf.DUMMYFUNCTION("""COMPUTED_VALUE"""),"ノーマルガシャは実施無しに変更。
無料配布OK、コインで購入OK
※ガシャチケの配布ルールはアイテム構成図を確認すること
https://wonderplanet.atlassian.net/wiki/spaces/GLOW/pages/344622597
ノーマルガシャを1回引けるガシャチケット。10枚集めると10連も可能（最大10連を上限とする）")</f>
        <v/>
      </c>
      <c r="N11">
        <f>IFERROR(__xludf.DUMMYFUNCTION("""COMPUTED_VALUE"""),"リリース無し")</f>
        <v/>
      </c>
    </row>
    <row r="12">
      <c r="A12">
        <f>IFERROR(__xludf.DUMMYFUNCTION("""COMPUTED_VALUE"""),"glo")</f>
        <v/>
      </c>
      <c r="B12">
        <f>IFERROR(__xludf.DUMMYFUNCTION("""COMPUTED_VALUE"""),"GLOW")</f>
        <v/>
      </c>
      <c r="C12">
        <f>IFERROR(__xludf.DUMMYFUNCTION("""COMPUTED_VALUE"""),"ticket")</f>
        <v/>
      </c>
      <c r="D12">
        <f>IFERROR(__xludf.DUMMYFUNCTION("""COMPUTED_VALUE"""),"00002")</f>
        <v/>
      </c>
      <c r="E12">
        <f>IFERROR(__xludf.DUMMYFUNCTION("""COMPUTED_VALUE"""),"ticket_glo_00002")</f>
        <v/>
      </c>
      <c r="F12">
        <f>IFERROR(__xludf.DUMMYFUNCTION("""COMPUTED_VALUE"""),"ticket_glo_00002")</f>
        <v/>
      </c>
      <c r="G12">
        <f>IFERROR(__xludf.DUMMYFUNCTION("""COMPUTED_VALUE"""),"item_icon_ticket_glo_00002")</f>
        <v/>
      </c>
      <c r="H12">
        <f>IFERROR(__xludf.DUMMYFUNCTION("""COMPUTED_VALUE"""),"スペシャルガシャチケット")</f>
        <v/>
      </c>
      <c r="I12">
        <f>IFERROR(__xludf.DUMMYFUNCTION("""COMPUTED_VALUE"""),"UR")</f>
        <v/>
      </c>
      <c r="J12">
        <f>IFERROR(__xludf.DUMMYFUNCTION("""COMPUTED_VALUE"""),9.99999999E8)</f>
        <v/>
      </c>
      <c r="K12">
        <f>IFERROR(__xludf.DUMMYFUNCTION("""COMPUTED_VALUE"""),9.99999999E8)</f>
        <v/>
      </c>
      <c r="L12">
        <f>IFERROR(__xludf.DUMMYFUNCTION("""COMPUTED_VALUE"""),"スペシャルガシャを引くことができるアイテム")</f>
        <v/>
      </c>
      <c r="M12">
        <f>IFERROR(__xludf.DUMMYFUNCTION("""COMPUTED_VALUE"""),"有償/無償プリズムで引くことのできるスペシャルガシャを1回引けるガシャチケット。10枚集めると10連も可能（最大10連を上限とする）。")</f>
        <v/>
      </c>
      <c r="N12">
        <f>IFERROR(__xludf.DUMMYFUNCTION("""COMPUTED_VALUE"""),"2024-01-01 00:00:00")</f>
        <v/>
      </c>
    </row>
    <row r="13">
      <c r="A13">
        <f>IFERROR(__xludf.DUMMYFUNCTION("""COMPUTED_VALUE"""),"glo")</f>
        <v/>
      </c>
      <c r="B13">
        <f>IFERROR(__xludf.DUMMYFUNCTION("""COMPUTED_VALUE"""),"GLOW")</f>
        <v/>
      </c>
      <c r="C13">
        <f>IFERROR(__xludf.DUMMYFUNCTION("""COMPUTED_VALUE"""),"ticket")</f>
        <v/>
      </c>
      <c r="D13">
        <f>IFERROR(__xludf.DUMMYFUNCTION("""COMPUTED_VALUE"""),"00003")</f>
        <v/>
      </c>
      <c r="E13">
        <f>IFERROR(__xludf.DUMMYFUNCTION("""COMPUTED_VALUE"""),"ticket_glo_00003")</f>
        <v/>
      </c>
      <c r="F13">
        <f>IFERROR(__xludf.DUMMYFUNCTION("""COMPUTED_VALUE"""),"ticket_glo_00003")</f>
        <v/>
      </c>
      <c r="G13">
        <f>IFERROR(__xludf.DUMMYFUNCTION("""COMPUTED_VALUE"""),"item_icon_ticket_glo_00003")</f>
        <v/>
      </c>
      <c r="H13">
        <f>IFERROR(__xludf.DUMMYFUNCTION("""COMPUTED_VALUE"""),"ピックアップガシャチケット")</f>
        <v/>
      </c>
      <c r="I13">
        <f>IFERROR(__xludf.DUMMYFUNCTION("""COMPUTED_VALUE"""),"UR")</f>
        <v/>
      </c>
      <c r="J13">
        <f>IFERROR(__xludf.DUMMYFUNCTION("""COMPUTED_VALUE"""),9.99999999E8)</f>
        <v/>
      </c>
      <c r="K13">
        <f>IFERROR(__xludf.DUMMYFUNCTION("""COMPUTED_VALUE"""),9.99999999E8)</f>
        <v/>
      </c>
      <c r="L13">
        <f>IFERROR(__xludf.DUMMYFUNCTION("""COMPUTED_VALUE"""),"ピックアップガシャを引くことができるアイテム")</f>
        <v/>
      </c>
      <c r="M13">
        <f>IFERROR(__xludf.DUMMYFUNCTION("""COMPUTED_VALUE"""),"有償/無償プリズムで引くことのできるピックアップガシャを1回引けるガシャチケット。10枚集めると10連も可能（最大10連を上限とする）。")</f>
        <v/>
      </c>
      <c r="N13">
        <f>IFERROR(__xludf.DUMMYFUNCTION("""COMPUTED_VALUE"""),"2024-01-01 00:00:00")</f>
        <v/>
      </c>
    </row>
    <row r="14">
      <c r="A14">
        <f>IFERROR(__xludf.DUMMYFUNCTION("""COMPUTED_VALUE"""),"glo")</f>
        <v/>
      </c>
      <c r="B14">
        <f>IFERROR(__xludf.DUMMYFUNCTION("""COMPUTED_VALUE"""),"GLOW")</f>
        <v/>
      </c>
      <c r="C14">
        <f>IFERROR(__xludf.DUMMYFUNCTION("""COMPUTED_VALUE"""),"ticket")</f>
        <v/>
      </c>
      <c r="D14">
        <f>IFERROR(__xludf.DUMMYFUNCTION("""COMPUTED_VALUE"""),"00004")</f>
        <v/>
      </c>
      <c r="E14">
        <f>IFERROR(__xludf.DUMMYFUNCTION("""COMPUTED_VALUE"""),"ticket_glo_00004")</f>
        <v/>
      </c>
      <c r="F14">
        <f>IFERROR(__xludf.DUMMYFUNCTION("""COMPUTED_VALUE"""),"ticket_glo_00004")</f>
        <v/>
      </c>
      <c r="G14">
        <f>IFERROR(__xludf.DUMMYFUNCTION("""COMPUTED_VALUE"""),"item_icon_ticket_glo_00004")</f>
        <v/>
      </c>
      <c r="H14">
        <f>IFERROR(__xludf.DUMMYFUNCTION("""COMPUTED_VALUE"""),"フェスガシャチケット")</f>
        <v/>
      </c>
      <c r="I14">
        <f>IFERROR(__xludf.DUMMYFUNCTION("""COMPUTED_VALUE"""),"UR")</f>
        <v/>
      </c>
      <c r="J14">
        <f>IFERROR(__xludf.DUMMYFUNCTION("""COMPUTED_VALUE"""),9.99999999E8)</f>
        <v/>
      </c>
      <c r="K14">
        <f>IFERROR(__xludf.DUMMYFUNCTION("""COMPUTED_VALUE"""),9.99999999E8)</f>
        <v/>
      </c>
      <c r="L14">
        <f>IFERROR(__xludf.DUMMYFUNCTION("""COMPUTED_VALUE"""),"フェスガシャを引くことができるアイテム")</f>
        <v/>
      </c>
      <c r="M14">
        <f>IFERROR(__xludf.DUMMYFUNCTION("""COMPUTED_VALUE"""),"有償/無償プリズムで引くことのできるフェスプガシャを1回引けるガシャチケット。10枚集めると10連も可能（最大10連を上限とする）。")</f>
        <v/>
      </c>
      <c r="N14">
        <f>IFERROR(__xludf.DUMMYFUNCTION("""COMPUTED_VALUE"""),"2024-01-01 00:00:00")</f>
        <v/>
      </c>
    </row>
    <row r="15">
      <c r="A15">
        <f>IFERROR(__xludf.DUMMYFUNCTION("""COMPUTED_VALUE"""),"glo")</f>
        <v/>
      </c>
      <c r="B15">
        <f>IFERROR(__xludf.DUMMYFUNCTION("""COMPUTED_VALUE"""),"GLOW")</f>
        <v/>
      </c>
      <c r="C15">
        <f>IFERROR(__xludf.DUMMYFUNCTION("""COMPUTED_VALUE"""),"ticket")</f>
        <v/>
      </c>
      <c r="D15">
        <f>IFERROR(__xludf.DUMMYFUNCTION("""COMPUTED_VALUE"""),"00102")</f>
        <v/>
      </c>
      <c r="E15">
        <f>IFERROR(__xludf.DUMMYFUNCTION("""COMPUTED_VALUE"""),"ticket_glo_00102")</f>
        <v/>
      </c>
      <c r="F15">
        <f>IFERROR(__xludf.DUMMYFUNCTION("""COMPUTED_VALUE"""),"ticket_glo_00102")</f>
        <v/>
      </c>
      <c r="G15">
        <f>IFERROR(__xludf.DUMMYFUNCTION("""COMPUTED_VALUE"""),"item_icon_ticket_glo_00102")</f>
        <v/>
      </c>
      <c r="H15">
        <f>IFERROR(__xludf.DUMMYFUNCTION("""COMPUTED_VALUE"""),"R以上確定ガシャチケット")</f>
        <v/>
      </c>
      <c r="I15">
        <f>IFERROR(__xludf.DUMMYFUNCTION("""COMPUTED_VALUE"""),"R")</f>
        <v/>
      </c>
      <c r="J15">
        <f>IFERROR(__xludf.DUMMYFUNCTION("""COMPUTED_VALUE"""),9.99999999E8)</f>
        <v/>
      </c>
      <c r="K15">
        <f>IFERROR(__xludf.DUMMYFUNCTION("""COMPUTED_VALUE"""),9.99999999E8)</f>
        <v/>
      </c>
      <c r="L15">
        <f>IFERROR(__xludf.DUMMYFUNCTION("""COMPUTED_VALUE"""),"R以上確定ガシャを引くことができるアイテム")</f>
        <v/>
      </c>
      <c r="M15">
        <f>IFERROR(__xludf.DUMMYFUNCTION("""COMPUTED_VALUE"""),"ガシャデータ未作成
無料配布OK、コインで購入OK
1体R以上キャラ確定のガシャチケット。10枚集めると10連も可能（最大10連を上限とする）。1枚のみだと単発。
プレミアムガシャチケットと違い、天井がない。")</f>
        <v/>
      </c>
      <c r="N15">
        <f>IFERROR(__xludf.DUMMYFUNCTION("""COMPUTED_VALUE"""),"2024-01-01 00:00:00")</f>
        <v/>
      </c>
    </row>
    <row r="16">
      <c r="A16">
        <f>IFERROR(__xludf.DUMMYFUNCTION("""COMPUTED_VALUE"""),"glo")</f>
        <v/>
      </c>
      <c r="B16">
        <f>IFERROR(__xludf.DUMMYFUNCTION("""COMPUTED_VALUE"""),"GLOW")</f>
        <v/>
      </c>
      <c r="C16">
        <f>IFERROR(__xludf.DUMMYFUNCTION("""COMPUTED_VALUE"""),"ticket")</f>
        <v/>
      </c>
      <c r="D16">
        <f>IFERROR(__xludf.DUMMYFUNCTION("""COMPUTED_VALUE"""),"00104")</f>
        <v/>
      </c>
      <c r="E16">
        <f>IFERROR(__xludf.DUMMYFUNCTION("""COMPUTED_VALUE"""),"ticket_glo_00104")</f>
        <v/>
      </c>
      <c r="F16">
        <f>IFERROR(__xludf.DUMMYFUNCTION("""COMPUTED_VALUE"""),"ticket_glo_00104")</f>
        <v/>
      </c>
      <c r="G16">
        <f>IFERROR(__xludf.DUMMYFUNCTION("""COMPUTED_VALUE"""),"item_icon_ticket_glo_00104")</f>
        <v/>
      </c>
      <c r="H16">
        <f>IFERROR(__xludf.DUMMYFUNCTION("""COMPUTED_VALUE"""),"SR以上確定ガシャチケット")</f>
        <v/>
      </c>
      <c r="I16">
        <f>IFERROR(__xludf.DUMMYFUNCTION("""COMPUTED_VALUE"""),"SR")</f>
        <v/>
      </c>
      <c r="J16">
        <f>IFERROR(__xludf.DUMMYFUNCTION("""COMPUTED_VALUE"""),9.99999999E8)</f>
        <v/>
      </c>
      <c r="K16">
        <f>IFERROR(__xludf.DUMMYFUNCTION("""COMPUTED_VALUE"""),9.99999999E8)</f>
        <v/>
      </c>
      <c r="L16">
        <f>IFERROR(__xludf.DUMMYFUNCTION("""COMPUTED_VALUE"""),"SR以上確定ガシャを引くことができるアイテム")</f>
        <v/>
      </c>
      <c r="M16">
        <f>IFERROR(__xludf.DUMMYFUNCTION("""COMPUTED_VALUE"""),"ガシャデータ未作成
無料配布OK、コインで購入は×
1体SR以上のキャラ確定の1連ガシャチケット。10枚集めると10連も可能（最大10連を上限とする）。
ガシャID未作成。")</f>
        <v/>
      </c>
      <c r="N16">
        <f>IFERROR(__xludf.DUMMYFUNCTION("""COMPUTED_VALUE"""),"2024-01-01 00:00:00")</f>
        <v/>
      </c>
    </row>
    <row r="17">
      <c r="A17">
        <f>IFERROR(__xludf.DUMMYFUNCTION("""COMPUTED_VALUE"""),"glo")</f>
        <v/>
      </c>
      <c r="B17">
        <f>IFERROR(__xludf.DUMMYFUNCTION("""COMPUTED_VALUE"""),"GLOW")</f>
        <v/>
      </c>
      <c r="C17">
        <f>IFERROR(__xludf.DUMMYFUNCTION("""COMPUTED_VALUE"""),"ticket")</f>
        <v/>
      </c>
      <c r="D17">
        <f>IFERROR(__xludf.DUMMYFUNCTION("""COMPUTED_VALUE"""),"00105")</f>
        <v/>
      </c>
      <c r="E17">
        <f>IFERROR(__xludf.DUMMYFUNCTION("""COMPUTED_VALUE"""),"ticket_glo_00105")</f>
        <v/>
      </c>
      <c r="F17">
        <f>IFERROR(__xludf.DUMMYFUNCTION("""COMPUTED_VALUE"""),"ticket_glo_00105")</f>
        <v/>
      </c>
      <c r="G17">
        <f>IFERROR(__xludf.DUMMYFUNCTION("""COMPUTED_VALUE"""),"item_icon_ticket_glo_00105")</f>
        <v/>
      </c>
      <c r="H17">
        <f>IFERROR(__xludf.DUMMYFUNCTION("""COMPUTED_VALUE"""),"SSR以上確定ガシャチケット")</f>
        <v/>
      </c>
      <c r="I17">
        <f>IFERROR(__xludf.DUMMYFUNCTION("""COMPUTED_VALUE"""),"SSR")</f>
        <v/>
      </c>
      <c r="J17">
        <f>IFERROR(__xludf.DUMMYFUNCTION("""COMPUTED_VALUE"""),9.99999999E8)</f>
        <v/>
      </c>
      <c r="K17">
        <f>IFERROR(__xludf.DUMMYFUNCTION("""COMPUTED_VALUE"""),9.99999999E8)</f>
        <v/>
      </c>
      <c r="L17">
        <f>IFERROR(__xludf.DUMMYFUNCTION("""COMPUTED_VALUE"""),"SSR以上確定ガシャを引くことができるアイテム")</f>
        <v/>
      </c>
      <c r="M17">
        <f>IFERROR(__xludf.DUMMYFUNCTION("""COMPUTED_VALUE"""),"ガシャデータ未作成
有償販売・プリズム販売・オマケのみ
SSRキャラ確定の1連ガシャチケット。10枚集めると10連も可能（最大10連を上限とする）。")</f>
        <v/>
      </c>
      <c r="N17">
        <f>IFERROR(__xludf.DUMMYFUNCTION("""COMPUTED_VALUE"""),"2024-01-01 00:00:00")</f>
        <v/>
      </c>
    </row>
    <row r="18">
      <c r="A18">
        <f>IFERROR(__xludf.DUMMYFUNCTION("""COMPUTED_VALUE"""),"glo")</f>
        <v/>
      </c>
      <c r="B18">
        <f>IFERROR(__xludf.DUMMYFUNCTION("""COMPUTED_VALUE"""),"GLOW")</f>
        <v/>
      </c>
      <c r="C18">
        <f>IFERROR(__xludf.DUMMYFUNCTION("""COMPUTED_VALUE"""),"ticket")</f>
        <v/>
      </c>
      <c r="D18">
        <f>IFERROR(__xludf.DUMMYFUNCTION("""COMPUTED_VALUE"""),"00202")</f>
        <v/>
      </c>
      <c r="E18">
        <f>IFERROR(__xludf.DUMMYFUNCTION("""COMPUTED_VALUE"""),"ticket_glo_00202")</f>
        <v/>
      </c>
      <c r="F18">
        <f>IFERROR(__xludf.DUMMYFUNCTION("""COMPUTED_VALUE"""),"ticket_glo_00202")</f>
        <v/>
      </c>
      <c r="G18">
        <f>IFERROR(__xludf.DUMMYFUNCTION("""COMPUTED_VALUE"""),"item_icon_ticket_glo_00202")</f>
        <v/>
      </c>
      <c r="H18">
        <f>IFERROR(__xludf.DUMMYFUNCTION("""COMPUTED_VALUE"""),"UR確定ガシャチケット")</f>
        <v/>
      </c>
      <c r="I18">
        <f>IFERROR(__xludf.DUMMYFUNCTION("""COMPUTED_VALUE"""),"UR")</f>
        <v/>
      </c>
      <c r="J18">
        <f>IFERROR(__xludf.DUMMYFUNCTION("""COMPUTED_VALUE"""),9.99999999E8)</f>
        <v/>
      </c>
      <c r="K18">
        <f>IFERROR(__xludf.DUMMYFUNCTION("""COMPUTED_VALUE"""),9.99999999E8)</f>
        <v/>
      </c>
      <c r="L18">
        <f>IFERROR(__xludf.DUMMYFUNCTION("""COMPUTED_VALUE"""),"UR以上確定ガシャを引くことができるアイテム")</f>
        <v/>
      </c>
      <c r="M18">
        <f>IFERROR(__xludf.DUMMYFUNCTION("""COMPUTED_VALUE"""),"ガシャデータ未作成
有償販売・プリズム販売・オマケのみ
URキャラ確定の1連ガシャチケット。10枚集めると10連も可能（最大10連を上限とする）。")</f>
        <v/>
      </c>
      <c r="N18">
        <f>IFERROR(__xludf.DUMMYFUNCTION("""COMPUTED_VALUE"""),"2024-01-01 00:00:00")</f>
        <v/>
      </c>
    </row>
    <row r="19">
      <c r="A19">
        <f>IFERROR(__xludf.DUMMYFUNCTION("""COMPUTED_VALUE"""),"glo")</f>
        <v/>
      </c>
      <c r="B19">
        <f>IFERROR(__xludf.DUMMYFUNCTION("""COMPUTED_VALUE"""),"GLOW")</f>
        <v/>
      </c>
      <c r="C19">
        <f>IFERROR(__xludf.DUMMYFUNCTION("""COMPUTED_VALUE"""),"ticket")</f>
        <v/>
      </c>
      <c r="D19">
        <f>IFERROR(__xludf.DUMMYFUNCTION("""COMPUTED_VALUE"""),"00203")</f>
        <v/>
      </c>
      <c r="E19">
        <f>IFERROR(__xludf.DUMMYFUNCTION("""COMPUTED_VALUE"""),"ticket_glo_00203")</f>
        <v/>
      </c>
      <c r="F19">
        <f>IFERROR(__xludf.DUMMYFUNCTION("""COMPUTED_VALUE"""),"ticket_glo_00203")</f>
        <v/>
      </c>
      <c r="G19">
        <f>IFERROR(__xludf.DUMMYFUNCTION("""COMPUTED_VALUE"""),"item_icon_ticket_glo_00203")</f>
        <v/>
      </c>
      <c r="H19">
        <f>IFERROR(__xludf.DUMMYFUNCTION("""COMPUTED_VALUE"""),"UR1体確定10連ガシャチケット")</f>
        <v/>
      </c>
      <c r="I19">
        <f>IFERROR(__xludf.DUMMYFUNCTION("""COMPUTED_VALUE"""),"UR")</f>
        <v/>
      </c>
      <c r="J19">
        <f>IFERROR(__xludf.DUMMYFUNCTION("""COMPUTED_VALUE"""),9.99999999E8)</f>
        <v/>
      </c>
      <c r="K19">
        <f>IFERROR(__xludf.DUMMYFUNCTION("""COMPUTED_VALUE"""),9.99999999E8)</f>
        <v/>
      </c>
      <c r="L19">
        <f>IFERROR(__xludf.DUMMYFUNCTION("""COMPUTED_VALUE"""),"UR1体確定10連ガシャを引くことができるアイテム")</f>
        <v/>
      </c>
      <c r="M19">
        <f>IFERROR(__xludf.DUMMYFUNCTION("""COMPUTED_VALUE"""),"有償販売・プリズム販売・オマケのみ
URキャラ1体確定の10連ガシャチケット。1枚(10連)ずつしか使えない。")</f>
        <v/>
      </c>
      <c r="N19">
        <f>IFERROR(__xludf.DUMMYFUNCTION("""COMPUTED_VALUE"""),"2024-01-01 00:00:00")</f>
        <v/>
      </c>
    </row>
    <row r="20">
      <c r="A20">
        <f>IFERROR(__xludf.DUMMYFUNCTION("""COMPUTED_VALUE"""),"glo")</f>
        <v/>
      </c>
      <c r="B20">
        <f>IFERROR(__xludf.DUMMYFUNCTION("""COMPUTED_VALUE"""),"GLOW")</f>
        <v/>
      </c>
      <c r="C20">
        <f>IFERROR(__xludf.DUMMYFUNCTION("""COMPUTED_VALUE"""),"ticket")</f>
        <v/>
      </c>
      <c r="D20">
        <f>IFERROR(__xludf.DUMMYFUNCTION("""COMPUTED_VALUE"""),"00204")</f>
        <v/>
      </c>
      <c r="E20">
        <f>IFERROR(__xludf.DUMMYFUNCTION("""COMPUTED_VALUE"""),"ticket_glo_00204")</f>
        <v/>
      </c>
      <c r="F20">
        <f>IFERROR(__xludf.DUMMYFUNCTION("""COMPUTED_VALUE"""),"ticket_glo_00204")</f>
        <v/>
      </c>
      <c r="G20">
        <f>IFERROR(__xludf.DUMMYFUNCTION("""COMPUTED_VALUE"""),"item_icon_ticket_glo_00204")</f>
        <v/>
      </c>
      <c r="H20">
        <f>IFERROR(__xludf.DUMMYFUNCTION("""COMPUTED_VALUE"""),"ピックアップUR1体確定10連ガシャチケット")</f>
        <v/>
      </c>
      <c r="I20">
        <f>IFERROR(__xludf.DUMMYFUNCTION("""COMPUTED_VALUE"""),"UR")</f>
        <v/>
      </c>
      <c r="J20">
        <f>IFERROR(__xludf.DUMMYFUNCTION("""COMPUTED_VALUE"""),9.99999999E8)</f>
        <v/>
      </c>
      <c r="K20">
        <f>IFERROR(__xludf.DUMMYFUNCTION("""COMPUTED_VALUE"""),9.99999999E8)</f>
        <v/>
      </c>
      <c r="L20">
        <f>IFERROR(__xludf.DUMMYFUNCTION("""COMPUTED_VALUE"""),"ピックアップUR1体確定10連ガシャを引くことができるアイテム")</f>
        <v/>
      </c>
      <c r="M20">
        <f>IFERROR(__xludf.DUMMYFUNCTION("""COMPUTED_VALUE"""),"ガシャデータ未作成
有償販売・プリズム販売・オマケのみ
URキャラ1体確定の10連ガシャチケット。1枚(10連)ずつしか使えない。")</f>
        <v/>
      </c>
      <c r="N20">
        <f>IFERROR(__xludf.DUMMYFUNCTION("""COMPUTED_VALUE"""),"2024-01-01 00:00:00")</f>
        <v/>
      </c>
    </row>
    <row r="21">
      <c r="A21">
        <f>IFERROR(__xludf.DUMMYFUNCTION("""COMPUTED_VALUE"""),"glo")</f>
        <v/>
      </c>
      <c r="B21">
        <f>IFERROR(__xludf.DUMMYFUNCTION("""COMPUTED_VALUE"""),"GLOW")</f>
        <v/>
      </c>
      <c r="C21">
        <f>IFERROR(__xludf.DUMMYFUNCTION("""COMPUTED_VALUE"""),"ticket")</f>
        <v/>
      </c>
      <c r="D21">
        <f>IFERROR(__xludf.DUMMYFUNCTION("""COMPUTED_VALUE"""),"00205")</f>
        <v/>
      </c>
      <c r="E21">
        <f>IFERROR(__xludf.DUMMYFUNCTION("""COMPUTED_VALUE"""),"ticket_glo_00205")</f>
        <v/>
      </c>
      <c r="F21">
        <f>IFERROR(__xludf.DUMMYFUNCTION("""COMPUTED_VALUE"""),"ticket_glo_00205")</f>
        <v/>
      </c>
      <c r="G21">
        <f>IFERROR(__xludf.DUMMYFUNCTION("""COMPUTED_VALUE"""),"item_icon_ticket_glo_00205")</f>
        <v/>
      </c>
      <c r="H21">
        <f>IFERROR(__xludf.DUMMYFUNCTION("""COMPUTED_VALUE"""),"URキャラ1体確定10連フェスガシャチケット")</f>
        <v/>
      </c>
      <c r="I21">
        <f>IFERROR(__xludf.DUMMYFUNCTION("""COMPUTED_VALUE"""),"UR")</f>
        <v/>
      </c>
      <c r="J21">
        <f>IFERROR(__xludf.DUMMYFUNCTION("""COMPUTED_VALUE"""),9.99999999E8)</f>
        <v/>
      </c>
      <c r="K21">
        <f>IFERROR(__xludf.DUMMYFUNCTION("""COMPUTED_VALUE"""),9.99999999E8)</f>
        <v/>
      </c>
      <c r="L21">
        <f>IFERROR(__xludf.DUMMYFUNCTION("""COMPUTED_VALUE"""),"フェス限定URキャラ1体確定10連ガシャを引くことができるアイテム")</f>
        <v/>
      </c>
      <c r="M21">
        <f>IFERROR(__xludf.DUMMYFUNCTION("""COMPUTED_VALUE"""),"ガシャデータ未作成
有償販売・プリズム販売・オマケのみ
URキャラ1体確定の10連ガシャチケット。1枚(10連)ずつしか使えない。")</f>
        <v/>
      </c>
      <c r="N21">
        <f>IFERROR(__xludf.DUMMYFUNCTION("""COMPUTED_VALUE"""),"2024-01-01 00:00:00")</f>
        <v/>
      </c>
    </row>
    <row r="22">
      <c r="A22">
        <f>IFERROR(__xludf.DUMMYFUNCTION("""COMPUTED_VALUE"""),"glo")</f>
        <v/>
      </c>
      <c r="B22">
        <f>IFERROR(__xludf.DUMMYFUNCTION("""COMPUTED_VALUE"""),"GLOW")</f>
        <v/>
      </c>
      <c r="C22">
        <f>IFERROR(__xludf.DUMMYFUNCTION("""COMPUTED_VALUE"""),"ticket")</f>
        <v/>
      </c>
      <c r="D22">
        <f>IFERROR(__xludf.DUMMYFUNCTION("""COMPUTED_VALUE"""),"00206")</f>
        <v/>
      </c>
      <c r="E22">
        <f>IFERROR(__xludf.DUMMYFUNCTION("""COMPUTED_VALUE"""),"ticket_glo_00206")</f>
        <v/>
      </c>
      <c r="F22">
        <f>IFERROR(__xludf.DUMMYFUNCTION("""COMPUTED_VALUE"""),"ticket_glo_00206")</f>
        <v/>
      </c>
      <c r="G22">
        <f>IFERROR(__xludf.DUMMYFUNCTION("""COMPUTED_VALUE"""),"item_icon_ticket_glo_00206")</f>
        <v/>
      </c>
      <c r="H22">
        <f>IFERROR(__xludf.DUMMYFUNCTION("""COMPUTED_VALUE"""),"『補てん』スタートダッシュガシャチケット")</f>
        <v/>
      </c>
      <c r="I22">
        <f>IFERROR(__xludf.DUMMYFUNCTION("""COMPUTED_VALUE"""),"UR")</f>
        <v/>
      </c>
      <c r="J22">
        <f>IFERROR(__xludf.DUMMYFUNCTION("""COMPUTED_VALUE"""),9.99999999E8)</f>
        <v/>
      </c>
      <c r="K22">
        <f>IFERROR(__xludf.DUMMYFUNCTION("""COMPUTED_VALUE"""),9.99999999E8)</f>
        <v/>
      </c>
      <c r="L22">
        <f>IFERROR(__xludf.DUMMYFUNCTION("""COMPUTED_VALUE"""),"72時間限定スタートダッシュガシャを引くことができるアイテム")</f>
        <v/>
      </c>
      <c r="N22">
        <f>IFERROR(__xludf.DUMMYFUNCTION("""COMPUTED_VALUE"""),"2024-01-01 00:00:00")</f>
        <v/>
      </c>
    </row>
    <row r="23">
      <c r="A23">
        <f>IFERROR(__xludf.DUMMYFUNCTION("""COMPUTED_VALUE"""),"glo")</f>
        <v/>
      </c>
      <c r="B23">
        <f>IFERROR(__xludf.DUMMYFUNCTION("""COMPUTED_VALUE"""),"GLOW")</f>
        <v/>
      </c>
      <c r="C23">
        <f>IFERROR(__xludf.DUMMYFUNCTION("""COMPUTED_VALUE"""),"ticket")</f>
        <v/>
      </c>
      <c r="D23">
        <f>IFERROR(__xludf.DUMMYFUNCTION("""COMPUTED_VALUE"""),"00207")</f>
        <v/>
      </c>
      <c r="E23">
        <f>IFERROR(__xludf.DUMMYFUNCTION("""COMPUTED_VALUE"""),"ticket_glo_00207")</f>
        <v/>
      </c>
      <c r="F23">
        <f>IFERROR(__xludf.DUMMYFUNCTION("""COMPUTED_VALUE"""),"ticket_glo_00207")</f>
        <v/>
      </c>
      <c r="G23">
        <f>IFERROR(__xludf.DUMMYFUNCTION("""COMPUTED_VALUE"""),"item_icon_ticket_glo_00207")</f>
        <v/>
      </c>
      <c r="H23">
        <f>IFERROR(__xludf.DUMMYFUNCTION("""COMPUTED_VALUE"""),"『補てん』2026年正月記念！UR1体確定ガシャチケット")</f>
        <v/>
      </c>
      <c r="I23">
        <f>IFERROR(__xludf.DUMMYFUNCTION("""COMPUTED_VALUE"""),"UR")</f>
        <v/>
      </c>
      <c r="J23">
        <f>IFERROR(__xludf.DUMMYFUNCTION("""COMPUTED_VALUE"""),9.99999999E8)</f>
        <v/>
      </c>
      <c r="K23">
        <f>IFERROR(__xludf.DUMMYFUNCTION("""COMPUTED_VALUE"""),9.99999999E8)</f>
        <v/>
      </c>
      <c r="L23">
        <f>IFERROR(__xludf.DUMMYFUNCTION("""COMPUTED_VALUE"""),"2026年正月記念！UR1体確定ガシャを引くことができるアイテム")</f>
        <v/>
      </c>
      <c r="N23">
        <f>IFERROR(__xludf.DUMMYFUNCTION("""COMPUTED_VALUE"""),"2026-01-01 00:00:00")</f>
        <v/>
      </c>
    </row>
    <row r="24">
      <c r="A24">
        <f>IFERROR(__xludf.DUMMYFUNCTION("""COMPUTED_VALUE"""),"glo")</f>
        <v/>
      </c>
      <c r="B24">
        <f>IFERROR(__xludf.DUMMYFUNCTION("""COMPUTED_VALUE"""),"GLOW")</f>
        <v/>
      </c>
      <c r="C24">
        <f>IFERROR(__xludf.DUMMYFUNCTION("""COMPUTED_VALUE"""),"ticket")</f>
        <v/>
      </c>
      <c r="D24">
        <f>IFERROR(__xludf.DUMMYFUNCTION("""COMPUTED_VALUE"""),"00208")</f>
        <v/>
      </c>
      <c r="E24">
        <f>IFERROR(__xludf.DUMMYFUNCTION("""COMPUTED_VALUE"""),"ticket_glo_00208")</f>
        <v/>
      </c>
      <c r="F24">
        <f>IFERROR(__xludf.DUMMYFUNCTION("""COMPUTED_VALUE"""),"ticket_glo_00208")</f>
        <v/>
      </c>
      <c r="G24">
        <f>IFERROR(__xludf.DUMMYFUNCTION("""COMPUTED_VALUE"""),"item_icon_ticket_glo_00208")</f>
        <v/>
      </c>
      <c r="H24">
        <f>IFERROR(__xludf.DUMMYFUNCTION("""COMPUTED_VALUE"""),"『補てん』ステップアップガシャチケット")</f>
        <v/>
      </c>
      <c r="I24">
        <f>IFERROR(__xludf.DUMMYFUNCTION("""COMPUTED_VALUE"""),"UR")</f>
        <v/>
      </c>
      <c r="J24">
        <f>IFERROR(__xludf.DUMMYFUNCTION("""COMPUTED_VALUE"""),9.99999999E8)</f>
        <v/>
      </c>
      <c r="K24">
        <f>IFERROR(__xludf.DUMMYFUNCTION("""COMPUTED_VALUE"""),9.99999999E8)</f>
        <v/>
      </c>
      <c r="L24">
        <f>IFERROR(__xludf.DUMMYFUNCTION("""COMPUTED_VALUE"""),"ステップアップガシャを引くことができるアイテム")</f>
        <v/>
      </c>
      <c r="N24">
        <f>IFERROR(__xludf.DUMMYFUNCTION("""COMPUTED_VALUE"""),"2026-01-01 00:00:00")</f>
        <v/>
      </c>
    </row>
    <row r="25">
      <c r="A25">
        <f>IFERROR(__xludf.DUMMYFUNCTION("""COMPUTED_VALUE"""),"glo")</f>
        <v/>
      </c>
      <c r="B25">
        <f>IFERROR(__xludf.DUMMYFUNCTION("""COMPUTED_VALUE"""),"GLOW")</f>
        <v/>
      </c>
      <c r="C25">
        <f>IFERROR(__xludf.DUMMYFUNCTION("""COMPUTED_VALUE"""),"ticket")</f>
        <v/>
      </c>
      <c r="D25">
        <f>IFERROR(__xludf.DUMMYFUNCTION("""COMPUTED_VALUE"""),"90000")</f>
        <v/>
      </c>
      <c r="E25">
        <f>IFERROR(__xludf.DUMMYFUNCTION("""COMPUTED_VALUE"""),"ticket_glo_90000")</f>
        <v/>
      </c>
      <c r="F25">
        <f>IFERROR(__xludf.DUMMYFUNCTION("""COMPUTED_VALUE"""),"ticket_glo_90000")</f>
        <v/>
      </c>
      <c r="G25">
        <f>IFERROR(__xludf.DUMMYFUNCTION("""COMPUTED_VALUE"""),"item_icon_ticket_glo_90000")</f>
        <v/>
      </c>
      <c r="H25">
        <f>IFERROR(__xludf.DUMMYFUNCTION("""COMPUTED_VALUE"""),"プレミアムメダル")</f>
        <v/>
      </c>
      <c r="I25">
        <f>IFERROR(__xludf.DUMMYFUNCTION("""COMPUTED_VALUE"""),"UR")</f>
        <v/>
      </c>
      <c r="J25">
        <f>IFERROR(__xludf.DUMMYFUNCTION("""COMPUTED_VALUE"""),9.99999999E8)</f>
        <v/>
      </c>
      <c r="K25">
        <f>IFERROR(__xludf.DUMMYFUNCTION("""COMPUTED_VALUE"""),9.99999999E8)</f>
        <v/>
      </c>
      <c r="L25">
        <f>IFERROR(__xludf.DUMMYFUNCTION("""COMPUTED_VALUE"""),"プレミアムメダルガシャを引くことができるアイテム")</f>
        <v/>
      </c>
      <c r="N25">
        <f>IFERROR(__xludf.DUMMYFUNCTION("""COMPUTED_VALUE"""),"2024-01-01 00:00:00")</f>
        <v/>
      </c>
    </row>
    <row r="26">
      <c r="A26">
        <f>IFERROR(__xludf.DUMMYFUNCTION("""COMPUTED_VALUE"""),"osh")</f>
        <v/>
      </c>
      <c r="B26">
        <f>IFERROR(__xludf.DUMMYFUNCTION("""COMPUTED_VALUE"""),"【推しの子】")</f>
        <v/>
      </c>
      <c r="C26">
        <f>IFERROR(__xludf.DUMMYFUNCTION("""COMPUTED_VALUE"""),"ticket")</f>
        <v/>
      </c>
      <c r="D26">
        <f>IFERROR(__xludf.DUMMYFUNCTION("""COMPUTED_VALUE"""),"10000")</f>
        <v/>
      </c>
      <c r="E26">
        <f>IFERROR(__xludf.DUMMYFUNCTION("""COMPUTED_VALUE"""),"ticket_osh_10000")</f>
        <v/>
      </c>
      <c r="F26">
        <f>IFERROR(__xludf.DUMMYFUNCTION("""COMPUTED_VALUE"""),"ticket_osh_10000")</f>
        <v/>
      </c>
      <c r="G26">
        <f>IFERROR(__xludf.DUMMYFUNCTION("""COMPUTED_VALUE"""),"item_icon_ticket_osh_10000")</f>
        <v/>
      </c>
      <c r="H26">
        <f>IFERROR(__xludf.DUMMYFUNCTION("""COMPUTED_VALUE"""),"【推しの子】SSR確定ガシャチケット")</f>
        <v/>
      </c>
      <c r="I26">
        <f>IFERROR(__xludf.DUMMYFUNCTION("""COMPUTED_VALUE"""),"SSR")</f>
        <v/>
      </c>
      <c r="J26">
        <f>IFERROR(__xludf.DUMMYFUNCTION("""COMPUTED_VALUE"""),9.99999999E8)</f>
        <v/>
      </c>
      <c r="K26">
        <f>IFERROR(__xludf.DUMMYFUNCTION("""COMPUTED_VALUE"""),9.99999999E8)</f>
        <v/>
      </c>
      <c r="L26">
        <f>IFERROR(__xludf.DUMMYFUNCTION("""COMPUTED_VALUE"""),"【推しの子】SSR確定ガシャを引くことができるアイテム")</f>
        <v/>
      </c>
      <c r="M26">
        <f>IFERROR(__xludf.DUMMYFUNCTION("""COMPUTED_VALUE"""),"推しの子イベント用")</f>
        <v/>
      </c>
      <c r="N26">
        <f>IFERROR(__xludf.DUMMYFUNCTION("""COMPUTED_VALUE"""),"2026-01-01 00:00:00")</f>
        <v/>
      </c>
    </row>
    <row r="27">
      <c r="A27">
        <f>IFERROR(__xludf.DUMMYFUNCTION("""COMPUTED_VALUE"""),"glo")</f>
        <v/>
      </c>
      <c r="B27">
        <f>IFERROR(__xludf.DUMMYFUNCTION("""COMPUTED_VALUE"""),"GLOW")</f>
        <v/>
      </c>
      <c r="C27">
        <f>IFERROR(__xludf.DUMMYFUNCTION("""COMPUTED_VALUE"""),"ticket")</f>
        <v/>
      </c>
      <c r="D27">
        <f>IFERROR(__xludf.DUMMYFUNCTION("""COMPUTED_VALUE"""),"10001")</f>
        <v/>
      </c>
      <c r="E27">
        <f>IFERROR(__xludf.DUMMYFUNCTION("""COMPUTED_VALUE"""),"ticket_glo_10001")</f>
        <v/>
      </c>
      <c r="F27">
        <f>IFERROR(__xludf.DUMMYFUNCTION("""COMPUTED_VALUE"""),"ticket_glo_10001")</f>
        <v/>
      </c>
      <c r="G27">
        <f>IFERROR(__xludf.DUMMYFUNCTION("""COMPUTED_VALUE"""),"item_icon_ticket_glo_10001")</f>
        <v/>
      </c>
      <c r="H27">
        <f>IFERROR(__xludf.DUMMYFUNCTION("""COMPUTED_VALUE"""),"賀正ガシャチケット Ver.2026")</f>
        <v/>
      </c>
      <c r="I27">
        <f>IFERROR(__xludf.DUMMYFUNCTION("""COMPUTED_VALUE"""),"SSR")</f>
        <v/>
      </c>
      <c r="J27">
        <f>IFERROR(__xludf.DUMMYFUNCTION("""COMPUTED_VALUE"""),9.99999999E8)</f>
        <v/>
      </c>
      <c r="K27">
        <f>IFERROR(__xludf.DUMMYFUNCTION("""COMPUTED_VALUE"""),9.99999999E8)</f>
        <v/>
      </c>
      <c r="L27">
        <f>IFERROR(__xludf.DUMMYFUNCTION("""COMPUTED_VALUE"""),"賀正ガシャ Ver.2026を引くことができるアイテム。ミッションをクリアしてたくさん集めよう！")</f>
        <v/>
      </c>
      <c r="M27">
        <f>IFERROR(__xludf.DUMMYFUNCTION("""COMPUTED_VALUE"""),"正月イベント用")</f>
        <v/>
      </c>
      <c r="N27">
        <f>IFERROR(__xludf.DUMMYFUNCTION("""COMPUTED_VALUE"""),"2026-01-01 00:00:00")</f>
        <v/>
      </c>
    </row>
    <row r="28">
      <c r="A28">
        <f>IFERROR(__xludf.DUMMYFUNCTION("""COMPUTED_VALUE"""),"kim")</f>
        <v/>
      </c>
      <c r="B28">
        <f>IFERROR(__xludf.DUMMYFUNCTION("""COMPUTED_VALUE"""),"君のことが大大大大大好きな100人の彼女")</f>
        <v/>
      </c>
      <c r="C28">
        <f>IFERROR(__xludf.DUMMYFUNCTION("""COMPUTED_VALUE"""),"ticket")</f>
        <v/>
      </c>
      <c r="D28">
        <f>IFERROR(__xludf.DUMMYFUNCTION("""COMPUTED_VALUE"""),"00001")</f>
        <v/>
      </c>
      <c r="E28">
        <f>IFERROR(__xludf.DUMMYFUNCTION("""COMPUTED_VALUE"""),"ticket_kim_00001")</f>
        <v/>
      </c>
      <c r="F28">
        <f>IFERROR(__xludf.DUMMYFUNCTION("""COMPUTED_VALUE"""),"ticket_kim_00001")</f>
        <v/>
      </c>
      <c r="G28">
        <f>IFERROR(__xludf.DUMMYFUNCTION("""COMPUTED_VALUE"""),"item_icon_ticket_kim_00001")</f>
        <v/>
      </c>
      <c r="H28">
        <f>IFERROR(__xludf.DUMMYFUNCTION("""COMPUTED_VALUE"""),"SSR彼女確定ガシャチケット")</f>
        <v/>
      </c>
      <c r="I28">
        <f>IFERROR(__xludf.DUMMYFUNCTION("""COMPUTED_VALUE"""),"SSR")</f>
        <v/>
      </c>
      <c r="J28">
        <f>IFERROR(__xludf.DUMMYFUNCTION("""COMPUTED_VALUE"""),9.99999999E8)</f>
        <v/>
      </c>
      <c r="K28">
        <f>IFERROR(__xludf.DUMMYFUNCTION("""COMPUTED_VALUE"""),9.99999999E8)</f>
        <v/>
      </c>
      <c r="L28">
        <f>IFERROR(__xludf.DUMMYFUNCTION("""COMPUTED_VALUE"""),"SSR彼女確定ガシャを引くことができるアイテム")</f>
        <v/>
      </c>
      <c r="M28">
        <f>IFERROR(__xludf.DUMMYFUNCTION("""COMPUTED_VALUE"""),"君のことが大大大大大好きな100人の彼女イベント用")</f>
        <v/>
      </c>
      <c r="N28">
        <f>IFERROR(__xludf.DUMMYFUNCTION("""COMPUTED_VALUE"""),"2026-02-16 15:00:00")</f>
        <v/>
      </c>
    </row>
    <row r="29">
      <c r="A29">
        <f>IFERROR(__xludf.DUMMYFUNCTION("""COMPUTED_VALUE"""),"glo")</f>
        <v/>
      </c>
      <c r="B29">
        <f>IFERROR(__xludf.DUMMYFUNCTION("""COMPUTED_VALUE"""),"GLOW")</f>
        <v/>
      </c>
      <c r="C29">
        <f>IFERROR(__xludf.DUMMYFUNCTION("""COMPUTED_VALUE"""),"ticket")</f>
        <v/>
      </c>
      <c r="D29">
        <f>IFERROR(__xludf.DUMMYFUNCTION("""COMPUTED_VALUE"""),"10002")</f>
        <v/>
      </c>
      <c r="E29">
        <f>IFERROR(__xludf.DUMMYFUNCTION("""COMPUTED_VALUE"""),"ticket_glo_10002")</f>
        <v/>
      </c>
      <c r="F29">
        <f>IFERROR(__xludf.DUMMYFUNCTION("""COMPUTED_VALUE"""),"ticket_glo_10002")</f>
        <v/>
      </c>
      <c r="G29">
        <f>IFERROR(__xludf.DUMMYFUNCTION("""COMPUTED_VALUE"""),"item_icon_ticket_glo_10002")</f>
        <v/>
      </c>
      <c r="H29">
        <f>IFERROR(__xludf.DUMMYFUNCTION("""COMPUTED_VALUE"""),"バレンタインピックアップガシャチケット")</f>
        <v/>
      </c>
      <c r="I29">
        <f>IFERROR(__xludf.DUMMYFUNCTION("""COMPUTED_VALUE"""),"SSR")</f>
        <v/>
      </c>
      <c r="J29">
        <f>IFERROR(__xludf.DUMMYFUNCTION("""COMPUTED_VALUE"""),9.99999999E8)</f>
        <v/>
      </c>
      <c r="K29">
        <f>IFERROR(__xludf.DUMMYFUNCTION("""COMPUTED_VALUE"""),9.99999999E8)</f>
        <v/>
      </c>
      <c r="L29">
        <f>IFERROR(__xludf.DUMMYFUNCTION("""COMPUTED_VALUE"""),"バレンタインピックアップガシャチケットを引くことができるアイテム")</f>
        <v/>
      </c>
      <c r="M29">
        <f>IFERROR(__xludf.DUMMYFUNCTION("""COMPUTED_VALUE"""),"バレンタインガシャ用")</f>
        <v/>
      </c>
      <c r="N29">
        <f>IFERROR(__xludf.DUMMYFUNCTION("""COMPUTED_VALUE"""),"2026-02-02 15:00:00")</f>
        <v/>
      </c>
    </row>
    <row r="30">
      <c r="A30">
        <f>IFERROR(__xludf.DUMMYFUNCTION("""COMPUTED_VALUE"""),"glo")</f>
        <v/>
      </c>
      <c r="B30">
        <f>IFERROR(__xludf.DUMMYFUNCTION("""COMPUTED_VALUE"""),"GLOW")</f>
        <v/>
      </c>
      <c r="C30">
        <f>IFERROR(__xludf.DUMMYFUNCTION("""COMPUTED_VALUE"""),"ticket")</f>
        <v/>
      </c>
      <c r="D30">
        <f>IFERROR(__xludf.DUMMYFUNCTION("""COMPUTED_VALUE"""),"10003")</f>
        <v/>
      </c>
      <c r="E30">
        <f>IFERROR(__xludf.DUMMYFUNCTION("""COMPUTED_VALUE"""),"ticket_glo_10003")</f>
        <v/>
      </c>
      <c r="F30">
        <f>IFERROR(__xludf.DUMMYFUNCTION("""COMPUTED_VALUE"""),"ticket_glo_10003")</f>
        <v/>
      </c>
      <c r="G30">
        <f>IFERROR(__xludf.DUMMYFUNCTION("""COMPUTED_VALUE"""),"item_icon_ticket_glo_10003")</f>
        <v/>
      </c>
      <c r="H30">
        <f>IFERROR(__xludf.DUMMYFUNCTION("""COMPUTED_VALUE"""),"ホワイトデーピックアップガシャチケット")</f>
        <v/>
      </c>
      <c r="I30">
        <f>IFERROR(__xludf.DUMMYFUNCTION("""COMPUTED_VALUE"""),"SSR")</f>
        <v/>
      </c>
      <c r="J30">
        <f>IFERROR(__xludf.DUMMYFUNCTION("""COMPUTED_VALUE"""),9.99999999E8)</f>
        <v/>
      </c>
      <c r="K30">
        <f>IFERROR(__xludf.DUMMYFUNCTION("""COMPUTED_VALUE"""),9.99999999E8)</f>
        <v/>
      </c>
      <c r="L30">
        <f>IFERROR(__xludf.DUMMYFUNCTION("""COMPUTED_VALUE"""),"ホワイトデーピックアップガシャチケットを引くことができるアイテム")</f>
        <v/>
      </c>
      <c r="M30">
        <f>IFERROR(__xludf.DUMMYFUNCTION("""COMPUTED_VALUE"""),"ホワイトデーガシャ用")</f>
        <v/>
      </c>
      <c r="N30">
        <f>IFERROR(__xludf.DUMMYFUNCTION("""COMPUTED_VALUE"""),"2026-01-01 00:00:00")</f>
        <v/>
      </c>
    </row>
    <row r="31">
      <c r="A31">
        <f>IFERROR(__xludf.DUMMYFUNCTION("""COMPUTED_VALUE"""),"f05anniv")</f>
        <v/>
      </c>
      <c r="B31">
        <f>IFERROR(__xludf.DUMMYFUNCTION("""COMPUTED_VALUE"""),"ハーフアニバーサリー 感謝祭！前半")</f>
        <v/>
      </c>
      <c r="C31">
        <f>IFERROR(__xludf.DUMMYFUNCTION("""COMPUTED_VALUE"""),"ticket")</f>
        <v/>
      </c>
      <c r="D31">
        <f>IFERROR(__xludf.DUMMYFUNCTION("""COMPUTED_VALUE"""),"10004")</f>
        <v/>
      </c>
      <c r="E31">
        <f>IFERROR(__xludf.DUMMYFUNCTION("""COMPUTED_VALUE"""),"ticket_f05anniv_10004")</f>
        <v/>
      </c>
      <c r="F31">
        <f>IFERROR(__xludf.DUMMYFUNCTION("""COMPUTED_VALUE"""),"ticket_f05anniv_10004")</f>
        <v/>
      </c>
      <c r="G31">
        <f>IFERROR(__xludf.DUMMYFUNCTION("""COMPUTED_VALUE"""),"item_icon_ticket_f05anniv_10004")</f>
        <v/>
      </c>
      <c r="H31">
        <f>IFERROR(__xludf.DUMMYFUNCTION("""COMPUTED_VALUE"""),"ありがとうメダル")</f>
        <v/>
      </c>
      <c r="I31">
        <f>IFERROR(__xludf.DUMMYFUNCTION("""COMPUTED_VALUE"""),"SSR")</f>
        <v/>
      </c>
      <c r="J31">
        <f>IFERROR(__xludf.DUMMYFUNCTION("""COMPUTED_VALUE"""),9.99999999E8)</f>
        <v/>
      </c>
      <c r="K31">
        <f>IFERROR(__xludf.DUMMYFUNCTION("""COMPUTED_VALUE"""),9.99999999E8)</f>
        <v/>
      </c>
      <c r="L31">
        <f>IFERROR(__xludf.DUMMYFUNCTION("""COMPUTED_VALUE"""),"ありがとうメダルガシャを引くことができるアイテム")</f>
        <v/>
      </c>
      <c r="M31">
        <f>IFERROR(__xludf.DUMMYFUNCTION("""COMPUTED_VALUE"""),"ハーフアニバーサリー前半施策のイベントガシャ")</f>
        <v/>
      </c>
    </row>
    <row r="36">
      <c r="A36">
        <f>IFERROR(__xludf.DUMMYFUNCTION("""COMPUTED_VALUE"""),"▼キャラ強化アイテム（共通素材）")</f>
        <v/>
      </c>
    </row>
    <row r="37">
      <c r="A37">
        <f>IFERROR(__xludf.DUMMYFUNCTION("""COMPUTED_VALUE"""),"glo")</f>
        <v/>
      </c>
      <c r="B37">
        <f>IFERROR(__xludf.DUMMYFUNCTION("""COMPUTED_VALUE"""),"GLOW")</f>
        <v/>
      </c>
      <c r="C37">
        <f>IFERROR(__xludf.DUMMYFUNCTION("""COMPUTED_VALUE"""),"memory")</f>
        <v/>
      </c>
      <c r="D37">
        <f>IFERROR(__xludf.DUMMYFUNCTION("""COMPUTED_VALUE"""),"00001")</f>
        <v/>
      </c>
      <c r="E37">
        <f>IFERROR(__xludf.DUMMYFUNCTION("""COMPUTED_VALUE"""),"memory_glo_00001")</f>
        <v/>
      </c>
      <c r="F37">
        <f>IFERROR(__xludf.DUMMYFUNCTION("""COMPUTED_VALUE"""),"memory_glo_00001")</f>
        <v/>
      </c>
      <c r="G37">
        <f>IFERROR(__xludf.DUMMYFUNCTION("""COMPUTED_VALUE"""),"item_icon_memory_glo_00001")</f>
        <v/>
      </c>
      <c r="H37">
        <f>IFERROR(__xludf.DUMMYFUNCTION("""COMPUTED_VALUE"""),"カラーメモリー・グレー")</f>
        <v/>
      </c>
      <c r="I37">
        <f>IFERROR(__xludf.DUMMYFUNCTION("""COMPUTED_VALUE"""),"UR")</f>
        <v/>
      </c>
      <c r="J37">
        <f>IFERROR(__xludf.DUMMYFUNCTION("""COMPUTED_VALUE"""),9.99999999E8)</f>
        <v/>
      </c>
      <c r="K37">
        <f>IFERROR(__xludf.DUMMYFUNCTION("""COMPUTED_VALUE"""),9.99999999E8)</f>
        <v/>
      </c>
      <c r="L37">
        <f>IFERROR(__xludf.DUMMYFUNCTION("""COMPUTED_VALUE"""),"無属性キャラのLv.上限開放に使用するアイテム")</f>
        <v/>
      </c>
      <c r="N37">
        <f>IFERROR(__xludf.DUMMYFUNCTION("""COMPUTED_VALUE"""),"2024-01-01 00:00:00")</f>
        <v/>
      </c>
    </row>
    <row r="38">
      <c r="A38">
        <f>IFERROR(__xludf.DUMMYFUNCTION("""COMPUTED_VALUE"""),"glo")</f>
        <v/>
      </c>
      <c r="B38">
        <f>IFERROR(__xludf.DUMMYFUNCTION("""COMPUTED_VALUE"""),"GLOW")</f>
        <v/>
      </c>
      <c r="C38">
        <f>IFERROR(__xludf.DUMMYFUNCTION("""COMPUTED_VALUE"""),"memory")</f>
        <v/>
      </c>
      <c r="D38">
        <f>IFERROR(__xludf.DUMMYFUNCTION("""COMPUTED_VALUE"""),"00002")</f>
        <v/>
      </c>
      <c r="E38">
        <f>IFERROR(__xludf.DUMMYFUNCTION("""COMPUTED_VALUE"""),"memory_glo_00002")</f>
        <v/>
      </c>
      <c r="F38">
        <f>IFERROR(__xludf.DUMMYFUNCTION("""COMPUTED_VALUE"""),"memory_glo_00002")</f>
        <v/>
      </c>
      <c r="G38">
        <f>IFERROR(__xludf.DUMMYFUNCTION("""COMPUTED_VALUE"""),"item_icon_memory_glo_00002")</f>
        <v/>
      </c>
      <c r="H38">
        <f>IFERROR(__xludf.DUMMYFUNCTION("""COMPUTED_VALUE"""),"カラーメモリー・レッド")</f>
        <v/>
      </c>
      <c r="I38">
        <f>IFERROR(__xludf.DUMMYFUNCTION("""COMPUTED_VALUE"""),"UR")</f>
        <v/>
      </c>
      <c r="J38">
        <f>IFERROR(__xludf.DUMMYFUNCTION("""COMPUTED_VALUE"""),9.99999999E8)</f>
        <v/>
      </c>
      <c r="K38">
        <f>IFERROR(__xludf.DUMMYFUNCTION("""COMPUTED_VALUE"""),9.99999999E8)</f>
        <v/>
      </c>
      <c r="L38">
        <f>IFERROR(__xludf.DUMMYFUNCTION("""COMPUTED_VALUE"""),"赤属性キャラのLv.上限開放に使用するアイテム")</f>
        <v/>
      </c>
      <c r="N38">
        <f>IFERROR(__xludf.DUMMYFUNCTION("""COMPUTED_VALUE"""),"2024-01-01 00:00:00")</f>
        <v/>
      </c>
    </row>
    <row r="39">
      <c r="A39">
        <f>IFERROR(__xludf.DUMMYFUNCTION("""COMPUTED_VALUE"""),"glo")</f>
        <v/>
      </c>
      <c r="B39">
        <f>IFERROR(__xludf.DUMMYFUNCTION("""COMPUTED_VALUE"""),"GLOW")</f>
        <v/>
      </c>
      <c r="C39">
        <f>IFERROR(__xludf.DUMMYFUNCTION("""COMPUTED_VALUE"""),"memory")</f>
        <v/>
      </c>
      <c r="D39">
        <f>IFERROR(__xludf.DUMMYFUNCTION("""COMPUTED_VALUE"""),"00003")</f>
        <v/>
      </c>
      <c r="E39">
        <f>IFERROR(__xludf.DUMMYFUNCTION("""COMPUTED_VALUE"""),"memory_glo_00003")</f>
        <v/>
      </c>
      <c r="F39">
        <f>IFERROR(__xludf.DUMMYFUNCTION("""COMPUTED_VALUE"""),"memory_glo_00003")</f>
        <v/>
      </c>
      <c r="G39">
        <f>IFERROR(__xludf.DUMMYFUNCTION("""COMPUTED_VALUE"""),"item_icon_memory_glo_00003")</f>
        <v/>
      </c>
      <c r="H39">
        <f>IFERROR(__xludf.DUMMYFUNCTION("""COMPUTED_VALUE"""),"カラーメモリー・ブルー")</f>
        <v/>
      </c>
      <c r="I39">
        <f>IFERROR(__xludf.DUMMYFUNCTION("""COMPUTED_VALUE"""),"UR")</f>
        <v/>
      </c>
      <c r="J39">
        <f>IFERROR(__xludf.DUMMYFUNCTION("""COMPUTED_VALUE"""),9.99999999E8)</f>
        <v/>
      </c>
      <c r="K39">
        <f>IFERROR(__xludf.DUMMYFUNCTION("""COMPUTED_VALUE"""),9.99999999E8)</f>
        <v/>
      </c>
      <c r="L39">
        <f>IFERROR(__xludf.DUMMYFUNCTION("""COMPUTED_VALUE"""),"青属性キャラのLv.上限開放に使用するアイテム")</f>
        <v/>
      </c>
      <c r="N39">
        <f>IFERROR(__xludf.DUMMYFUNCTION("""COMPUTED_VALUE"""),"2024-01-01 00:00:00")</f>
        <v/>
      </c>
    </row>
    <row r="40">
      <c r="A40">
        <f>IFERROR(__xludf.DUMMYFUNCTION("""COMPUTED_VALUE"""),"glo")</f>
        <v/>
      </c>
      <c r="B40">
        <f>IFERROR(__xludf.DUMMYFUNCTION("""COMPUTED_VALUE"""),"GLOW")</f>
        <v/>
      </c>
      <c r="C40">
        <f>IFERROR(__xludf.DUMMYFUNCTION("""COMPUTED_VALUE"""),"memory")</f>
        <v/>
      </c>
      <c r="D40">
        <f>IFERROR(__xludf.DUMMYFUNCTION("""COMPUTED_VALUE"""),"00004")</f>
        <v/>
      </c>
      <c r="E40">
        <f>IFERROR(__xludf.DUMMYFUNCTION("""COMPUTED_VALUE"""),"memory_glo_00004")</f>
        <v/>
      </c>
      <c r="F40">
        <f>IFERROR(__xludf.DUMMYFUNCTION("""COMPUTED_VALUE"""),"memory_glo_00004")</f>
        <v/>
      </c>
      <c r="G40">
        <f>IFERROR(__xludf.DUMMYFUNCTION("""COMPUTED_VALUE"""),"item_icon_memory_glo_00004")</f>
        <v/>
      </c>
      <c r="H40">
        <f>IFERROR(__xludf.DUMMYFUNCTION("""COMPUTED_VALUE"""),"カラーメモリー・イエロー")</f>
        <v/>
      </c>
      <c r="I40">
        <f>IFERROR(__xludf.DUMMYFUNCTION("""COMPUTED_VALUE"""),"UR")</f>
        <v/>
      </c>
      <c r="J40">
        <f>IFERROR(__xludf.DUMMYFUNCTION("""COMPUTED_VALUE"""),9.99999999E8)</f>
        <v/>
      </c>
      <c r="K40">
        <f>IFERROR(__xludf.DUMMYFUNCTION("""COMPUTED_VALUE"""),9.99999999E8)</f>
        <v/>
      </c>
      <c r="L40">
        <f>IFERROR(__xludf.DUMMYFUNCTION("""COMPUTED_VALUE"""),"黄属性キャラのLv.上限開放に使用するアイテム")</f>
        <v/>
      </c>
      <c r="N40">
        <f>IFERROR(__xludf.DUMMYFUNCTION("""COMPUTED_VALUE"""),"2024-01-01 00:00:00")</f>
        <v/>
      </c>
    </row>
    <row r="41">
      <c r="A41">
        <f>IFERROR(__xludf.DUMMYFUNCTION("""COMPUTED_VALUE"""),"glo")</f>
        <v/>
      </c>
      <c r="B41">
        <f>IFERROR(__xludf.DUMMYFUNCTION("""COMPUTED_VALUE"""),"GLOW")</f>
        <v/>
      </c>
      <c r="C41">
        <f>IFERROR(__xludf.DUMMYFUNCTION("""COMPUTED_VALUE"""),"memory")</f>
        <v/>
      </c>
      <c r="D41">
        <f>IFERROR(__xludf.DUMMYFUNCTION("""COMPUTED_VALUE"""),"00005")</f>
        <v/>
      </c>
      <c r="E41">
        <f>IFERROR(__xludf.DUMMYFUNCTION("""COMPUTED_VALUE"""),"memory_glo_00005")</f>
        <v/>
      </c>
      <c r="F41">
        <f>IFERROR(__xludf.DUMMYFUNCTION("""COMPUTED_VALUE"""),"memory_glo_00005")</f>
        <v/>
      </c>
      <c r="G41">
        <f>IFERROR(__xludf.DUMMYFUNCTION("""COMPUTED_VALUE"""),"item_icon_memory_glo_00005")</f>
        <v/>
      </c>
      <c r="H41">
        <f>IFERROR(__xludf.DUMMYFUNCTION("""COMPUTED_VALUE"""),"カラーメモリー・グリーン")</f>
        <v/>
      </c>
      <c r="I41">
        <f>IFERROR(__xludf.DUMMYFUNCTION("""COMPUTED_VALUE"""),"UR")</f>
        <v/>
      </c>
      <c r="J41">
        <f>IFERROR(__xludf.DUMMYFUNCTION("""COMPUTED_VALUE"""),9.99999999E8)</f>
        <v/>
      </c>
      <c r="K41">
        <f>IFERROR(__xludf.DUMMYFUNCTION("""COMPUTED_VALUE"""),9.99999999E8)</f>
        <v/>
      </c>
      <c r="L41">
        <f>IFERROR(__xludf.DUMMYFUNCTION("""COMPUTED_VALUE"""),"緑属性キャラのLv.上限開放に使用するアイテム")</f>
        <v/>
      </c>
      <c r="N41">
        <f>IFERROR(__xludf.DUMMYFUNCTION("""COMPUTED_VALUE"""),"2024-01-01 00:00:00")</f>
        <v/>
      </c>
    </row>
    <row r="42">
      <c r="A42">
        <f>IFERROR(__xludf.DUMMYFUNCTION("""COMPUTED_VALUE"""),"glo")</f>
        <v/>
      </c>
      <c r="B42">
        <f>IFERROR(__xludf.DUMMYFUNCTION("""COMPUTED_VALUE"""),"GLOW")</f>
        <v/>
      </c>
      <c r="C42">
        <f>IFERROR(__xludf.DUMMYFUNCTION("""COMPUTED_VALUE"""),"memoryfragment")</f>
        <v/>
      </c>
      <c r="D42">
        <f>IFERROR(__xludf.DUMMYFUNCTION("""COMPUTED_VALUE"""),"00001")</f>
        <v/>
      </c>
      <c r="E42">
        <f>IFERROR(__xludf.DUMMYFUNCTION("""COMPUTED_VALUE"""),"memoryfragment_glo_00001")</f>
        <v/>
      </c>
      <c r="F42">
        <f>IFERROR(__xludf.DUMMYFUNCTION("""COMPUTED_VALUE"""),"memoryfragment_glo_00001")</f>
        <v/>
      </c>
      <c r="G42">
        <f>IFERROR(__xludf.DUMMYFUNCTION("""COMPUTED_VALUE"""),"item_icon_memoryfragment_glo_00001")</f>
        <v/>
      </c>
      <c r="H42">
        <f>IFERROR(__xludf.DUMMYFUNCTION("""COMPUTED_VALUE"""),"メモリーフラグメント・初級")</f>
        <v/>
      </c>
      <c r="I42">
        <f>IFERROR(__xludf.DUMMYFUNCTION("""COMPUTED_VALUE"""),"SR")</f>
        <v/>
      </c>
      <c r="J42">
        <f>IFERROR(__xludf.DUMMYFUNCTION("""COMPUTED_VALUE"""),9.99999999E8)</f>
        <v/>
      </c>
      <c r="K42">
        <f>IFERROR(__xludf.DUMMYFUNCTION("""COMPUTED_VALUE"""),9.99999999E8)</f>
        <v/>
      </c>
      <c r="L42">
        <f>IFERROR(__xludf.DUMMYFUNCTION("""COMPUTED_VALUE"""),"キャラのLv.上限開放に使用するアイテム")</f>
        <v/>
      </c>
      <c r="N42">
        <f>IFERROR(__xludf.DUMMYFUNCTION("""COMPUTED_VALUE"""),"2024-01-01 00:00:00")</f>
        <v/>
      </c>
    </row>
    <row r="43">
      <c r="A43">
        <f>IFERROR(__xludf.DUMMYFUNCTION("""COMPUTED_VALUE"""),"glo")</f>
        <v/>
      </c>
      <c r="B43">
        <f>IFERROR(__xludf.DUMMYFUNCTION("""COMPUTED_VALUE"""),"GLOW")</f>
        <v/>
      </c>
      <c r="C43">
        <f>IFERROR(__xludf.DUMMYFUNCTION("""COMPUTED_VALUE"""),"memoryfragment")</f>
        <v/>
      </c>
      <c r="D43">
        <f>IFERROR(__xludf.DUMMYFUNCTION("""COMPUTED_VALUE"""),"00002")</f>
        <v/>
      </c>
      <c r="E43">
        <f>IFERROR(__xludf.DUMMYFUNCTION("""COMPUTED_VALUE"""),"memoryfragment_glo_00002")</f>
        <v/>
      </c>
      <c r="F43">
        <f>IFERROR(__xludf.DUMMYFUNCTION("""COMPUTED_VALUE"""),"memoryfragment_glo_00002")</f>
        <v/>
      </c>
      <c r="G43">
        <f>IFERROR(__xludf.DUMMYFUNCTION("""COMPUTED_VALUE"""),"item_icon_memoryfragment_glo_00002")</f>
        <v/>
      </c>
      <c r="H43">
        <f>IFERROR(__xludf.DUMMYFUNCTION("""COMPUTED_VALUE"""),"メモリーフラグメント・中級")</f>
        <v/>
      </c>
      <c r="I43">
        <f>IFERROR(__xludf.DUMMYFUNCTION("""COMPUTED_VALUE"""),"SSR")</f>
        <v/>
      </c>
      <c r="J43">
        <f>IFERROR(__xludf.DUMMYFUNCTION("""COMPUTED_VALUE"""),9.99999999E8)</f>
        <v/>
      </c>
      <c r="K43">
        <f>IFERROR(__xludf.DUMMYFUNCTION("""COMPUTED_VALUE"""),9.99999999E8)</f>
        <v/>
      </c>
      <c r="L43">
        <f>IFERROR(__xludf.DUMMYFUNCTION("""COMPUTED_VALUE"""),"キャラのLv.上限開放に使用するアイテム")</f>
        <v/>
      </c>
      <c r="N43">
        <f>IFERROR(__xludf.DUMMYFUNCTION("""COMPUTED_VALUE"""),"2024-01-01 00:00:00")</f>
        <v/>
      </c>
    </row>
    <row r="44">
      <c r="A44">
        <f>IFERROR(__xludf.DUMMYFUNCTION("""COMPUTED_VALUE"""),"glo")</f>
        <v/>
      </c>
      <c r="B44">
        <f>IFERROR(__xludf.DUMMYFUNCTION("""COMPUTED_VALUE"""),"GLOW")</f>
        <v/>
      </c>
      <c r="C44">
        <f>IFERROR(__xludf.DUMMYFUNCTION("""COMPUTED_VALUE"""),"memoryfragment")</f>
        <v/>
      </c>
      <c r="D44">
        <f>IFERROR(__xludf.DUMMYFUNCTION("""COMPUTED_VALUE"""),"00003")</f>
        <v/>
      </c>
      <c r="E44">
        <f>IFERROR(__xludf.DUMMYFUNCTION("""COMPUTED_VALUE"""),"memoryfragment_glo_00003")</f>
        <v/>
      </c>
      <c r="F44">
        <f>IFERROR(__xludf.DUMMYFUNCTION("""COMPUTED_VALUE"""),"memoryfragment_glo_00003")</f>
        <v/>
      </c>
      <c r="G44">
        <f>IFERROR(__xludf.DUMMYFUNCTION("""COMPUTED_VALUE"""),"item_icon_memoryfragment_glo_00003")</f>
        <v/>
      </c>
      <c r="H44">
        <f>IFERROR(__xludf.DUMMYFUNCTION("""COMPUTED_VALUE"""),"メモリーフラグメント・上級")</f>
        <v/>
      </c>
      <c r="I44">
        <f>IFERROR(__xludf.DUMMYFUNCTION("""COMPUTED_VALUE"""),"UR")</f>
        <v/>
      </c>
      <c r="J44">
        <f>IFERROR(__xludf.DUMMYFUNCTION("""COMPUTED_VALUE"""),9.99999999E8)</f>
        <v/>
      </c>
      <c r="K44">
        <f>IFERROR(__xludf.DUMMYFUNCTION("""COMPUTED_VALUE"""),9.99999999E8)</f>
        <v/>
      </c>
      <c r="L44">
        <f>IFERROR(__xludf.DUMMYFUNCTION("""COMPUTED_VALUE"""),"キャラのLv.上限開放に使用するアイテム")</f>
        <v/>
      </c>
      <c r="N44">
        <f>IFERROR(__xludf.DUMMYFUNCTION("""COMPUTED_VALUE"""),"2024-01-01 00:00:00")</f>
        <v/>
      </c>
    </row>
    <row r="47">
      <c r="A47">
        <f>IFERROR(__xludf.DUMMYFUNCTION("""COMPUTED_VALUE"""),"▼キャラのかけらBOX")</f>
        <v/>
      </c>
    </row>
    <row r="48">
      <c r="A48">
        <f>IFERROR(__xludf.DUMMYFUNCTION("""COMPUTED_VALUE"""),"glo")</f>
        <v/>
      </c>
      <c r="B48">
        <f>IFERROR(__xludf.DUMMYFUNCTION("""COMPUTED_VALUE"""),"GLOW")</f>
        <v/>
      </c>
      <c r="C48">
        <f>IFERROR(__xludf.DUMMYFUNCTION("""COMPUTED_VALUE"""),"box")</f>
        <v/>
      </c>
      <c r="D48">
        <f>IFERROR(__xludf.DUMMYFUNCTION("""COMPUTED_VALUE"""),"00001")</f>
        <v/>
      </c>
      <c r="E48">
        <f>IFERROR(__xludf.DUMMYFUNCTION("""COMPUTED_VALUE"""),"box_glo_00001")</f>
        <v/>
      </c>
      <c r="F48">
        <f>IFERROR(__xludf.DUMMYFUNCTION("""COMPUTED_VALUE"""),"box_glo_00001")</f>
        <v/>
      </c>
      <c r="G48">
        <f>IFERROR(__xludf.DUMMYFUNCTION("""COMPUTED_VALUE"""),"item_icon_box_glo_00001")</f>
        <v/>
      </c>
      <c r="H48">
        <f>IFERROR(__xludf.DUMMYFUNCTION("""COMPUTED_VALUE"""),"ランダムRキャラのかけらBOX")</f>
        <v/>
      </c>
      <c r="I48">
        <f>IFERROR(__xludf.DUMMYFUNCTION("""COMPUTED_VALUE"""),"R")</f>
        <v/>
      </c>
      <c r="J48">
        <f>IFERROR(__xludf.DUMMYFUNCTION("""COMPUTED_VALUE"""),9.99999999E8)</f>
        <v/>
      </c>
      <c r="K48">
        <f>IFERROR(__xludf.DUMMYFUNCTION("""COMPUTED_VALUE"""),9.99999999E8)</f>
        <v/>
      </c>
      <c r="L48">
        <f>IFERROR(__xludf.DUMMYFUNCTION("""COMPUTED_VALUE"""),"Rのキャラのかけらがランダムで獲得できるアイテムBOX")</f>
        <v/>
      </c>
      <c r="N48">
        <f>IFERROR(__xludf.DUMMYFUNCTION("""COMPUTED_VALUE"""),"2024-01-01 00:00:00")</f>
        <v/>
      </c>
    </row>
    <row r="49">
      <c r="A49">
        <f>IFERROR(__xludf.DUMMYFUNCTION("""COMPUTED_VALUE"""),"glo")</f>
        <v/>
      </c>
      <c r="B49">
        <f>IFERROR(__xludf.DUMMYFUNCTION("""COMPUTED_VALUE"""),"GLOW")</f>
        <v/>
      </c>
      <c r="C49">
        <f>IFERROR(__xludf.DUMMYFUNCTION("""COMPUTED_VALUE"""),"box")</f>
        <v/>
      </c>
      <c r="D49">
        <f>IFERROR(__xludf.DUMMYFUNCTION("""COMPUTED_VALUE"""),"00002")</f>
        <v/>
      </c>
      <c r="E49">
        <f>IFERROR(__xludf.DUMMYFUNCTION("""COMPUTED_VALUE"""),"box_glo_00002")</f>
        <v/>
      </c>
      <c r="F49">
        <f>IFERROR(__xludf.DUMMYFUNCTION("""COMPUTED_VALUE"""),"box_glo_00002")</f>
        <v/>
      </c>
      <c r="G49">
        <f>IFERROR(__xludf.DUMMYFUNCTION("""COMPUTED_VALUE"""),"item_icon_box_glo_00002")</f>
        <v/>
      </c>
      <c r="H49">
        <f>IFERROR(__xludf.DUMMYFUNCTION("""COMPUTED_VALUE"""),"ランダムSRキャラのかけらBOX")</f>
        <v/>
      </c>
      <c r="I49">
        <f>IFERROR(__xludf.DUMMYFUNCTION("""COMPUTED_VALUE"""),"SR")</f>
        <v/>
      </c>
      <c r="J49">
        <f>IFERROR(__xludf.DUMMYFUNCTION("""COMPUTED_VALUE"""),9.99999999E8)</f>
        <v/>
      </c>
      <c r="K49">
        <f>IFERROR(__xludf.DUMMYFUNCTION("""COMPUTED_VALUE"""),9.99999999E8)</f>
        <v/>
      </c>
      <c r="L49">
        <f>IFERROR(__xludf.DUMMYFUNCTION("""COMPUTED_VALUE"""),"SRのキャラのかけらがランダムで獲得できるアイテムBOX")</f>
        <v/>
      </c>
      <c r="N49">
        <f>IFERROR(__xludf.DUMMYFUNCTION("""COMPUTED_VALUE"""),"2024-01-01 00:00:00")</f>
        <v/>
      </c>
    </row>
    <row r="50">
      <c r="A50">
        <f>IFERROR(__xludf.DUMMYFUNCTION("""COMPUTED_VALUE"""),"glo")</f>
        <v/>
      </c>
      <c r="B50">
        <f>IFERROR(__xludf.DUMMYFUNCTION("""COMPUTED_VALUE"""),"GLOW")</f>
        <v/>
      </c>
      <c r="C50">
        <f>IFERROR(__xludf.DUMMYFUNCTION("""COMPUTED_VALUE"""),"box")</f>
        <v/>
      </c>
      <c r="D50">
        <f>IFERROR(__xludf.DUMMYFUNCTION("""COMPUTED_VALUE"""),"00003")</f>
        <v/>
      </c>
      <c r="E50">
        <f>IFERROR(__xludf.DUMMYFUNCTION("""COMPUTED_VALUE"""),"box_glo_00003")</f>
        <v/>
      </c>
      <c r="F50">
        <f>IFERROR(__xludf.DUMMYFUNCTION("""COMPUTED_VALUE"""),"box_glo_00003")</f>
        <v/>
      </c>
      <c r="G50">
        <f>IFERROR(__xludf.DUMMYFUNCTION("""COMPUTED_VALUE"""),"item_icon_box_glo_00003")</f>
        <v/>
      </c>
      <c r="H50">
        <f>IFERROR(__xludf.DUMMYFUNCTION("""COMPUTED_VALUE"""),"ランダムSSRキャラのかけらBOX")</f>
        <v/>
      </c>
      <c r="I50">
        <f>IFERROR(__xludf.DUMMYFUNCTION("""COMPUTED_VALUE"""),"SSR")</f>
        <v/>
      </c>
      <c r="J50">
        <f>IFERROR(__xludf.DUMMYFUNCTION("""COMPUTED_VALUE"""),9.99999999E8)</f>
        <v/>
      </c>
      <c r="K50">
        <f>IFERROR(__xludf.DUMMYFUNCTION("""COMPUTED_VALUE"""),9.99999999E8)</f>
        <v/>
      </c>
      <c r="L50">
        <f>IFERROR(__xludf.DUMMYFUNCTION("""COMPUTED_VALUE"""),"SSRのキャラのかけらがランダムで獲得できるアイテムBOX")</f>
        <v/>
      </c>
      <c r="N50">
        <f>IFERROR(__xludf.DUMMYFUNCTION("""COMPUTED_VALUE"""),"2024-01-01 00:00:00")</f>
        <v/>
      </c>
    </row>
    <row r="51">
      <c r="A51">
        <f>IFERROR(__xludf.DUMMYFUNCTION("""COMPUTED_VALUE"""),"glo")</f>
        <v/>
      </c>
      <c r="B51">
        <f>IFERROR(__xludf.DUMMYFUNCTION("""COMPUTED_VALUE"""),"GLOW")</f>
        <v/>
      </c>
      <c r="C51">
        <f>IFERROR(__xludf.DUMMYFUNCTION("""COMPUTED_VALUE"""),"box")</f>
        <v/>
      </c>
      <c r="D51">
        <f>IFERROR(__xludf.DUMMYFUNCTION("""COMPUTED_VALUE"""),"00004")</f>
        <v/>
      </c>
      <c r="E51">
        <f>IFERROR(__xludf.DUMMYFUNCTION("""COMPUTED_VALUE"""),"box_glo_00004")</f>
        <v/>
      </c>
      <c r="F51">
        <f>IFERROR(__xludf.DUMMYFUNCTION("""COMPUTED_VALUE"""),"box_glo_00004")</f>
        <v/>
      </c>
      <c r="G51">
        <f>IFERROR(__xludf.DUMMYFUNCTION("""COMPUTED_VALUE"""),"item_icon_box_glo_00004")</f>
        <v/>
      </c>
      <c r="H51">
        <f>IFERROR(__xludf.DUMMYFUNCTION("""COMPUTED_VALUE"""),"ランダムURキャラのかけらBOX")</f>
        <v/>
      </c>
      <c r="I51">
        <f>IFERROR(__xludf.DUMMYFUNCTION("""COMPUTED_VALUE"""),"UR")</f>
        <v/>
      </c>
      <c r="J51">
        <f>IFERROR(__xludf.DUMMYFUNCTION("""COMPUTED_VALUE"""),9.99999999E8)</f>
        <v/>
      </c>
      <c r="K51">
        <f>IFERROR(__xludf.DUMMYFUNCTION("""COMPUTED_VALUE"""),9.99999999E8)</f>
        <v/>
      </c>
      <c r="L51">
        <f>IFERROR(__xludf.DUMMYFUNCTION("""COMPUTED_VALUE"""),"URのキャラのかけらがランダムで獲得できるアイテムBOX")</f>
        <v/>
      </c>
      <c r="N51">
        <f>IFERROR(__xludf.DUMMYFUNCTION("""COMPUTED_VALUE"""),"2024-01-01 00:00:00")</f>
        <v/>
      </c>
    </row>
    <row r="52">
      <c r="A52">
        <f>IFERROR(__xludf.DUMMYFUNCTION("""COMPUTED_VALUE"""),"glo")</f>
        <v/>
      </c>
      <c r="B52">
        <f>IFERROR(__xludf.DUMMYFUNCTION("""COMPUTED_VALUE"""),"GLOW")</f>
        <v/>
      </c>
      <c r="C52">
        <f>IFERROR(__xludf.DUMMYFUNCTION("""COMPUTED_VALUE"""),"box")</f>
        <v/>
      </c>
      <c r="D52">
        <f>IFERROR(__xludf.DUMMYFUNCTION("""COMPUTED_VALUE"""),"00005")</f>
        <v/>
      </c>
      <c r="E52">
        <f>IFERROR(__xludf.DUMMYFUNCTION("""COMPUTED_VALUE"""),"box_glo_00005")</f>
        <v/>
      </c>
      <c r="F52">
        <f>IFERROR(__xludf.DUMMYFUNCTION("""COMPUTED_VALUE"""),"box_glo_00005")</f>
        <v/>
      </c>
      <c r="G52">
        <f>IFERROR(__xludf.DUMMYFUNCTION("""COMPUTED_VALUE"""),"item_icon_box_glo_00005")</f>
        <v/>
      </c>
      <c r="H52">
        <f>IFERROR(__xludf.DUMMYFUNCTION("""COMPUTED_VALUE"""),"選べるRキャラのかけらBOX")</f>
        <v/>
      </c>
      <c r="I52">
        <f>IFERROR(__xludf.DUMMYFUNCTION("""COMPUTED_VALUE"""),"R")</f>
        <v/>
      </c>
      <c r="J52">
        <f>IFERROR(__xludf.DUMMYFUNCTION("""COMPUTED_VALUE"""),9.99999999E8)</f>
        <v/>
      </c>
      <c r="K52">
        <f>IFERROR(__xludf.DUMMYFUNCTION("""COMPUTED_VALUE"""),9.99999999E8)</f>
        <v/>
      </c>
      <c r="L52">
        <f>IFERROR(__xludf.DUMMYFUNCTION("""COMPUTED_VALUE"""),"Rのキャラのかけらを選択して獲得できるアイテムBOX")</f>
        <v/>
      </c>
      <c r="N52">
        <f>IFERROR(__xludf.DUMMYFUNCTION("""COMPUTED_VALUE"""),"2024-01-01 00:00:00")</f>
        <v/>
      </c>
    </row>
    <row r="53">
      <c r="A53">
        <f>IFERROR(__xludf.DUMMYFUNCTION("""COMPUTED_VALUE"""),"glo")</f>
        <v/>
      </c>
      <c r="B53">
        <f>IFERROR(__xludf.DUMMYFUNCTION("""COMPUTED_VALUE"""),"GLOW")</f>
        <v/>
      </c>
      <c r="C53">
        <f>IFERROR(__xludf.DUMMYFUNCTION("""COMPUTED_VALUE"""),"box")</f>
        <v/>
      </c>
      <c r="D53">
        <f>IFERROR(__xludf.DUMMYFUNCTION("""COMPUTED_VALUE"""),"00006")</f>
        <v/>
      </c>
      <c r="E53">
        <f>IFERROR(__xludf.DUMMYFUNCTION("""COMPUTED_VALUE"""),"box_glo_00006")</f>
        <v/>
      </c>
      <c r="F53">
        <f>IFERROR(__xludf.DUMMYFUNCTION("""COMPUTED_VALUE"""),"box_glo_00006")</f>
        <v/>
      </c>
      <c r="G53">
        <f>IFERROR(__xludf.DUMMYFUNCTION("""COMPUTED_VALUE"""),"item_icon_box_glo_00006")</f>
        <v/>
      </c>
      <c r="H53">
        <f>IFERROR(__xludf.DUMMYFUNCTION("""COMPUTED_VALUE"""),"選べるSRキャラのかけらBOX")</f>
        <v/>
      </c>
      <c r="I53">
        <f>IFERROR(__xludf.DUMMYFUNCTION("""COMPUTED_VALUE"""),"SR")</f>
        <v/>
      </c>
      <c r="J53">
        <f>IFERROR(__xludf.DUMMYFUNCTION("""COMPUTED_VALUE"""),9.99999999E8)</f>
        <v/>
      </c>
      <c r="K53">
        <f>IFERROR(__xludf.DUMMYFUNCTION("""COMPUTED_VALUE"""),9.99999999E8)</f>
        <v/>
      </c>
      <c r="L53">
        <f>IFERROR(__xludf.DUMMYFUNCTION("""COMPUTED_VALUE"""),"SRのキャラのかけらを選択して獲得できるアイテムBOX")</f>
        <v/>
      </c>
      <c r="N53">
        <f>IFERROR(__xludf.DUMMYFUNCTION("""COMPUTED_VALUE"""),"2024-01-01 00:00:00")</f>
        <v/>
      </c>
    </row>
    <row r="54">
      <c r="A54">
        <f>IFERROR(__xludf.DUMMYFUNCTION("""COMPUTED_VALUE"""),"glo")</f>
        <v/>
      </c>
      <c r="B54">
        <f>IFERROR(__xludf.DUMMYFUNCTION("""COMPUTED_VALUE"""),"GLOW")</f>
        <v/>
      </c>
      <c r="C54">
        <f>IFERROR(__xludf.DUMMYFUNCTION("""COMPUTED_VALUE"""),"box")</f>
        <v/>
      </c>
      <c r="D54">
        <f>IFERROR(__xludf.DUMMYFUNCTION("""COMPUTED_VALUE"""),"00007")</f>
        <v/>
      </c>
      <c r="E54">
        <f>IFERROR(__xludf.DUMMYFUNCTION("""COMPUTED_VALUE"""),"box_glo_00007")</f>
        <v/>
      </c>
      <c r="F54">
        <f>IFERROR(__xludf.DUMMYFUNCTION("""COMPUTED_VALUE"""),"box_glo_00007")</f>
        <v/>
      </c>
      <c r="G54">
        <f>IFERROR(__xludf.DUMMYFUNCTION("""COMPUTED_VALUE"""),"item_icon_box_glo_00007")</f>
        <v/>
      </c>
      <c r="H54">
        <f>IFERROR(__xludf.DUMMYFUNCTION("""COMPUTED_VALUE"""),"選べるSSRキャラのかけらBOX")</f>
        <v/>
      </c>
      <c r="I54">
        <f>IFERROR(__xludf.DUMMYFUNCTION("""COMPUTED_VALUE"""),"SSR")</f>
        <v/>
      </c>
      <c r="J54">
        <f>IFERROR(__xludf.DUMMYFUNCTION("""COMPUTED_VALUE"""),9.99999999E8)</f>
        <v/>
      </c>
      <c r="K54">
        <f>IFERROR(__xludf.DUMMYFUNCTION("""COMPUTED_VALUE"""),9.99999999E8)</f>
        <v/>
      </c>
      <c r="L54">
        <f>IFERROR(__xludf.DUMMYFUNCTION("""COMPUTED_VALUE"""),"SSRのキャラのかけらを選択して獲得できるアイテムBOX")</f>
        <v/>
      </c>
      <c r="N54">
        <f>IFERROR(__xludf.DUMMYFUNCTION("""COMPUTED_VALUE"""),"2024-01-01 00:00:00")</f>
        <v/>
      </c>
    </row>
    <row r="55">
      <c r="A55">
        <f>IFERROR(__xludf.DUMMYFUNCTION("""COMPUTED_VALUE"""),"glo")</f>
        <v/>
      </c>
      <c r="B55">
        <f>IFERROR(__xludf.DUMMYFUNCTION("""COMPUTED_VALUE"""),"GLOW")</f>
        <v/>
      </c>
      <c r="C55">
        <f>IFERROR(__xludf.DUMMYFUNCTION("""COMPUTED_VALUE"""),"box")</f>
        <v/>
      </c>
      <c r="D55">
        <f>IFERROR(__xludf.DUMMYFUNCTION("""COMPUTED_VALUE"""),"00008")</f>
        <v/>
      </c>
      <c r="E55">
        <f>IFERROR(__xludf.DUMMYFUNCTION("""COMPUTED_VALUE"""),"box_glo_00008")</f>
        <v/>
      </c>
      <c r="F55">
        <f>IFERROR(__xludf.DUMMYFUNCTION("""COMPUTED_VALUE"""),"box_glo_00008")</f>
        <v/>
      </c>
      <c r="G55">
        <f>IFERROR(__xludf.DUMMYFUNCTION("""COMPUTED_VALUE"""),"item_icon_box_glo_00008")</f>
        <v/>
      </c>
      <c r="H55">
        <f>IFERROR(__xludf.DUMMYFUNCTION("""COMPUTED_VALUE"""),"選べるURキャラのかけらBOX")</f>
        <v/>
      </c>
      <c r="I55">
        <f>IFERROR(__xludf.DUMMYFUNCTION("""COMPUTED_VALUE"""),"UR")</f>
        <v/>
      </c>
      <c r="J55">
        <f>IFERROR(__xludf.DUMMYFUNCTION("""COMPUTED_VALUE"""),9.99999999E8)</f>
        <v/>
      </c>
      <c r="K55">
        <f>IFERROR(__xludf.DUMMYFUNCTION("""COMPUTED_VALUE"""),9.99999999E8)</f>
        <v/>
      </c>
      <c r="L55">
        <f>IFERROR(__xludf.DUMMYFUNCTION("""COMPUTED_VALUE"""),"URのキャラのかけらを選択して獲得できるアイテムBOX")</f>
        <v/>
      </c>
      <c r="N55">
        <f>IFERROR(__xludf.DUMMYFUNCTION("""COMPUTED_VALUE"""),"2024-01-01 00:00:00")</f>
        <v/>
      </c>
    </row>
    <row r="62">
      <c r="A62">
        <f>IFERROR(__xludf.DUMMYFUNCTION("""COMPUTED_VALUE"""),"▼キャラのかけら")</f>
        <v/>
      </c>
    </row>
    <row r="64">
      <c r="A64">
        <f>IFERROR(__xludf.DUMMYFUNCTION("""COMPUTED_VALUE"""),"spy")</f>
        <v/>
      </c>
      <c r="B64">
        <f>IFERROR(__xludf.DUMMYFUNCTION("""COMPUTED_VALUE"""),"SPY×FAMILY")</f>
        <v/>
      </c>
      <c r="C64">
        <f>IFERROR(__xludf.DUMMYFUNCTION("""COMPUTED_VALUE"""),"piece")</f>
        <v/>
      </c>
      <c r="D64">
        <f>IFERROR(__xludf.DUMMYFUNCTION("""COMPUTED_VALUE"""),"00001")</f>
        <v/>
      </c>
      <c r="E64">
        <f>IFERROR(__xludf.DUMMYFUNCTION("""COMPUTED_VALUE"""),"piece_spy_00001")</f>
        <v/>
      </c>
      <c r="F64">
        <f>IFERROR(__xludf.DUMMYFUNCTION("""COMPUTED_VALUE"""),"piece_spy_00001")</f>
        <v/>
      </c>
      <c r="G64">
        <f>IFERROR(__xludf.DUMMYFUNCTION("""COMPUTED_VALUE"""),"item_icon_piece_spy_00001")</f>
        <v/>
      </c>
      <c r="H64">
        <f>IFERROR(__xludf.DUMMYFUNCTION("""COMPUTED_VALUE"""),"わくわく アーニャのかけら")</f>
        <v/>
      </c>
      <c r="I64">
        <f>IFERROR(__xludf.DUMMYFUNCTION("""COMPUTED_VALUE"""),"UR")</f>
        <v/>
      </c>
      <c r="J64">
        <f>IFERROR(__xludf.DUMMYFUNCTION("""COMPUTED_VALUE"""),9.99999999E8)</f>
        <v/>
      </c>
      <c r="K64">
        <f>IFERROR(__xludf.DUMMYFUNCTION("""COMPUTED_VALUE"""),9.99999999E8)</f>
        <v/>
      </c>
      <c r="L64">
        <f>IFERROR(__xludf.DUMMYFUNCTION("""COMPUTED_VALUE"""),"わくわく アーニャのグレードアップに使用するアイテム")</f>
        <v/>
      </c>
      <c r="N64">
        <f>IFERROR(__xludf.DUMMYFUNCTION("""COMPUTED_VALUE"""),"2024-01-01 00:00:00")</f>
        <v/>
      </c>
    </row>
    <row r="65">
      <c r="A65">
        <f>IFERROR(__xludf.DUMMYFUNCTION("""COMPUTED_VALUE"""),"spy")</f>
        <v/>
      </c>
      <c r="B65">
        <f>IFERROR(__xludf.DUMMYFUNCTION("""COMPUTED_VALUE"""),"SPY×FAMILY")</f>
        <v/>
      </c>
      <c r="C65">
        <f>IFERROR(__xludf.DUMMYFUNCTION("""COMPUTED_VALUE"""),"piece")</f>
        <v/>
      </c>
      <c r="D65">
        <f>IFERROR(__xludf.DUMMYFUNCTION("""COMPUTED_VALUE"""),"00101")</f>
        <v/>
      </c>
      <c r="E65">
        <f>IFERROR(__xludf.DUMMYFUNCTION("""COMPUTED_VALUE"""),"piece_spy_00101")</f>
        <v/>
      </c>
      <c r="F65">
        <f>IFERROR(__xludf.DUMMYFUNCTION("""COMPUTED_VALUE"""),"piece_spy_00101")</f>
        <v/>
      </c>
      <c r="G65">
        <f>IFERROR(__xludf.DUMMYFUNCTION("""COMPUTED_VALUE"""),"item_icon_piece_spy_00101")</f>
        <v/>
      </c>
      <c r="H65">
        <f>IFERROR(__xludf.DUMMYFUNCTION("""COMPUTED_VALUE"""),"＜黄昏＞ ロイドのかけら")</f>
        <v/>
      </c>
      <c r="I65">
        <f>IFERROR(__xludf.DUMMYFUNCTION("""COMPUTED_VALUE"""),"UR")</f>
        <v/>
      </c>
      <c r="J65">
        <f>IFERROR(__xludf.DUMMYFUNCTION("""COMPUTED_VALUE"""),9.99999999E8)</f>
        <v/>
      </c>
      <c r="K65">
        <f>IFERROR(__xludf.DUMMYFUNCTION("""COMPUTED_VALUE"""),9.99999999E8)</f>
        <v/>
      </c>
      <c r="L65">
        <f>IFERROR(__xludf.DUMMYFUNCTION("""COMPUTED_VALUE"""),"＜黄昏＞ ロイドのグレードアップに使用するアイテム")</f>
        <v/>
      </c>
      <c r="N65">
        <f>IFERROR(__xludf.DUMMYFUNCTION("""COMPUTED_VALUE"""),"2024-01-01 00:00:00")</f>
        <v/>
      </c>
    </row>
    <row r="66">
      <c r="A66">
        <f>IFERROR(__xludf.DUMMYFUNCTION("""COMPUTED_VALUE"""),"spy")</f>
        <v/>
      </c>
      <c r="B66">
        <f>IFERROR(__xludf.DUMMYFUNCTION("""COMPUTED_VALUE"""),"SPY×FAMILY")</f>
        <v/>
      </c>
      <c r="C66">
        <f>IFERROR(__xludf.DUMMYFUNCTION("""COMPUTED_VALUE"""),"piece")</f>
        <v/>
      </c>
      <c r="D66">
        <f>IFERROR(__xludf.DUMMYFUNCTION("""COMPUTED_VALUE"""),"00201")</f>
        <v/>
      </c>
      <c r="E66">
        <f>IFERROR(__xludf.DUMMYFUNCTION("""COMPUTED_VALUE"""),"piece_spy_00201")</f>
        <v/>
      </c>
      <c r="F66">
        <f>IFERROR(__xludf.DUMMYFUNCTION("""COMPUTED_VALUE"""),"piece_spy_00201")</f>
        <v/>
      </c>
      <c r="G66">
        <f>IFERROR(__xludf.DUMMYFUNCTION("""COMPUTED_VALUE"""),"item_icon_piece_spy_00201")</f>
        <v/>
      </c>
      <c r="H66">
        <f>IFERROR(__xludf.DUMMYFUNCTION("""COMPUTED_VALUE"""),"＜いばら姫＞ ヨルのかけら")</f>
        <v/>
      </c>
      <c r="I66">
        <f>IFERROR(__xludf.DUMMYFUNCTION("""COMPUTED_VALUE"""),"UR")</f>
        <v/>
      </c>
      <c r="J66">
        <f>IFERROR(__xludf.DUMMYFUNCTION("""COMPUTED_VALUE"""),9.99999999E8)</f>
        <v/>
      </c>
      <c r="K66">
        <f>IFERROR(__xludf.DUMMYFUNCTION("""COMPUTED_VALUE"""),9.99999999E8)</f>
        <v/>
      </c>
      <c r="L66">
        <f>IFERROR(__xludf.DUMMYFUNCTION("""COMPUTED_VALUE"""),"＜いばら姫＞ ヨルのグレードアップに使用するアイテム")</f>
        <v/>
      </c>
      <c r="N66">
        <f>IFERROR(__xludf.DUMMYFUNCTION("""COMPUTED_VALUE"""),"2024-01-01 00:00:00")</f>
        <v/>
      </c>
    </row>
    <row r="67">
      <c r="A67">
        <f>IFERROR(__xludf.DUMMYFUNCTION("""COMPUTED_VALUE"""),"spy")</f>
        <v/>
      </c>
      <c r="B67">
        <f>IFERROR(__xludf.DUMMYFUNCTION("""COMPUTED_VALUE"""),"SPY×FAMILY")</f>
        <v/>
      </c>
      <c r="C67">
        <f>IFERROR(__xludf.DUMMYFUNCTION("""COMPUTED_VALUE"""),"piece")</f>
        <v/>
      </c>
      <c r="D67">
        <f>IFERROR(__xludf.DUMMYFUNCTION("""COMPUTED_VALUE"""),"00301")</f>
        <v/>
      </c>
      <c r="E67">
        <f>IFERROR(__xludf.DUMMYFUNCTION("""COMPUTED_VALUE"""),"piece_spy_00301")</f>
        <v/>
      </c>
      <c r="F67">
        <f>IFERROR(__xludf.DUMMYFUNCTION("""COMPUTED_VALUE"""),"piece_spy_00301")</f>
        <v/>
      </c>
      <c r="G67">
        <f>IFERROR(__xludf.DUMMYFUNCTION("""COMPUTED_VALUE"""),"item_icon_piece_spy_00301")</f>
        <v/>
      </c>
      <c r="H67">
        <f>IFERROR(__xludf.DUMMYFUNCTION("""COMPUTED_VALUE"""),"ダミアン・デズモンドのかけら")</f>
        <v/>
      </c>
      <c r="I67">
        <f>IFERROR(__xludf.DUMMYFUNCTION("""COMPUTED_VALUE"""),"SR")</f>
        <v/>
      </c>
      <c r="J67">
        <f>IFERROR(__xludf.DUMMYFUNCTION("""COMPUTED_VALUE"""),9.99999999E8)</f>
        <v/>
      </c>
      <c r="K67">
        <f>IFERROR(__xludf.DUMMYFUNCTION("""COMPUTED_VALUE"""),9.99999999E8)</f>
        <v/>
      </c>
      <c r="L67">
        <f>IFERROR(__xludf.DUMMYFUNCTION("""COMPUTED_VALUE"""),"ダミアン・デズモンドのグレードアップに使用するアイテム")</f>
        <v/>
      </c>
      <c r="N67">
        <f>IFERROR(__xludf.DUMMYFUNCTION("""COMPUTED_VALUE"""),45936.625)</f>
        <v/>
      </c>
    </row>
    <row r="68">
      <c r="A68">
        <f>IFERROR(__xludf.DUMMYFUNCTION("""COMPUTED_VALUE"""),"spy")</f>
        <v/>
      </c>
      <c r="B68">
        <f>IFERROR(__xludf.DUMMYFUNCTION("""COMPUTED_VALUE"""),"SPY×FAMILY")</f>
        <v/>
      </c>
      <c r="C68">
        <f>IFERROR(__xludf.DUMMYFUNCTION("""COMPUTED_VALUE"""),"piece")</f>
        <v/>
      </c>
      <c r="D68">
        <f>IFERROR(__xludf.DUMMYFUNCTION("""COMPUTED_VALUE"""),"00401")</f>
        <v/>
      </c>
      <c r="E68">
        <f>IFERROR(__xludf.DUMMYFUNCTION("""COMPUTED_VALUE"""),"piece_spy_00401")</f>
        <v/>
      </c>
      <c r="F68">
        <f>IFERROR(__xludf.DUMMYFUNCTION("""COMPUTED_VALUE"""),"piece_spy_00401")</f>
        <v/>
      </c>
      <c r="G68">
        <f>IFERROR(__xludf.DUMMYFUNCTION("""COMPUTED_VALUE"""),"item_icon_piece_spy_00401")</f>
        <v/>
      </c>
      <c r="H68">
        <f>IFERROR(__xludf.DUMMYFUNCTION("""COMPUTED_VALUE"""),"フランキー・フランクリンのかけら")</f>
        <v/>
      </c>
      <c r="I68">
        <f>IFERROR(__xludf.DUMMYFUNCTION("""COMPUTED_VALUE"""),"SR")</f>
        <v/>
      </c>
      <c r="J68">
        <f>IFERROR(__xludf.DUMMYFUNCTION("""COMPUTED_VALUE"""),9.99999999E8)</f>
        <v/>
      </c>
      <c r="K68">
        <f>IFERROR(__xludf.DUMMYFUNCTION("""COMPUTED_VALUE"""),9.99999999E8)</f>
        <v/>
      </c>
      <c r="L68">
        <f>IFERROR(__xludf.DUMMYFUNCTION("""COMPUTED_VALUE"""),"フランキー・フランクリンのグレードアップに使用するアイテム")</f>
        <v/>
      </c>
      <c r="N68">
        <f>IFERROR(__xludf.DUMMYFUNCTION("""COMPUTED_VALUE"""),45936.625)</f>
        <v/>
      </c>
    </row>
    <row r="69">
      <c r="A69">
        <f>IFERROR(__xludf.DUMMYFUNCTION("""COMPUTED_VALUE"""),"spy")</f>
        <v/>
      </c>
      <c r="B69">
        <f>IFERROR(__xludf.DUMMYFUNCTION("""COMPUTED_VALUE"""),"SPY×FAMILY")</f>
        <v/>
      </c>
      <c r="C69">
        <f>IFERROR(__xludf.DUMMYFUNCTION("""COMPUTED_VALUE"""),"piece")</f>
        <v/>
      </c>
      <c r="D69">
        <f>IFERROR(__xludf.DUMMYFUNCTION("""COMPUTED_VALUE"""),"00501")</f>
        <v/>
      </c>
      <c r="E69">
        <f>IFERROR(__xludf.DUMMYFUNCTION("""COMPUTED_VALUE"""),"piece_spy_00501")</f>
        <v/>
      </c>
      <c r="F69">
        <f>IFERROR(__xludf.DUMMYFUNCTION("""COMPUTED_VALUE"""),"piece_spy_00501")</f>
        <v/>
      </c>
      <c r="G69">
        <f>IFERROR(__xludf.DUMMYFUNCTION("""COMPUTED_VALUE"""),"item_icon_piece_spy_00501")</f>
        <v/>
      </c>
      <c r="H69">
        <f>IFERROR(__xludf.DUMMYFUNCTION("""COMPUTED_VALUE"""),"姉を想う盲愛 ユーリ・ブライアのかけら")</f>
        <v/>
      </c>
      <c r="I69">
        <f>IFERROR(__xludf.DUMMYFUNCTION("""COMPUTED_VALUE"""),"UR")</f>
        <v/>
      </c>
      <c r="J69">
        <f>IFERROR(__xludf.DUMMYFUNCTION("""COMPUTED_VALUE"""),9.99999999E8)</f>
        <v/>
      </c>
      <c r="K69">
        <f>IFERROR(__xludf.DUMMYFUNCTION("""COMPUTED_VALUE"""),9.99999999E8)</f>
        <v/>
      </c>
      <c r="L69">
        <f>IFERROR(__xludf.DUMMYFUNCTION("""COMPUTED_VALUE"""),"姉を想う盲愛 ユーリ・ブライアのグレードアップに使用するアイテム")</f>
        <v/>
      </c>
      <c r="N69">
        <f>IFERROR(__xludf.DUMMYFUNCTION("""COMPUTED_VALUE"""),45936.625)</f>
        <v/>
      </c>
    </row>
    <row r="71">
      <c r="A71">
        <f>IFERROR(__xludf.DUMMYFUNCTION("""COMPUTED_VALUE"""),"aka")</f>
        <v/>
      </c>
      <c r="B71">
        <f>IFERROR(__xludf.DUMMYFUNCTION("""COMPUTED_VALUE"""),"ラーメン赤猫")</f>
        <v/>
      </c>
      <c r="C71">
        <f>IFERROR(__xludf.DUMMYFUNCTION("""COMPUTED_VALUE"""),"piece")</f>
        <v/>
      </c>
      <c r="D71">
        <f>IFERROR(__xludf.DUMMYFUNCTION("""COMPUTED_VALUE"""),"00001")</f>
        <v/>
      </c>
      <c r="E71">
        <f>IFERROR(__xludf.DUMMYFUNCTION("""COMPUTED_VALUE"""),"piece_aka_00001")</f>
        <v/>
      </c>
      <c r="F71">
        <f>IFERROR(__xludf.DUMMYFUNCTION("""COMPUTED_VALUE"""),"piece_aka_00001")</f>
        <v/>
      </c>
      <c r="G71">
        <f>IFERROR(__xludf.DUMMYFUNCTION("""COMPUTED_VALUE"""),"item_icon_piece_aka_00001")</f>
        <v/>
      </c>
      <c r="H71">
        <f>IFERROR(__xludf.DUMMYFUNCTION("""COMPUTED_VALUE"""),"佐々木のかけら")</f>
        <v/>
      </c>
      <c r="I71">
        <f>IFERROR(__xludf.DUMMYFUNCTION("""COMPUTED_VALUE"""),"R")</f>
        <v/>
      </c>
      <c r="J71">
        <f>IFERROR(__xludf.DUMMYFUNCTION("""COMPUTED_VALUE"""),9.99999999E8)</f>
        <v/>
      </c>
      <c r="K71">
        <f>IFERROR(__xludf.DUMMYFUNCTION("""COMPUTED_VALUE"""),9.99999999E8)</f>
        <v/>
      </c>
      <c r="L71">
        <f>IFERROR(__xludf.DUMMYFUNCTION("""COMPUTED_VALUE"""),"佐々木のグレードアップに使用するアイテム")</f>
        <v/>
      </c>
      <c r="N71">
        <f>IFERROR(__xludf.DUMMYFUNCTION("""COMPUTED_VALUE"""),"2024-01-01 00:00:00")</f>
        <v/>
      </c>
    </row>
    <row r="72">
      <c r="A72">
        <f>IFERROR(__xludf.DUMMYFUNCTION("""COMPUTED_VALUE"""),"aka")</f>
        <v/>
      </c>
      <c r="B72">
        <f>IFERROR(__xludf.DUMMYFUNCTION("""COMPUTED_VALUE"""),"ラーメン赤猫")</f>
        <v/>
      </c>
      <c r="C72">
        <f>IFERROR(__xludf.DUMMYFUNCTION("""COMPUTED_VALUE"""),"piece")</f>
        <v/>
      </c>
      <c r="D72">
        <f>IFERROR(__xludf.DUMMYFUNCTION("""COMPUTED_VALUE"""),"00101")</f>
        <v/>
      </c>
      <c r="E72">
        <f>IFERROR(__xludf.DUMMYFUNCTION("""COMPUTED_VALUE"""),"piece_aka_00101")</f>
        <v/>
      </c>
      <c r="F72">
        <f>IFERROR(__xludf.DUMMYFUNCTION("""COMPUTED_VALUE"""),"piece_aka_00101")</f>
        <v/>
      </c>
      <c r="G72">
        <f>IFERROR(__xludf.DUMMYFUNCTION("""COMPUTED_VALUE"""),"item_icon_piece_aka_00101")</f>
        <v/>
      </c>
      <c r="H72">
        <f>IFERROR(__xludf.DUMMYFUNCTION("""COMPUTED_VALUE"""),"文蔵のかけら")</f>
        <v/>
      </c>
      <c r="I72">
        <f>IFERROR(__xludf.DUMMYFUNCTION("""COMPUTED_VALUE"""),"R")</f>
        <v/>
      </c>
      <c r="J72">
        <f>IFERROR(__xludf.DUMMYFUNCTION("""COMPUTED_VALUE"""),9.99999999E8)</f>
        <v/>
      </c>
      <c r="K72">
        <f>IFERROR(__xludf.DUMMYFUNCTION("""COMPUTED_VALUE"""),9.99999999E8)</f>
        <v/>
      </c>
      <c r="L72">
        <f>IFERROR(__xludf.DUMMYFUNCTION("""COMPUTED_VALUE"""),"文蔵のグレードアップに使用するアイテム")</f>
        <v/>
      </c>
      <c r="N72">
        <f>IFERROR(__xludf.DUMMYFUNCTION("""COMPUTED_VALUE"""),"2024-01-01 00:00:00")</f>
        <v/>
      </c>
    </row>
    <row r="74">
      <c r="A74">
        <f>IFERROR(__xludf.DUMMYFUNCTION("""COMPUTED_VALUE"""),"rik")</f>
        <v/>
      </c>
      <c r="B74">
        <f>IFERROR(__xludf.DUMMYFUNCTION("""COMPUTED_VALUE"""),"トマトイプーのリコピン")</f>
        <v/>
      </c>
      <c r="C74">
        <f>IFERROR(__xludf.DUMMYFUNCTION("""COMPUTED_VALUE"""),"piece")</f>
        <v/>
      </c>
      <c r="D74">
        <f>IFERROR(__xludf.DUMMYFUNCTION("""COMPUTED_VALUE"""),"00001")</f>
        <v/>
      </c>
      <c r="E74">
        <f>IFERROR(__xludf.DUMMYFUNCTION("""COMPUTED_VALUE"""),"piece_rik_00001")</f>
        <v/>
      </c>
      <c r="F74">
        <f>IFERROR(__xludf.DUMMYFUNCTION("""COMPUTED_VALUE"""),"piece_rik_00001")</f>
        <v/>
      </c>
      <c r="G74">
        <f>IFERROR(__xludf.DUMMYFUNCTION("""COMPUTED_VALUE"""),"item_icon_piece_rik_00001")</f>
        <v/>
      </c>
      <c r="H74">
        <f>IFERROR(__xludf.DUMMYFUNCTION("""COMPUTED_VALUE"""),"リコピンのかけら")</f>
        <v/>
      </c>
      <c r="I74">
        <f>IFERROR(__xludf.DUMMYFUNCTION("""COMPUTED_VALUE"""),"R")</f>
        <v/>
      </c>
      <c r="J74">
        <f>IFERROR(__xludf.DUMMYFUNCTION("""COMPUTED_VALUE"""),9.99999999E8)</f>
        <v/>
      </c>
      <c r="K74">
        <f>IFERROR(__xludf.DUMMYFUNCTION("""COMPUTED_VALUE"""),9.99999999E8)</f>
        <v/>
      </c>
      <c r="L74">
        <f>IFERROR(__xludf.DUMMYFUNCTION("""COMPUTED_VALUE"""),"リコピンのグレードアップに使用するアイテム")</f>
        <v/>
      </c>
      <c r="N74">
        <f>IFERROR(__xludf.DUMMYFUNCTION("""COMPUTED_VALUE"""),"2024-01-01 00:00:00")</f>
        <v/>
      </c>
    </row>
    <row r="75">
      <c r="A75">
        <f>IFERROR(__xludf.DUMMYFUNCTION("""COMPUTED_VALUE"""),"rik")</f>
        <v/>
      </c>
      <c r="B75">
        <f>IFERROR(__xludf.DUMMYFUNCTION("""COMPUTED_VALUE"""),"トマトイプーのリコピン")</f>
        <v/>
      </c>
      <c r="C75">
        <f>IFERROR(__xludf.DUMMYFUNCTION("""COMPUTED_VALUE"""),"piece")</f>
        <v/>
      </c>
      <c r="D75">
        <f>IFERROR(__xludf.DUMMYFUNCTION("""COMPUTED_VALUE"""),"00101")</f>
        <v/>
      </c>
      <c r="E75">
        <f>IFERROR(__xludf.DUMMYFUNCTION("""COMPUTED_VALUE"""),"piece_rik_00101")</f>
        <v/>
      </c>
      <c r="F75">
        <f>IFERROR(__xludf.DUMMYFUNCTION("""COMPUTED_VALUE"""),"piece_rik_00101")</f>
        <v/>
      </c>
      <c r="G75">
        <f>IFERROR(__xludf.DUMMYFUNCTION("""COMPUTED_VALUE"""),"item_icon_piece_rik_00101")</f>
        <v/>
      </c>
      <c r="H75">
        <f>IFERROR(__xludf.DUMMYFUNCTION("""COMPUTED_VALUE"""),"甘戸 めめのかけら")</f>
        <v/>
      </c>
      <c r="I75">
        <f>IFERROR(__xludf.DUMMYFUNCTION("""COMPUTED_VALUE"""),"R")</f>
        <v/>
      </c>
      <c r="J75">
        <f>IFERROR(__xludf.DUMMYFUNCTION("""COMPUTED_VALUE"""),9.99999999E8)</f>
        <v/>
      </c>
      <c r="K75">
        <f>IFERROR(__xludf.DUMMYFUNCTION("""COMPUTED_VALUE"""),9.99999999E8)</f>
        <v/>
      </c>
      <c r="L75">
        <f>IFERROR(__xludf.DUMMYFUNCTION("""COMPUTED_VALUE"""),"甘戸 めめのグレードアップに使用するアイテム")</f>
        <v/>
      </c>
      <c r="N75">
        <f>IFERROR(__xludf.DUMMYFUNCTION("""COMPUTED_VALUE"""),"2024-01-01 00:00:00")</f>
        <v/>
      </c>
    </row>
    <row r="77">
      <c r="A77">
        <f>IFERROR(__xludf.DUMMYFUNCTION("""COMPUTED_VALUE"""),"dan")</f>
        <v/>
      </c>
      <c r="B77">
        <f>IFERROR(__xludf.DUMMYFUNCTION("""COMPUTED_VALUE"""),"ダンダダン")</f>
        <v/>
      </c>
      <c r="C77">
        <f>IFERROR(__xludf.DUMMYFUNCTION("""COMPUTED_VALUE"""),"piece")</f>
        <v/>
      </c>
      <c r="D77">
        <f>IFERROR(__xludf.DUMMYFUNCTION("""COMPUTED_VALUE"""),"00001")</f>
        <v/>
      </c>
      <c r="E77">
        <f>IFERROR(__xludf.DUMMYFUNCTION("""COMPUTED_VALUE"""),"piece_dan_00001")</f>
        <v/>
      </c>
      <c r="F77">
        <f>IFERROR(__xludf.DUMMYFUNCTION("""COMPUTED_VALUE"""),"piece_dan_00001")</f>
        <v/>
      </c>
      <c r="G77">
        <f>IFERROR(__xludf.DUMMYFUNCTION("""COMPUTED_VALUE"""),"item_icon_piece_dan_00001")</f>
        <v/>
      </c>
      <c r="H77">
        <f>IFERROR(__xludf.DUMMYFUNCTION("""COMPUTED_VALUE"""),"オカルンのかけら")</f>
        <v/>
      </c>
      <c r="I77">
        <f>IFERROR(__xludf.DUMMYFUNCTION("""COMPUTED_VALUE"""),"R")</f>
        <v/>
      </c>
      <c r="J77">
        <f>IFERROR(__xludf.DUMMYFUNCTION("""COMPUTED_VALUE"""),9.99999999E8)</f>
        <v/>
      </c>
      <c r="K77">
        <f>IFERROR(__xludf.DUMMYFUNCTION("""COMPUTED_VALUE"""),9.99999999E8)</f>
        <v/>
      </c>
      <c r="L77">
        <f>IFERROR(__xludf.DUMMYFUNCTION("""COMPUTED_VALUE"""),"オカルンのグレードアップに使用するアイテム")</f>
        <v/>
      </c>
      <c r="N77">
        <f>IFERROR(__xludf.DUMMYFUNCTION("""COMPUTED_VALUE"""),"2024-01-01 00:00:00")</f>
        <v/>
      </c>
    </row>
    <row r="78">
      <c r="A78">
        <f>IFERROR(__xludf.DUMMYFUNCTION("""COMPUTED_VALUE"""),"dan")</f>
        <v/>
      </c>
      <c r="B78">
        <f>IFERROR(__xludf.DUMMYFUNCTION("""COMPUTED_VALUE"""),"ダンダダン")</f>
        <v/>
      </c>
      <c r="C78">
        <f>IFERROR(__xludf.DUMMYFUNCTION("""COMPUTED_VALUE"""),"piece")</f>
        <v/>
      </c>
      <c r="D78">
        <f>IFERROR(__xludf.DUMMYFUNCTION("""COMPUTED_VALUE"""),"00002")</f>
        <v/>
      </c>
      <c r="E78">
        <f>IFERROR(__xludf.DUMMYFUNCTION("""COMPUTED_VALUE"""),"piece_dan_00002")</f>
        <v/>
      </c>
      <c r="F78">
        <f>IFERROR(__xludf.DUMMYFUNCTION("""COMPUTED_VALUE"""),"piece_dan_00002")</f>
        <v/>
      </c>
      <c r="G78">
        <f>IFERROR(__xludf.DUMMYFUNCTION("""COMPUTED_VALUE"""),"item_icon_piece_dan_00002")</f>
        <v/>
      </c>
      <c r="H78">
        <f>IFERROR(__xludf.DUMMYFUNCTION("""COMPUTED_VALUE"""),"ターボババアの霊力 オカルンのかけら")</f>
        <v/>
      </c>
      <c r="I78">
        <f>IFERROR(__xludf.DUMMYFUNCTION("""COMPUTED_VALUE"""),"UR")</f>
        <v/>
      </c>
      <c r="J78">
        <f>IFERROR(__xludf.DUMMYFUNCTION("""COMPUTED_VALUE"""),9.99999999E8)</f>
        <v/>
      </c>
      <c r="K78">
        <f>IFERROR(__xludf.DUMMYFUNCTION("""COMPUTED_VALUE"""),9.99999999E8)</f>
        <v/>
      </c>
      <c r="L78">
        <f>IFERROR(__xludf.DUMMYFUNCTION("""COMPUTED_VALUE"""),"ターボババアの霊力 オカルンのグレードアップに使用するアイテム")</f>
        <v/>
      </c>
      <c r="N78">
        <f>IFERROR(__xludf.DUMMYFUNCTION("""COMPUTED_VALUE"""),"2024-01-01 00:00:00")</f>
        <v/>
      </c>
    </row>
    <row r="79">
      <c r="A79">
        <f>IFERROR(__xludf.DUMMYFUNCTION("""COMPUTED_VALUE"""),"dan")</f>
        <v/>
      </c>
      <c r="B79">
        <f>IFERROR(__xludf.DUMMYFUNCTION("""COMPUTED_VALUE"""),"ダンダダン")</f>
        <v/>
      </c>
      <c r="C79">
        <f>IFERROR(__xludf.DUMMYFUNCTION("""COMPUTED_VALUE"""),"piece")</f>
        <v/>
      </c>
      <c r="D79">
        <f>IFERROR(__xludf.DUMMYFUNCTION("""COMPUTED_VALUE"""),"00101")</f>
        <v/>
      </c>
      <c r="E79">
        <f>IFERROR(__xludf.DUMMYFUNCTION("""COMPUTED_VALUE"""),"piece_dan_00101")</f>
        <v/>
      </c>
      <c r="F79">
        <f>IFERROR(__xludf.DUMMYFUNCTION("""COMPUTED_VALUE"""),"piece_dan_00101")</f>
        <v/>
      </c>
      <c r="G79">
        <f>IFERROR(__xludf.DUMMYFUNCTION("""COMPUTED_VALUE"""),"item_icon_piece_dan_00101")</f>
        <v/>
      </c>
      <c r="H79">
        <f>IFERROR(__xludf.DUMMYFUNCTION("""COMPUTED_VALUE"""),"モモのかけら")</f>
        <v/>
      </c>
      <c r="I79">
        <f>IFERROR(__xludf.DUMMYFUNCTION("""COMPUTED_VALUE"""),"SSR")</f>
        <v/>
      </c>
      <c r="J79">
        <f>IFERROR(__xludf.DUMMYFUNCTION("""COMPUTED_VALUE"""),9.99999999E8)</f>
        <v/>
      </c>
      <c r="K79">
        <f>IFERROR(__xludf.DUMMYFUNCTION("""COMPUTED_VALUE"""),9.99999999E8)</f>
        <v/>
      </c>
      <c r="L79">
        <f>IFERROR(__xludf.DUMMYFUNCTION("""COMPUTED_VALUE"""),"モモのグレードアップに使用するアイテム")</f>
        <v/>
      </c>
      <c r="N79">
        <f>IFERROR(__xludf.DUMMYFUNCTION("""COMPUTED_VALUE"""),"2024-01-01 00:00:00")</f>
        <v/>
      </c>
    </row>
    <row r="80">
      <c r="A80">
        <f>IFERROR(__xludf.DUMMYFUNCTION("""COMPUTED_VALUE"""),"dan")</f>
        <v/>
      </c>
      <c r="B80">
        <f>IFERROR(__xludf.DUMMYFUNCTION("""COMPUTED_VALUE"""),"ダンダダン")</f>
        <v/>
      </c>
      <c r="C80">
        <f>IFERROR(__xludf.DUMMYFUNCTION("""COMPUTED_VALUE"""),"piece")</f>
        <v/>
      </c>
      <c r="D80">
        <f>IFERROR(__xludf.DUMMYFUNCTION("""COMPUTED_VALUE"""),"00201")</f>
        <v/>
      </c>
      <c r="E80">
        <f>IFERROR(__xludf.DUMMYFUNCTION("""COMPUTED_VALUE"""),"piece_dan_00201")</f>
        <v/>
      </c>
      <c r="F80">
        <f>IFERROR(__xludf.DUMMYFUNCTION("""COMPUTED_VALUE"""),"piece_dan_00201")</f>
        <v/>
      </c>
      <c r="G80">
        <f>IFERROR(__xludf.DUMMYFUNCTION("""COMPUTED_VALUE"""),"item_icon_piece_dan_00201")</f>
        <v/>
      </c>
      <c r="H80">
        <f>IFERROR(__xludf.DUMMYFUNCTION("""COMPUTED_VALUE"""),"アイラのかけら")</f>
        <v/>
      </c>
      <c r="I80">
        <f>IFERROR(__xludf.DUMMYFUNCTION("""COMPUTED_VALUE"""),"SR")</f>
        <v/>
      </c>
      <c r="J80">
        <f>IFERROR(__xludf.DUMMYFUNCTION("""COMPUTED_VALUE"""),9.99999999E8)</f>
        <v/>
      </c>
      <c r="K80">
        <f>IFERROR(__xludf.DUMMYFUNCTION("""COMPUTED_VALUE"""),9.99999999E8)</f>
        <v/>
      </c>
      <c r="L80">
        <f>IFERROR(__xludf.DUMMYFUNCTION("""COMPUTED_VALUE"""),"アイラのグレードアップに使用するアイテム")</f>
        <v/>
      </c>
      <c r="N80">
        <f>IFERROR(__xludf.DUMMYFUNCTION("""COMPUTED_VALUE"""),45952.625)</f>
        <v/>
      </c>
    </row>
    <row r="81">
      <c r="A81">
        <f>IFERROR(__xludf.DUMMYFUNCTION("""COMPUTED_VALUE"""),"dan")</f>
        <v/>
      </c>
      <c r="B81">
        <f>IFERROR(__xludf.DUMMYFUNCTION("""COMPUTED_VALUE"""),"ダンダダン")</f>
        <v/>
      </c>
      <c r="C81">
        <f>IFERROR(__xludf.DUMMYFUNCTION("""COMPUTED_VALUE"""),"piece")</f>
        <v/>
      </c>
      <c r="D81">
        <f>IFERROR(__xludf.DUMMYFUNCTION("""COMPUTED_VALUE"""),"00202")</f>
        <v/>
      </c>
      <c r="E81">
        <f>IFERROR(__xludf.DUMMYFUNCTION("""COMPUTED_VALUE"""),"piece_dan_00202")</f>
        <v/>
      </c>
      <c r="F81">
        <f>IFERROR(__xludf.DUMMYFUNCTION("""COMPUTED_VALUE"""),"piece_dan_00202")</f>
        <v/>
      </c>
      <c r="G81">
        <f>IFERROR(__xludf.DUMMYFUNCTION("""COMPUTED_VALUE"""),"item_icon_piece_dan_00202")</f>
        <v/>
      </c>
      <c r="H81">
        <f>IFERROR(__xludf.DUMMYFUNCTION("""COMPUTED_VALUE"""),"アクさらの愛 アイラ のかけら")</f>
        <v/>
      </c>
      <c r="I81">
        <f>IFERROR(__xludf.DUMMYFUNCTION("""COMPUTED_VALUE"""),"UR")</f>
        <v/>
      </c>
      <c r="J81">
        <f>IFERROR(__xludf.DUMMYFUNCTION("""COMPUTED_VALUE"""),9.99999999E8)</f>
        <v/>
      </c>
      <c r="K81">
        <f>IFERROR(__xludf.DUMMYFUNCTION("""COMPUTED_VALUE"""),9.99999999E8)</f>
        <v/>
      </c>
      <c r="L81">
        <f>IFERROR(__xludf.DUMMYFUNCTION("""COMPUTED_VALUE"""),"アクさらの愛 アイラのグレードアップに使用するアイテム")</f>
        <v/>
      </c>
      <c r="N81">
        <f>IFERROR(__xludf.DUMMYFUNCTION("""COMPUTED_VALUE"""),45952.625)</f>
        <v/>
      </c>
    </row>
    <row r="82">
      <c r="A82">
        <f>IFERROR(__xludf.DUMMYFUNCTION("""COMPUTED_VALUE"""),"dan")</f>
        <v/>
      </c>
      <c r="B82">
        <f>IFERROR(__xludf.DUMMYFUNCTION("""COMPUTED_VALUE"""),"ダンダダン")</f>
        <v/>
      </c>
      <c r="C82">
        <f>IFERROR(__xludf.DUMMYFUNCTION("""COMPUTED_VALUE"""),"piece")</f>
        <v/>
      </c>
      <c r="D82">
        <f>IFERROR(__xludf.DUMMYFUNCTION("""COMPUTED_VALUE"""),"00301")</f>
        <v/>
      </c>
      <c r="E82">
        <f>IFERROR(__xludf.DUMMYFUNCTION("""COMPUTED_VALUE"""),"piece_dan_00301")</f>
        <v/>
      </c>
      <c r="F82">
        <f>IFERROR(__xludf.DUMMYFUNCTION("""COMPUTED_VALUE"""),"piece_dan_00301")</f>
        <v/>
      </c>
      <c r="G82">
        <f>IFERROR(__xludf.DUMMYFUNCTION("""COMPUTED_VALUE"""),"item_icon_piece_dan_00301")</f>
        <v/>
      </c>
      <c r="H82">
        <f>IFERROR(__xludf.DUMMYFUNCTION("""COMPUTED_VALUE"""),"招き猫 ターボババアのかけら")</f>
        <v/>
      </c>
      <c r="I82">
        <f>IFERROR(__xludf.DUMMYFUNCTION("""COMPUTED_VALUE"""),"SR")</f>
        <v/>
      </c>
      <c r="J82">
        <f>IFERROR(__xludf.DUMMYFUNCTION("""COMPUTED_VALUE"""),9.99999999E8)</f>
        <v/>
      </c>
      <c r="K82">
        <f>IFERROR(__xludf.DUMMYFUNCTION("""COMPUTED_VALUE"""),9.99999999E8)</f>
        <v/>
      </c>
      <c r="L82">
        <f>IFERROR(__xludf.DUMMYFUNCTION("""COMPUTED_VALUE"""),"招き猫 ターボババアのグレードアップに使用するアイテム")</f>
        <v/>
      </c>
      <c r="N82">
        <f>IFERROR(__xludf.DUMMYFUNCTION("""COMPUTED_VALUE"""),45952.625)</f>
        <v/>
      </c>
    </row>
    <row r="84">
      <c r="A84">
        <f>IFERROR(__xludf.DUMMYFUNCTION("""COMPUTED_VALUE"""),"gom")</f>
        <v/>
      </c>
      <c r="B84">
        <f>IFERROR(__xludf.DUMMYFUNCTION("""COMPUTED_VALUE"""),"姫様“拷問”の時間です")</f>
        <v/>
      </c>
      <c r="C84">
        <f>IFERROR(__xludf.DUMMYFUNCTION("""COMPUTED_VALUE"""),"piece")</f>
        <v/>
      </c>
      <c r="D84">
        <f>IFERROR(__xludf.DUMMYFUNCTION("""COMPUTED_VALUE"""),"00001")</f>
        <v/>
      </c>
      <c r="E84">
        <f>IFERROR(__xludf.DUMMYFUNCTION("""COMPUTED_VALUE"""),"piece_gom_00001")</f>
        <v/>
      </c>
      <c r="F84">
        <f>IFERROR(__xludf.DUMMYFUNCTION("""COMPUTED_VALUE"""),"piece_gom_00001")</f>
        <v/>
      </c>
      <c r="G84">
        <f>IFERROR(__xludf.DUMMYFUNCTION("""COMPUTED_VALUE"""),"item_icon_piece_gom_00001")</f>
        <v/>
      </c>
      <c r="H84">
        <f>IFERROR(__xludf.DUMMYFUNCTION("""COMPUTED_VALUE"""),"囚われの王女 姫様のかけら")</f>
        <v/>
      </c>
      <c r="I84">
        <f>IFERROR(__xludf.DUMMYFUNCTION("""COMPUTED_VALUE"""),"UR")</f>
        <v/>
      </c>
      <c r="J84">
        <f>IFERROR(__xludf.DUMMYFUNCTION("""COMPUTED_VALUE"""),9.99999999E8)</f>
        <v/>
      </c>
      <c r="K84">
        <f>IFERROR(__xludf.DUMMYFUNCTION("""COMPUTED_VALUE"""),9.99999999E8)</f>
        <v/>
      </c>
      <c r="L84">
        <f>IFERROR(__xludf.DUMMYFUNCTION("""COMPUTED_VALUE"""),"囚われの王女 姫様のグレードアップに使用するアイテム")</f>
        <v/>
      </c>
      <c r="N84">
        <f>IFERROR(__xludf.DUMMYFUNCTION("""COMPUTED_VALUE"""),"2024-01-01 00:00:00")</f>
        <v/>
      </c>
    </row>
    <row r="85">
      <c r="A85">
        <f>IFERROR(__xludf.DUMMYFUNCTION("""COMPUTED_VALUE"""),"gom")</f>
        <v/>
      </c>
      <c r="B85">
        <f>IFERROR(__xludf.DUMMYFUNCTION("""COMPUTED_VALUE"""),"姫様“拷問”の時間です")</f>
        <v/>
      </c>
      <c r="C85">
        <f>IFERROR(__xludf.DUMMYFUNCTION("""COMPUTED_VALUE"""),"piece")</f>
        <v/>
      </c>
      <c r="D85">
        <f>IFERROR(__xludf.DUMMYFUNCTION("""COMPUTED_VALUE"""),"00101")</f>
        <v/>
      </c>
      <c r="E85">
        <f>IFERROR(__xludf.DUMMYFUNCTION("""COMPUTED_VALUE"""),"piece_gom_00101")</f>
        <v/>
      </c>
      <c r="F85">
        <f>IFERROR(__xludf.DUMMYFUNCTION("""COMPUTED_VALUE"""),"piece_gom_00101")</f>
        <v/>
      </c>
      <c r="G85">
        <f>IFERROR(__xludf.DUMMYFUNCTION("""COMPUTED_VALUE"""),"item_icon_piece_gom_00101")</f>
        <v/>
      </c>
      <c r="H85">
        <f>IFERROR(__xludf.DUMMYFUNCTION("""COMPUTED_VALUE"""),"トーチャー・トルチュールのかけら")</f>
        <v/>
      </c>
      <c r="I85">
        <f>IFERROR(__xludf.DUMMYFUNCTION("""COMPUTED_VALUE"""),"SR")</f>
        <v/>
      </c>
      <c r="J85">
        <f>IFERROR(__xludf.DUMMYFUNCTION("""COMPUTED_VALUE"""),9.99999999E8)</f>
        <v/>
      </c>
      <c r="K85">
        <f>IFERROR(__xludf.DUMMYFUNCTION("""COMPUTED_VALUE"""),9.99999999E8)</f>
        <v/>
      </c>
      <c r="L85">
        <f>IFERROR(__xludf.DUMMYFUNCTION("""COMPUTED_VALUE"""),"トーチャー・トルチュールのグレードアップに使用するアイテム")</f>
        <v/>
      </c>
      <c r="N85">
        <f>IFERROR(__xludf.DUMMYFUNCTION("""COMPUTED_VALUE"""),"2024-01-01 00:00:00")</f>
        <v/>
      </c>
    </row>
    <row r="86">
      <c r="A86">
        <f>IFERROR(__xludf.DUMMYFUNCTION("""COMPUTED_VALUE"""),"gom")</f>
        <v/>
      </c>
      <c r="B86">
        <f>IFERROR(__xludf.DUMMYFUNCTION("""COMPUTED_VALUE"""),"姫様“拷問”の時間です")</f>
        <v/>
      </c>
      <c r="C86">
        <f>IFERROR(__xludf.DUMMYFUNCTION("""COMPUTED_VALUE"""),"piece")</f>
        <v/>
      </c>
      <c r="D86">
        <f>IFERROR(__xludf.DUMMYFUNCTION("""COMPUTED_VALUE"""),"00201")</f>
        <v/>
      </c>
      <c r="E86">
        <f>IFERROR(__xludf.DUMMYFUNCTION("""COMPUTED_VALUE"""),"piece_gom_00201")</f>
        <v/>
      </c>
      <c r="F86">
        <f>IFERROR(__xludf.DUMMYFUNCTION("""COMPUTED_VALUE"""),"piece_gom_00201")</f>
        <v/>
      </c>
      <c r="G86">
        <f>IFERROR(__xludf.DUMMYFUNCTION("""COMPUTED_VALUE"""),"item_icon_piece_gom_00201")</f>
        <v/>
      </c>
      <c r="H86">
        <f>IFERROR(__xludf.DUMMYFUNCTION("""COMPUTED_VALUE"""),"クロルのかけら")</f>
        <v/>
      </c>
      <c r="I86">
        <f>IFERROR(__xludf.DUMMYFUNCTION("""COMPUTED_VALUE"""),"R")</f>
        <v/>
      </c>
      <c r="J86">
        <f>IFERROR(__xludf.DUMMYFUNCTION("""COMPUTED_VALUE"""),9.99999999E8)</f>
        <v/>
      </c>
      <c r="K86">
        <f>IFERROR(__xludf.DUMMYFUNCTION("""COMPUTED_VALUE"""),9.99999999E8)</f>
        <v/>
      </c>
      <c r="L86">
        <f>IFERROR(__xludf.DUMMYFUNCTION("""COMPUTED_VALUE"""),"クロルのグレードアップに使用するアイテム")</f>
        <v/>
      </c>
      <c r="N86">
        <f>IFERROR(__xludf.DUMMYFUNCTION("""COMPUTED_VALUE"""),"2024-01-01 00:00:00")</f>
        <v/>
      </c>
    </row>
    <row r="88">
      <c r="A88">
        <f>IFERROR(__xludf.DUMMYFUNCTION("""COMPUTED_VALUE"""),"chi")</f>
        <v/>
      </c>
      <c r="B88">
        <f>IFERROR(__xludf.DUMMYFUNCTION("""COMPUTED_VALUE"""),"チェンソーマン")</f>
        <v/>
      </c>
      <c r="C88">
        <f>IFERROR(__xludf.DUMMYFUNCTION("""COMPUTED_VALUE"""),"piece")</f>
        <v/>
      </c>
      <c r="D88">
        <f>IFERROR(__xludf.DUMMYFUNCTION("""COMPUTED_VALUE"""),"00001")</f>
        <v/>
      </c>
      <c r="E88">
        <f>IFERROR(__xludf.DUMMYFUNCTION("""COMPUTED_VALUE"""),"piece_chi_00001")</f>
        <v/>
      </c>
      <c r="F88">
        <f>IFERROR(__xludf.DUMMYFUNCTION("""COMPUTED_VALUE"""),"piece_chi_00001")</f>
        <v/>
      </c>
      <c r="G88">
        <f>IFERROR(__xludf.DUMMYFUNCTION("""COMPUTED_VALUE"""),"item_icon_piece_chi_00001")</f>
        <v/>
      </c>
      <c r="H88">
        <f>IFERROR(__xludf.DUMMYFUNCTION("""COMPUTED_VALUE"""),"デンジのかけら")</f>
        <v/>
      </c>
      <c r="I88">
        <f>IFERROR(__xludf.DUMMYFUNCTION("""COMPUTED_VALUE"""),"R")</f>
        <v/>
      </c>
      <c r="J88">
        <f>IFERROR(__xludf.DUMMYFUNCTION("""COMPUTED_VALUE"""),9.99999999E8)</f>
        <v/>
      </c>
      <c r="K88">
        <f>IFERROR(__xludf.DUMMYFUNCTION("""COMPUTED_VALUE"""),9.99999999E8)</f>
        <v/>
      </c>
      <c r="L88">
        <f>IFERROR(__xludf.DUMMYFUNCTION("""COMPUTED_VALUE"""),"デンジのグレードアップに使用するアイテム")</f>
        <v/>
      </c>
      <c r="N88">
        <f>IFERROR(__xludf.DUMMYFUNCTION("""COMPUTED_VALUE"""),"2024-01-01 00:00:00")</f>
        <v/>
      </c>
    </row>
    <row r="89">
      <c r="A89">
        <f>IFERROR(__xludf.DUMMYFUNCTION("""COMPUTED_VALUE"""),"chi")</f>
        <v/>
      </c>
      <c r="B89">
        <f>IFERROR(__xludf.DUMMYFUNCTION("""COMPUTED_VALUE"""),"チェンソーマン")</f>
        <v/>
      </c>
      <c r="C89">
        <f>IFERROR(__xludf.DUMMYFUNCTION("""COMPUTED_VALUE"""),"piece")</f>
        <v/>
      </c>
      <c r="D89">
        <f>IFERROR(__xludf.DUMMYFUNCTION("""COMPUTED_VALUE"""),"00002")</f>
        <v/>
      </c>
      <c r="E89">
        <f>IFERROR(__xludf.DUMMYFUNCTION("""COMPUTED_VALUE"""),"piece_chi_00002")</f>
        <v/>
      </c>
      <c r="F89">
        <f>IFERROR(__xludf.DUMMYFUNCTION("""COMPUTED_VALUE"""),"piece_chi_00002")</f>
        <v/>
      </c>
      <c r="G89">
        <f>IFERROR(__xludf.DUMMYFUNCTION("""COMPUTED_VALUE"""),"item_icon_piece_chi_00002")</f>
        <v/>
      </c>
      <c r="H89">
        <f>IFERROR(__xludf.DUMMYFUNCTION("""COMPUTED_VALUE"""),"悪魔が恐れる悪魔 チェンソーマンのかけら")</f>
        <v/>
      </c>
      <c r="I89">
        <f>IFERROR(__xludf.DUMMYFUNCTION("""COMPUTED_VALUE"""),"UR")</f>
        <v/>
      </c>
      <c r="J89">
        <f>IFERROR(__xludf.DUMMYFUNCTION("""COMPUTED_VALUE"""),9.99999999E8)</f>
        <v/>
      </c>
      <c r="K89">
        <f>IFERROR(__xludf.DUMMYFUNCTION("""COMPUTED_VALUE"""),9.99999999E8)</f>
        <v/>
      </c>
      <c r="L89">
        <f>IFERROR(__xludf.DUMMYFUNCTION("""COMPUTED_VALUE"""),"悪魔が恐れる悪魔 チェンソーマンのグレードアップに使用するアイテム")</f>
        <v/>
      </c>
      <c r="N89">
        <f>IFERROR(__xludf.DUMMYFUNCTION("""COMPUTED_VALUE"""),"2024-01-01 00:00:00")</f>
        <v/>
      </c>
    </row>
    <row r="90">
      <c r="A90">
        <f>IFERROR(__xludf.DUMMYFUNCTION("""COMPUTED_VALUE"""),"chi")</f>
        <v/>
      </c>
      <c r="B90">
        <f>IFERROR(__xludf.DUMMYFUNCTION("""COMPUTED_VALUE"""),"チェンソーマン")</f>
        <v/>
      </c>
      <c r="C90">
        <f>IFERROR(__xludf.DUMMYFUNCTION("""COMPUTED_VALUE"""),"piece")</f>
        <v/>
      </c>
      <c r="D90">
        <f>IFERROR(__xludf.DUMMYFUNCTION("""COMPUTED_VALUE"""),"00201")</f>
        <v/>
      </c>
      <c r="E90">
        <f>IFERROR(__xludf.DUMMYFUNCTION("""COMPUTED_VALUE"""),"piece_chi_00201")</f>
        <v/>
      </c>
      <c r="F90">
        <f>IFERROR(__xludf.DUMMYFUNCTION("""COMPUTED_VALUE"""),"piece_chi_00201")</f>
        <v/>
      </c>
      <c r="G90">
        <f>IFERROR(__xludf.DUMMYFUNCTION("""COMPUTED_VALUE"""),"item_icon_piece_chi_00201")</f>
        <v/>
      </c>
      <c r="H90">
        <f>IFERROR(__xludf.DUMMYFUNCTION("""COMPUTED_VALUE"""),"早川 アキのかけら")</f>
        <v/>
      </c>
      <c r="I90">
        <f>IFERROR(__xludf.DUMMYFUNCTION("""COMPUTED_VALUE"""),"SSR")</f>
        <v/>
      </c>
      <c r="J90">
        <f>IFERROR(__xludf.DUMMYFUNCTION("""COMPUTED_VALUE"""),9.99999999E8)</f>
        <v/>
      </c>
      <c r="K90">
        <f>IFERROR(__xludf.DUMMYFUNCTION("""COMPUTED_VALUE"""),9.99999999E8)</f>
        <v/>
      </c>
      <c r="L90">
        <f>IFERROR(__xludf.DUMMYFUNCTION("""COMPUTED_VALUE"""),"早川 アキのグレードアップに使用するアイテム")</f>
        <v/>
      </c>
      <c r="N90">
        <f>IFERROR(__xludf.DUMMYFUNCTION("""COMPUTED_VALUE"""),"2024-01-01 00:00:00")</f>
        <v/>
      </c>
    </row>
    <row r="91">
      <c r="A91">
        <f>IFERROR(__xludf.DUMMYFUNCTION("""COMPUTED_VALUE"""),"chi")</f>
        <v/>
      </c>
      <c r="B91">
        <f>IFERROR(__xludf.DUMMYFUNCTION("""COMPUTED_VALUE"""),"チェンソーマン")</f>
        <v/>
      </c>
      <c r="C91">
        <f>IFERROR(__xludf.DUMMYFUNCTION("""COMPUTED_VALUE"""),"piece")</f>
        <v/>
      </c>
      <c r="D91">
        <f>IFERROR(__xludf.DUMMYFUNCTION("""COMPUTED_VALUE"""),"00301")</f>
        <v/>
      </c>
      <c r="E91">
        <f>IFERROR(__xludf.DUMMYFUNCTION("""COMPUTED_VALUE"""),"piece_chi_00301")</f>
        <v/>
      </c>
      <c r="F91">
        <f>IFERROR(__xludf.DUMMYFUNCTION("""COMPUTED_VALUE"""),"piece_chi_00301")</f>
        <v/>
      </c>
      <c r="G91">
        <f>IFERROR(__xludf.DUMMYFUNCTION("""COMPUTED_VALUE"""),"item_icon_piece_chi_00301")</f>
        <v/>
      </c>
      <c r="H91">
        <f>IFERROR(__xludf.DUMMYFUNCTION("""COMPUTED_VALUE"""),"パワーのかけら")</f>
        <v/>
      </c>
      <c r="I91">
        <f>IFERROR(__xludf.DUMMYFUNCTION("""COMPUTED_VALUE"""),"SSR")</f>
        <v/>
      </c>
      <c r="J91">
        <f>IFERROR(__xludf.DUMMYFUNCTION("""COMPUTED_VALUE"""),9.99999999E8)</f>
        <v/>
      </c>
      <c r="K91">
        <f>IFERROR(__xludf.DUMMYFUNCTION("""COMPUTED_VALUE"""),9.99999999E8)</f>
        <v/>
      </c>
      <c r="L91">
        <f>IFERROR(__xludf.DUMMYFUNCTION("""COMPUTED_VALUE"""),"パワーのグレードアップに使用するアイテム")</f>
        <v/>
      </c>
      <c r="N91">
        <f>IFERROR(__xludf.DUMMYFUNCTION("""COMPUTED_VALUE"""),"2024-01-01 00:00:00")</f>
        <v/>
      </c>
    </row>
    <row r="93">
      <c r="A93">
        <f>IFERROR(__xludf.DUMMYFUNCTION("""COMPUTED_VALUE"""),"bat")</f>
        <v/>
      </c>
      <c r="B93">
        <f>IFERROR(__xludf.DUMMYFUNCTION("""COMPUTED_VALUE"""),"忘却バッテリー")</f>
        <v/>
      </c>
      <c r="C93">
        <f>IFERROR(__xludf.DUMMYFUNCTION("""COMPUTED_VALUE"""),"piece")</f>
        <v/>
      </c>
      <c r="D93">
        <f>IFERROR(__xludf.DUMMYFUNCTION("""COMPUTED_VALUE"""),"00001")</f>
        <v/>
      </c>
      <c r="E93">
        <f>IFERROR(__xludf.DUMMYFUNCTION("""COMPUTED_VALUE"""),"piece_bat_00001")</f>
        <v/>
      </c>
      <c r="F93">
        <f>IFERROR(__xludf.DUMMYFUNCTION("""COMPUTED_VALUE"""),"piece_bat_00001")</f>
        <v/>
      </c>
      <c r="G93">
        <f>IFERROR(__xludf.DUMMYFUNCTION("""COMPUTED_VALUE"""),"item_icon_piece_bat_00001")</f>
        <v/>
      </c>
      <c r="H93">
        <f>IFERROR(__xludf.DUMMYFUNCTION("""COMPUTED_VALUE"""),"清峰 葉流火のかけら")</f>
        <v/>
      </c>
      <c r="I93">
        <f>IFERROR(__xludf.DUMMYFUNCTION("""COMPUTED_VALUE"""),"SR")</f>
        <v/>
      </c>
      <c r="J93">
        <f>IFERROR(__xludf.DUMMYFUNCTION("""COMPUTED_VALUE"""),9.99999999E8)</f>
        <v/>
      </c>
      <c r="K93">
        <f>IFERROR(__xludf.DUMMYFUNCTION("""COMPUTED_VALUE"""),9.99999999E8)</f>
        <v/>
      </c>
      <c r="L93">
        <f>IFERROR(__xludf.DUMMYFUNCTION("""COMPUTED_VALUE"""),"清峰 葉流火のグレードアップに使用するアイテム")</f>
        <v/>
      </c>
      <c r="N93">
        <f>IFERROR(__xludf.DUMMYFUNCTION("""COMPUTED_VALUE"""),"2024-01-01 00:00:00")</f>
        <v/>
      </c>
    </row>
    <row r="94">
      <c r="A94">
        <f>IFERROR(__xludf.DUMMYFUNCTION("""COMPUTED_VALUE"""),"bat")</f>
        <v/>
      </c>
      <c r="B94">
        <f>IFERROR(__xludf.DUMMYFUNCTION("""COMPUTED_VALUE"""),"忘却バッテリー")</f>
        <v/>
      </c>
      <c r="C94">
        <f>IFERROR(__xludf.DUMMYFUNCTION("""COMPUTED_VALUE"""),"piece")</f>
        <v/>
      </c>
      <c r="D94">
        <f>IFERROR(__xludf.DUMMYFUNCTION("""COMPUTED_VALUE"""),"00101")</f>
        <v/>
      </c>
      <c r="E94">
        <f>IFERROR(__xludf.DUMMYFUNCTION("""COMPUTED_VALUE"""),"piece_bat_00101")</f>
        <v/>
      </c>
      <c r="F94">
        <f>IFERROR(__xludf.DUMMYFUNCTION("""COMPUTED_VALUE"""),"piece_bat_00101")</f>
        <v/>
      </c>
      <c r="G94">
        <f>IFERROR(__xludf.DUMMYFUNCTION("""COMPUTED_VALUE"""),"item_icon_piece_bat_00101")</f>
        <v/>
      </c>
      <c r="H94">
        <f>IFERROR(__xludf.DUMMYFUNCTION("""COMPUTED_VALUE"""),"要 圭のかけら")</f>
        <v/>
      </c>
      <c r="I94">
        <f>IFERROR(__xludf.DUMMYFUNCTION("""COMPUTED_VALUE"""),"SR")</f>
        <v/>
      </c>
      <c r="J94">
        <f>IFERROR(__xludf.DUMMYFUNCTION("""COMPUTED_VALUE"""),9.99999999E8)</f>
        <v/>
      </c>
      <c r="K94">
        <f>IFERROR(__xludf.DUMMYFUNCTION("""COMPUTED_VALUE"""),9.99999999E8)</f>
        <v/>
      </c>
      <c r="L94">
        <f>IFERROR(__xludf.DUMMYFUNCTION("""COMPUTED_VALUE"""),"要 圭のグレードアップに使用するアイテム")</f>
        <v/>
      </c>
      <c r="N94">
        <f>IFERROR(__xludf.DUMMYFUNCTION("""COMPUTED_VALUE"""),"2024-01-01 00:00:00")</f>
        <v/>
      </c>
    </row>
    <row r="96">
      <c r="A96">
        <f>IFERROR(__xludf.DUMMYFUNCTION("""COMPUTED_VALUE"""),"kai")</f>
        <v/>
      </c>
      <c r="B96">
        <f>IFERROR(__xludf.DUMMYFUNCTION("""COMPUTED_VALUE"""),"怪獣８号")</f>
        <v/>
      </c>
      <c r="C96">
        <f>IFERROR(__xludf.DUMMYFUNCTION("""COMPUTED_VALUE"""),"piece")</f>
        <v/>
      </c>
      <c r="D96">
        <f>IFERROR(__xludf.DUMMYFUNCTION("""COMPUTED_VALUE"""),"00001")</f>
        <v/>
      </c>
      <c r="E96">
        <f>IFERROR(__xludf.DUMMYFUNCTION("""COMPUTED_VALUE"""),"piece_kai_00001")</f>
        <v/>
      </c>
      <c r="F96">
        <f>IFERROR(__xludf.DUMMYFUNCTION("""COMPUTED_VALUE"""),"piece_kai_00001")</f>
        <v/>
      </c>
      <c r="G96">
        <f>IFERROR(__xludf.DUMMYFUNCTION("""COMPUTED_VALUE"""),"item_icon_piece_kai_00001")</f>
        <v/>
      </c>
      <c r="H96">
        <f>IFERROR(__xludf.DUMMYFUNCTION("""COMPUTED_VALUE"""),"日比野 カフカのかけら")</f>
        <v/>
      </c>
      <c r="I96">
        <f>IFERROR(__xludf.DUMMYFUNCTION("""COMPUTED_VALUE"""),"R")</f>
        <v/>
      </c>
      <c r="J96">
        <f>IFERROR(__xludf.DUMMYFUNCTION("""COMPUTED_VALUE"""),9.99999999E8)</f>
        <v/>
      </c>
      <c r="K96">
        <f>IFERROR(__xludf.DUMMYFUNCTION("""COMPUTED_VALUE"""),9.99999999E8)</f>
        <v/>
      </c>
      <c r="L96">
        <f>IFERROR(__xludf.DUMMYFUNCTION("""COMPUTED_VALUE"""),"日比野 カフカのグレードアップに使用するアイテム")</f>
        <v/>
      </c>
      <c r="N96">
        <f>IFERROR(__xludf.DUMMYFUNCTION("""COMPUTED_VALUE"""),"2024-01-01 00:00:00")</f>
        <v/>
      </c>
    </row>
    <row r="97">
      <c r="A97">
        <f>IFERROR(__xludf.DUMMYFUNCTION("""COMPUTED_VALUE"""),"kai")</f>
        <v/>
      </c>
      <c r="B97">
        <f>IFERROR(__xludf.DUMMYFUNCTION("""COMPUTED_VALUE"""),"怪獣８号")</f>
        <v/>
      </c>
      <c r="C97">
        <f>IFERROR(__xludf.DUMMYFUNCTION("""COMPUTED_VALUE"""),"piece")</f>
        <v/>
      </c>
      <c r="D97">
        <f>IFERROR(__xludf.DUMMYFUNCTION("""COMPUTED_VALUE"""),"00002")</f>
        <v/>
      </c>
      <c r="E97">
        <f>IFERROR(__xludf.DUMMYFUNCTION("""COMPUTED_VALUE"""),"piece_kai_00002")</f>
        <v/>
      </c>
      <c r="F97">
        <f>IFERROR(__xludf.DUMMYFUNCTION("""COMPUTED_VALUE"""),"piece_kai_00002")</f>
        <v/>
      </c>
      <c r="G97">
        <f>IFERROR(__xludf.DUMMYFUNCTION("""COMPUTED_VALUE"""),"item_icon_piece_kai_00002")</f>
        <v/>
      </c>
      <c r="H97">
        <f>IFERROR(__xludf.DUMMYFUNCTION("""COMPUTED_VALUE"""),"隠された英雄の姿 怪獣８号のかけら")</f>
        <v/>
      </c>
      <c r="I97">
        <f>IFERROR(__xludf.DUMMYFUNCTION("""COMPUTED_VALUE"""),"UR")</f>
        <v/>
      </c>
      <c r="J97">
        <f>IFERROR(__xludf.DUMMYFUNCTION("""COMPUTED_VALUE"""),9.99999999E8)</f>
        <v/>
      </c>
      <c r="K97">
        <f>IFERROR(__xludf.DUMMYFUNCTION("""COMPUTED_VALUE"""),9.99999999E8)</f>
        <v/>
      </c>
      <c r="L97">
        <f>IFERROR(__xludf.DUMMYFUNCTION("""COMPUTED_VALUE"""),"隠された英雄の姿 怪獣８号のグレードアップに使用するアイテム")</f>
        <v/>
      </c>
      <c r="N97">
        <f>IFERROR(__xludf.DUMMYFUNCTION("""COMPUTED_VALUE"""),"2024-01-01 00:00:00")</f>
        <v/>
      </c>
    </row>
    <row r="98">
      <c r="A98">
        <f>IFERROR(__xludf.DUMMYFUNCTION("""COMPUTED_VALUE"""),"kai")</f>
        <v/>
      </c>
      <c r="B98">
        <f>IFERROR(__xludf.DUMMYFUNCTION("""COMPUTED_VALUE"""),"怪獣８号")</f>
        <v/>
      </c>
      <c r="C98">
        <f>IFERROR(__xludf.DUMMYFUNCTION("""COMPUTED_VALUE"""),"piece")</f>
        <v/>
      </c>
      <c r="D98">
        <f>IFERROR(__xludf.DUMMYFUNCTION("""COMPUTED_VALUE"""),"00101")</f>
        <v/>
      </c>
      <c r="E98">
        <f>IFERROR(__xludf.DUMMYFUNCTION("""COMPUTED_VALUE"""),"piece_kai_00101")</f>
        <v/>
      </c>
      <c r="F98">
        <f>IFERROR(__xludf.DUMMYFUNCTION("""COMPUTED_VALUE"""),"piece_kai_00101")</f>
        <v/>
      </c>
      <c r="G98">
        <f>IFERROR(__xludf.DUMMYFUNCTION("""COMPUTED_VALUE"""),"item_icon_piece_kai_00101")</f>
        <v/>
      </c>
      <c r="H98">
        <f>IFERROR(__xludf.DUMMYFUNCTION("""COMPUTED_VALUE"""),"市川 レノのかけら")</f>
        <v/>
      </c>
      <c r="I98">
        <f>IFERROR(__xludf.DUMMYFUNCTION("""COMPUTED_VALUE"""),"SR")</f>
        <v/>
      </c>
      <c r="J98">
        <f>IFERROR(__xludf.DUMMYFUNCTION("""COMPUTED_VALUE"""),9.99999999E8)</f>
        <v/>
      </c>
      <c r="K98">
        <f>IFERROR(__xludf.DUMMYFUNCTION("""COMPUTED_VALUE"""),9.99999999E8)</f>
        <v/>
      </c>
      <c r="L98">
        <f>IFERROR(__xludf.DUMMYFUNCTION("""COMPUTED_VALUE"""),"市川 レノのグレードアップに使用するアイテム")</f>
        <v/>
      </c>
      <c r="N98">
        <f>IFERROR(__xludf.DUMMYFUNCTION("""COMPUTED_VALUE"""),"2024-01-01 00:00:00")</f>
        <v/>
      </c>
    </row>
    <row r="99">
      <c r="A99">
        <f>IFERROR(__xludf.DUMMYFUNCTION("""COMPUTED_VALUE"""),"kai")</f>
        <v/>
      </c>
      <c r="B99">
        <f>IFERROR(__xludf.DUMMYFUNCTION("""COMPUTED_VALUE"""),"怪獣８号")</f>
        <v/>
      </c>
      <c r="C99">
        <f>IFERROR(__xludf.DUMMYFUNCTION("""COMPUTED_VALUE"""),"piece")</f>
        <v/>
      </c>
      <c r="D99">
        <f>IFERROR(__xludf.DUMMYFUNCTION("""COMPUTED_VALUE"""),"00201")</f>
        <v/>
      </c>
      <c r="E99">
        <f>IFERROR(__xludf.DUMMYFUNCTION("""COMPUTED_VALUE"""),"piece_kai_00201")</f>
        <v/>
      </c>
      <c r="F99">
        <f>IFERROR(__xludf.DUMMYFUNCTION("""COMPUTED_VALUE"""),"piece_kai_00201")</f>
        <v/>
      </c>
      <c r="G99">
        <f>IFERROR(__xludf.DUMMYFUNCTION("""COMPUTED_VALUE"""),"item_icon_piece_kai_00201")</f>
        <v/>
      </c>
      <c r="H99">
        <f>IFERROR(__xludf.DUMMYFUNCTION("""COMPUTED_VALUE"""),"第三部隊隊長 亜白 ミナのかけら")</f>
        <v/>
      </c>
      <c r="I99">
        <f>IFERROR(__xludf.DUMMYFUNCTION("""COMPUTED_VALUE"""),"UR")</f>
        <v/>
      </c>
      <c r="J99">
        <f>IFERROR(__xludf.DUMMYFUNCTION("""COMPUTED_VALUE"""),9.99999999E8)</f>
        <v/>
      </c>
      <c r="K99">
        <f>IFERROR(__xludf.DUMMYFUNCTION("""COMPUTED_VALUE"""),9.99999999E8)</f>
        <v/>
      </c>
      <c r="L99">
        <f>IFERROR(__xludf.DUMMYFUNCTION("""COMPUTED_VALUE"""),"第三部隊隊長 亜白 ミナのグレードアップに使用するアイテム")</f>
        <v/>
      </c>
      <c r="N99">
        <f>IFERROR(__xludf.DUMMYFUNCTION("""COMPUTED_VALUE"""),"2024-01-01 00:00:00")</f>
        <v/>
      </c>
    </row>
    <row r="100">
      <c r="A100">
        <f>IFERROR(__xludf.DUMMYFUNCTION("""COMPUTED_VALUE"""),"kai")</f>
        <v/>
      </c>
      <c r="B100">
        <f>IFERROR(__xludf.DUMMYFUNCTION("""COMPUTED_VALUE"""),"怪獣８号")</f>
        <v/>
      </c>
      <c r="C100">
        <f>IFERROR(__xludf.DUMMYFUNCTION("""COMPUTED_VALUE"""),"piece")</f>
        <v/>
      </c>
      <c r="D100">
        <f>IFERROR(__xludf.DUMMYFUNCTION("""COMPUTED_VALUE"""),"00301")</f>
        <v/>
      </c>
      <c r="E100">
        <f>IFERROR(__xludf.DUMMYFUNCTION("""COMPUTED_VALUE"""),"piece_kai_00301")</f>
        <v/>
      </c>
      <c r="F100">
        <f>IFERROR(__xludf.DUMMYFUNCTION("""COMPUTED_VALUE"""),"piece_kai_00301")</f>
        <v/>
      </c>
      <c r="G100">
        <f>IFERROR(__xludf.DUMMYFUNCTION("""COMPUTED_VALUE"""),"item_icon_piece_kai_00301")</f>
        <v/>
      </c>
      <c r="H100">
        <f>IFERROR(__xludf.DUMMYFUNCTION("""COMPUTED_VALUE"""),"四ノ宮 キコルのかけら")</f>
        <v/>
      </c>
      <c r="I100">
        <f>IFERROR(__xludf.DUMMYFUNCTION("""COMPUTED_VALUE"""),"SSR")</f>
        <v/>
      </c>
      <c r="J100">
        <f>IFERROR(__xludf.DUMMYFUNCTION("""COMPUTED_VALUE"""),9.99999999E8)</f>
        <v/>
      </c>
      <c r="K100">
        <f>IFERROR(__xludf.DUMMYFUNCTION("""COMPUTED_VALUE"""),9.99999999E8)</f>
        <v/>
      </c>
      <c r="L100">
        <f>IFERROR(__xludf.DUMMYFUNCTION("""COMPUTED_VALUE"""),"四ノ宮 キコルのグレードアップに使用するアイテム")</f>
        <v/>
      </c>
      <c r="N100">
        <f>IFERROR(__xludf.DUMMYFUNCTION("""COMPUTED_VALUE"""),"2024-01-01 00:00:00")</f>
        <v/>
      </c>
    </row>
    <row r="101">
      <c r="A101">
        <f>IFERROR(__xludf.DUMMYFUNCTION("""COMPUTED_VALUE"""),"kai")</f>
        <v/>
      </c>
      <c r="B101">
        <f>IFERROR(__xludf.DUMMYFUNCTION("""COMPUTED_VALUE"""),"怪獣８号")</f>
        <v/>
      </c>
      <c r="C101">
        <f>IFERROR(__xludf.DUMMYFUNCTION("""COMPUTED_VALUE"""),"piece")</f>
        <v/>
      </c>
      <c r="D101">
        <f>IFERROR(__xludf.DUMMYFUNCTION("""COMPUTED_VALUE"""),"00401")</f>
        <v/>
      </c>
      <c r="E101">
        <f>IFERROR(__xludf.DUMMYFUNCTION("""COMPUTED_VALUE"""),"piece_kai_00401")</f>
        <v/>
      </c>
      <c r="F101">
        <f>IFERROR(__xludf.DUMMYFUNCTION("""COMPUTED_VALUE"""),"piece_kai_00401")</f>
        <v/>
      </c>
      <c r="G101">
        <f>IFERROR(__xludf.DUMMYFUNCTION("""COMPUTED_VALUE"""),"item_icon_piece_kai_00401")</f>
        <v/>
      </c>
      <c r="H101">
        <f>IFERROR(__xludf.DUMMYFUNCTION("""COMPUTED_VALUE"""),"保科 宗四郎のかけら")</f>
        <v/>
      </c>
      <c r="I101">
        <f>IFERROR(__xludf.DUMMYFUNCTION("""COMPUTED_VALUE"""),"SSR")</f>
        <v/>
      </c>
      <c r="J101">
        <f>IFERROR(__xludf.DUMMYFUNCTION("""COMPUTED_VALUE"""),9.99999999E8)</f>
        <v/>
      </c>
      <c r="K101">
        <f>IFERROR(__xludf.DUMMYFUNCTION("""COMPUTED_VALUE"""),9.99999999E8)</f>
        <v/>
      </c>
      <c r="L101">
        <f>IFERROR(__xludf.DUMMYFUNCTION("""COMPUTED_VALUE"""),"保科 宗四郎のグレードアップに使用するアイテム")</f>
        <v/>
      </c>
      <c r="N101">
        <f>IFERROR(__xludf.DUMMYFUNCTION("""COMPUTED_VALUE"""),"2024-01-01 00:00:00")</f>
        <v/>
      </c>
    </row>
    <row r="102">
      <c r="A102">
        <f>IFERROR(__xludf.DUMMYFUNCTION("""COMPUTED_VALUE"""),"kai")</f>
        <v/>
      </c>
      <c r="B102">
        <f>IFERROR(__xludf.DUMMYFUNCTION("""COMPUTED_VALUE"""),"怪獣８号")</f>
        <v/>
      </c>
      <c r="C102">
        <f>IFERROR(__xludf.DUMMYFUNCTION("""COMPUTED_VALUE"""),"piece")</f>
        <v/>
      </c>
      <c r="D102">
        <f>IFERROR(__xludf.DUMMYFUNCTION("""COMPUTED_VALUE"""),"00501")</f>
        <v/>
      </c>
      <c r="E102">
        <f>IFERROR(__xludf.DUMMYFUNCTION("""COMPUTED_VALUE"""),"piece_kai_00501")</f>
        <v/>
      </c>
      <c r="F102">
        <f>IFERROR(__xludf.DUMMYFUNCTION("""COMPUTED_VALUE"""),"piece_kai_00501")</f>
        <v/>
      </c>
      <c r="G102">
        <f>IFERROR(__xludf.DUMMYFUNCTION("""COMPUTED_VALUE"""),"item_icon_piece_kai_00501")</f>
        <v/>
      </c>
      <c r="H102">
        <f>IFERROR(__xludf.DUMMYFUNCTION("""COMPUTED_VALUE"""),"四ノ宮 功のかけら")</f>
        <v/>
      </c>
      <c r="I102">
        <f>IFERROR(__xludf.DUMMYFUNCTION("""COMPUTED_VALUE"""),"SR")</f>
        <v/>
      </c>
      <c r="J102">
        <f>IFERROR(__xludf.DUMMYFUNCTION("""COMPUTED_VALUE"""),9.99999999E8)</f>
        <v/>
      </c>
      <c r="K102">
        <f>IFERROR(__xludf.DUMMYFUNCTION("""COMPUTED_VALUE"""),9.99999999E8)</f>
        <v/>
      </c>
      <c r="L102">
        <f>IFERROR(__xludf.DUMMYFUNCTION("""COMPUTED_VALUE"""),"四ノ宮 功のグレードアップに使用するアイテム")</f>
        <v/>
      </c>
      <c r="N102">
        <f>IFERROR(__xludf.DUMMYFUNCTION("""COMPUTED_VALUE"""),"2024-01-01 00:00:00")</f>
        <v/>
      </c>
    </row>
    <row r="103">
      <c r="A103">
        <f>IFERROR(__xludf.DUMMYFUNCTION("""COMPUTED_VALUE"""),"kai")</f>
        <v/>
      </c>
      <c r="B103">
        <f>IFERROR(__xludf.DUMMYFUNCTION("""COMPUTED_VALUE"""),"怪獣８号")</f>
        <v/>
      </c>
      <c r="C103">
        <f>IFERROR(__xludf.DUMMYFUNCTION("""COMPUTED_VALUE"""),"piece")</f>
        <v/>
      </c>
      <c r="D103">
        <f>IFERROR(__xludf.DUMMYFUNCTION("""COMPUTED_VALUE"""),"00601")</f>
        <v/>
      </c>
      <c r="E103">
        <f>IFERROR(__xludf.DUMMYFUNCTION("""COMPUTED_VALUE"""),"piece_kai_00601")</f>
        <v/>
      </c>
      <c r="F103">
        <f>IFERROR(__xludf.DUMMYFUNCTION("""COMPUTED_VALUE"""),"piece_kai_00601")</f>
        <v/>
      </c>
      <c r="G103">
        <f>IFERROR(__xludf.DUMMYFUNCTION("""COMPUTED_VALUE"""),"item_icon_piece_kai_00601")</f>
        <v/>
      </c>
      <c r="H103">
        <f>IFERROR(__xludf.DUMMYFUNCTION("""COMPUTED_VALUE"""),"古橋 伊春のかけら")</f>
        <v/>
      </c>
      <c r="I103">
        <f>IFERROR(__xludf.DUMMYFUNCTION("""COMPUTED_VALUE"""),"SR")</f>
        <v/>
      </c>
      <c r="J103">
        <f>IFERROR(__xludf.DUMMYFUNCTION("""COMPUTED_VALUE"""),9.99999999E8)</f>
        <v/>
      </c>
      <c r="K103">
        <f>IFERROR(__xludf.DUMMYFUNCTION("""COMPUTED_VALUE"""),9.99999999E8)</f>
        <v/>
      </c>
      <c r="L103">
        <f>IFERROR(__xludf.DUMMYFUNCTION("""COMPUTED_VALUE"""),"古橋 伊春のグレードアップに使用するアイテム")</f>
        <v/>
      </c>
      <c r="N103">
        <f>IFERROR(__xludf.DUMMYFUNCTION("""COMPUTED_VALUE"""),"2024-01-01 00:00:00")</f>
        <v/>
      </c>
    </row>
    <row r="105">
      <c r="A105">
        <f>IFERROR(__xludf.DUMMYFUNCTION("""COMPUTED_VALUE"""),"yuw")</f>
        <v/>
      </c>
      <c r="B105">
        <f>IFERROR(__xludf.DUMMYFUNCTION("""COMPUTED_VALUE"""),"2.5次元の誘惑")</f>
        <v/>
      </c>
      <c r="C105">
        <f>IFERROR(__xludf.DUMMYFUNCTION("""COMPUTED_VALUE"""),"piece")</f>
        <v/>
      </c>
      <c r="D105">
        <f>IFERROR(__xludf.DUMMYFUNCTION("""COMPUTED_VALUE"""),"00001")</f>
        <v/>
      </c>
      <c r="E105">
        <f>IFERROR(__xludf.DUMMYFUNCTION("""COMPUTED_VALUE"""),"piece_yuw_00001")</f>
        <v/>
      </c>
      <c r="F105">
        <f>IFERROR(__xludf.DUMMYFUNCTION("""COMPUTED_VALUE"""),"piece_yuw_00001")</f>
        <v/>
      </c>
      <c r="G105">
        <f>IFERROR(__xludf.DUMMYFUNCTION("""COMPUTED_VALUE"""),"item_icon_piece_yuw_00001")</f>
        <v/>
      </c>
      <c r="H105">
        <f>IFERROR(__xludf.DUMMYFUNCTION("""COMPUTED_VALUE"""),"リリエルに捧ぐ愛 天乃 リリサのかけら")</f>
        <v/>
      </c>
      <c r="I105">
        <f>IFERROR(__xludf.DUMMYFUNCTION("""COMPUTED_VALUE"""),"UR")</f>
        <v/>
      </c>
      <c r="J105">
        <f>IFERROR(__xludf.DUMMYFUNCTION("""COMPUTED_VALUE"""),9.99999999E8)</f>
        <v/>
      </c>
      <c r="K105">
        <f>IFERROR(__xludf.DUMMYFUNCTION("""COMPUTED_VALUE"""),9.99999999E8)</f>
        <v/>
      </c>
      <c r="L105">
        <f>IFERROR(__xludf.DUMMYFUNCTION("""COMPUTED_VALUE"""),"リリエルに捧ぐ愛 天乃 リリサのグレードアップに使用するアイテム")</f>
        <v/>
      </c>
      <c r="N105">
        <f>IFERROR(__xludf.DUMMYFUNCTION("""COMPUTED_VALUE"""),"2024-01-01 00:00:00")</f>
        <v/>
      </c>
    </row>
    <row r="106">
      <c r="A106">
        <f>IFERROR(__xludf.DUMMYFUNCTION("""COMPUTED_VALUE"""),"yuw")</f>
        <v/>
      </c>
      <c r="B106">
        <f>IFERROR(__xludf.DUMMYFUNCTION("""COMPUTED_VALUE"""),"2.5次元の誘惑")</f>
        <v/>
      </c>
      <c r="C106">
        <f>IFERROR(__xludf.DUMMYFUNCTION("""COMPUTED_VALUE"""),"piece")</f>
        <v/>
      </c>
      <c r="D106">
        <f>IFERROR(__xludf.DUMMYFUNCTION("""COMPUTED_VALUE"""),"00101")</f>
        <v/>
      </c>
      <c r="E106">
        <f>IFERROR(__xludf.DUMMYFUNCTION("""COMPUTED_VALUE"""),"piece_yuw_00101")</f>
        <v/>
      </c>
      <c r="F106">
        <f>IFERROR(__xludf.DUMMYFUNCTION("""COMPUTED_VALUE"""),"piece_yuw_00101")</f>
        <v/>
      </c>
      <c r="G106">
        <f>IFERROR(__xludf.DUMMYFUNCTION("""COMPUTED_VALUE"""),"item_icon_piece_yuw_00101")</f>
        <v/>
      </c>
      <c r="H106">
        <f>IFERROR(__xludf.DUMMYFUNCTION("""COMPUTED_VALUE"""),"コスプレに託す乙女心 橘 美花莉のかけら")</f>
        <v/>
      </c>
      <c r="I106">
        <f>IFERROR(__xludf.DUMMYFUNCTION("""COMPUTED_VALUE"""),"UR")</f>
        <v/>
      </c>
      <c r="J106">
        <f>IFERROR(__xludf.DUMMYFUNCTION("""COMPUTED_VALUE"""),9.99999999E8)</f>
        <v/>
      </c>
      <c r="K106">
        <f>IFERROR(__xludf.DUMMYFUNCTION("""COMPUTED_VALUE"""),9.99999999E8)</f>
        <v/>
      </c>
      <c r="L106">
        <f>IFERROR(__xludf.DUMMYFUNCTION("""COMPUTED_VALUE"""),"コスプレに託す乙女心 橘 美花莉のグレードアップに使用するアイテム")</f>
        <v/>
      </c>
      <c r="N106">
        <f>IFERROR(__xludf.DUMMYFUNCTION("""COMPUTED_VALUE"""),"2024-01-01 00:00:00")</f>
        <v/>
      </c>
    </row>
    <row r="107">
      <c r="A107">
        <f>IFERROR(__xludf.DUMMYFUNCTION("""COMPUTED_VALUE"""),"yuw")</f>
        <v/>
      </c>
      <c r="B107">
        <f>IFERROR(__xludf.DUMMYFUNCTION("""COMPUTED_VALUE"""),"2.5次元の誘惑")</f>
        <v/>
      </c>
      <c r="C107">
        <f>IFERROR(__xludf.DUMMYFUNCTION("""COMPUTED_VALUE"""),"piece")</f>
        <v/>
      </c>
      <c r="D107">
        <f>IFERROR(__xludf.DUMMYFUNCTION("""COMPUTED_VALUE"""),"00102")</f>
        <v/>
      </c>
      <c r="E107">
        <f>IFERROR(__xludf.DUMMYFUNCTION("""COMPUTED_VALUE"""),"piece_yuw_00102")</f>
        <v/>
      </c>
      <c r="F107">
        <f>IFERROR(__xludf.DUMMYFUNCTION("""COMPUTED_VALUE"""),"piece_yuw_00102")</f>
        <v/>
      </c>
      <c r="G107">
        <f>IFERROR(__xludf.DUMMYFUNCTION("""COMPUTED_VALUE"""),"item_icon_piece_yuw_00102")</f>
        <v/>
      </c>
      <c r="H107">
        <f>IFERROR(__xludf.DUMMYFUNCTION("""COMPUTED_VALUE"""),"愛届ける聖夜のサンタ 橘 美花莉のかけら")</f>
        <v/>
      </c>
      <c r="I107">
        <f>IFERROR(__xludf.DUMMYFUNCTION("""COMPUTED_VALUE"""),"UR")</f>
        <v/>
      </c>
      <c r="J107">
        <f>IFERROR(__xludf.DUMMYFUNCTION("""COMPUTED_VALUE"""),9.99999999E8)</f>
        <v/>
      </c>
      <c r="K107">
        <f>IFERROR(__xludf.DUMMYFUNCTION("""COMPUTED_VALUE"""),9.99999999E8)</f>
        <v/>
      </c>
      <c r="L107">
        <f>IFERROR(__xludf.DUMMYFUNCTION("""COMPUTED_VALUE"""),"愛届ける聖夜のサンタ 橘 美花莉のグレードアップに使用するアイテム")</f>
        <v/>
      </c>
      <c r="N107">
        <f>IFERROR(__xludf.DUMMYFUNCTION("""COMPUTED_VALUE"""),"2025-12-22 12:00:00")</f>
        <v/>
      </c>
    </row>
    <row r="108">
      <c r="A108">
        <f>IFERROR(__xludf.DUMMYFUNCTION("""COMPUTED_VALUE"""),"yuw")</f>
        <v/>
      </c>
      <c r="B108">
        <f>IFERROR(__xludf.DUMMYFUNCTION("""COMPUTED_VALUE"""),"2.5次元の誘惑")</f>
        <v/>
      </c>
      <c r="C108">
        <f>IFERROR(__xludf.DUMMYFUNCTION("""COMPUTED_VALUE"""),"piece")</f>
        <v/>
      </c>
      <c r="D108">
        <f>IFERROR(__xludf.DUMMYFUNCTION("""COMPUTED_VALUE"""),"00201")</f>
        <v/>
      </c>
      <c r="E108">
        <f>IFERROR(__xludf.DUMMYFUNCTION("""COMPUTED_VALUE"""),"piece_yuw_00201")</f>
        <v/>
      </c>
      <c r="F108">
        <f>IFERROR(__xludf.DUMMYFUNCTION("""COMPUTED_VALUE"""),"piece_yuw_00201")</f>
        <v/>
      </c>
      <c r="G108">
        <f>IFERROR(__xludf.DUMMYFUNCTION("""COMPUTED_VALUE"""),"item_icon_piece_yuw_00201")</f>
        <v/>
      </c>
      <c r="H108">
        <f>IFERROR(__xludf.DUMMYFUNCTION("""COMPUTED_VALUE"""),"羽生まゆりのかけら")</f>
        <v/>
      </c>
      <c r="I108">
        <f>IFERROR(__xludf.DUMMYFUNCTION("""COMPUTED_VALUE"""),"SSR")</f>
        <v/>
      </c>
      <c r="J108">
        <f>IFERROR(__xludf.DUMMYFUNCTION("""COMPUTED_VALUE"""),9.99999999E8)</f>
        <v/>
      </c>
      <c r="K108">
        <f>IFERROR(__xludf.DUMMYFUNCTION("""COMPUTED_VALUE"""),9.99999999E8)</f>
        <v/>
      </c>
      <c r="L108">
        <f>IFERROR(__xludf.DUMMYFUNCTION("""COMPUTED_VALUE"""),"羽生 まゆりのグレードアップに使用するアイテム")</f>
        <v/>
      </c>
      <c r="N108">
        <f>IFERROR(__xludf.DUMMYFUNCTION("""COMPUTED_VALUE"""),"2025-11-25 15:00:00")</f>
        <v/>
      </c>
    </row>
    <row r="109">
      <c r="A109">
        <f>IFERROR(__xludf.DUMMYFUNCTION("""COMPUTED_VALUE"""),"yuw")</f>
        <v/>
      </c>
      <c r="B109">
        <f>IFERROR(__xludf.DUMMYFUNCTION("""COMPUTED_VALUE"""),"2.5次元の誘惑")</f>
        <v/>
      </c>
      <c r="C109">
        <f>IFERROR(__xludf.DUMMYFUNCTION("""COMPUTED_VALUE"""),"piece")</f>
        <v/>
      </c>
      <c r="D109">
        <f>IFERROR(__xludf.DUMMYFUNCTION("""COMPUTED_VALUE"""),"00301")</f>
        <v/>
      </c>
      <c r="E109">
        <f>IFERROR(__xludf.DUMMYFUNCTION("""COMPUTED_VALUE"""),"piece_yuw_00301")</f>
        <v/>
      </c>
      <c r="F109">
        <f>IFERROR(__xludf.DUMMYFUNCTION("""COMPUTED_VALUE"""),"piece_yuw_00301")</f>
        <v/>
      </c>
      <c r="G109">
        <f>IFERROR(__xludf.DUMMYFUNCTION("""COMPUTED_VALUE"""),"item_icon_piece_yuw_00301")</f>
        <v/>
      </c>
      <c r="H109">
        <f>IFERROR(__xludf.DUMMYFUNCTION("""COMPUTED_VALUE"""),"勇気を纏うコスプレ 乃愛のかけら")</f>
        <v/>
      </c>
      <c r="I109">
        <f>IFERROR(__xludf.DUMMYFUNCTION("""COMPUTED_VALUE"""),"UR")</f>
        <v/>
      </c>
      <c r="J109">
        <f>IFERROR(__xludf.DUMMYFUNCTION("""COMPUTED_VALUE"""),9.99999999E8)</f>
        <v/>
      </c>
      <c r="K109">
        <f>IFERROR(__xludf.DUMMYFUNCTION("""COMPUTED_VALUE"""),9.99999999E8)</f>
        <v/>
      </c>
      <c r="L109">
        <f>IFERROR(__xludf.DUMMYFUNCTION("""COMPUTED_VALUE"""),"勇気を纏うコスプレ 乃愛のグレードアップに使用するアイテム")</f>
        <v/>
      </c>
      <c r="N109">
        <f>IFERROR(__xludf.DUMMYFUNCTION("""COMPUTED_VALUE"""),"2025-11-25 15:00:00")</f>
        <v/>
      </c>
    </row>
    <row r="110">
      <c r="A110">
        <f>IFERROR(__xludf.DUMMYFUNCTION("""COMPUTED_VALUE"""),"yuw")</f>
        <v/>
      </c>
      <c r="B110">
        <f>IFERROR(__xludf.DUMMYFUNCTION("""COMPUTED_VALUE"""),"2.5次元の誘惑")</f>
        <v/>
      </c>
      <c r="C110">
        <f>IFERROR(__xludf.DUMMYFUNCTION("""COMPUTED_VALUE"""),"piece")</f>
        <v/>
      </c>
      <c r="D110">
        <f>IFERROR(__xludf.DUMMYFUNCTION("""COMPUTED_VALUE"""),"00401")</f>
        <v/>
      </c>
      <c r="E110">
        <f>IFERROR(__xludf.DUMMYFUNCTION("""COMPUTED_VALUE"""),"piece_yuw_00401")</f>
        <v/>
      </c>
      <c r="F110">
        <f>IFERROR(__xludf.DUMMYFUNCTION("""COMPUTED_VALUE"""),"piece_yuw_00401")</f>
        <v/>
      </c>
      <c r="G110">
        <f>IFERROR(__xludf.DUMMYFUNCTION("""COMPUTED_VALUE"""),"item_icon_piece_yuw_00401")</f>
        <v/>
      </c>
      <c r="H110">
        <f>IFERROR(__xludf.DUMMYFUNCTION("""COMPUTED_VALUE"""),"伝えたいウチの想い 喜咲 アリアのかけら")</f>
        <v/>
      </c>
      <c r="I110">
        <f>IFERROR(__xludf.DUMMYFUNCTION("""COMPUTED_VALUE"""),"UR")</f>
        <v/>
      </c>
      <c r="J110">
        <f>IFERROR(__xludf.DUMMYFUNCTION("""COMPUTED_VALUE"""),9.99999999E8)</f>
        <v/>
      </c>
      <c r="K110">
        <f>IFERROR(__xludf.DUMMYFUNCTION("""COMPUTED_VALUE"""),9.99999999E8)</f>
        <v/>
      </c>
      <c r="L110">
        <f>IFERROR(__xludf.DUMMYFUNCTION("""COMPUTED_VALUE"""),"伝えたいウチの想い 喜咲 アリアのグレードアップに使用するアイテム")</f>
        <v/>
      </c>
      <c r="N110">
        <f>IFERROR(__xludf.DUMMYFUNCTION("""COMPUTED_VALUE"""),"2025-11-25 15:00:00")</f>
        <v/>
      </c>
    </row>
    <row r="111">
      <c r="A111">
        <f>IFERROR(__xludf.DUMMYFUNCTION("""COMPUTED_VALUE"""),"yuw")</f>
        <v/>
      </c>
      <c r="B111">
        <f>IFERROR(__xludf.DUMMYFUNCTION("""COMPUTED_VALUE"""),"2.5次元の誘惑")</f>
        <v/>
      </c>
      <c r="C111">
        <f>IFERROR(__xludf.DUMMYFUNCTION("""COMPUTED_VALUE"""),"piece")</f>
        <v/>
      </c>
      <c r="D111">
        <f>IFERROR(__xludf.DUMMYFUNCTION("""COMPUTED_VALUE"""),"00501")</f>
        <v/>
      </c>
      <c r="E111">
        <f>IFERROR(__xludf.DUMMYFUNCTION("""COMPUTED_VALUE"""),"piece_yuw_00501")</f>
        <v/>
      </c>
      <c r="F111">
        <f>IFERROR(__xludf.DUMMYFUNCTION("""COMPUTED_VALUE"""),"piece_yuw_00501")</f>
        <v/>
      </c>
      <c r="G111">
        <f>IFERROR(__xludf.DUMMYFUNCTION("""COMPUTED_VALUE"""),"item_icon_piece_yuw_00501")</f>
        <v/>
      </c>
      <c r="H111">
        <f>IFERROR(__xludf.DUMMYFUNCTION("""COMPUTED_VALUE"""),"753♡のかけら")</f>
        <v/>
      </c>
      <c r="I111">
        <f>IFERROR(__xludf.DUMMYFUNCTION("""COMPUTED_VALUE"""),"SR")</f>
        <v/>
      </c>
      <c r="J111">
        <f>IFERROR(__xludf.DUMMYFUNCTION("""COMPUTED_VALUE"""),9.99999999E8)</f>
        <v/>
      </c>
      <c r="K111">
        <f>IFERROR(__xludf.DUMMYFUNCTION("""COMPUTED_VALUE"""),9.99999999E8)</f>
        <v/>
      </c>
      <c r="L111">
        <f>IFERROR(__xludf.DUMMYFUNCTION("""COMPUTED_VALUE"""),"753♡のグレードアップに使用するアイテム")</f>
        <v/>
      </c>
      <c r="N111">
        <f>IFERROR(__xludf.DUMMYFUNCTION("""COMPUTED_VALUE"""),"2025-11-25 15:00:00")</f>
        <v/>
      </c>
    </row>
    <row r="112">
      <c r="A112">
        <f>IFERROR(__xludf.DUMMYFUNCTION("""COMPUTED_VALUE"""),"yuw")</f>
        <v/>
      </c>
      <c r="B112">
        <f>IFERROR(__xludf.DUMMYFUNCTION("""COMPUTED_VALUE"""),"2.5次元の誘惑")</f>
        <v/>
      </c>
      <c r="C112">
        <f>IFERROR(__xludf.DUMMYFUNCTION("""COMPUTED_VALUE"""),"piece")</f>
        <v/>
      </c>
      <c r="D112">
        <f>IFERROR(__xludf.DUMMYFUNCTION("""COMPUTED_VALUE"""),"00601")</f>
        <v/>
      </c>
      <c r="E112">
        <f>IFERROR(__xludf.DUMMYFUNCTION("""COMPUTED_VALUE"""),"piece_yuw_00601")</f>
        <v/>
      </c>
      <c r="F112">
        <f>IFERROR(__xludf.DUMMYFUNCTION("""COMPUTED_VALUE"""),"piece_yuw_00601")</f>
        <v/>
      </c>
      <c r="G112">
        <f>IFERROR(__xludf.DUMMYFUNCTION("""COMPUTED_VALUE"""),"item_icon_piece_yuw_00601")</f>
        <v/>
      </c>
      <c r="H112">
        <f>IFERROR(__xludf.DUMMYFUNCTION("""COMPUTED_VALUE"""),"奥村 正宗のかけら")</f>
        <v/>
      </c>
      <c r="I112">
        <f>IFERROR(__xludf.DUMMYFUNCTION("""COMPUTED_VALUE"""),"SR")</f>
        <v/>
      </c>
      <c r="J112">
        <f>IFERROR(__xludf.DUMMYFUNCTION("""COMPUTED_VALUE"""),9.99999999E8)</f>
        <v/>
      </c>
      <c r="K112">
        <f>IFERROR(__xludf.DUMMYFUNCTION("""COMPUTED_VALUE"""),9.99999999E8)</f>
        <v/>
      </c>
      <c r="L112">
        <f>IFERROR(__xludf.DUMMYFUNCTION("""COMPUTED_VALUE"""),"奥村 正宗のグレードアップに使用するアイテム")</f>
        <v/>
      </c>
      <c r="N112">
        <f>IFERROR(__xludf.DUMMYFUNCTION("""COMPUTED_VALUE"""),"2025-11-25 15:00:00")</f>
        <v/>
      </c>
    </row>
    <row r="114">
      <c r="A114">
        <f>IFERROR(__xludf.DUMMYFUNCTION("""COMPUTED_VALUE"""),"sur")</f>
        <v/>
      </c>
      <c r="B114">
        <f>IFERROR(__xludf.DUMMYFUNCTION("""COMPUTED_VALUE"""),"魔都精兵のスレイブ")</f>
        <v/>
      </c>
      <c r="C114">
        <f>IFERROR(__xludf.DUMMYFUNCTION("""COMPUTED_VALUE"""),"piece")</f>
        <v/>
      </c>
      <c r="D114">
        <f>IFERROR(__xludf.DUMMYFUNCTION("""COMPUTED_VALUE"""),"00001")</f>
        <v/>
      </c>
      <c r="E114">
        <f>IFERROR(__xludf.DUMMYFUNCTION("""COMPUTED_VALUE"""),"piece_sur_00001")</f>
        <v/>
      </c>
      <c r="F114">
        <f>IFERROR(__xludf.DUMMYFUNCTION("""COMPUTED_VALUE"""),"piece_sur_00001")</f>
        <v/>
      </c>
      <c r="G114">
        <f>IFERROR(__xludf.DUMMYFUNCTION("""COMPUTED_VALUE"""),"item_icon_piece_sur_00001")</f>
        <v/>
      </c>
      <c r="H114">
        <f>IFERROR(__xludf.DUMMYFUNCTION("""COMPUTED_VALUE"""),"和倉 優希のかけら")</f>
        <v/>
      </c>
      <c r="I114">
        <f>IFERROR(__xludf.DUMMYFUNCTION("""COMPUTED_VALUE"""),"R")</f>
        <v/>
      </c>
      <c r="J114">
        <f>IFERROR(__xludf.DUMMYFUNCTION("""COMPUTED_VALUE"""),9.99999999E8)</f>
        <v/>
      </c>
      <c r="K114">
        <f>IFERROR(__xludf.DUMMYFUNCTION("""COMPUTED_VALUE"""),9.99999999E8)</f>
        <v/>
      </c>
      <c r="L114">
        <f>IFERROR(__xludf.DUMMYFUNCTION("""COMPUTED_VALUE"""),"和倉 優希のグレードアップに使用するアイテム")</f>
        <v/>
      </c>
      <c r="N114">
        <f>IFERROR(__xludf.DUMMYFUNCTION("""COMPUTED_VALUE"""),"2024-01-01 00:00:00")</f>
        <v/>
      </c>
    </row>
    <row r="115">
      <c r="A115">
        <f>IFERROR(__xludf.DUMMYFUNCTION("""COMPUTED_VALUE"""),"sur")</f>
        <v/>
      </c>
      <c r="B115">
        <f>IFERROR(__xludf.DUMMYFUNCTION("""COMPUTED_VALUE"""),"魔都精兵のスレイブ")</f>
        <v/>
      </c>
      <c r="C115">
        <f>IFERROR(__xludf.DUMMYFUNCTION("""COMPUTED_VALUE"""),"piece")</f>
        <v/>
      </c>
      <c r="D115">
        <f>IFERROR(__xludf.DUMMYFUNCTION("""COMPUTED_VALUE"""),"00101")</f>
        <v/>
      </c>
      <c r="E115">
        <f>IFERROR(__xludf.DUMMYFUNCTION("""COMPUTED_VALUE"""),"piece_sur_00101")</f>
        <v/>
      </c>
      <c r="F115">
        <f>IFERROR(__xludf.DUMMYFUNCTION("""COMPUTED_VALUE"""),"piece_sur_00101")</f>
        <v/>
      </c>
      <c r="G115">
        <f>IFERROR(__xludf.DUMMYFUNCTION("""COMPUTED_VALUE"""),"item_icon_piece_sur_00101")</f>
        <v/>
      </c>
      <c r="H115">
        <f>IFERROR(__xludf.DUMMYFUNCTION("""COMPUTED_VALUE"""),"誇り高き魔都の剣姫 羽前 京香のかけら")</f>
        <v/>
      </c>
      <c r="I115">
        <f>IFERROR(__xludf.DUMMYFUNCTION("""COMPUTED_VALUE"""),"UR")</f>
        <v/>
      </c>
      <c r="J115">
        <f>IFERROR(__xludf.DUMMYFUNCTION("""COMPUTED_VALUE"""),9.99999999E8)</f>
        <v/>
      </c>
      <c r="K115">
        <f>IFERROR(__xludf.DUMMYFUNCTION("""COMPUTED_VALUE"""),9.99999999E8)</f>
        <v/>
      </c>
      <c r="L115">
        <f>IFERROR(__xludf.DUMMYFUNCTION("""COMPUTED_VALUE"""),"誇り高き魔都の剣姫 羽前 京香のグレードアップに使用するアイテム")</f>
        <v/>
      </c>
      <c r="N115">
        <f>IFERROR(__xludf.DUMMYFUNCTION("""COMPUTED_VALUE"""),"2024-01-01 00:00:00")</f>
        <v/>
      </c>
    </row>
    <row r="116">
      <c r="A116">
        <f>IFERROR(__xludf.DUMMYFUNCTION("""COMPUTED_VALUE"""),"sur")</f>
        <v/>
      </c>
      <c r="B116">
        <f>IFERROR(__xludf.DUMMYFUNCTION("""COMPUTED_VALUE"""),"魔都精兵のスレイブ")</f>
        <v/>
      </c>
      <c r="C116">
        <f>IFERROR(__xludf.DUMMYFUNCTION("""COMPUTED_VALUE"""),"piece")</f>
        <v/>
      </c>
      <c r="D116">
        <f>IFERROR(__xludf.DUMMYFUNCTION("""COMPUTED_VALUE"""),"00201")</f>
        <v/>
      </c>
      <c r="E116">
        <f>IFERROR(__xludf.DUMMYFUNCTION("""COMPUTED_VALUE"""),"piece_sur_00201")</f>
        <v/>
      </c>
      <c r="F116">
        <f>IFERROR(__xludf.DUMMYFUNCTION("""COMPUTED_VALUE"""),"piece_sur_00201")</f>
        <v/>
      </c>
      <c r="G116">
        <f>IFERROR(__xludf.DUMMYFUNCTION("""COMPUTED_VALUE"""),"item_icon_piece_sur_00201")</f>
        <v/>
      </c>
      <c r="H116">
        <f>IFERROR(__xludf.DUMMYFUNCTION("""COMPUTED_VALUE"""),"東 日万凛のかけら")</f>
        <v/>
      </c>
      <c r="I116">
        <f>IFERROR(__xludf.DUMMYFUNCTION("""COMPUTED_VALUE"""),"SR")</f>
        <v/>
      </c>
      <c r="J116">
        <f>IFERROR(__xludf.DUMMYFUNCTION("""COMPUTED_VALUE"""),9.99999999E8)</f>
        <v/>
      </c>
      <c r="K116">
        <f>IFERROR(__xludf.DUMMYFUNCTION("""COMPUTED_VALUE"""),9.99999999E8)</f>
        <v/>
      </c>
      <c r="L116">
        <f>IFERROR(__xludf.DUMMYFUNCTION("""COMPUTED_VALUE"""),"東 日万凛のグレードアップに使用するアイテム")</f>
        <v/>
      </c>
      <c r="N116">
        <f>IFERROR(__xludf.DUMMYFUNCTION("""COMPUTED_VALUE"""),"2024-01-01 00:00:00")</f>
        <v/>
      </c>
    </row>
    <row r="117">
      <c r="A117">
        <f>IFERROR(__xludf.DUMMYFUNCTION("""COMPUTED_VALUE"""),"sur")</f>
        <v/>
      </c>
      <c r="B117">
        <f>IFERROR(__xludf.DUMMYFUNCTION("""COMPUTED_VALUE"""),"魔都精兵のスレイブ")</f>
        <v/>
      </c>
      <c r="C117">
        <f>IFERROR(__xludf.DUMMYFUNCTION("""COMPUTED_VALUE"""),"piece")</f>
        <v/>
      </c>
      <c r="D117">
        <f>IFERROR(__xludf.DUMMYFUNCTION("""COMPUTED_VALUE"""),"00301")</f>
        <v/>
      </c>
      <c r="E117">
        <f>IFERROR(__xludf.DUMMYFUNCTION("""COMPUTED_VALUE"""),"piece_sur_00301")</f>
        <v/>
      </c>
      <c r="F117">
        <f>IFERROR(__xludf.DUMMYFUNCTION("""COMPUTED_VALUE"""),"piece_sur_00301")</f>
        <v/>
      </c>
      <c r="G117">
        <f>IFERROR(__xludf.DUMMYFUNCTION("""COMPUTED_VALUE"""),"item_icon_piece_sur_00301")</f>
        <v/>
      </c>
      <c r="H117">
        <f>IFERROR(__xludf.DUMMYFUNCTION("""COMPUTED_VALUE"""),"駿河 朱々のかけら")</f>
        <v/>
      </c>
      <c r="I117">
        <f>IFERROR(__xludf.DUMMYFUNCTION("""COMPUTED_VALUE"""),"SR")</f>
        <v/>
      </c>
      <c r="J117">
        <f>IFERROR(__xludf.DUMMYFUNCTION("""COMPUTED_VALUE"""),9.99999999E8)</f>
        <v/>
      </c>
      <c r="K117">
        <f>IFERROR(__xludf.DUMMYFUNCTION("""COMPUTED_VALUE"""),9.99999999E8)</f>
        <v/>
      </c>
      <c r="L117">
        <f>IFERROR(__xludf.DUMMYFUNCTION("""COMPUTED_VALUE"""),"駿河 朱々のグレードアップに使用するアイテム")</f>
        <v/>
      </c>
      <c r="N117">
        <f>IFERROR(__xludf.DUMMYFUNCTION("""COMPUTED_VALUE"""),"2024-01-01 00:00:00")</f>
        <v/>
      </c>
    </row>
    <row r="118">
      <c r="A118">
        <f>IFERROR(__xludf.DUMMYFUNCTION("""COMPUTED_VALUE"""),"sur")</f>
        <v/>
      </c>
      <c r="B118">
        <f>IFERROR(__xludf.DUMMYFUNCTION("""COMPUTED_VALUE"""),"魔都精兵のスレイブ")</f>
        <v/>
      </c>
      <c r="C118">
        <f>IFERROR(__xludf.DUMMYFUNCTION("""COMPUTED_VALUE"""),"piece")</f>
        <v/>
      </c>
      <c r="D118">
        <f>IFERROR(__xludf.DUMMYFUNCTION("""COMPUTED_VALUE"""),"00401")</f>
        <v/>
      </c>
      <c r="E118">
        <f>IFERROR(__xludf.DUMMYFUNCTION("""COMPUTED_VALUE"""),"piece_sur_00401")</f>
        <v/>
      </c>
      <c r="F118">
        <f>IFERROR(__xludf.DUMMYFUNCTION("""COMPUTED_VALUE"""),"piece_sur_00401")</f>
        <v/>
      </c>
      <c r="G118">
        <f>IFERROR(__xludf.DUMMYFUNCTION("""COMPUTED_VALUE"""),"item_icon_piece_sur_00401")</f>
        <v/>
      </c>
      <c r="H118">
        <f>IFERROR(__xludf.DUMMYFUNCTION("""COMPUTED_VALUE"""),"大川村 寧のかけら")</f>
        <v/>
      </c>
      <c r="I118">
        <f>IFERROR(__xludf.DUMMYFUNCTION("""COMPUTED_VALUE"""),"SR")</f>
        <v/>
      </c>
      <c r="J118">
        <f>IFERROR(__xludf.DUMMYFUNCTION("""COMPUTED_VALUE"""),9.99999999E8)</f>
        <v/>
      </c>
      <c r="K118">
        <f>IFERROR(__xludf.DUMMYFUNCTION("""COMPUTED_VALUE"""),9.99999999E8)</f>
        <v/>
      </c>
      <c r="L118">
        <f>IFERROR(__xludf.DUMMYFUNCTION("""COMPUTED_VALUE"""),"大川村 寧のグレードアップに使用するアイテム")</f>
        <v/>
      </c>
      <c r="N118">
        <f>IFERROR(__xludf.DUMMYFUNCTION("""COMPUTED_VALUE"""),"2024-01-01 00:00:00")</f>
        <v/>
      </c>
    </row>
    <row r="119">
      <c r="A119">
        <f>IFERROR(__xludf.DUMMYFUNCTION("""COMPUTED_VALUE"""),"sur")</f>
        <v/>
      </c>
      <c r="B119">
        <f>IFERROR(__xludf.DUMMYFUNCTION("""COMPUTED_VALUE"""),"魔都精兵のスレイブ")</f>
        <v/>
      </c>
      <c r="C119">
        <f>IFERROR(__xludf.DUMMYFUNCTION("""COMPUTED_VALUE"""),"piece")</f>
        <v/>
      </c>
      <c r="D119">
        <f>IFERROR(__xludf.DUMMYFUNCTION("""COMPUTED_VALUE"""),"00501")</f>
        <v/>
      </c>
      <c r="E119">
        <f>IFERROR(__xludf.DUMMYFUNCTION("""COMPUTED_VALUE"""),"piece_sur_00501")</f>
        <v/>
      </c>
      <c r="F119">
        <f>IFERROR(__xludf.DUMMYFUNCTION("""COMPUTED_VALUE"""),"piece_sur_00501")</f>
        <v/>
      </c>
      <c r="G119">
        <f>IFERROR(__xludf.DUMMYFUNCTION("""COMPUTED_VALUE"""),"item_icon_piece_sur_00501")</f>
        <v/>
      </c>
      <c r="H119">
        <f>IFERROR(__xludf.DUMMYFUNCTION("""COMPUTED_VALUE"""),"空間を操る六番組組長 出雲 天花のかけら")</f>
        <v/>
      </c>
      <c r="I119">
        <f>IFERROR(__xludf.DUMMYFUNCTION("""COMPUTED_VALUE"""),"UR")</f>
        <v/>
      </c>
      <c r="J119">
        <f>IFERROR(__xludf.DUMMYFUNCTION("""COMPUTED_VALUE"""),9.99999999E8)</f>
        <v/>
      </c>
      <c r="K119">
        <f>IFERROR(__xludf.DUMMYFUNCTION("""COMPUTED_VALUE"""),9.99999999E8)</f>
        <v/>
      </c>
      <c r="L119">
        <f>IFERROR(__xludf.DUMMYFUNCTION("""COMPUTED_VALUE"""),"空間を操る六番組組長 出雲 天花のグレードアップに使用するアイテム")</f>
        <v/>
      </c>
      <c r="N119">
        <f>IFERROR(__xludf.DUMMYFUNCTION("""COMPUTED_VALUE"""),"2025-12-08 12:00:00")</f>
        <v/>
      </c>
    </row>
    <row r="120">
      <c r="A120">
        <f>IFERROR(__xludf.DUMMYFUNCTION("""COMPUTED_VALUE"""),"sur")</f>
        <v/>
      </c>
      <c r="B120">
        <f>IFERROR(__xludf.DUMMYFUNCTION("""COMPUTED_VALUE"""),"魔都精兵のスレイブ")</f>
        <v/>
      </c>
      <c r="C120">
        <f>IFERROR(__xludf.DUMMYFUNCTION("""COMPUTED_VALUE"""),"piece")</f>
        <v/>
      </c>
      <c r="D120">
        <f>IFERROR(__xludf.DUMMYFUNCTION("""COMPUTED_VALUE"""),"00601")</f>
        <v/>
      </c>
      <c r="E120">
        <f>IFERROR(__xludf.DUMMYFUNCTION("""COMPUTED_VALUE"""),"piece_sur_00601")</f>
        <v/>
      </c>
      <c r="F120">
        <f>IFERROR(__xludf.DUMMYFUNCTION("""COMPUTED_VALUE"""),"piece_sur_00601")</f>
        <v/>
      </c>
      <c r="G120">
        <f>IFERROR(__xludf.DUMMYFUNCTION("""COMPUTED_VALUE"""),"item_icon_piece_sur_00601")</f>
        <v/>
      </c>
      <c r="H120">
        <f>IFERROR(__xludf.DUMMYFUNCTION("""COMPUTED_VALUE"""),"東 八千穂のかけら")</f>
        <v/>
      </c>
      <c r="I120">
        <f>IFERROR(__xludf.DUMMYFUNCTION("""COMPUTED_VALUE"""),"SSR")</f>
        <v/>
      </c>
      <c r="J120">
        <f>IFERROR(__xludf.DUMMYFUNCTION("""COMPUTED_VALUE"""),9.99999999E8)</f>
        <v/>
      </c>
      <c r="K120">
        <f>IFERROR(__xludf.DUMMYFUNCTION("""COMPUTED_VALUE"""),9.99999999E8)</f>
        <v/>
      </c>
      <c r="L120">
        <f>IFERROR(__xludf.DUMMYFUNCTION("""COMPUTED_VALUE"""),"東 八千穂のグレードアップに使用するアイテム")</f>
        <v/>
      </c>
      <c r="N120">
        <f>IFERROR(__xludf.DUMMYFUNCTION("""COMPUTED_VALUE"""),"2025-12-08 12:00:00")</f>
        <v/>
      </c>
    </row>
    <row r="121">
      <c r="A121">
        <f>IFERROR(__xludf.DUMMYFUNCTION("""COMPUTED_VALUE"""),"sur")</f>
        <v/>
      </c>
      <c r="B121">
        <f>IFERROR(__xludf.DUMMYFUNCTION("""COMPUTED_VALUE"""),"魔都精兵のスレイブ")</f>
        <v/>
      </c>
      <c r="C121">
        <f>IFERROR(__xludf.DUMMYFUNCTION("""COMPUTED_VALUE"""),"piece")</f>
        <v/>
      </c>
      <c r="D121">
        <f>IFERROR(__xludf.DUMMYFUNCTION("""COMPUTED_VALUE"""),"00701")</f>
        <v/>
      </c>
      <c r="E121">
        <f>IFERROR(__xludf.DUMMYFUNCTION("""COMPUTED_VALUE"""),"piece_sur_00701")</f>
        <v/>
      </c>
      <c r="F121">
        <f>IFERROR(__xludf.DUMMYFUNCTION("""COMPUTED_VALUE"""),"piece_sur_00701")</f>
        <v/>
      </c>
      <c r="G121">
        <f>IFERROR(__xludf.DUMMYFUNCTION("""COMPUTED_VALUE"""),"item_icon_piece_sur_00701")</f>
        <v/>
      </c>
      <c r="H121">
        <f>IFERROR(__xludf.DUMMYFUNCTION("""COMPUTED_VALUE"""),"和倉 青羽のかけら")</f>
        <v/>
      </c>
      <c r="I121">
        <f>IFERROR(__xludf.DUMMYFUNCTION("""COMPUTED_VALUE"""),"SR")</f>
        <v/>
      </c>
      <c r="J121">
        <f>IFERROR(__xludf.DUMMYFUNCTION("""COMPUTED_VALUE"""),9.99999999E8)</f>
        <v/>
      </c>
      <c r="K121">
        <f>IFERROR(__xludf.DUMMYFUNCTION("""COMPUTED_VALUE"""),9.99999999E8)</f>
        <v/>
      </c>
      <c r="L121">
        <f>IFERROR(__xludf.DUMMYFUNCTION("""COMPUTED_VALUE"""),"和倉 青羽のグレードアップに使用するアイテム")</f>
        <v/>
      </c>
      <c r="N121">
        <f>IFERROR(__xludf.DUMMYFUNCTION("""COMPUTED_VALUE"""),"2025-12-08 15:00:00")</f>
        <v/>
      </c>
    </row>
    <row r="122">
      <c r="A122">
        <f>IFERROR(__xludf.DUMMYFUNCTION("""COMPUTED_VALUE"""),"sur")</f>
        <v/>
      </c>
      <c r="B122">
        <f>IFERROR(__xludf.DUMMYFUNCTION("""COMPUTED_VALUE"""),"魔都精兵のスレイブ")</f>
        <v/>
      </c>
      <c r="C122">
        <f>IFERROR(__xludf.DUMMYFUNCTION("""COMPUTED_VALUE"""),"piece")</f>
        <v/>
      </c>
      <c r="D122">
        <f>IFERROR(__xludf.DUMMYFUNCTION("""COMPUTED_VALUE"""),"00801")</f>
        <v/>
      </c>
      <c r="E122">
        <f>IFERROR(__xludf.DUMMYFUNCTION("""COMPUTED_VALUE"""),"piece_sur_00801")</f>
        <v/>
      </c>
      <c r="F122">
        <f>IFERROR(__xludf.DUMMYFUNCTION("""COMPUTED_VALUE"""),"piece_sur_00801")</f>
        <v/>
      </c>
      <c r="G122">
        <f>IFERROR(__xludf.DUMMYFUNCTION("""COMPUTED_VALUE"""),"item_icon_piece_sur_00801")</f>
        <v/>
      </c>
      <c r="H122">
        <f>IFERROR(__xludf.DUMMYFUNCTION("""COMPUTED_VALUE"""),"無窮の鎖 和倉 優希のかけら")</f>
        <v/>
      </c>
      <c r="I122">
        <f>IFERROR(__xludf.DUMMYFUNCTION("""COMPUTED_VALUE"""),"SR")</f>
        <v/>
      </c>
      <c r="J122">
        <f>IFERROR(__xludf.DUMMYFUNCTION("""COMPUTED_VALUE"""),9.99999999E8)</f>
        <v/>
      </c>
      <c r="K122">
        <f>IFERROR(__xludf.DUMMYFUNCTION("""COMPUTED_VALUE"""),9.99999999E8)</f>
        <v/>
      </c>
      <c r="L122">
        <f>IFERROR(__xludf.DUMMYFUNCTION("""COMPUTED_VALUE"""),"無窮の鎖 和倉 優希のグレードアップに使用するアイテム")</f>
        <v/>
      </c>
      <c r="N122">
        <f>IFERROR(__xludf.DUMMYFUNCTION("""COMPUTED_VALUE"""),"2025-12-08 15:00:00")</f>
        <v/>
      </c>
    </row>
    <row r="124">
      <c r="A124">
        <f>IFERROR(__xludf.DUMMYFUNCTION("""COMPUTED_VALUE"""),"ron")</f>
        <v/>
      </c>
      <c r="B124">
        <f>IFERROR(__xludf.DUMMYFUNCTION("""COMPUTED_VALUE"""),"鴨乃橋ロンの禁断推理")</f>
        <v/>
      </c>
      <c r="C124">
        <f>IFERROR(__xludf.DUMMYFUNCTION("""COMPUTED_VALUE"""),"piece")</f>
        <v/>
      </c>
      <c r="D124">
        <f>IFERROR(__xludf.DUMMYFUNCTION("""COMPUTED_VALUE"""),"00001")</f>
        <v/>
      </c>
      <c r="E124">
        <f>IFERROR(__xludf.DUMMYFUNCTION("""COMPUTED_VALUE"""),"piece_ron_00001")</f>
        <v/>
      </c>
      <c r="F124">
        <f>IFERROR(__xludf.DUMMYFUNCTION("""COMPUTED_VALUE"""),"piece_ron_00001")</f>
        <v/>
      </c>
      <c r="G124">
        <f>IFERROR(__xludf.DUMMYFUNCTION("""COMPUTED_VALUE"""),"item_icon_piece_ron_00001")</f>
        <v/>
      </c>
      <c r="H124">
        <f>IFERROR(__xludf.DUMMYFUNCTION("""COMPUTED_VALUE"""),"鴨乃橋 ロンのかけら")</f>
        <v/>
      </c>
      <c r="I124">
        <f>IFERROR(__xludf.DUMMYFUNCTION("""COMPUTED_VALUE"""),"SSR")</f>
        <v/>
      </c>
      <c r="J124">
        <f>IFERROR(__xludf.DUMMYFUNCTION("""COMPUTED_VALUE"""),9.99999999E8)</f>
        <v/>
      </c>
      <c r="K124">
        <f>IFERROR(__xludf.DUMMYFUNCTION("""COMPUTED_VALUE"""),9.99999999E8)</f>
        <v/>
      </c>
      <c r="L124">
        <f>IFERROR(__xludf.DUMMYFUNCTION("""COMPUTED_VALUE"""),"鴨乃橋 ロンのグレードアップに使用するアイテム")</f>
        <v/>
      </c>
      <c r="N124">
        <f>IFERROR(__xludf.DUMMYFUNCTION("""COMPUTED_VALUE"""),"2024-01-01 00:00:00")</f>
        <v/>
      </c>
    </row>
    <row r="125">
      <c r="A125">
        <f>IFERROR(__xludf.DUMMYFUNCTION("""COMPUTED_VALUE"""),"ron")</f>
        <v/>
      </c>
      <c r="B125">
        <f>IFERROR(__xludf.DUMMYFUNCTION("""COMPUTED_VALUE"""),"鴨乃橋ロンの禁断推理")</f>
        <v/>
      </c>
      <c r="C125">
        <f>IFERROR(__xludf.DUMMYFUNCTION("""COMPUTED_VALUE"""),"piece")</f>
        <v/>
      </c>
      <c r="D125">
        <f>IFERROR(__xludf.DUMMYFUNCTION("""COMPUTED_VALUE"""),"00101")</f>
        <v/>
      </c>
      <c r="E125">
        <f>IFERROR(__xludf.DUMMYFUNCTION("""COMPUTED_VALUE"""),"piece_ron_00101")</f>
        <v/>
      </c>
      <c r="F125">
        <f>IFERROR(__xludf.DUMMYFUNCTION("""COMPUTED_VALUE"""),"piece_ron_00101")</f>
        <v/>
      </c>
      <c r="G125">
        <f>IFERROR(__xludf.DUMMYFUNCTION("""COMPUTED_VALUE"""),"item_icon_piece_ron_00101")</f>
        <v/>
      </c>
      <c r="H125">
        <f>IFERROR(__xludf.DUMMYFUNCTION("""COMPUTED_VALUE"""),"一色 都々丸のかけら")</f>
        <v/>
      </c>
      <c r="I125">
        <f>IFERROR(__xludf.DUMMYFUNCTION("""COMPUTED_VALUE"""),"R")</f>
        <v/>
      </c>
      <c r="J125">
        <f>IFERROR(__xludf.DUMMYFUNCTION("""COMPUTED_VALUE"""),9.99999999E8)</f>
        <v/>
      </c>
      <c r="K125">
        <f>IFERROR(__xludf.DUMMYFUNCTION("""COMPUTED_VALUE"""),9.99999999E8)</f>
        <v/>
      </c>
      <c r="L125">
        <f>IFERROR(__xludf.DUMMYFUNCTION("""COMPUTED_VALUE"""),"一色 都々丸のグレードアップに使用するアイテム")</f>
        <v/>
      </c>
      <c r="N125">
        <f>IFERROR(__xludf.DUMMYFUNCTION("""COMPUTED_VALUE"""),"2024-01-01 00:00:00")</f>
        <v/>
      </c>
    </row>
    <row r="127">
      <c r="A127">
        <f>IFERROR(__xludf.DUMMYFUNCTION("""COMPUTED_VALUE"""),"aha")</f>
        <v/>
      </c>
    </row>
    <row r="128">
      <c r="A128">
        <f>IFERROR(__xludf.DUMMYFUNCTION("""COMPUTED_VALUE"""),"aha")</f>
        <v/>
      </c>
      <c r="B128">
        <f>IFERROR(__xludf.DUMMYFUNCTION("""COMPUTED_VALUE"""),"阿波連さんははかれない")</f>
        <v/>
      </c>
      <c r="C128">
        <f>IFERROR(__xludf.DUMMYFUNCTION("""COMPUTED_VALUE"""),"piece")</f>
        <v/>
      </c>
      <c r="D128">
        <f>IFERROR(__xludf.DUMMYFUNCTION("""COMPUTED_VALUE"""),"00101")</f>
        <v/>
      </c>
      <c r="E128">
        <f>IFERROR(__xludf.DUMMYFUNCTION("""COMPUTED_VALUE"""),"piece_aha_00101")</f>
        <v/>
      </c>
      <c r="F128">
        <f>IFERROR(__xludf.DUMMYFUNCTION("""COMPUTED_VALUE"""),"piece_aha_00101")</f>
        <v/>
      </c>
      <c r="G128">
        <f>IFERROR(__xludf.DUMMYFUNCTION("""COMPUTED_VALUE"""),"item_icon_piece_aha_00101")</f>
        <v/>
      </c>
      <c r="H128">
        <f>IFERROR(__xludf.DUMMYFUNCTION("""COMPUTED_VALUE"""),"阿波連 れいなのかけら")</f>
        <v/>
      </c>
      <c r="I128">
        <f>IFERROR(__xludf.DUMMYFUNCTION("""COMPUTED_VALUE"""),"SSR")</f>
        <v/>
      </c>
      <c r="J128">
        <f>IFERROR(__xludf.DUMMYFUNCTION("""COMPUTED_VALUE"""),9.99999999E8)</f>
        <v/>
      </c>
      <c r="K128">
        <f>IFERROR(__xludf.DUMMYFUNCTION("""COMPUTED_VALUE"""),9.99999999E8)</f>
        <v/>
      </c>
      <c r="L128">
        <f>IFERROR(__xludf.DUMMYFUNCTION("""COMPUTED_VALUE"""),"阿波連 れいなのグレードアップに使用するアイテム")</f>
        <v/>
      </c>
      <c r="N128">
        <f>IFERROR(__xludf.DUMMYFUNCTION("""COMPUTED_VALUE"""),"2024-01-01 00:00:00")</f>
        <v/>
      </c>
    </row>
    <row r="130">
      <c r="A130">
        <f>IFERROR(__xludf.DUMMYFUNCTION("""COMPUTED_VALUE"""),"tak")</f>
        <v/>
      </c>
      <c r="B130">
        <f>IFERROR(__xludf.DUMMYFUNCTION("""COMPUTED_VALUE"""),"タコピーの原罪")</f>
        <v/>
      </c>
      <c r="C130">
        <f>IFERROR(__xludf.DUMMYFUNCTION("""COMPUTED_VALUE"""),"piece")</f>
        <v/>
      </c>
      <c r="D130">
        <f>IFERROR(__xludf.DUMMYFUNCTION("""COMPUTED_VALUE"""),"00001")</f>
        <v/>
      </c>
      <c r="E130">
        <f>IFERROR(__xludf.DUMMYFUNCTION("""COMPUTED_VALUE"""),"piece_tak_00001")</f>
        <v/>
      </c>
      <c r="F130">
        <f>IFERROR(__xludf.DUMMYFUNCTION("""COMPUTED_VALUE"""),"piece_tak_00001")</f>
        <v/>
      </c>
      <c r="G130">
        <f>IFERROR(__xludf.DUMMYFUNCTION("""COMPUTED_VALUE"""),"item_icon_piece_tak_00001")</f>
        <v/>
      </c>
      <c r="H130">
        <f>IFERROR(__xludf.DUMMYFUNCTION("""COMPUTED_VALUE"""),"ハッピー星からの使者 タコピーのかけら")</f>
        <v/>
      </c>
      <c r="I130">
        <f>IFERROR(__xludf.DUMMYFUNCTION("""COMPUTED_VALUE"""),"UR")</f>
        <v/>
      </c>
      <c r="J130">
        <f>IFERROR(__xludf.DUMMYFUNCTION("""COMPUTED_VALUE"""),9.99999999E8)</f>
        <v/>
      </c>
      <c r="K130">
        <f>IFERROR(__xludf.DUMMYFUNCTION("""COMPUTED_VALUE"""),9.99999999E8)</f>
        <v/>
      </c>
      <c r="L130">
        <f>IFERROR(__xludf.DUMMYFUNCTION("""COMPUTED_VALUE"""),"ハッピー星からの使者 タコピーのグレードアップに使用するアイテム")</f>
        <v/>
      </c>
      <c r="N130">
        <f>IFERROR(__xludf.DUMMYFUNCTION("""COMPUTED_VALUE"""),"2024-01-01 00:00:00")</f>
        <v/>
      </c>
    </row>
    <row r="132">
      <c r="A132">
        <f>IFERROR(__xludf.DUMMYFUNCTION("""COMPUTED_VALUE"""),"jig")</f>
        <v/>
      </c>
      <c r="B132">
        <f>IFERROR(__xludf.DUMMYFUNCTION("""COMPUTED_VALUE"""),"地獄楽")</f>
        <v/>
      </c>
      <c r="C132">
        <f>IFERROR(__xludf.DUMMYFUNCTION("""COMPUTED_VALUE"""),"piece")</f>
        <v/>
      </c>
      <c r="D132">
        <f>IFERROR(__xludf.DUMMYFUNCTION("""COMPUTED_VALUE"""),"00001")</f>
        <v/>
      </c>
      <c r="E132">
        <f>IFERROR(__xludf.DUMMYFUNCTION("""COMPUTED_VALUE"""),"piece_jig_00001")</f>
        <v/>
      </c>
      <c r="F132">
        <f>IFERROR(__xludf.DUMMYFUNCTION("""COMPUTED_VALUE"""),"piece_jig_00001")</f>
        <v/>
      </c>
      <c r="G132">
        <f>IFERROR(__xludf.DUMMYFUNCTION("""COMPUTED_VALUE"""),"item_icon_piece_jig_00001")</f>
        <v/>
      </c>
      <c r="H132">
        <f>IFERROR(__xludf.DUMMYFUNCTION("""COMPUTED_VALUE"""),"がらんの画眉丸のかけら")</f>
        <v/>
      </c>
      <c r="I132">
        <f>IFERROR(__xludf.DUMMYFUNCTION("""COMPUTED_VALUE"""),"UR")</f>
        <v/>
      </c>
      <c r="J132">
        <f>IFERROR(__xludf.DUMMYFUNCTION("""COMPUTED_VALUE"""),9.99999999E8)</f>
        <v/>
      </c>
      <c r="K132">
        <f>IFERROR(__xludf.DUMMYFUNCTION("""COMPUTED_VALUE"""),9.99999999E8)</f>
        <v/>
      </c>
      <c r="L132">
        <f>IFERROR(__xludf.DUMMYFUNCTION("""COMPUTED_VALUE"""),"がらんの画眉丸のグレードアップに使用するアイテム")</f>
        <v/>
      </c>
      <c r="N132">
        <f>IFERROR(__xludf.DUMMYFUNCTION("""COMPUTED_VALUE"""),"2024-01-01 00:00:00")</f>
        <v/>
      </c>
    </row>
    <row r="133">
      <c r="A133">
        <f>IFERROR(__xludf.DUMMYFUNCTION("""COMPUTED_VALUE"""),"jig")</f>
        <v/>
      </c>
      <c r="B133">
        <f>IFERROR(__xludf.DUMMYFUNCTION("""COMPUTED_VALUE"""),"地獄楽")</f>
        <v/>
      </c>
      <c r="C133">
        <f>IFERROR(__xludf.DUMMYFUNCTION("""COMPUTED_VALUE"""),"piece")</f>
        <v/>
      </c>
      <c r="D133">
        <f>IFERROR(__xludf.DUMMYFUNCTION("""COMPUTED_VALUE"""),"00101")</f>
        <v/>
      </c>
      <c r="E133">
        <f>IFERROR(__xludf.DUMMYFUNCTION("""COMPUTED_VALUE"""),"piece_jig_00101")</f>
        <v/>
      </c>
      <c r="F133">
        <f>IFERROR(__xludf.DUMMYFUNCTION("""COMPUTED_VALUE"""),"piece_jig_00101")</f>
        <v/>
      </c>
      <c r="G133">
        <f>IFERROR(__xludf.DUMMYFUNCTION("""COMPUTED_VALUE"""),"item_icon_piece_jig_00101")</f>
        <v/>
      </c>
      <c r="H133">
        <f>IFERROR(__xludf.DUMMYFUNCTION("""COMPUTED_VALUE"""),"山田浅ェ門 佐切のかけら")</f>
        <v/>
      </c>
      <c r="I133">
        <f>IFERROR(__xludf.DUMMYFUNCTION("""COMPUTED_VALUE"""),"SSR")</f>
        <v/>
      </c>
      <c r="J133">
        <f>IFERROR(__xludf.DUMMYFUNCTION("""COMPUTED_VALUE"""),9.99999999E8)</f>
        <v/>
      </c>
      <c r="K133">
        <f>IFERROR(__xludf.DUMMYFUNCTION("""COMPUTED_VALUE"""),9.99999999E8)</f>
        <v/>
      </c>
      <c r="L133">
        <f>IFERROR(__xludf.DUMMYFUNCTION("""COMPUTED_VALUE"""),"山田浅ェ門 佐切のグレードアップに使用するアイテム")</f>
        <v/>
      </c>
      <c r="N133">
        <f>IFERROR(__xludf.DUMMYFUNCTION("""COMPUTED_VALUE"""),"2024-01-01 00:00:00")</f>
        <v/>
      </c>
    </row>
    <row r="134">
      <c r="A134">
        <f>IFERROR(__xludf.DUMMYFUNCTION("""COMPUTED_VALUE"""),"jig")</f>
        <v/>
      </c>
      <c r="B134">
        <f>IFERROR(__xludf.DUMMYFUNCTION("""COMPUTED_VALUE"""),"地獄楽")</f>
        <v/>
      </c>
      <c r="C134">
        <f>IFERROR(__xludf.DUMMYFUNCTION("""COMPUTED_VALUE"""),"piece")</f>
        <v/>
      </c>
      <c r="D134">
        <f>IFERROR(__xludf.DUMMYFUNCTION("""COMPUTED_VALUE"""),"00201")</f>
        <v/>
      </c>
      <c r="E134">
        <f>IFERROR(__xludf.DUMMYFUNCTION("""COMPUTED_VALUE"""),"piece_jig_00201")</f>
        <v/>
      </c>
      <c r="F134">
        <f>IFERROR(__xludf.DUMMYFUNCTION("""COMPUTED_VALUE"""),"piece_jig_00201")</f>
        <v/>
      </c>
      <c r="G134">
        <f>IFERROR(__xludf.DUMMYFUNCTION("""COMPUTED_VALUE"""),"item_icon_piece_jig_00201")</f>
        <v/>
      </c>
      <c r="H134">
        <f>IFERROR(__xludf.DUMMYFUNCTION("""COMPUTED_VALUE"""),"杠のかけら")</f>
        <v/>
      </c>
      <c r="I134">
        <f>IFERROR(__xludf.DUMMYFUNCTION("""COMPUTED_VALUE"""),"SSR")</f>
        <v/>
      </c>
      <c r="J134">
        <f>IFERROR(__xludf.DUMMYFUNCTION("""COMPUTED_VALUE"""),9.99999999E8)</f>
        <v/>
      </c>
      <c r="K134">
        <f>IFERROR(__xludf.DUMMYFUNCTION("""COMPUTED_VALUE"""),9.99999999E8)</f>
        <v/>
      </c>
      <c r="L134">
        <f>IFERROR(__xludf.DUMMYFUNCTION("""COMPUTED_VALUE"""),"杠のグレードアップに使用するアイテム")</f>
        <v/>
      </c>
      <c r="N134">
        <f>IFERROR(__xludf.DUMMYFUNCTION("""COMPUTED_VALUE"""),"2024-01-01 00:00:00")</f>
        <v/>
      </c>
    </row>
    <row r="135">
      <c r="A135">
        <f>IFERROR(__xludf.DUMMYFUNCTION("""COMPUTED_VALUE"""),"jig")</f>
        <v/>
      </c>
      <c r="B135">
        <f>IFERROR(__xludf.DUMMYFUNCTION("""COMPUTED_VALUE"""),"地獄楽")</f>
        <v/>
      </c>
      <c r="C135">
        <f>IFERROR(__xludf.DUMMYFUNCTION("""COMPUTED_VALUE"""),"piece")</f>
        <v/>
      </c>
      <c r="D135">
        <f>IFERROR(__xludf.DUMMYFUNCTION("""COMPUTED_VALUE"""),"00301")</f>
        <v/>
      </c>
      <c r="E135">
        <f>IFERROR(__xludf.DUMMYFUNCTION("""COMPUTED_VALUE"""),"piece_jig_00301")</f>
        <v/>
      </c>
      <c r="F135">
        <f>IFERROR(__xludf.DUMMYFUNCTION("""COMPUTED_VALUE"""),"piece_jig_00301")</f>
        <v/>
      </c>
      <c r="G135">
        <f>IFERROR(__xludf.DUMMYFUNCTION("""COMPUTED_VALUE"""),"item_icon_piece_jig_00301")</f>
        <v/>
      </c>
      <c r="H135">
        <f>IFERROR(__xludf.DUMMYFUNCTION("""COMPUTED_VALUE"""),"山田浅ェ門 仙汰のかけら")</f>
        <v/>
      </c>
      <c r="I135">
        <f>IFERROR(__xludf.DUMMYFUNCTION("""COMPUTED_VALUE"""),"SR")</f>
        <v/>
      </c>
      <c r="J135">
        <f>IFERROR(__xludf.DUMMYFUNCTION("""COMPUTED_VALUE"""),9.99999999E8)</f>
        <v/>
      </c>
      <c r="K135">
        <f>IFERROR(__xludf.DUMMYFUNCTION("""COMPUTED_VALUE"""),9.99999999E8)</f>
        <v/>
      </c>
      <c r="L135">
        <f>IFERROR(__xludf.DUMMYFUNCTION("""COMPUTED_VALUE"""),"山田浅ェ門 仙汰のグレードアップに使用するアイテム")</f>
        <v/>
      </c>
      <c r="N135">
        <f>IFERROR(__xludf.DUMMYFUNCTION("""COMPUTED_VALUE"""),"2024-01-01 00:00:00")</f>
        <v/>
      </c>
    </row>
    <row r="137">
      <c r="A137">
        <f>IFERROR(__xludf.DUMMYFUNCTION("""COMPUTED_VALUE"""),"mag")</f>
        <v/>
      </c>
      <c r="B137">
        <f>IFERROR(__xludf.DUMMYFUNCTION("""COMPUTED_VALUE"""),"株式会社マジルミエ")</f>
        <v/>
      </c>
      <c r="C137">
        <f>IFERROR(__xludf.DUMMYFUNCTION("""COMPUTED_VALUE"""),"piece")</f>
        <v/>
      </c>
      <c r="D137">
        <f>IFERROR(__xludf.DUMMYFUNCTION("""COMPUTED_VALUE"""),"00001")</f>
        <v/>
      </c>
      <c r="E137">
        <f>IFERROR(__xludf.DUMMYFUNCTION("""COMPUTED_VALUE"""),"piece_mag_00001")</f>
        <v/>
      </c>
      <c r="F137">
        <f>IFERROR(__xludf.DUMMYFUNCTION("""COMPUTED_VALUE"""),"piece_mag_00001")</f>
        <v/>
      </c>
      <c r="G137">
        <f>IFERROR(__xludf.DUMMYFUNCTION("""COMPUTED_VALUE"""),"item_icon_piece_mag_00001")</f>
        <v/>
      </c>
      <c r="H137">
        <f>IFERROR(__xludf.DUMMYFUNCTION("""COMPUTED_VALUE"""),"新人魔法少女 桜木 カナのかけら")</f>
        <v/>
      </c>
      <c r="I137">
        <f>IFERROR(__xludf.DUMMYFUNCTION("""COMPUTED_VALUE"""),"UR")</f>
        <v/>
      </c>
      <c r="J137">
        <f>IFERROR(__xludf.DUMMYFUNCTION("""COMPUTED_VALUE"""),9.99999999E8)</f>
        <v/>
      </c>
      <c r="K137">
        <f>IFERROR(__xludf.DUMMYFUNCTION("""COMPUTED_VALUE"""),9.99999999E8)</f>
        <v/>
      </c>
      <c r="L137">
        <f>IFERROR(__xludf.DUMMYFUNCTION("""COMPUTED_VALUE"""),"新人魔法少女 桜木 カナのグレードアップに使用するアイテム")</f>
        <v/>
      </c>
      <c r="N137">
        <f>IFERROR(__xludf.DUMMYFUNCTION("""COMPUTED_VALUE"""),"2024-01-01 00:00:00")</f>
        <v/>
      </c>
    </row>
    <row r="138">
      <c r="A138">
        <f>IFERROR(__xludf.DUMMYFUNCTION("""COMPUTED_VALUE"""),"mag")</f>
        <v/>
      </c>
      <c r="B138">
        <f>IFERROR(__xludf.DUMMYFUNCTION("""COMPUTED_VALUE"""),"株式会社マジルミエ")</f>
        <v/>
      </c>
      <c r="C138">
        <f>IFERROR(__xludf.DUMMYFUNCTION("""COMPUTED_VALUE"""),"piece")</f>
        <v/>
      </c>
      <c r="D138">
        <f>IFERROR(__xludf.DUMMYFUNCTION("""COMPUTED_VALUE"""),"00101")</f>
        <v/>
      </c>
      <c r="E138">
        <f>IFERROR(__xludf.DUMMYFUNCTION("""COMPUTED_VALUE"""),"piece_mag_00101")</f>
        <v/>
      </c>
      <c r="F138">
        <f>IFERROR(__xludf.DUMMYFUNCTION("""COMPUTED_VALUE"""),"piece_mag_00101")</f>
        <v/>
      </c>
      <c r="G138">
        <f>IFERROR(__xludf.DUMMYFUNCTION("""COMPUTED_VALUE"""),"item_icon_piece_mag_00101")</f>
        <v/>
      </c>
      <c r="H138">
        <f>IFERROR(__xludf.DUMMYFUNCTION("""COMPUTED_VALUE"""),"越谷 仁美のかけら")</f>
        <v/>
      </c>
      <c r="I138">
        <f>IFERROR(__xludf.DUMMYFUNCTION("""COMPUTED_VALUE"""),"SR")</f>
        <v/>
      </c>
      <c r="J138">
        <f>IFERROR(__xludf.DUMMYFUNCTION("""COMPUTED_VALUE"""),9.99999999E8)</f>
        <v/>
      </c>
      <c r="K138">
        <f>IFERROR(__xludf.DUMMYFUNCTION("""COMPUTED_VALUE"""),9.99999999E8)</f>
        <v/>
      </c>
      <c r="L138">
        <f>IFERROR(__xludf.DUMMYFUNCTION("""COMPUTED_VALUE"""),"越谷 仁美のグレードアップに使用するアイテム")</f>
        <v/>
      </c>
      <c r="N138">
        <f>IFERROR(__xludf.DUMMYFUNCTION("""COMPUTED_VALUE"""),"2024-01-01 00:00:00")</f>
        <v/>
      </c>
    </row>
    <row r="139">
      <c r="A139">
        <f>IFERROR(__xludf.DUMMYFUNCTION("""COMPUTED_VALUE"""),"mag")</f>
        <v/>
      </c>
      <c r="B139">
        <f>IFERROR(__xludf.DUMMYFUNCTION("""COMPUTED_VALUE"""),"株式会社マジルミエ")</f>
        <v/>
      </c>
      <c r="C139">
        <f>IFERROR(__xludf.DUMMYFUNCTION("""COMPUTED_VALUE"""),"piece")</f>
        <v/>
      </c>
      <c r="D139">
        <f>IFERROR(__xludf.DUMMYFUNCTION("""COMPUTED_VALUE"""),"00201")</f>
        <v/>
      </c>
      <c r="E139">
        <f>IFERROR(__xludf.DUMMYFUNCTION("""COMPUTED_VALUE"""),"piece_mag_00201")</f>
        <v/>
      </c>
      <c r="F139">
        <f>IFERROR(__xludf.DUMMYFUNCTION("""COMPUTED_VALUE"""),"piece_mag_00201")</f>
        <v/>
      </c>
      <c r="G139">
        <f>IFERROR(__xludf.DUMMYFUNCTION("""COMPUTED_VALUE"""),"item_icon_piece_mag_00201")</f>
        <v/>
      </c>
      <c r="H139">
        <f>IFERROR(__xludf.DUMMYFUNCTION("""COMPUTED_VALUE"""),"絶対効率の体現者 土刃 メイのかけら")</f>
        <v/>
      </c>
      <c r="I139">
        <f>IFERROR(__xludf.DUMMYFUNCTION("""COMPUTED_VALUE"""),"UR")</f>
        <v/>
      </c>
      <c r="J139">
        <f>IFERROR(__xludf.DUMMYFUNCTION("""COMPUTED_VALUE"""),9.99999999E8)</f>
        <v/>
      </c>
      <c r="K139">
        <f>IFERROR(__xludf.DUMMYFUNCTION("""COMPUTED_VALUE"""),9.99999999E8)</f>
        <v/>
      </c>
      <c r="L139">
        <f>IFERROR(__xludf.DUMMYFUNCTION("""COMPUTED_VALUE"""),"絶対効率の体現者 土刃 メイのグレードアップに使用するアイテム")</f>
        <v/>
      </c>
      <c r="N139">
        <f>IFERROR(__xludf.DUMMYFUNCTION("""COMPUTED_VALUE"""),45967.625)</f>
        <v/>
      </c>
    </row>
    <row r="140">
      <c r="A140">
        <f>IFERROR(__xludf.DUMMYFUNCTION("""COMPUTED_VALUE"""),"mag")</f>
        <v/>
      </c>
      <c r="B140">
        <f>IFERROR(__xludf.DUMMYFUNCTION("""COMPUTED_VALUE"""),"株式会社マジルミエ")</f>
        <v/>
      </c>
      <c r="C140">
        <f>IFERROR(__xludf.DUMMYFUNCTION("""COMPUTED_VALUE"""),"piece")</f>
        <v/>
      </c>
      <c r="D140">
        <f>IFERROR(__xludf.DUMMYFUNCTION("""COMPUTED_VALUE"""),"00301")</f>
        <v/>
      </c>
      <c r="E140">
        <f>IFERROR(__xludf.DUMMYFUNCTION("""COMPUTED_VALUE"""),"piece_mag_00301")</f>
        <v/>
      </c>
      <c r="F140">
        <f>IFERROR(__xludf.DUMMYFUNCTION("""COMPUTED_VALUE"""),"piece_mag_00301")</f>
        <v/>
      </c>
      <c r="G140">
        <f>IFERROR(__xludf.DUMMYFUNCTION("""COMPUTED_VALUE"""),"item_icon_piece_mag_00301")</f>
        <v/>
      </c>
      <c r="H140">
        <f>IFERROR(__xludf.DUMMYFUNCTION("""COMPUTED_VALUE"""),"葵 リリーのかけら")</f>
        <v/>
      </c>
      <c r="I140">
        <f>IFERROR(__xludf.DUMMYFUNCTION("""COMPUTED_VALUE"""),"SSR")</f>
        <v/>
      </c>
      <c r="J140">
        <f>IFERROR(__xludf.DUMMYFUNCTION("""COMPUTED_VALUE"""),9.99999999E8)</f>
        <v/>
      </c>
      <c r="K140">
        <f>IFERROR(__xludf.DUMMYFUNCTION("""COMPUTED_VALUE"""),9.99999999E8)</f>
        <v/>
      </c>
      <c r="L140">
        <f>IFERROR(__xludf.DUMMYFUNCTION("""COMPUTED_VALUE"""),"葵 リリーのグレードアップに使用するアイテム")</f>
        <v/>
      </c>
      <c r="N140">
        <f>IFERROR(__xludf.DUMMYFUNCTION("""COMPUTED_VALUE"""),45967.625)</f>
        <v/>
      </c>
    </row>
    <row r="141">
      <c r="A141">
        <f>IFERROR(__xludf.DUMMYFUNCTION("""COMPUTED_VALUE"""),"mag")</f>
        <v/>
      </c>
      <c r="B141">
        <f>IFERROR(__xludf.DUMMYFUNCTION("""COMPUTED_VALUE"""),"株式会社マジルミエ")</f>
        <v/>
      </c>
      <c r="C141">
        <f>IFERROR(__xludf.DUMMYFUNCTION("""COMPUTED_VALUE"""),"piece")</f>
        <v/>
      </c>
      <c r="D141">
        <f>IFERROR(__xludf.DUMMYFUNCTION("""COMPUTED_VALUE"""),"00401")</f>
        <v/>
      </c>
      <c r="E141">
        <f>IFERROR(__xludf.DUMMYFUNCTION("""COMPUTED_VALUE"""),"piece_mag_00401")</f>
        <v/>
      </c>
      <c r="F141">
        <f>IFERROR(__xludf.DUMMYFUNCTION("""COMPUTED_VALUE"""),"piece_mag_00401")</f>
        <v/>
      </c>
      <c r="G141">
        <f>IFERROR(__xludf.DUMMYFUNCTION("""COMPUTED_VALUE"""),"item_icon_piece_mag_00401")</f>
        <v/>
      </c>
      <c r="H141">
        <f>IFERROR(__xludf.DUMMYFUNCTION("""COMPUTED_VALUE"""),"槇野 あかねのかけら")</f>
        <v/>
      </c>
      <c r="I141">
        <f>IFERROR(__xludf.DUMMYFUNCTION("""COMPUTED_VALUE"""),"SR")</f>
        <v/>
      </c>
      <c r="J141">
        <f>IFERROR(__xludf.DUMMYFUNCTION("""COMPUTED_VALUE"""),9.99999999E8)</f>
        <v/>
      </c>
      <c r="K141">
        <f>IFERROR(__xludf.DUMMYFUNCTION("""COMPUTED_VALUE"""),9.99999999E8)</f>
        <v/>
      </c>
      <c r="L141">
        <f>IFERROR(__xludf.DUMMYFUNCTION("""COMPUTED_VALUE"""),"槇野 あかねのグレードアップに使用するアイテム")</f>
        <v/>
      </c>
      <c r="N141">
        <f>IFERROR(__xludf.DUMMYFUNCTION("""COMPUTED_VALUE"""),45967.625)</f>
        <v/>
      </c>
    </row>
    <row r="142">
      <c r="A142">
        <f>IFERROR(__xludf.DUMMYFUNCTION("""COMPUTED_VALUE"""),"mag")</f>
        <v/>
      </c>
      <c r="B142">
        <f>IFERROR(__xludf.DUMMYFUNCTION("""COMPUTED_VALUE"""),"株式会社マジルミエ")</f>
        <v/>
      </c>
      <c r="C142">
        <f>IFERROR(__xludf.DUMMYFUNCTION("""COMPUTED_VALUE"""),"piece")</f>
        <v/>
      </c>
      <c r="D142">
        <f>IFERROR(__xludf.DUMMYFUNCTION("""COMPUTED_VALUE"""),"00501")</f>
        <v/>
      </c>
      <c r="E142">
        <f>IFERROR(__xludf.DUMMYFUNCTION("""COMPUTED_VALUE"""),"piece_mag_00501")</f>
        <v/>
      </c>
      <c r="F142">
        <f>IFERROR(__xludf.DUMMYFUNCTION("""COMPUTED_VALUE"""),"piece_mag_00501")</f>
        <v/>
      </c>
      <c r="G142">
        <f>IFERROR(__xludf.DUMMYFUNCTION("""COMPUTED_VALUE"""),"item_icon_piece_mag_00501")</f>
        <v/>
      </c>
      <c r="H142">
        <f>IFERROR(__xludf.DUMMYFUNCTION("""COMPUTED_VALUE"""),"重本 浩司のかけら")</f>
        <v/>
      </c>
      <c r="I142">
        <f>IFERROR(__xludf.DUMMYFUNCTION("""COMPUTED_VALUE"""),"SR")</f>
        <v/>
      </c>
      <c r="J142">
        <f>IFERROR(__xludf.DUMMYFUNCTION("""COMPUTED_VALUE"""),9.99999999E8)</f>
        <v/>
      </c>
      <c r="K142">
        <f>IFERROR(__xludf.DUMMYFUNCTION("""COMPUTED_VALUE"""),9.99999999E8)</f>
        <v/>
      </c>
      <c r="L142">
        <f>IFERROR(__xludf.DUMMYFUNCTION("""COMPUTED_VALUE"""),"重本 浩司のグレードアップに使用するアイテム")</f>
        <v/>
      </c>
      <c r="N142">
        <f>IFERROR(__xludf.DUMMYFUNCTION("""COMPUTED_VALUE"""),45967.625)</f>
        <v/>
      </c>
    </row>
    <row r="144">
      <c r="A144">
        <f>IFERROR(__xludf.DUMMYFUNCTION("""COMPUTED_VALUE"""),"dos")</f>
        <v/>
      </c>
      <c r="B144">
        <f>IFERROR(__xludf.DUMMYFUNCTION("""COMPUTED_VALUE"""),"道産子ギャルはなまらめんこい")</f>
        <v/>
      </c>
      <c r="C144">
        <f>IFERROR(__xludf.DUMMYFUNCTION("""COMPUTED_VALUE"""),"piece")</f>
        <v/>
      </c>
      <c r="D144">
        <f>IFERROR(__xludf.DUMMYFUNCTION("""COMPUTED_VALUE"""),"00001")</f>
        <v/>
      </c>
      <c r="E144">
        <f>IFERROR(__xludf.DUMMYFUNCTION("""COMPUTED_VALUE"""),"piece_dos_00001")</f>
        <v/>
      </c>
      <c r="F144">
        <f>IFERROR(__xludf.DUMMYFUNCTION("""COMPUTED_VALUE"""),"piece_dos_00001")</f>
        <v/>
      </c>
      <c r="G144">
        <f>IFERROR(__xludf.DUMMYFUNCTION("""COMPUTED_VALUE"""),"item_icon_piece_dos_00001")</f>
        <v/>
      </c>
      <c r="H144">
        <f>IFERROR(__xludf.DUMMYFUNCTION("""COMPUTED_VALUE"""),"冬木 美波のかけら")</f>
        <v/>
      </c>
      <c r="I144">
        <f>IFERROR(__xludf.DUMMYFUNCTION("""COMPUTED_VALUE"""),"SSR")</f>
        <v/>
      </c>
      <c r="J144">
        <f>IFERROR(__xludf.DUMMYFUNCTION("""COMPUTED_VALUE"""),9.99999999E8)</f>
        <v/>
      </c>
      <c r="K144">
        <f>IFERROR(__xludf.DUMMYFUNCTION("""COMPUTED_VALUE"""),9.99999999E8)</f>
        <v/>
      </c>
      <c r="L144">
        <f>IFERROR(__xludf.DUMMYFUNCTION("""COMPUTED_VALUE"""),"冬木 美波のグレードアップに使用するアイテム")</f>
        <v/>
      </c>
      <c r="N144">
        <f>IFERROR(__xludf.DUMMYFUNCTION("""COMPUTED_VALUE"""),"2024-01-01 00:00:00")</f>
        <v/>
      </c>
    </row>
    <row r="145">
      <c r="A145">
        <f>IFERROR(__xludf.DUMMYFUNCTION("""COMPUTED_VALUE"""),"dos")</f>
        <v/>
      </c>
      <c r="B145">
        <f>IFERROR(__xludf.DUMMYFUNCTION("""COMPUTED_VALUE"""),"道産子ギャルはなまらめんこい")</f>
        <v/>
      </c>
      <c r="C145">
        <f>IFERROR(__xludf.DUMMYFUNCTION("""COMPUTED_VALUE"""),"piece")</f>
        <v/>
      </c>
      <c r="D145">
        <f>IFERROR(__xludf.DUMMYFUNCTION("""COMPUTED_VALUE"""),"00101")</f>
        <v/>
      </c>
      <c r="E145">
        <f>IFERROR(__xludf.DUMMYFUNCTION("""COMPUTED_VALUE"""),"piece_dos_00101")</f>
        <v/>
      </c>
      <c r="F145">
        <f>IFERROR(__xludf.DUMMYFUNCTION("""COMPUTED_VALUE"""),"piece_dos_00101")</f>
        <v/>
      </c>
      <c r="G145">
        <f>IFERROR(__xludf.DUMMYFUNCTION("""COMPUTED_VALUE"""),"item_icon_piece_dos_00101")</f>
        <v/>
      </c>
      <c r="H145">
        <f>IFERROR(__xludf.DUMMYFUNCTION("""COMPUTED_VALUE"""),"秋野 沙友理のかけら")</f>
        <v/>
      </c>
      <c r="I145">
        <f>IFERROR(__xludf.DUMMYFUNCTION("""COMPUTED_VALUE"""),"SSR")</f>
        <v/>
      </c>
      <c r="J145">
        <f>IFERROR(__xludf.DUMMYFUNCTION("""COMPUTED_VALUE"""),9.99999999E8)</f>
        <v/>
      </c>
      <c r="K145">
        <f>IFERROR(__xludf.DUMMYFUNCTION("""COMPUTED_VALUE"""),9.99999999E8)</f>
        <v/>
      </c>
      <c r="L145">
        <f>IFERROR(__xludf.DUMMYFUNCTION("""COMPUTED_VALUE"""),"秋野 沙友理のグレードアップに使用するアイテム")</f>
        <v/>
      </c>
      <c r="N145">
        <f>IFERROR(__xludf.DUMMYFUNCTION("""COMPUTED_VALUE"""),"2024-01-01 00:00:00")</f>
        <v/>
      </c>
    </row>
    <row r="147">
      <c r="A147">
        <f>IFERROR(__xludf.DUMMYFUNCTION("""COMPUTED_VALUE"""),"sum")</f>
        <v/>
      </c>
      <c r="B147">
        <f>IFERROR(__xludf.DUMMYFUNCTION("""COMPUTED_VALUE"""),"サマータイムレンダ")</f>
        <v/>
      </c>
      <c r="C147">
        <f>IFERROR(__xludf.DUMMYFUNCTION("""COMPUTED_VALUE"""),"piece")</f>
        <v/>
      </c>
      <c r="D147">
        <f>IFERROR(__xludf.DUMMYFUNCTION("""COMPUTED_VALUE"""),"00001")</f>
        <v/>
      </c>
      <c r="E147">
        <f>IFERROR(__xludf.DUMMYFUNCTION("""COMPUTED_VALUE"""),"piece_sum_00001")</f>
        <v/>
      </c>
      <c r="F147">
        <f>IFERROR(__xludf.DUMMYFUNCTION("""COMPUTED_VALUE"""),"piece_sum_00001")</f>
        <v/>
      </c>
      <c r="G147">
        <f>IFERROR(__xludf.DUMMYFUNCTION("""COMPUTED_VALUE"""),"item_icon_piece_sum_00001")</f>
        <v/>
      </c>
      <c r="H147">
        <f>IFERROR(__xludf.DUMMYFUNCTION("""COMPUTED_VALUE"""),"網代 慎平のかけら")</f>
        <v/>
      </c>
      <c r="I147">
        <f>IFERROR(__xludf.DUMMYFUNCTION("""COMPUTED_VALUE"""),"R")</f>
        <v/>
      </c>
      <c r="J147">
        <f>IFERROR(__xludf.DUMMYFUNCTION("""COMPUTED_VALUE"""),9.99999999E8)</f>
        <v/>
      </c>
      <c r="K147">
        <f>IFERROR(__xludf.DUMMYFUNCTION("""COMPUTED_VALUE"""),9.99999999E8)</f>
        <v/>
      </c>
      <c r="L147">
        <f>IFERROR(__xludf.DUMMYFUNCTION("""COMPUTED_VALUE"""),"網代 慎平のグレードアップに使用するアイテム")</f>
        <v/>
      </c>
      <c r="N147">
        <f>IFERROR(__xludf.DUMMYFUNCTION("""COMPUTED_VALUE"""),"2024-01-01 00:00:00")</f>
        <v/>
      </c>
    </row>
    <row r="148">
      <c r="A148">
        <f>IFERROR(__xludf.DUMMYFUNCTION("""COMPUTED_VALUE"""),"sum")</f>
        <v/>
      </c>
      <c r="B148">
        <f>IFERROR(__xludf.DUMMYFUNCTION("""COMPUTED_VALUE"""),"サマータイムレンダ")</f>
        <v/>
      </c>
      <c r="C148">
        <f>IFERROR(__xludf.DUMMYFUNCTION("""COMPUTED_VALUE"""),"piece")</f>
        <v/>
      </c>
      <c r="D148">
        <f>IFERROR(__xludf.DUMMYFUNCTION("""COMPUTED_VALUE"""),"00101")</f>
        <v/>
      </c>
      <c r="E148">
        <f>IFERROR(__xludf.DUMMYFUNCTION("""COMPUTED_VALUE"""),"piece_sum_00101")</f>
        <v/>
      </c>
      <c r="F148">
        <f>IFERROR(__xludf.DUMMYFUNCTION("""COMPUTED_VALUE"""),"piece_sum_00101")</f>
        <v/>
      </c>
      <c r="G148">
        <f>IFERROR(__xludf.DUMMYFUNCTION("""COMPUTED_VALUE"""),"item_icon_piece_sum_00101")</f>
        <v/>
      </c>
      <c r="H148">
        <f>IFERROR(__xludf.DUMMYFUNCTION("""COMPUTED_VALUE"""),"影のウシオ 小舟 潮のかけら")</f>
        <v/>
      </c>
      <c r="I148">
        <f>IFERROR(__xludf.DUMMYFUNCTION("""COMPUTED_VALUE"""),"UR")</f>
        <v/>
      </c>
      <c r="J148">
        <f>IFERROR(__xludf.DUMMYFUNCTION("""COMPUTED_VALUE"""),9.99999999E8)</f>
        <v/>
      </c>
      <c r="K148">
        <f>IFERROR(__xludf.DUMMYFUNCTION("""COMPUTED_VALUE"""),9.99999999E8)</f>
        <v/>
      </c>
      <c r="L148">
        <f>IFERROR(__xludf.DUMMYFUNCTION("""COMPUTED_VALUE"""),"影のウシオ 小舟 潮のグレードアップに使用するアイテム")</f>
        <v/>
      </c>
      <c r="N148">
        <f>IFERROR(__xludf.DUMMYFUNCTION("""COMPUTED_VALUE"""),"2024-01-01 00:00:00")</f>
        <v/>
      </c>
    </row>
    <row r="149">
      <c r="A149">
        <f>IFERROR(__xludf.DUMMYFUNCTION("""COMPUTED_VALUE"""),"sum")</f>
        <v/>
      </c>
      <c r="B149">
        <f>IFERROR(__xludf.DUMMYFUNCTION("""COMPUTED_VALUE"""),"サマータイムレンダ")</f>
        <v/>
      </c>
      <c r="C149">
        <f>IFERROR(__xludf.DUMMYFUNCTION("""COMPUTED_VALUE"""),"piece")</f>
        <v/>
      </c>
      <c r="D149">
        <f>IFERROR(__xludf.DUMMYFUNCTION("""COMPUTED_VALUE"""),"00201")</f>
        <v/>
      </c>
      <c r="E149">
        <f>IFERROR(__xludf.DUMMYFUNCTION("""COMPUTED_VALUE"""),"piece_sum_00201")</f>
        <v/>
      </c>
      <c r="F149">
        <f>IFERROR(__xludf.DUMMYFUNCTION("""COMPUTED_VALUE"""),"piece_sum_00201")</f>
        <v/>
      </c>
      <c r="G149">
        <f>IFERROR(__xludf.DUMMYFUNCTION("""COMPUTED_VALUE"""),"item_icon_piece_sum_00201")</f>
        <v/>
      </c>
      <c r="H149">
        <f>IFERROR(__xludf.DUMMYFUNCTION("""COMPUTED_VALUE"""),"小舟 澪のかけら")</f>
        <v/>
      </c>
      <c r="I149">
        <f>IFERROR(__xludf.DUMMYFUNCTION("""COMPUTED_VALUE"""),"SR")</f>
        <v/>
      </c>
      <c r="J149">
        <f>IFERROR(__xludf.DUMMYFUNCTION("""COMPUTED_VALUE"""),9.99999999E8)</f>
        <v/>
      </c>
      <c r="K149">
        <f>IFERROR(__xludf.DUMMYFUNCTION("""COMPUTED_VALUE"""),9.99999999E8)</f>
        <v/>
      </c>
      <c r="L149">
        <f>IFERROR(__xludf.DUMMYFUNCTION("""COMPUTED_VALUE"""),"小舟 澪のグレードアップに使用するアイテム")</f>
        <v/>
      </c>
      <c r="N149">
        <f>IFERROR(__xludf.DUMMYFUNCTION("""COMPUTED_VALUE"""),"2024-01-01 00:00:00")</f>
        <v/>
      </c>
    </row>
    <row r="150">
      <c r="A150">
        <f>IFERROR(__xludf.DUMMYFUNCTION("""COMPUTED_VALUE"""),"sum")</f>
        <v/>
      </c>
      <c r="B150">
        <f>IFERROR(__xludf.DUMMYFUNCTION("""COMPUTED_VALUE"""),"サマータイムレンダ")</f>
        <v/>
      </c>
      <c r="C150">
        <f>IFERROR(__xludf.DUMMYFUNCTION("""COMPUTED_VALUE"""),"piece")</f>
        <v/>
      </c>
      <c r="D150">
        <f>IFERROR(__xludf.DUMMYFUNCTION("""COMPUTED_VALUE"""),"00301")</f>
        <v/>
      </c>
      <c r="E150">
        <f>IFERROR(__xludf.DUMMYFUNCTION("""COMPUTED_VALUE"""),"piece_sum_00301")</f>
        <v/>
      </c>
      <c r="F150">
        <f>IFERROR(__xludf.DUMMYFUNCTION("""COMPUTED_VALUE"""),"piece_sum_00301")</f>
        <v/>
      </c>
      <c r="G150">
        <f>IFERROR(__xludf.DUMMYFUNCTION("""COMPUTED_VALUE"""),"item_icon_piece_sum_00301")</f>
        <v/>
      </c>
      <c r="H150">
        <f>IFERROR(__xludf.DUMMYFUNCTION("""COMPUTED_VALUE"""),"南方 竜之介のかけら")</f>
        <v/>
      </c>
      <c r="I150">
        <f>IFERROR(__xludf.DUMMYFUNCTION("""COMPUTED_VALUE"""),"SSR")</f>
        <v/>
      </c>
      <c r="J150">
        <f>IFERROR(__xludf.DUMMYFUNCTION("""COMPUTED_VALUE"""),9.99999999E8)</f>
        <v/>
      </c>
      <c r="K150">
        <f>IFERROR(__xludf.DUMMYFUNCTION("""COMPUTED_VALUE"""),9.99999999E8)</f>
        <v/>
      </c>
      <c r="N150">
        <f>IFERROR(__xludf.DUMMYFUNCTION("""COMPUTED_VALUE"""),"未設定")</f>
        <v/>
      </c>
    </row>
    <row r="152">
      <c r="A152">
        <f>IFERROR(__xludf.DUMMYFUNCTION("""COMPUTED_VALUE"""),"osh")</f>
        <v/>
      </c>
      <c r="B152">
        <f>IFERROR(__xludf.DUMMYFUNCTION("""COMPUTED_VALUE"""),"【推しの子】")</f>
        <v/>
      </c>
      <c r="C152">
        <f>IFERROR(__xludf.DUMMYFUNCTION("""COMPUTED_VALUE"""),"piece")</f>
        <v/>
      </c>
      <c r="D152">
        <f>IFERROR(__xludf.DUMMYFUNCTION("""COMPUTED_VALUE"""),"00001")</f>
        <v/>
      </c>
      <c r="E152">
        <f>IFERROR(__xludf.DUMMYFUNCTION("""COMPUTED_VALUE"""),"piece_osh_00001")</f>
        <v/>
      </c>
      <c r="F152">
        <f>IFERROR(__xludf.DUMMYFUNCTION("""COMPUTED_VALUE"""),"piece_osh_00001")</f>
        <v/>
      </c>
      <c r="G152">
        <f>IFERROR(__xludf.DUMMYFUNCTION("""COMPUTED_VALUE"""),"item_icon_piece_osh_00001")</f>
        <v/>
      </c>
      <c r="H152">
        <f>IFERROR(__xludf.DUMMYFUNCTION("""COMPUTED_VALUE"""),"B小町不動のセンター アイのかけら")</f>
        <v/>
      </c>
      <c r="I152">
        <f>IFERROR(__xludf.DUMMYFUNCTION("""COMPUTED_VALUE"""),"UR")</f>
        <v/>
      </c>
      <c r="J152">
        <f>IFERROR(__xludf.DUMMYFUNCTION("""COMPUTED_VALUE"""),9.99999999E8)</f>
        <v/>
      </c>
      <c r="K152">
        <f>IFERROR(__xludf.DUMMYFUNCTION("""COMPUTED_VALUE"""),9.99999999E8)</f>
        <v/>
      </c>
      <c r="L152">
        <f>IFERROR(__xludf.DUMMYFUNCTION("""COMPUTED_VALUE"""),"B小町不動のセンター アイのグレードアップに使用するアイテム")</f>
        <v/>
      </c>
      <c r="N152">
        <f>IFERROR(__xludf.DUMMYFUNCTION("""COMPUTED_VALUE"""),"2026-01-01 00:00:00")</f>
        <v/>
      </c>
    </row>
    <row r="153">
      <c r="A153">
        <f>IFERROR(__xludf.DUMMYFUNCTION("""COMPUTED_VALUE"""),"osh")</f>
        <v/>
      </c>
      <c r="B153">
        <f>IFERROR(__xludf.DUMMYFUNCTION("""COMPUTED_VALUE"""),"【推しの子】")</f>
        <v/>
      </c>
      <c r="C153">
        <f>IFERROR(__xludf.DUMMYFUNCTION("""COMPUTED_VALUE"""),"piece")</f>
        <v/>
      </c>
      <c r="D153">
        <f>IFERROR(__xludf.DUMMYFUNCTION("""COMPUTED_VALUE"""),"00101")</f>
        <v/>
      </c>
      <c r="E153">
        <f>IFERROR(__xludf.DUMMYFUNCTION("""COMPUTED_VALUE"""),"piece_osh_00101")</f>
        <v/>
      </c>
      <c r="F153">
        <f>IFERROR(__xludf.DUMMYFUNCTION("""COMPUTED_VALUE"""),"piece_osh_00101")</f>
        <v/>
      </c>
      <c r="G153">
        <f>IFERROR(__xludf.DUMMYFUNCTION("""COMPUTED_VALUE"""),"item_icon_piece_osh_00101")</f>
        <v/>
      </c>
      <c r="H153">
        <f>IFERROR(__xludf.DUMMYFUNCTION("""COMPUTED_VALUE"""),"復讐を誓う片星 星野 アクアのかけら")</f>
        <v/>
      </c>
      <c r="I153">
        <f>IFERROR(__xludf.DUMMYFUNCTION("""COMPUTED_VALUE"""),"UR")</f>
        <v/>
      </c>
      <c r="J153">
        <f>IFERROR(__xludf.DUMMYFUNCTION("""COMPUTED_VALUE"""),9.99999999E8)</f>
        <v/>
      </c>
      <c r="K153">
        <f>IFERROR(__xludf.DUMMYFUNCTION("""COMPUTED_VALUE"""),9.99999999E8)</f>
        <v/>
      </c>
      <c r="L153">
        <f>IFERROR(__xludf.DUMMYFUNCTION("""COMPUTED_VALUE"""),"復讐を誓う片星 星野 アクアのグレードアップに使用するアイテム")</f>
        <v/>
      </c>
      <c r="N153">
        <f>IFERROR(__xludf.DUMMYFUNCTION("""COMPUTED_VALUE"""),"2026-01-01 00:00:00")</f>
        <v/>
      </c>
    </row>
    <row r="154">
      <c r="A154">
        <f>IFERROR(__xludf.DUMMYFUNCTION("""COMPUTED_VALUE"""),"osh")</f>
        <v/>
      </c>
      <c r="B154">
        <f>IFERROR(__xludf.DUMMYFUNCTION("""COMPUTED_VALUE"""),"【推しの子】")</f>
        <v/>
      </c>
      <c r="C154">
        <f>IFERROR(__xludf.DUMMYFUNCTION("""COMPUTED_VALUE"""),"piece")</f>
        <v/>
      </c>
      <c r="D154">
        <f>IFERROR(__xludf.DUMMYFUNCTION("""COMPUTED_VALUE"""),"00201")</f>
        <v/>
      </c>
      <c r="E154">
        <f>IFERROR(__xludf.DUMMYFUNCTION("""COMPUTED_VALUE"""),"piece_osh_00201")</f>
        <v/>
      </c>
      <c r="F154">
        <f>IFERROR(__xludf.DUMMYFUNCTION("""COMPUTED_VALUE"""),"piece_osh_00201")</f>
        <v/>
      </c>
      <c r="G154">
        <f>IFERROR(__xludf.DUMMYFUNCTION("""COMPUTED_VALUE"""),"item_icon_piece_osh_00201")</f>
        <v/>
      </c>
      <c r="H154">
        <f>IFERROR(__xludf.DUMMYFUNCTION("""COMPUTED_VALUE"""),"星野 ルビーのかけら")</f>
        <v/>
      </c>
      <c r="I154">
        <f>IFERROR(__xludf.DUMMYFUNCTION("""COMPUTED_VALUE"""),"SSR")</f>
        <v/>
      </c>
      <c r="J154">
        <f>IFERROR(__xludf.DUMMYFUNCTION("""COMPUTED_VALUE"""),9.99999999E8)</f>
        <v/>
      </c>
      <c r="K154">
        <f>IFERROR(__xludf.DUMMYFUNCTION("""COMPUTED_VALUE"""),9.99999999E8)</f>
        <v/>
      </c>
      <c r="L154">
        <f>IFERROR(__xludf.DUMMYFUNCTION("""COMPUTED_VALUE"""),"星野 ルビーのグレードアップに使用するアイテム")</f>
        <v/>
      </c>
      <c r="N154">
        <f>IFERROR(__xludf.DUMMYFUNCTION("""COMPUTED_VALUE"""),"2026-01-01 00:00:00")</f>
        <v/>
      </c>
    </row>
    <row r="155">
      <c r="A155">
        <f>IFERROR(__xludf.DUMMYFUNCTION("""COMPUTED_VALUE"""),"osh")</f>
        <v/>
      </c>
      <c r="B155">
        <f>IFERROR(__xludf.DUMMYFUNCTION("""COMPUTED_VALUE"""),"【推しの子】")</f>
        <v/>
      </c>
      <c r="C155">
        <f>IFERROR(__xludf.DUMMYFUNCTION("""COMPUTED_VALUE"""),"piece")</f>
        <v/>
      </c>
      <c r="D155">
        <f>IFERROR(__xludf.DUMMYFUNCTION("""COMPUTED_VALUE"""),"00301")</f>
        <v/>
      </c>
      <c r="E155">
        <f>IFERROR(__xludf.DUMMYFUNCTION("""COMPUTED_VALUE"""),"piece_osh_00301")</f>
        <v/>
      </c>
      <c r="F155">
        <f>IFERROR(__xludf.DUMMYFUNCTION("""COMPUTED_VALUE"""),"piece_osh_00301")</f>
        <v/>
      </c>
      <c r="G155">
        <f>IFERROR(__xludf.DUMMYFUNCTION("""COMPUTED_VALUE"""),"item_icon_piece_osh_00301")</f>
        <v/>
      </c>
      <c r="H155">
        <f>IFERROR(__xludf.DUMMYFUNCTION("""COMPUTED_VALUE"""),"MEMちょのかけら")</f>
        <v/>
      </c>
      <c r="I155">
        <f>IFERROR(__xludf.DUMMYFUNCTION("""COMPUTED_VALUE"""),"SSR")</f>
        <v/>
      </c>
      <c r="J155">
        <f>IFERROR(__xludf.DUMMYFUNCTION("""COMPUTED_VALUE"""),9.99999999E8)</f>
        <v/>
      </c>
      <c r="K155">
        <f>IFERROR(__xludf.DUMMYFUNCTION("""COMPUTED_VALUE"""),9.99999999E8)</f>
        <v/>
      </c>
      <c r="L155">
        <f>IFERROR(__xludf.DUMMYFUNCTION("""COMPUTED_VALUE"""),"MEMちょのグレードアップに使用するアイテム")</f>
        <v/>
      </c>
      <c r="N155">
        <f>IFERROR(__xludf.DUMMYFUNCTION("""COMPUTED_VALUE"""),"2026-01-01 00:00:00")</f>
        <v/>
      </c>
    </row>
    <row r="156">
      <c r="A156">
        <f>IFERROR(__xludf.DUMMYFUNCTION("""COMPUTED_VALUE"""),"osh")</f>
        <v/>
      </c>
      <c r="B156">
        <f>IFERROR(__xludf.DUMMYFUNCTION("""COMPUTED_VALUE"""),"【推しの子】")</f>
        <v/>
      </c>
      <c r="C156">
        <f>IFERROR(__xludf.DUMMYFUNCTION("""COMPUTED_VALUE"""),"piece")</f>
        <v/>
      </c>
      <c r="D156">
        <f>IFERROR(__xludf.DUMMYFUNCTION("""COMPUTED_VALUE"""),"00401")</f>
        <v/>
      </c>
      <c r="E156">
        <f>IFERROR(__xludf.DUMMYFUNCTION("""COMPUTED_VALUE"""),"piece_osh_00401")</f>
        <v/>
      </c>
      <c r="F156">
        <f>IFERROR(__xludf.DUMMYFUNCTION("""COMPUTED_VALUE"""),"piece_osh_00401")</f>
        <v/>
      </c>
      <c r="G156">
        <f>IFERROR(__xludf.DUMMYFUNCTION("""COMPUTED_VALUE"""),"item_icon_piece_osh_00401")</f>
        <v/>
      </c>
      <c r="H156">
        <f>IFERROR(__xludf.DUMMYFUNCTION("""COMPUTED_VALUE"""),"有馬 かなのかけら")</f>
        <v/>
      </c>
      <c r="I156">
        <f>IFERROR(__xludf.DUMMYFUNCTION("""COMPUTED_VALUE"""),"SSR")</f>
        <v/>
      </c>
      <c r="J156">
        <f>IFERROR(__xludf.DUMMYFUNCTION("""COMPUTED_VALUE"""),9.99999999E8)</f>
        <v/>
      </c>
      <c r="K156">
        <f>IFERROR(__xludf.DUMMYFUNCTION("""COMPUTED_VALUE"""),9.99999999E8)</f>
        <v/>
      </c>
      <c r="L156">
        <f>IFERROR(__xludf.DUMMYFUNCTION("""COMPUTED_VALUE"""),"有馬 かなのグレードアップに使用するアイテム")</f>
        <v/>
      </c>
      <c r="N156">
        <f>IFERROR(__xludf.DUMMYFUNCTION("""COMPUTED_VALUE"""),"2026-01-01 00:00:00")</f>
        <v/>
      </c>
    </row>
    <row r="157">
      <c r="A157">
        <f>IFERROR(__xludf.DUMMYFUNCTION("""COMPUTED_VALUE"""),"osh")</f>
        <v/>
      </c>
      <c r="B157">
        <f>IFERROR(__xludf.DUMMYFUNCTION("""COMPUTED_VALUE"""),"【推しの子】")</f>
        <v/>
      </c>
      <c r="C157">
        <f>IFERROR(__xludf.DUMMYFUNCTION("""COMPUTED_VALUE"""),"piece")</f>
        <v/>
      </c>
      <c r="D157">
        <f>IFERROR(__xludf.DUMMYFUNCTION("""COMPUTED_VALUE"""),"00501")</f>
        <v/>
      </c>
      <c r="E157">
        <f>IFERROR(__xludf.DUMMYFUNCTION("""COMPUTED_VALUE"""),"piece_osh_00501")</f>
        <v/>
      </c>
      <c r="F157">
        <f>IFERROR(__xludf.DUMMYFUNCTION("""COMPUTED_VALUE"""),"piece_osh_00501")</f>
        <v/>
      </c>
      <c r="G157">
        <f>IFERROR(__xludf.DUMMYFUNCTION("""COMPUTED_VALUE"""),"item_icon_piece_osh_00501")</f>
        <v/>
      </c>
      <c r="H157">
        <f>IFERROR(__xludf.DUMMYFUNCTION("""COMPUTED_VALUE"""),"黒川 あかねのかけら")</f>
        <v/>
      </c>
      <c r="I157">
        <f>IFERROR(__xludf.DUMMYFUNCTION("""COMPUTED_VALUE"""),"SSR")</f>
        <v/>
      </c>
      <c r="J157">
        <f>IFERROR(__xludf.DUMMYFUNCTION("""COMPUTED_VALUE"""),9.99999999E8)</f>
        <v/>
      </c>
      <c r="K157">
        <f>IFERROR(__xludf.DUMMYFUNCTION("""COMPUTED_VALUE"""),9.99999999E8)</f>
        <v/>
      </c>
      <c r="L157">
        <f>IFERROR(__xludf.DUMMYFUNCTION("""COMPUTED_VALUE"""),"黒川 あかねのグレードアップに使用するアイテム")</f>
        <v/>
      </c>
      <c r="N157">
        <f>IFERROR(__xludf.DUMMYFUNCTION("""COMPUTED_VALUE"""),"2026-01-01 00:00:00")</f>
        <v/>
      </c>
    </row>
    <row r="158">
      <c r="A158">
        <f>IFERROR(__xludf.DUMMYFUNCTION("""COMPUTED_VALUE"""),"osh")</f>
        <v/>
      </c>
      <c r="B158">
        <f>IFERROR(__xludf.DUMMYFUNCTION("""COMPUTED_VALUE"""),"【推しの子】")</f>
        <v/>
      </c>
      <c r="C158">
        <f>IFERROR(__xludf.DUMMYFUNCTION("""COMPUTED_VALUE"""),"piece")</f>
        <v/>
      </c>
      <c r="D158">
        <f>IFERROR(__xludf.DUMMYFUNCTION("""COMPUTED_VALUE"""),"00601")</f>
        <v/>
      </c>
      <c r="E158">
        <f>IFERROR(__xludf.DUMMYFUNCTION("""COMPUTED_VALUE"""),"piece_osh_00601")</f>
        <v/>
      </c>
      <c r="F158">
        <f>IFERROR(__xludf.DUMMYFUNCTION("""COMPUTED_VALUE"""),"piece_osh_00601")</f>
        <v/>
      </c>
      <c r="G158">
        <f>IFERROR(__xludf.DUMMYFUNCTION("""COMPUTED_VALUE"""),"item_icon_piece_osh_00601")</f>
        <v/>
      </c>
      <c r="H158">
        <f>IFERROR(__xludf.DUMMYFUNCTION("""COMPUTED_VALUE"""),"ぴえヨンのかけら")</f>
        <v/>
      </c>
      <c r="I158">
        <f>IFERROR(__xludf.DUMMYFUNCTION("""COMPUTED_VALUE"""),"SR")</f>
        <v/>
      </c>
      <c r="J158">
        <f>IFERROR(__xludf.DUMMYFUNCTION("""COMPUTED_VALUE"""),9.99999999E8)</f>
        <v/>
      </c>
      <c r="K158">
        <f>IFERROR(__xludf.DUMMYFUNCTION("""COMPUTED_VALUE"""),9.99999999E8)</f>
        <v/>
      </c>
      <c r="L158">
        <f>IFERROR(__xludf.DUMMYFUNCTION("""COMPUTED_VALUE"""),"ぴえヨンのグレードアップに使用するアイテム")</f>
        <v/>
      </c>
      <c r="N158">
        <f>IFERROR(__xludf.DUMMYFUNCTION("""COMPUTED_VALUE"""),"2026-01-01 00:00:00")</f>
        <v/>
      </c>
    </row>
    <row r="160">
      <c r="A160">
        <f>IFERROR(__xludf.DUMMYFUNCTION("""COMPUTED_VALUE"""),"jig")</f>
        <v/>
      </c>
      <c r="B160">
        <f>IFERROR(__xludf.DUMMYFUNCTION("""COMPUTED_VALUE"""),"地獄楽")</f>
        <v/>
      </c>
      <c r="C160">
        <f>IFERROR(__xludf.DUMMYFUNCTION("""COMPUTED_VALUE"""),"piece")</f>
        <v/>
      </c>
      <c r="D160">
        <f>IFERROR(__xludf.DUMMYFUNCTION("""COMPUTED_VALUE"""),"00401")</f>
        <v/>
      </c>
      <c r="E160">
        <f>IFERROR(__xludf.DUMMYFUNCTION("""COMPUTED_VALUE"""),"piece_jig_00401")</f>
        <v/>
      </c>
      <c r="F160">
        <f>IFERROR(__xludf.DUMMYFUNCTION("""COMPUTED_VALUE"""),"piece_jig_00401")</f>
        <v/>
      </c>
      <c r="G160">
        <f>IFERROR(__xludf.DUMMYFUNCTION("""COMPUTED_VALUE"""),"item_icon_piece_jig_00401")</f>
        <v/>
      </c>
      <c r="H160">
        <f>IFERROR(__xludf.DUMMYFUNCTION("""COMPUTED_VALUE"""),"賊王 亜左 弔兵衛のかけら")</f>
        <v/>
      </c>
      <c r="I160">
        <f>IFERROR(__xludf.DUMMYFUNCTION("""COMPUTED_VALUE"""),"UR")</f>
        <v/>
      </c>
      <c r="J160">
        <f>IFERROR(__xludf.DUMMYFUNCTION("""COMPUTED_VALUE"""),9.99999999E8)</f>
        <v/>
      </c>
      <c r="K160">
        <f>IFERROR(__xludf.DUMMYFUNCTION("""COMPUTED_VALUE"""),9.99999999E8)</f>
        <v/>
      </c>
      <c r="L160">
        <f>IFERROR(__xludf.DUMMYFUNCTION("""COMPUTED_VALUE"""),"賊王 亜左 弔兵衛のグレードアップに使用するアイテム")</f>
        <v/>
      </c>
      <c r="N160">
        <f>IFERROR(__xludf.DUMMYFUNCTION("""COMPUTED_VALUE"""),"2026-01-16 15:00:00")</f>
        <v/>
      </c>
    </row>
    <row r="161">
      <c r="A161">
        <f>IFERROR(__xludf.DUMMYFUNCTION("""COMPUTED_VALUE"""),"jig")</f>
        <v/>
      </c>
      <c r="B161">
        <f>IFERROR(__xludf.DUMMYFUNCTION("""COMPUTED_VALUE"""),"地獄楽")</f>
        <v/>
      </c>
      <c r="C161">
        <f>IFERROR(__xludf.DUMMYFUNCTION("""COMPUTED_VALUE"""),"piece")</f>
        <v/>
      </c>
      <c r="D161">
        <f>IFERROR(__xludf.DUMMYFUNCTION("""COMPUTED_VALUE"""),"00501")</f>
        <v/>
      </c>
      <c r="E161">
        <f>IFERROR(__xludf.DUMMYFUNCTION("""COMPUTED_VALUE"""),"piece_jig_00501")</f>
        <v/>
      </c>
      <c r="F161">
        <f>IFERROR(__xludf.DUMMYFUNCTION("""COMPUTED_VALUE"""),"piece_jig_00501")</f>
        <v/>
      </c>
      <c r="G161">
        <f>IFERROR(__xludf.DUMMYFUNCTION("""COMPUTED_VALUE"""),"item_icon_piece_jig_00501")</f>
        <v/>
      </c>
      <c r="H161">
        <f>IFERROR(__xludf.DUMMYFUNCTION("""COMPUTED_VALUE"""),"山田浅ェ門 桐馬のかけら")</f>
        <v/>
      </c>
      <c r="I161">
        <f>IFERROR(__xludf.DUMMYFUNCTION("""COMPUTED_VALUE"""),"SSR")</f>
        <v/>
      </c>
      <c r="J161">
        <f>IFERROR(__xludf.DUMMYFUNCTION("""COMPUTED_VALUE"""),9.99999999E8)</f>
        <v/>
      </c>
      <c r="K161">
        <f>IFERROR(__xludf.DUMMYFUNCTION("""COMPUTED_VALUE"""),9.99999999E8)</f>
        <v/>
      </c>
      <c r="L161">
        <f>IFERROR(__xludf.DUMMYFUNCTION("""COMPUTED_VALUE"""),"山田浅ェ門 桐馬のグレードアップに使用するアイテム")</f>
        <v/>
      </c>
      <c r="N161">
        <f>IFERROR(__xludf.DUMMYFUNCTION("""COMPUTED_VALUE"""),"2026-01-16 15:00:00")</f>
        <v/>
      </c>
    </row>
    <row r="162">
      <c r="A162">
        <f>IFERROR(__xludf.DUMMYFUNCTION("""COMPUTED_VALUE"""),"jig")</f>
        <v/>
      </c>
      <c r="B162">
        <f>IFERROR(__xludf.DUMMYFUNCTION("""COMPUTED_VALUE"""),"地獄楽")</f>
        <v/>
      </c>
      <c r="C162">
        <f>IFERROR(__xludf.DUMMYFUNCTION("""COMPUTED_VALUE"""),"piece")</f>
        <v/>
      </c>
      <c r="D162">
        <f>IFERROR(__xludf.DUMMYFUNCTION("""COMPUTED_VALUE"""),"00601")</f>
        <v/>
      </c>
      <c r="E162">
        <f>IFERROR(__xludf.DUMMYFUNCTION("""COMPUTED_VALUE"""),"piece_jig_00601")</f>
        <v/>
      </c>
      <c r="F162">
        <f>IFERROR(__xludf.DUMMYFUNCTION("""COMPUTED_VALUE"""),"piece_jig_00601")</f>
        <v/>
      </c>
      <c r="G162">
        <f>IFERROR(__xludf.DUMMYFUNCTION("""COMPUTED_VALUE"""),"item_icon_piece_jig_00601")</f>
        <v/>
      </c>
      <c r="H162">
        <f>IFERROR(__xludf.DUMMYFUNCTION("""COMPUTED_VALUE"""),"民谷 巌鉄斎のかけら")</f>
        <v/>
      </c>
      <c r="I162">
        <f>IFERROR(__xludf.DUMMYFUNCTION("""COMPUTED_VALUE"""),"SR")</f>
        <v/>
      </c>
      <c r="J162">
        <f>IFERROR(__xludf.DUMMYFUNCTION("""COMPUTED_VALUE"""),9.99999999E8)</f>
        <v/>
      </c>
      <c r="K162">
        <f>IFERROR(__xludf.DUMMYFUNCTION("""COMPUTED_VALUE"""),9.99999999E8)</f>
        <v/>
      </c>
      <c r="L162">
        <f>IFERROR(__xludf.DUMMYFUNCTION("""COMPUTED_VALUE"""),"民谷 巌鉄斎のグレードアップに使用するアイテム")</f>
        <v/>
      </c>
      <c r="N162">
        <f>IFERROR(__xludf.DUMMYFUNCTION("""COMPUTED_VALUE"""),"2026-01-16 15:00:00")</f>
        <v/>
      </c>
    </row>
    <row r="163">
      <c r="A163">
        <f>IFERROR(__xludf.DUMMYFUNCTION("""COMPUTED_VALUE"""),"jig")</f>
        <v/>
      </c>
      <c r="B163">
        <f>IFERROR(__xludf.DUMMYFUNCTION("""COMPUTED_VALUE"""),"地獄楽")</f>
        <v/>
      </c>
      <c r="C163">
        <f>IFERROR(__xludf.DUMMYFUNCTION("""COMPUTED_VALUE"""),"piece")</f>
        <v/>
      </c>
      <c r="D163">
        <f>IFERROR(__xludf.DUMMYFUNCTION("""COMPUTED_VALUE"""),"00701")</f>
        <v/>
      </c>
      <c r="E163">
        <f>IFERROR(__xludf.DUMMYFUNCTION("""COMPUTED_VALUE"""),"piece_jig_00701")</f>
        <v/>
      </c>
      <c r="F163">
        <f>IFERROR(__xludf.DUMMYFUNCTION("""COMPUTED_VALUE"""),"piece_jig_00701")</f>
        <v/>
      </c>
      <c r="G163">
        <f>IFERROR(__xludf.DUMMYFUNCTION("""COMPUTED_VALUE"""),"item_icon_piece_jig_00701")</f>
        <v/>
      </c>
      <c r="H163">
        <f>IFERROR(__xludf.DUMMYFUNCTION("""COMPUTED_VALUE"""),"メイのかけら")</f>
        <v/>
      </c>
      <c r="I163">
        <f>IFERROR(__xludf.DUMMYFUNCTION("""COMPUTED_VALUE"""),"SR")</f>
        <v/>
      </c>
      <c r="J163">
        <f>IFERROR(__xludf.DUMMYFUNCTION("""COMPUTED_VALUE"""),9.99999999E8)</f>
        <v/>
      </c>
      <c r="K163">
        <f>IFERROR(__xludf.DUMMYFUNCTION("""COMPUTED_VALUE"""),9.99999999E8)</f>
        <v/>
      </c>
      <c r="L163">
        <f>IFERROR(__xludf.DUMMYFUNCTION("""COMPUTED_VALUE"""),"メイのグレードアップに使用するアイテム")</f>
        <v/>
      </c>
      <c r="N163">
        <f>IFERROR(__xludf.DUMMYFUNCTION("""COMPUTED_VALUE"""),"2026-01-16 15:00:00")</f>
        <v/>
      </c>
    </row>
    <row r="165">
      <c r="A165">
        <f>IFERROR(__xludf.DUMMYFUNCTION("""COMPUTED_VALUE"""),"you")</f>
        <v/>
      </c>
      <c r="B165">
        <f>IFERROR(__xludf.DUMMYFUNCTION("""COMPUTED_VALUE"""),"幼稚園WARS")</f>
        <v/>
      </c>
      <c r="C165">
        <f>IFERROR(__xludf.DUMMYFUNCTION("""COMPUTED_VALUE"""),"piece")</f>
        <v/>
      </c>
      <c r="D165">
        <f>IFERROR(__xludf.DUMMYFUNCTION("""COMPUTED_VALUE"""),"00001")</f>
        <v/>
      </c>
      <c r="E165">
        <f>IFERROR(__xludf.DUMMYFUNCTION("""COMPUTED_VALUE"""),"piece_you_00001")</f>
        <v/>
      </c>
      <c r="F165">
        <f>IFERROR(__xludf.DUMMYFUNCTION("""COMPUTED_VALUE"""),"piece_you_00001")</f>
        <v/>
      </c>
      <c r="G165">
        <f>IFERROR(__xludf.DUMMYFUNCTION("""COMPUTED_VALUE"""),"item_icon_piece_you_00001")</f>
        <v/>
      </c>
      <c r="H165">
        <f>IFERROR(__xludf.DUMMYFUNCTION("""COMPUTED_VALUE"""),"元殺し屋の新人教諭 リタのかけら")</f>
        <v/>
      </c>
      <c r="I165">
        <f>IFERROR(__xludf.DUMMYFUNCTION("""COMPUTED_VALUE"""),"UR")</f>
        <v/>
      </c>
      <c r="J165">
        <f>IFERROR(__xludf.DUMMYFUNCTION("""COMPUTED_VALUE"""),9.99999999E8)</f>
        <v/>
      </c>
      <c r="K165">
        <f>IFERROR(__xludf.DUMMYFUNCTION("""COMPUTED_VALUE"""),9.99999999E8)</f>
        <v/>
      </c>
      <c r="L165">
        <f>IFERROR(__xludf.DUMMYFUNCTION("""COMPUTED_VALUE"""),"元殺し屋の新人教諭 リタのグレードアップに使用するアイテム")</f>
        <v/>
      </c>
      <c r="N165">
        <f>IFERROR(__xludf.DUMMYFUNCTION("""COMPUTED_VALUE"""),"2026-02-02 15:00:00")</f>
        <v/>
      </c>
    </row>
    <row r="166">
      <c r="A166">
        <f>IFERROR(__xludf.DUMMYFUNCTION("""COMPUTED_VALUE"""),"you")</f>
        <v/>
      </c>
      <c r="B166">
        <f>IFERROR(__xludf.DUMMYFUNCTION("""COMPUTED_VALUE"""),"幼稚園WARS")</f>
        <v/>
      </c>
      <c r="C166">
        <f>IFERROR(__xludf.DUMMYFUNCTION("""COMPUTED_VALUE"""),"piece")</f>
        <v/>
      </c>
      <c r="D166">
        <f>IFERROR(__xludf.DUMMYFUNCTION("""COMPUTED_VALUE"""),"00101")</f>
        <v/>
      </c>
      <c r="E166">
        <f>IFERROR(__xludf.DUMMYFUNCTION("""COMPUTED_VALUE"""),"piece_you_00101")</f>
        <v/>
      </c>
      <c r="F166">
        <f>IFERROR(__xludf.DUMMYFUNCTION("""COMPUTED_VALUE"""),"piece_you_00101")</f>
        <v/>
      </c>
      <c r="G166">
        <f>IFERROR(__xludf.DUMMYFUNCTION("""COMPUTED_VALUE"""),"item_icon_piece_you_00101")</f>
        <v/>
      </c>
      <c r="H166">
        <f>IFERROR(__xludf.DUMMYFUNCTION("""COMPUTED_VALUE"""),"ルークのかけら")</f>
        <v/>
      </c>
      <c r="I166">
        <f>IFERROR(__xludf.DUMMYFUNCTION("""COMPUTED_VALUE"""),"SSR")</f>
        <v/>
      </c>
      <c r="J166">
        <f>IFERROR(__xludf.DUMMYFUNCTION("""COMPUTED_VALUE"""),9.99999999E8)</f>
        <v/>
      </c>
      <c r="K166">
        <f>IFERROR(__xludf.DUMMYFUNCTION("""COMPUTED_VALUE"""),9.99999999E8)</f>
        <v/>
      </c>
      <c r="L166">
        <f>IFERROR(__xludf.DUMMYFUNCTION("""COMPUTED_VALUE"""),"ルークのグレードアップに使用するアイテム")</f>
        <v/>
      </c>
      <c r="N166">
        <f>IFERROR(__xludf.DUMMYFUNCTION("""COMPUTED_VALUE"""),"2026-02-02 15:00:00")</f>
        <v/>
      </c>
    </row>
    <row r="167">
      <c r="A167">
        <f>IFERROR(__xludf.DUMMYFUNCTION("""COMPUTED_VALUE"""),"you")</f>
        <v/>
      </c>
      <c r="B167">
        <f>IFERROR(__xludf.DUMMYFUNCTION("""COMPUTED_VALUE"""),"幼稚園WARS")</f>
        <v/>
      </c>
      <c r="C167">
        <f>IFERROR(__xludf.DUMMYFUNCTION("""COMPUTED_VALUE"""),"piece")</f>
        <v/>
      </c>
      <c r="D167">
        <f>IFERROR(__xludf.DUMMYFUNCTION("""COMPUTED_VALUE"""),"00201")</f>
        <v/>
      </c>
      <c r="E167">
        <f>IFERROR(__xludf.DUMMYFUNCTION("""COMPUTED_VALUE"""),"piece_you_00201")</f>
        <v/>
      </c>
      <c r="F167">
        <f>IFERROR(__xludf.DUMMYFUNCTION("""COMPUTED_VALUE"""),"piece_you_00201")</f>
        <v/>
      </c>
      <c r="G167">
        <f>IFERROR(__xludf.DUMMYFUNCTION("""COMPUTED_VALUE"""),"item_icon_piece_you_00201")</f>
        <v/>
      </c>
      <c r="H167">
        <f>IFERROR(__xludf.DUMMYFUNCTION("""COMPUTED_VALUE"""),"ダグのかけら")</f>
        <v/>
      </c>
      <c r="I167">
        <f>IFERROR(__xludf.DUMMYFUNCTION("""COMPUTED_VALUE"""),"SR")</f>
        <v/>
      </c>
      <c r="J167">
        <f>IFERROR(__xludf.DUMMYFUNCTION("""COMPUTED_VALUE"""),9.99999999E8)</f>
        <v/>
      </c>
      <c r="K167">
        <f>IFERROR(__xludf.DUMMYFUNCTION("""COMPUTED_VALUE"""),9.99999999E8)</f>
        <v/>
      </c>
      <c r="L167">
        <f>IFERROR(__xludf.DUMMYFUNCTION("""COMPUTED_VALUE"""),"ダグのグレードアップに使用するアイテム")</f>
        <v/>
      </c>
      <c r="N167">
        <f>IFERROR(__xludf.DUMMYFUNCTION("""COMPUTED_VALUE"""),"2026-02-02 15:00:00")</f>
        <v/>
      </c>
    </row>
    <row r="168">
      <c r="A168">
        <f>IFERROR(__xludf.DUMMYFUNCTION("""COMPUTED_VALUE"""),"you")</f>
        <v/>
      </c>
      <c r="B168">
        <f>IFERROR(__xludf.DUMMYFUNCTION("""COMPUTED_VALUE"""),"幼稚園WARS")</f>
        <v/>
      </c>
      <c r="C168">
        <f>IFERROR(__xludf.DUMMYFUNCTION("""COMPUTED_VALUE"""),"piece")</f>
        <v/>
      </c>
      <c r="D168">
        <f>IFERROR(__xludf.DUMMYFUNCTION("""COMPUTED_VALUE"""),"00301")</f>
        <v/>
      </c>
      <c r="E168">
        <f>IFERROR(__xludf.DUMMYFUNCTION("""COMPUTED_VALUE"""),"piece_you_00301")</f>
        <v/>
      </c>
      <c r="F168">
        <f>IFERROR(__xludf.DUMMYFUNCTION("""COMPUTED_VALUE"""),"piece_you_00301")</f>
        <v/>
      </c>
      <c r="G168">
        <f>IFERROR(__xludf.DUMMYFUNCTION("""COMPUTED_VALUE"""),"item_icon_piece_you_00301")</f>
        <v/>
      </c>
      <c r="H168">
        <f>IFERROR(__xludf.DUMMYFUNCTION("""COMPUTED_VALUE"""),"ハナのかけら")</f>
        <v/>
      </c>
      <c r="I168">
        <f>IFERROR(__xludf.DUMMYFUNCTION("""COMPUTED_VALUE"""),"SR")</f>
        <v/>
      </c>
      <c r="J168">
        <f>IFERROR(__xludf.DUMMYFUNCTION("""COMPUTED_VALUE"""),9.99999999E8)</f>
        <v/>
      </c>
      <c r="K168">
        <f>IFERROR(__xludf.DUMMYFUNCTION("""COMPUTED_VALUE"""),9.99999999E8)</f>
        <v/>
      </c>
      <c r="L168">
        <f>IFERROR(__xludf.DUMMYFUNCTION("""COMPUTED_VALUE"""),"ハナのグレードアップに使用するアイテム")</f>
        <v/>
      </c>
      <c r="N168">
        <f>IFERROR(__xludf.DUMMYFUNCTION("""COMPUTED_VALUE"""),"2026-02-02 15:00:00")</f>
        <v/>
      </c>
    </row>
    <row r="170">
      <c r="A170">
        <f>IFERROR(__xludf.DUMMYFUNCTION("""COMPUTED_VALUE"""),"kim")</f>
        <v/>
      </c>
      <c r="B170">
        <f>IFERROR(__xludf.DUMMYFUNCTION("""COMPUTED_VALUE"""),"君のことが大大大大大好きな100人の彼女")</f>
        <v/>
      </c>
      <c r="C170">
        <f>IFERROR(__xludf.DUMMYFUNCTION("""COMPUTED_VALUE"""),"piece")</f>
        <v/>
      </c>
      <c r="D170">
        <f>IFERROR(__xludf.DUMMYFUNCTION("""COMPUTED_VALUE"""),"00001")</f>
        <v/>
      </c>
      <c r="E170">
        <f>IFERROR(__xludf.DUMMYFUNCTION("""COMPUTED_VALUE"""),"piece_kim_00001")</f>
        <v/>
      </c>
      <c r="F170">
        <f>IFERROR(__xludf.DUMMYFUNCTION("""COMPUTED_VALUE"""),"piece_kim_00001")</f>
        <v/>
      </c>
      <c r="G170">
        <f>IFERROR(__xludf.DUMMYFUNCTION("""COMPUTED_VALUE"""),"item_icon_piece_kim_00001")</f>
        <v/>
      </c>
      <c r="H170">
        <f>IFERROR(__xludf.DUMMYFUNCTION("""COMPUTED_VALUE"""),"溢れる母性 花園 羽々里のかけら")</f>
        <v/>
      </c>
      <c r="I170">
        <f>IFERROR(__xludf.DUMMYFUNCTION("""COMPUTED_VALUE"""),"UR")</f>
        <v/>
      </c>
      <c r="J170">
        <f>IFERROR(__xludf.DUMMYFUNCTION("""COMPUTED_VALUE"""),9.99999999E8)</f>
        <v/>
      </c>
      <c r="K170">
        <f>IFERROR(__xludf.DUMMYFUNCTION("""COMPUTED_VALUE"""),9.99999999E8)</f>
        <v/>
      </c>
      <c r="L170">
        <f>IFERROR(__xludf.DUMMYFUNCTION("""COMPUTED_VALUE"""),"溢れる母性 花園 羽々里のグレードアップに使用するアイテム")</f>
        <v/>
      </c>
      <c r="N170">
        <f>IFERROR(__xludf.DUMMYFUNCTION("""COMPUTED_VALUE"""),"2026-02-16 15:00:00")</f>
        <v/>
      </c>
    </row>
    <row r="171">
      <c r="A171">
        <f>IFERROR(__xludf.DUMMYFUNCTION("""COMPUTED_VALUE"""),"kim")</f>
        <v/>
      </c>
      <c r="B171">
        <f>IFERROR(__xludf.DUMMYFUNCTION("""COMPUTED_VALUE"""),"君のことが大大大大大好きな100人の彼女")</f>
        <v/>
      </c>
      <c r="C171">
        <f>IFERROR(__xludf.DUMMYFUNCTION("""COMPUTED_VALUE"""),"piece")</f>
        <v/>
      </c>
      <c r="D171">
        <f>IFERROR(__xludf.DUMMYFUNCTION("""COMPUTED_VALUE"""),"00101")</f>
        <v/>
      </c>
      <c r="E171">
        <f>IFERROR(__xludf.DUMMYFUNCTION("""COMPUTED_VALUE"""),"piece_kim_00101")</f>
        <v/>
      </c>
      <c r="F171">
        <f>IFERROR(__xludf.DUMMYFUNCTION("""COMPUTED_VALUE"""),"piece_kim_00101")</f>
        <v/>
      </c>
      <c r="G171">
        <f>IFERROR(__xludf.DUMMYFUNCTION("""COMPUTED_VALUE"""),"item_icon_piece_kim_00101")</f>
        <v/>
      </c>
      <c r="H171">
        <f>IFERROR(__xludf.DUMMYFUNCTION("""COMPUTED_VALUE"""),"花園 羽香里のかけら")</f>
        <v/>
      </c>
      <c r="I171">
        <f>IFERROR(__xludf.DUMMYFUNCTION("""COMPUTED_VALUE"""),"SSR")</f>
        <v/>
      </c>
      <c r="J171">
        <f>IFERROR(__xludf.DUMMYFUNCTION("""COMPUTED_VALUE"""),9.99999999E8)</f>
        <v/>
      </c>
      <c r="K171">
        <f>IFERROR(__xludf.DUMMYFUNCTION("""COMPUTED_VALUE"""),9.99999999E8)</f>
        <v/>
      </c>
      <c r="L171">
        <f>IFERROR(__xludf.DUMMYFUNCTION("""COMPUTED_VALUE"""),"花園 羽香里のグレードアップに使用するアイテム")</f>
        <v/>
      </c>
      <c r="N171">
        <f>IFERROR(__xludf.DUMMYFUNCTION("""COMPUTED_VALUE"""),"2026-02-16 15:00:00")</f>
        <v/>
      </c>
    </row>
    <row r="172">
      <c r="A172">
        <f>IFERROR(__xludf.DUMMYFUNCTION("""COMPUTED_VALUE"""),"kim")</f>
        <v/>
      </c>
      <c r="B172">
        <f>IFERROR(__xludf.DUMMYFUNCTION("""COMPUTED_VALUE"""),"君のことが大大大大大好きな100人の彼女")</f>
        <v/>
      </c>
      <c r="C172">
        <f>IFERROR(__xludf.DUMMYFUNCTION("""COMPUTED_VALUE"""),"piece")</f>
        <v/>
      </c>
      <c r="D172">
        <f>IFERROR(__xludf.DUMMYFUNCTION("""COMPUTED_VALUE"""),"00201")</f>
        <v/>
      </c>
      <c r="E172">
        <f>IFERROR(__xludf.DUMMYFUNCTION("""COMPUTED_VALUE"""),"piece_kim_00201")</f>
        <v/>
      </c>
      <c r="F172">
        <f>IFERROR(__xludf.DUMMYFUNCTION("""COMPUTED_VALUE"""),"piece_kim_00201")</f>
        <v/>
      </c>
      <c r="G172">
        <f>IFERROR(__xludf.DUMMYFUNCTION("""COMPUTED_VALUE"""),"item_icon_piece_kim_00201")</f>
        <v/>
      </c>
      <c r="H172">
        <f>IFERROR(__xludf.DUMMYFUNCTION("""COMPUTED_VALUE"""),"院田 唐音のかけら")</f>
        <v/>
      </c>
      <c r="I172">
        <f>IFERROR(__xludf.DUMMYFUNCTION("""COMPUTED_VALUE"""),"SSR")</f>
        <v/>
      </c>
      <c r="J172">
        <f>IFERROR(__xludf.DUMMYFUNCTION("""COMPUTED_VALUE"""),9.99999999E8)</f>
        <v/>
      </c>
      <c r="K172">
        <f>IFERROR(__xludf.DUMMYFUNCTION("""COMPUTED_VALUE"""),9.99999999E8)</f>
        <v/>
      </c>
      <c r="L172">
        <f>IFERROR(__xludf.DUMMYFUNCTION("""COMPUTED_VALUE"""),"院田 唐音のグレードアップに使用するアイテム")</f>
        <v/>
      </c>
      <c r="N172">
        <f>IFERROR(__xludf.DUMMYFUNCTION("""COMPUTED_VALUE"""),"2026-02-16 15:00:00")</f>
        <v/>
      </c>
    </row>
    <row r="173">
      <c r="A173">
        <f>IFERROR(__xludf.DUMMYFUNCTION("""COMPUTED_VALUE"""),"kim")</f>
        <v/>
      </c>
      <c r="B173">
        <f>IFERROR(__xludf.DUMMYFUNCTION("""COMPUTED_VALUE"""),"君のことが大大大大大好きな100人の彼女")</f>
        <v/>
      </c>
      <c r="C173">
        <f>IFERROR(__xludf.DUMMYFUNCTION("""COMPUTED_VALUE"""),"piece")</f>
        <v/>
      </c>
      <c r="D173">
        <f>IFERROR(__xludf.DUMMYFUNCTION("""COMPUTED_VALUE"""),"00301")</f>
        <v/>
      </c>
      <c r="E173">
        <f>IFERROR(__xludf.DUMMYFUNCTION("""COMPUTED_VALUE"""),"piece_kim_00301")</f>
        <v/>
      </c>
      <c r="F173">
        <f>IFERROR(__xludf.DUMMYFUNCTION("""COMPUTED_VALUE"""),"piece_kim_00301")</f>
        <v/>
      </c>
      <c r="G173">
        <f>IFERROR(__xludf.DUMMYFUNCTION("""COMPUTED_VALUE"""),"item_icon_piece_kim_00301")</f>
        <v/>
      </c>
      <c r="H173">
        <f>IFERROR(__xludf.DUMMYFUNCTION("""COMPUTED_VALUE"""),"好本 静のかけら")</f>
        <v/>
      </c>
      <c r="I173">
        <f>IFERROR(__xludf.DUMMYFUNCTION("""COMPUTED_VALUE"""),"SSR")</f>
        <v/>
      </c>
      <c r="J173">
        <f>IFERROR(__xludf.DUMMYFUNCTION("""COMPUTED_VALUE"""),9.99999999E8)</f>
        <v/>
      </c>
      <c r="K173">
        <f>IFERROR(__xludf.DUMMYFUNCTION("""COMPUTED_VALUE"""),9.99999999E8)</f>
        <v/>
      </c>
      <c r="L173">
        <f>IFERROR(__xludf.DUMMYFUNCTION("""COMPUTED_VALUE"""),"好本 静のグレードアップに使用するアイテム")</f>
        <v/>
      </c>
      <c r="N173">
        <f>IFERROR(__xludf.DUMMYFUNCTION("""COMPUTED_VALUE"""),"2026-02-16 15:00:00")</f>
        <v/>
      </c>
    </row>
    <row r="175">
      <c r="A175">
        <f>IFERROR(__xludf.DUMMYFUNCTION("""COMPUTED_VALUE"""),"hut")</f>
        <v/>
      </c>
      <c r="B175">
        <f>IFERROR(__xludf.DUMMYFUNCTION("""COMPUTED_VALUE"""),"ふつうの軽音部")</f>
        <v/>
      </c>
      <c r="C175">
        <f>IFERROR(__xludf.DUMMYFUNCTION("""COMPUTED_VALUE"""),"piece")</f>
        <v/>
      </c>
      <c r="D175">
        <f>IFERROR(__xludf.DUMMYFUNCTION("""COMPUTED_VALUE"""),"00001")</f>
        <v/>
      </c>
      <c r="E175">
        <f>IFERROR(__xludf.DUMMYFUNCTION("""COMPUTED_VALUE"""),"piece_hut_00001")</f>
        <v/>
      </c>
      <c r="F175">
        <f>IFERROR(__xludf.DUMMYFUNCTION("""COMPUTED_VALUE"""),"piece_hut_00001")</f>
        <v/>
      </c>
      <c r="G175">
        <f>IFERROR(__xludf.DUMMYFUNCTION("""COMPUTED_VALUE"""),"item_icon_piece_hut_00001")</f>
        <v/>
      </c>
      <c r="H175">
        <f>IFERROR(__xludf.DUMMYFUNCTION("""COMPUTED_VALUE"""),"ひたむきギタリスト 鳩野 ちひろのかけら")</f>
        <v/>
      </c>
      <c r="I175">
        <f>IFERROR(__xludf.DUMMYFUNCTION("""COMPUTED_VALUE"""),"UR")</f>
        <v/>
      </c>
      <c r="J175">
        <f>IFERROR(__xludf.DUMMYFUNCTION("""COMPUTED_VALUE"""),9.99999999E8)</f>
        <v/>
      </c>
      <c r="K175">
        <f>IFERROR(__xludf.DUMMYFUNCTION("""COMPUTED_VALUE"""),9.99999999E8)</f>
        <v/>
      </c>
      <c r="L175">
        <f>IFERROR(__xludf.DUMMYFUNCTION("""COMPUTED_VALUE"""),"ひたむきギタリスト 鳩野 ちひろのグレードアップに使用するアイテム")</f>
        <v/>
      </c>
      <c r="N175">
        <f>IFERROR(__xludf.DUMMYFUNCTION("""COMPUTED_VALUE"""),"2026-03-02 15:00:00")</f>
        <v/>
      </c>
    </row>
    <row r="176">
      <c r="A176">
        <f>IFERROR(__xludf.DUMMYFUNCTION("""COMPUTED_VALUE"""),"hut")</f>
        <v/>
      </c>
      <c r="B176">
        <f>IFERROR(__xludf.DUMMYFUNCTION("""COMPUTED_VALUE"""),"ふつうの軽音部")</f>
        <v/>
      </c>
      <c r="C176">
        <f>IFERROR(__xludf.DUMMYFUNCTION("""COMPUTED_VALUE"""),"piece")</f>
        <v/>
      </c>
      <c r="D176">
        <f>IFERROR(__xludf.DUMMYFUNCTION("""COMPUTED_VALUE"""),"00101")</f>
        <v/>
      </c>
      <c r="E176">
        <f>IFERROR(__xludf.DUMMYFUNCTION("""COMPUTED_VALUE"""),"piece_hut_00101")</f>
        <v/>
      </c>
      <c r="F176">
        <f>IFERROR(__xludf.DUMMYFUNCTION("""COMPUTED_VALUE"""),"piece_hut_00101")</f>
        <v/>
      </c>
      <c r="G176">
        <f>IFERROR(__xludf.DUMMYFUNCTION("""COMPUTED_VALUE"""),"item_icon_piece_hut_00101")</f>
        <v/>
      </c>
      <c r="H176">
        <f>IFERROR(__xludf.DUMMYFUNCTION("""COMPUTED_VALUE"""),"幸山 厘のかけら")</f>
        <v/>
      </c>
      <c r="I176">
        <f>IFERROR(__xludf.DUMMYFUNCTION("""COMPUTED_VALUE"""),"SSR")</f>
        <v/>
      </c>
      <c r="J176">
        <f>IFERROR(__xludf.DUMMYFUNCTION("""COMPUTED_VALUE"""),9.99999999E8)</f>
        <v/>
      </c>
      <c r="K176">
        <f>IFERROR(__xludf.DUMMYFUNCTION("""COMPUTED_VALUE"""),9.99999999E8)</f>
        <v/>
      </c>
      <c r="L176">
        <f>IFERROR(__xludf.DUMMYFUNCTION("""COMPUTED_VALUE"""),"幸山 厘のグレードアップに使用するアイテム")</f>
        <v/>
      </c>
      <c r="N176">
        <f>IFERROR(__xludf.DUMMYFUNCTION("""COMPUTED_VALUE"""),"2026-03-02 15:00:00")</f>
        <v/>
      </c>
    </row>
    <row r="177">
      <c r="A177">
        <f>IFERROR(__xludf.DUMMYFUNCTION("""COMPUTED_VALUE"""),"hut")</f>
        <v/>
      </c>
      <c r="B177">
        <f>IFERROR(__xludf.DUMMYFUNCTION("""COMPUTED_VALUE"""),"ふつうの軽音部")</f>
        <v/>
      </c>
      <c r="C177">
        <f>IFERROR(__xludf.DUMMYFUNCTION("""COMPUTED_VALUE"""),"piece")</f>
        <v/>
      </c>
      <c r="D177">
        <f>IFERROR(__xludf.DUMMYFUNCTION("""COMPUTED_VALUE"""),"00201")</f>
        <v/>
      </c>
      <c r="E177">
        <f>IFERROR(__xludf.DUMMYFUNCTION("""COMPUTED_VALUE"""),"piece_hut_00201")</f>
        <v/>
      </c>
      <c r="F177">
        <f>IFERROR(__xludf.DUMMYFUNCTION("""COMPUTED_VALUE"""),"piece_hut_00201")</f>
        <v/>
      </c>
      <c r="G177">
        <f>IFERROR(__xludf.DUMMYFUNCTION("""COMPUTED_VALUE"""),"item_icon_piece_hut_00201")</f>
        <v/>
      </c>
      <c r="H177">
        <f>IFERROR(__xludf.DUMMYFUNCTION("""COMPUTED_VALUE"""),"内田 桃のかけら")</f>
        <v/>
      </c>
      <c r="I177">
        <f>IFERROR(__xludf.DUMMYFUNCTION("""COMPUTED_VALUE"""),"SR")</f>
        <v/>
      </c>
      <c r="J177">
        <f>IFERROR(__xludf.DUMMYFUNCTION("""COMPUTED_VALUE"""),9.99999999E8)</f>
        <v/>
      </c>
      <c r="K177">
        <f>IFERROR(__xludf.DUMMYFUNCTION("""COMPUTED_VALUE"""),9.99999999E8)</f>
        <v/>
      </c>
      <c r="L177">
        <f>IFERROR(__xludf.DUMMYFUNCTION("""COMPUTED_VALUE"""),"内田 桃のグレードアップに使用するアイテム")</f>
        <v/>
      </c>
      <c r="N177">
        <f>IFERROR(__xludf.DUMMYFUNCTION("""COMPUTED_VALUE"""),"2026-03-02 15:00:00")</f>
        <v/>
      </c>
    </row>
    <row r="178">
      <c r="A178">
        <f>IFERROR(__xludf.DUMMYFUNCTION("""COMPUTED_VALUE"""),"hut")</f>
        <v/>
      </c>
      <c r="B178">
        <f>IFERROR(__xludf.DUMMYFUNCTION("""COMPUTED_VALUE"""),"ふつうの軽音部")</f>
        <v/>
      </c>
      <c r="C178">
        <f>IFERROR(__xludf.DUMMYFUNCTION("""COMPUTED_VALUE"""),"piece")</f>
        <v/>
      </c>
      <c r="D178">
        <f>IFERROR(__xludf.DUMMYFUNCTION("""COMPUTED_VALUE"""),"00301")</f>
        <v/>
      </c>
      <c r="E178">
        <f>IFERROR(__xludf.DUMMYFUNCTION("""COMPUTED_VALUE"""),"piece_hut_00301")</f>
        <v/>
      </c>
      <c r="F178">
        <f>IFERROR(__xludf.DUMMYFUNCTION("""COMPUTED_VALUE"""),"piece_hut_00301")</f>
        <v/>
      </c>
      <c r="G178">
        <f>IFERROR(__xludf.DUMMYFUNCTION("""COMPUTED_VALUE"""),"item_icon_piece_hut_00301")</f>
        <v/>
      </c>
      <c r="H178">
        <f>IFERROR(__xludf.DUMMYFUNCTION("""COMPUTED_VALUE"""),"藤井 彩目のかけら")</f>
        <v/>
      </c>
      <c r="I178">
        <f>IFERROR(__xludf.DUMMYFUNCTION("""COMPUTED_VALUE"""),"SR")</f>
        <v/>
      </c>
      <c r="J178">
        <f>IFERROR(__xludf.DUMMYFUNCTION("""COMPUTED_VALUE"""),9.99999999E8)</f>
        <v/>
      </c>
      <c r="K178">
        <f>IFERROR(__xludf.DUMMYFUNCTION("""COMPUTED_VALUE"""),9.99999999E8)</f>
        <v/>
      </c>
      <c r="L178">
        <f>IFERROR(__xludf.DUMMYFUNCTION("""COMPUTED_VALUE"""),"藤井 彩目のグレードアップに使用するアイテム")</f>
        <v/>
      </c>
      <c r="N178">
        <f>IFERROR(__xludf.DUMMYFUNCTION("""COMPUTED_VALUE"""),"2026-03-02 15:00:00")</f>
        <v/>
      </c>
    </row>
    <row r="180">
      <c r="A180">
        <f>IFERROR(__xludf.DUMMYFUNCTION("""COMPUTED_VALUE"""),"aya")</f>
        <v/>
      </c>
      <c r="B180">
        <f>IFERROR(__xludf.DUMMYFUNCTION("""COMPUTED_VALUE"""),"あやかしトライアングル")</f>
        <v/>
      </c>
      <c r="C180">
        <f>IFERROR(__xludf.DUMMYFUNCTION("""COMPUTED_VALUE"""),"piece")</f>
        <v/>
      </c>
      <c r="D180">
        <f>IFERROR(__xludf.DUMMYFUNCTION("""COMPUTED_VALUE"""),"00001")</f>
        <v/>
      </c>
      <c r="E180">
        <f>IFERROR(__xludf.DUMMYFUNCTION("""COMPUTED_VALUE"""),"piece_aya_00001")</f>
        <v/>
      </c>
      <c r="F180">
        <f>IFERROR(__xludf.DUMMYFUNCTION("""COMPUTED_VALUE"""),"piece_aya_00001")</f>
        <v/>
      </c>
      <c r="G180">
        <f>IFERROR(__xludf.DUMMYFUNCTION("""COMPUTED_VALUE"""),"item_icon_piece_aya_00001")</f>
        <v/>
      </c>
      <c r="H180">
        <f>IFERROR(__xludf.DUMMYFUNCTION("""COMPUTED_VALUE"""),"一子相伝の風使い 風巻 祭里のかけら")</f>
        <v/>
      </c>
      <c r="I180">
        <f>IFERROR(__xludf.DUMMYFUNCTION("""COMPUTED_VALUE"""),"UR")</f>
        <v/>
      </c>
      <c r="J180">
        <f>IFERROR(__xludf.DUMMYFUNCTION("""COMPUTED_VALUE"""),9.99999999E8)</f>
        <v/>
      </c>
      <c r="K180">
        <f>IFERROR(__xludf.DUMMYFUNCTION("""COMPUTED_VALUE"""),9.99999999E8)</f>
        <v/>
      </c>
      <c r="L180">
        <f>IFERROR(__xludf.DUMMYFUNCTION("""COMPUTED_VALUE"""),"一子相伝の風使い　風巻 祭里のグレードアップに使用するアイテム")</f>
        <v/>
      </c>
      <c r="N180">
        <f>IFERROR(__xludf.DUMMYFUNCTION("""COMPUTED_VALUE"""),"2026-04-17 15:00:00")</f>
        <v/>
      </c>
    </row>
    <row r="181">
      <c r="A181">
        <f>IFERROR(__xludf.DUMMYFUNCTION("""COMPUTED_VALUE"""),"aya")</f>
        <v/>
      </c>
      <c r="B181">
        <f>IFERROR(__xludf.DUMMYFUNCTION("""COMPUTED_VALUE"""),"あやかしトライアングル")</f>
        <v/>
      </c>
      <c r="C181">
        <f>IFERROR(__xludf.DUMMYFUNCTION("""COMPUTED_VALUE"""),"piece")</f>
        <v/>
      </c>
      <c r="D181">
        <f>IFERROR(__xludf.DUMMYFUNCTION("""COMPUTED_VALUE"""),"00101")</f>
        <v/>
      </c>
      <c r="E181">
        <f>IFERROR(__xludf.DUMMYFUNCTION("""COMPUTED_VALUE"""),"piece_aya_00101")</f>
        <v/>
      </c>
      <c r="F181">
        <f>IFERROR(__xludf.DUMMYFUNCTION("""COMPUTED_VALUE"""),"piece_aya_00101")</f>
        <v/>
      </c>
      <c r="G181">
        <f>IFERROR(__xludf.DUMMYFUNCTION("""COMPUTED_VALUE"""),"item_icon_piece_aya_00101")</f>
        <v/>
      </c>
      <c r="H181">
        <f>IFERROR(__xludf.DUMMYFUNCTION("""COMPUTED_VALUE"""),"花奏 すずのかけら")</f>
        <v/>
      </c>
      <c r="I181">
        <f>IFERROR(__xludf.DUMMYFUNCTION("""COMPUTED_VALUE"""),"SSR")</f>
        <v/>
      </c>
      <c r="J181">
        <f>IFERROR(__xludf.DUMMYFUNCTION("""COMPUTED_VALUE"""),9.99999999E8)</f>
        <v/>
      </c>
      <c r="K181">
        <f>IFERROR(__xludf.DUMMYFUNCTION("""COMPUTED_VALUE"""),9.99999999E8)</f>
        <v/>
      </c>
      <c r="L181">
        <f>IFERROR(__xludf.DUMMYFUNCTION("""COMPUTED_VALUE"""),"花奏 すずのグレードアップに使用するアイテム")</f>
        <v/>
      </c>
      <c r="N181">
        <f>IFERROR(__xludf.DUMMYFUNCTION("""COMPUTED_VALUE"""),"2026-04-17 15:00:00")</f>
        <v/>
      </c>
    </row>
    <row r="182">
      <c r="A182">
        <f>IFERROR(__xludf.DUMMYFUNCTION("""COMPUTED_VALUE"""),"aya")</f>
        <v/>
      </c>
      <c r="B182">
        <f>IFERROR(__xludf.DUMMYFUNCTION("""COMPUTED_VALUE"""),"あやかしトライアングル")</f>
        <v/>
      </c>
      <c r="C182">
        <f>IFERROR(__xludf.DUMMYFUNCTION("""COMPUTED_VALUE"""),"piece")</f>
        <v/>
      </c>
      <c r="D182">
        <f>IFERROR(__xludf.DUMMYFUNCTION("""COMPUTED_VALUE"""),"00201")</f>
        <v/>
      </c>
      <c r="E182">
        <f>IFERROR(__xludf.DUMMYFUNCTION("""COMPUTED_VALUE"""),"piece_aya_00201")</f>
        <v/>
      </c>
      <c r="F182">
        <f>IFERROR(__xludf.DUMMYFUNCTION("""COMPUTED_VALUE"""),"piece_aya_00201")</f>
        <v/>
      </c>
      <c r="G182">
        <f>IFERROR(__xludf.DUMMYFUNCTION("""COMPUTED_VALUE"""),"item_icon_piece_aya_00201")</f>
        <v/>
      </c>
      <c r="H182">
        <f>IFERROR(__xludf.DUMMYFUNCTION("""COMPUTED_VALUE"""),"香炉木 恋緒のかけら")</f>
        <v/>
      </c>
      <c r="I182">
        <f>IFERROR(__xludf.DUMMYFUNCTION("""COMPUTED_VALUE"""),"SR")</f>
        <v/>
      </c>
      <c r="J182">
        <f>IFERROR(__xludf.DUMMYFUNCTION("""COMPUTED_VALUE"""),9.99999999E8)</f>
        <v/>
      </c>
      <c r="K182">
        <f>IFERROR(__xludf.DUMMYFUNCTION("""COMPUTED_VALUE"""),9.99999999E8)</f>
        <v/>
      </c>
      <c r="L182">
        <f>IFERROR(__xludf.DUMMYFUNCTION("""COMPUTED_VALUE"""),"香炉木 恋緒のグレードアップに使用するアイテム")</f>
        <v/>
      </c>
      <c r="N182">
        <f>IFERROR(__xludf.DUMMYFUNCTION("""COMPUTED_VALUE"""),"2026-04-17 15:00:00")</f>
        <v/>
      </c>
    </row>
    <row r="183">
      <c r="A183">
        <f>IFERROR(__xludf.DUMMYFUNCTION("""COMPUTED_VALUE"""),"aya")</f>
        <v/>
      </c>
      <c r="B183">
        <f>IFERROR(__xludf.DUMMYFUNCTION("""COMPUTED_VALUE"""),"あやかしトライアングル")</f>
        <v/>
      </c>
      <c r="C183">
        <f>IFERROR(__xludf.DUMMYFUNCTION("""COMPUTED_VALUE"""),"piece")</f>
        <v/>
      </c>
      <c r="D183">
        <f>IFERROR(__xludf.DUMMYFUNCTION("""COMPUTED_VALUE"""),"00301")</f>
        <v/>
      </c>
      <c r="E183">
        <f>IFERROR(__xludf.DUMMYFUNCTION("""COMPUTED_VALUE"""),"piece_aya_00301")</f>
        <v/>
      </c>
      <c r="F183">
        <f>IFERROR(__xludf.DUMMYFUNCTION("""COMPUTED_VALUE"""),"piece_aya_00301")</f>
        <v/>
      </c>
      <c r="G183">
        <f>IFERROR(__xludf.DUMMYFUNCTION("""COMPUTED_VALUE"""),"item_icon_piece_aya_00301")</f>
        <v/>
      </c>
      <c r="I183">
        <f>IFERROR(__xludf.DUMMYFUNCTION("""COMPUTED_VALUE"""),"SR")</f>
        <v/>
      </c>
      <c r="J183">
        <f>IFERROR(__xludf.DUMMYFUNCTION("""COMPUTED_VALUE"""),9.99999999E8)</f>
        <v/>
      </c>
      <c r="K183">
        <f>IFERROR(__xludf.DUMMYFUNCTION("""COMPUTED_VALUE"""),9.99999999E8)</f>
        <v/>
      </c>
      <c r="L183">
        <f>IFERROR(__xludf.DUMMYFUNCTION("""COMPUTED_VALUE"""),"二ノ曲 宗牙のグレードアップに使用するアイテム")</f>
        <v/>
      </c>
      <c r="N183">
        <f>IFERROR(__xludf.DUMMYFUNCTION("""COMPUTED_VALUE"""),"2026-04-17 15:00:00")</f>
        <v/>
      </c>
    </row>
    <row r="185">
      <c r="A185">
        <f>IFERROR(__xludf.DUMMYFUNCTION("""COMPUTED_VALUE"""),"sur")</f>
        <v/>
      </c>
      <c r="B185">
        <f>IFERROR(__xludf.DUMMYFUNCTION("""COMPUTED_VALUE"""),"魔都精兵のスレイブ")</f>
        <v/>
      </c>
      <c r="C185">
        <f>IFERROR(__xludf.DUMMYFUNCTION("""COMPUTED_VALUE"""),"piece")</f>
        <v/>
      </c>
      <c r="D185">
        <f>IFERROR(__xludf.DUMMYFUNCTION("""COMPUTED_VALUE"""),"00901")</f>
        <v/>
      </c>
      <c r="E185">
        <f>IFERROR(__xludf.DUMMYFUNCTION("""COMPUTED_VALUE"""),"piece_sur_00901")</f>
        <v/>
      </c>
      <c r="F185">
        <f>IFERROR(__xludf.DUMMYFUNCTION("""COMPUTED_VALUE"""),"piece_sur_00901")</f>
        <v/>
      </c>
      <c r="G185">
        <f>IFERROR(__xludf.DUMMYFUNCTION("""COMPUTED_VALUE"""),"item_icon_piece_sur_00901")</f>
        <v/>
      </c>
      <c r="H185">
        <f>IFERROR(__xludf.DUMMYFUNCTION("""COMPUTED_VALUE"""),"万物を統べる総組長 山城 恋のかけら")</f>
        <v/>
      </c>
      <c r="I185">
        <f>IFERROR(__xludf.DUMMYFUNCTION("""COMPUTED_VALUE"""),"UR")</f>
        <v/>
      </c>
      <c r="J185">
        <f>IFERROR(__xludf.DUMMYFUNCTION("""COMPUTED_VALUE"""),9.99999999E8)</f>
        <v/>
      </c>
      <c r="K185">
        <f>IFERROR(__xludf.DUMMYFUNCTION("""COMPUTED_VALUE"""),9.99999999E8)</f>
        <v/>
      </c>
      <c r="L185">
        <f>IFERROR(__xludf.DUMMYFUNCTION("""COMPUTED_VALUE"""),"万物を統べる総組長 山城 恋のグレードアップに使用するアイテム")</f>
        <v/>
      </c>
    </row>
    <row r="187">
      <c r="A187">
        <f>IFERROR(__xludf.DUMMYFUNCTION("""COMPUTED_VALUE"""),"kai")</f>
        <v/>
      </c>
      <c r="B187">
        <f>IFERROR(__xludf.DUMMYFUNCTION("""COMPUTED_VALUE"""),"怪獣８号")</f>
        <v/>
      </c>
      <c r="C187">
        <f>IFERROR(__xludf.DUMMYFUNCTION("""COMPUTED_VALUE"""),"piece")</f>
        <v/>
      </c>
      <c r="D187">
        <f>IFERROR(__xludf.DUMMYFUNCTION("""COMPUTED_VALUE"""),"00102")</f>
        <v/>
      </c>
      <c r="E187">
        <f>IFERROR(__xludf.DUMMYFUNCTION("""COMPUTED_VALUE"""),"piece_kai_00102")</f>
        <v/>
      </c>
      <c r="F187">
        <f>IFERROR(__xludf.DUMMYFUNCTION("""COMPUTED_VALUE"""),"piece_kai_00102")</f>
        <v/>
      </c>
      <c r="G187">
        <f>IFERROR(__xludf.DUMMYFUNCTION("""COMPUTED_VALUE"""),"item_icon_piece_kai_00102")</f>
        <v/>
      </c>
      <c r="H187">
        <f>IFERROR(__xludf.DUMMYFUNCTION("""COMPUTED_VALUE"""),"識別怪獣兵器1 鳴海 弦のかけら")</f>
        <v/>
      </c>
      <c r="I187">
        <f>IFERROR(__xludf.DUMMYFUNCTION("""COMPUTED_VALUE"""),"UR")</f>
        <v/>
      </c>
      <c r="J187">
        <f>IFERROR(__xludf.DUMMYFUNCTION("""COMPUTED_VALUE"""),9.99999999E8)</f>
        <v/>
      </c>
      <c r="K187">
        <f>IFERROR(__xludf.DUMMYFUNCTION("""COMPUTED_VALUE"""),9.99999999E8)</f>
        <v/>
      </c>
      <c r="L187">
        <f>IFERROR(__xludf.DUMMYFUNCTION("""COMPUTED_VALUE"""),"識別怪獣兵器1 鳴海 弦のグレードアップに使用するアイテム")</f>
        <v/>
      </c>
    </row>
    <row r="188">
      <c r="A188">
        <f>IFERROR(__xludf.DUMMYFUNCTION("""COMPUTED_VALUE"""),"kai")</f>
        <v/>
      </c>
      <c r="B188">
        <f>IFERROR(__xludf.DUMMYFUNCTION("""COMPUTED_VALUE"""),"怪獣８号")</f>
        <v/>
      </c>
      <c r="C188">
        <f>IFERROR(__xludf.DUMMYFUNCTION("""COMPUTED_VALUE"""),"piece")</f>
        <v/>
      </c>
      <c r="D188">
        <f>IFERROR(__xludf.DUMMYFUNCTION("""COMPUTED_VALUE"""),"00701")</f>
        <v/>
      </c>
      <c r="E188">
        <f>IFERROR(__xludf.DUMMYFUNCTION("""COMPUTED_VALUE"""),"piece_kai_00701")</f>
        <v/>
      </c>
      <c r="F188">
        <f>IFERROR(__xludf.DUMMYFUNCTION("""COMPUTED_VALUE"""),"piece_kai_00701")</f>
        <v/>
      </c>
      <c r="G188">
        <f>IFERROR(__xludf.DUMMYFUNCTION("""COMPUTED_VALUE"""),"item_icon_piece_kai_00701")</f>
        <v/>
      </c>
      <c r="H188">
        <f>IFERROR(__xludf.DUMMYFUNCTION("""COMPUTED_VALUE"""),"識別怪獣兵器6 市川 レノのかけら")</f>
        <v/>
      </c>
      <c r="I188">
        <f>IFERROR(__xludf.DUMMYFUNCTION("""COMPUTED_VALUE"""),"UR")</f>
        <v/>
      </c>
      <c r="J188">
        <f>IFERROR(__xludf.DUMMYFUNCTION("""COMPUTED_VALUE"""),9.99999999E8)</f>
        <v/>
      </c>
      <c r="K188">
        <f>IFERROR(__xludf.DUMMYFUNCTION("""COMPUTED_VALUE"""),9.99999999E8)</f>
        <v/>
      </c>
      <c r="L188">
        <f>IFERROR(__xludf.DUMMYFUNCTION("""COMPUTED_VALUE"""),"識別怪獣兵器6 市川 レノのグレードアップに使用するアイテム")</f>
        <v/>
      </c>
    </row>
    <row r="190">
      <c r="A190">
        <f>IFERROR(__xludf.DUMMYFUNCTION("""COMPUTED_VALUE"""),"osh")</f>
        <v/>
      </c>
      <c r="B190">
        <f>IFERROR(__xludf.DUMMYFUNCTION("""COMPUTED_VALUE"""),"【推しの子】")</f>
        <v/>
      </c>
      <c r="C190">
        <f>IFERROR(__xludf.DUMMYFUNCTION("""COMPUTED_VALUE"""),"piece")</f>
        <v/>
      </c>
      <c r="D190">
        <f>IFERROR(__xludf.DUMMYFUNCTION("""COMPUTED_VALUE"""),"00701")</f>
        <v/>
      </c>
      <c r="E190">
        <f>IFERROR(__xludf.DUMMYFUNCTION("""COMPUTED_VALUE"""),"piece_osh_00701")</f>
        <v/>
      </c>
      <c r="F190">
        <f>IFERROR(__xludf.DUMMYFUNCTION("""COMPUTED_VALUE"""),"piece_osh_00701")</f>
        <v/>
      </c>
      <c r="G190">
        <f>IFERROR(__xludf.DUMMYFUNCTION("""COMPUTED_VALUE"""),"item_icon_piece_osh_00701")</f>
        <v/>
      </c>
      <c r="H190">
        <f>IFERROR(__xludf.DUMMYFUNCTION("""COMPUTED_VALUE"""),"雨宮 吾郎のかけら")</f>
        <v/>
      </c>
      <c r="I190">
        <f>IFERROR(__xludf.DUMMYFUNCTION("""COMPUTED_VALUE"""),"SR")</f>
        <v/>
      </c>
      <c r="J190">
        <f>IFERROR(__xludf.DUMMYFUNCTION("""COMPUTED_VALUE"""),9.99999999E8)</f>
        <v/>
      </c>
      <c r="K190">
        <f>IFERROR(__xludf.DUMMYFUNCTION("""COMPUTED_VALUE"""),9.99999999E8)</f>
        <v/>
      </c>
      <c r="L190">
        <f>IFERROR(__xludf.DUMMYFUNCTION("""COMPUTED_VALUE"""),"雨宮 吾郎のグレードアップに使用するアイテム")</f>
        <v/>
      </c>
    </row>
    <row r="191">
      <c r="A191">
        <f>IFERROR(__xludf.DUMMYFUNCTION("""COMPUTED_VALUE"""),"osh")</f>
        <v/>
      </c>
      <c r="B191">
        <f>IFERROR(__xludf.DUMMYFUNCTION("""COMPUTED_VALUE"""),"【推しの子】")</f>
        <v/>
      </c>
      <c r="C191">
        <f>IFERROR(__xludf.DUMMYFUNCTION("""COMPUTED_VALUE"""),"piece")</f>
        <v/>
      </c>
      <c r="D191">
        <f>IFERROR(__xludf.DUMMYFUNCTION("""COMPUTED_VALUE"""),"00801")</f>
        <v/>
      </c>
      <c r="E191">
        <f>IFERROR(__xludf.DUMMYFUNCTION("""COMPUTED_VALUE"""),"piece_osh_00801")</f>
        <v/>
      </c>
      <c r="F191">
        <f>IFERROR(__xludf.DUMMYFUNCTION("""COMPUTED_VALUE"""),"piece_osh_00801")</f>
        <v/>
      </c>
      <c r="G191">
        <f>IFERROR(__xludf.DUMMYFUNCTION("""COMPUTED_VALUE"""),"item_icon_piece_osh_00801")</f>
        <v/>
      </c>
      <c r="H191">
        <f>IFERROR(__xludf.DUMMYFUNCTION("""COMPUTED_VALUE"""),"斉藤 ミヤコのかけら")</f>
        <v/>
      </c>
      <c r="I191">
        <f>IFERROR(__xludf.DUMMYFUNCTION("""COMPUTED_VALUE"""),"SSR")</f>
        <v/>
      </c>
      <c r="J191">
        <f>IFERROR(__xludf.DUMMYFUNCTION("""COMPUTED_VALUE"""),9.99999999E8)</f>
        <v/>
      </c>
      <c r="K191">
        <f>IFERROR(__xludf.DUMMYFUNCTION("""COMPUTED_VALUE"""),9.99999999E8)</f>
        <v/>
      </c>
      <c r="L191">
        <f>IFERROR(__xludf.DUMMYFUNCTION("""COMPUTED_VALUE"""),"斉藤 ミヤコのグレードアップに使用するアイテム")</f>
        <v/>
      </c>
    </row>
    <row r="193">
      <c r="A193">
        <f>IFERROR(__xludf.DUMMYFUNCTION("""COMPUTED_VALUE"""),"hyp")</f>
        <v/>
      </c>
      <c r="B193">
        <f>IFERROR(__xludf.DUMMYFUNCTION("""COMPUTED_VALUE"""),"ハイパーインフレーション")</f>
        <v/>
      </c>
      <c r="C193">
        <f>IFERROR(__xludf.DUMMYFUNCTION("""COMPUTED_VALUE"""),"piece")</f>
        <v/>
      </c>
      <c r="D193">
        <f>IFERROR(__xludf.DUMMYFUNCTION("""COMPUTED_VALUE"""),"00001")</f>
        <v/>
      </c>
      <c r="E193">
        <f>IFERROR(__xludf.DUMMYFUNCTION("""COMPUTED_VALUE"""),"piece_hyp_00001")</f>
        <v/>
      </c>
      <c r="F193">
        <f>IFERROR(__xludf.DUMMYFUNCTION("""COMPUTED_VALUE"""),"piece_hyp_00001")</f>
        <v/>
      </c>
      <c r="G193">
        <f>IFERROR(__xludf.DUMMYFUNCTION("""COMPUTED_VALUE"""),"item_icon_piece_hyp_00001")</f>
        <v/>
      </c>
      <c r="H193">
        <f>IFERROR(__xludf.DUMMYFUNCTION("""COMPUTED_VALUE"""),"ルークのかけら")</f>
        <v/>
      </c>
      <c r="I193">
        <f>IFERROR(__xludf.DUMMYFUNCTION("""COMPUTED_VALUE"""),"SR")</f>
        <v/>
      </c>
      <c r="J193">
        <f>IFERROR(__xludf.DUMMYFUNCTION("""COMPUTED_VALUE"""),9.99999999E8)</f>
        <v/>
      </c>
      <c r="K193">
        <f>IFERROR(__xludf.DUMMYFUNCTION("""COMPUTED_VALUE"""),9.99999999E8)</f>
        <v/>
      </c>
      <c r="L193">
        <f>IFERROR(__xludf.DUMMYFUNCTION("""COMPUTED_VALUE"""),"ルークのグレードアップに使用するアイテム")</f>
        <v/>
      </c>
    </row>
    <row r="195">
      <c r="A195">
        <f>IFERROR(__xludf.DUMMYFUNCTION("""COMPUTED_VALUE"""),"gam")</f>
        <v/>
      </c>
      <c r="B195">
        <f>IFERROR(__xludf.DUMMYFUNCTION("""COMPUTED_VALUE"""),"ゲーミングお嬢様")</f>
        <v/>
      </c>
      <c r="C195">
        <f>IFERROR(__xludf.DUMMYFUNCTION("""COMPUTED_VALUE"""),"piece")</f>
        <v/>
      </c>
      <c r="D195">
        <f>IFERROR(__xludf.DUMMYFUNCTION("""COMPUTED_VALUE"""),"00001")</f>
        <v/>
      </c>
      <c r="E195">
        <f>IFERROR(__xludf.DUMMYFUNCTION("""COMPUTED_VALUE"""),"piece_gam_00001")</f>
        <v/>
      </c>
      <c r="F195">
        <f>IFERROR(__xludf.DUMMYFUNCTION("""COMPUTED_VALUE"""),"piece_gam_00001")</f>
        <v/>
      </c>
      <c r="G195">
        <f>IFERROR(__xludf.DUMMYFUNCTION("""COMPUTED_VALUE"""),"item_icon_piece_gam_00001")</f>
        <v/>
      </c>
      <c r="H195">
        <f>IFERROR(__xludf.DUMMYFUNCTION("""COMPUTED_VALUE"""),"祥龍院 隆子のかけら")</f>
        <v/>
      </c>
      <c r="I195">
        <f>IFERROR(__xludf.DUMMYFUNCTION("""COMPUTED_VALUE"""),"SSR")</f>
        <v/>
      </c>
      <c r="J195">
        <f>IFERROR(__xludf.DUMMYFUNCTION("""COMPUTED_VALUE"""),9.99999999E8)</f>
        <v/>
      </c>
      <c r="K195">
        <f>IFERROR(__xludf.DUMMYFUNCTION("""COMPUTED_VALUE"""),9.99999999E8)</f>
        <v/>
      </c>
      <c r="L195">
        <f>IFERROR(__xludf.DUMMYFUNCTION("""COMPUTED_VALUE"""),"祥龍院 隆子のグレードアップに使用するアイテム")</f>
        <v/>
      </c>
    </row>
    <row r="197">
      <c r="A197">
        <f>IFERROR(__xludf.DUMMYFUNCTION("""COMPUTED_VALUE"""),"ara")</f>
        <v/>
      </c>
      <c r="B197">
        <f>IFERROR(__xludf.DUMMYFUNCTION("""COMPUTED_VALUE"""),"アラガネの子")</f>
        <v/>
      </c>
      <c r="C197">
        <f>IFERROR(__xludf.DUMMYFUNCTION("""COMPUTED_VALUE"""),"piece")</f>
        <v/>
      </c>
      <c r="D197">
        <f>IFERROR(__xludf.DUMMYFUNCTION("""COMPUTED_VALUE"""),"00001")</f>
        <v/>
      </c>
      <c r="E197">
        <f>IFERROR(__xludf.DUMMYFUNCTION("""COMPUTED_VALUE"""),"piece_ara_00001")</f>
        <v/>
      </c>
      <c r="F197">
        <f>IFERROR(__xludf.DUMMYFUNCTION("""COMPUTED_VALUE"""),"piece_ara_00001")</f>
        <v/>
      </c>
      <c r="G197">
        <f>IFERROR(__xludf.DUMMYFUNCTION("""COMPUTED_VALUE"""),"item_icon_piece_ara_00001")</f>
        <v/>
      </c>
      <c r="H197">
        <f>IFERROR(__xludf.DUMMYFUNCTION("""COMPUTED_VALUE"""),"灰のかけら")</f>
        <v/>
      </c>
      <c r="I197">
        <f>IFERROR(__xludf.DUMMYFUNCTION("""COMPUTED_VALUE"""),"SR")</f>
        <v/>
      </c>
      <c r="J197">
        <f>IFERROR(__xludf.DUMMYFUNCTION("""COMPUTED_VALUE"""),9.99999999E8)</f>
        <v/>
      </c>
      <c r="K197">
        <f>IFERROR(__xludf.DUMMYFUNCTION("""COMPUTED_VALUE"""),9.99999999E8)</f>
        <v/>
      </c>
      <c r="L197">
        <f>IFERROR(__xludf.DUMMYFUNCTION("""COMPUTED_VALUE"""),"灰のグレードアップに使用するアイテム")</f>
        <v/>
      </c>
    </row>
    <row r="199">
      <c r="A199">
        <f>IFERROR(__xludf.DUMMYFUNCTION("""COMPUTED_VALUE"""),"gom")</f>
        <v/>
      </c>
      <c r="B199">
        <f>IFERROR(__xludf.DUMMYFUNCTION("""COMPUTED_VALUE"""),"姫様“拷問”の時間です")</f>
        <v/>
      </c>
      <c r="C199">
        <f>IFERROR(__xludf.DUMMYFUNCTION("""COMPUTED_VALUE"""),"piece")</f>
        <v/>
      </c>
      <c r="D199">
        <f>IFERROR(__xludf.DUMMYFUNCTION("""COMPUTED_VALUE"""),"00701")</f>
        <v/>
      </c>
      <c r="E199">
        <f>IFERROR(__xludf.DUMMYFUNCTION("""COMPUTED_VALUE"""),"piece_gom_00701")</f>
        <v/>
      </c>
      <c r="F199">
        <f>IFERROR(__xludf.DUMMYFUNCTION("""COMPUTED_VALUE"""),"piece_gom_00701")</f>
        <v/>
      </c>
      <c r="G199">
        <f>IFERROR(__xludf.DUMMYFUNCTION("""COMPUTED_VALUE"""),"item_icon_piece_gom_00701")</f>
        <v/>
      </c>
      <c r="H199">
        <f>IFERROR(__xludf.DUMMYFUNCTION("""COMPUTED_VALUE"""),"カナッジのかけら")</f>
        <v/>
      </c>
      <c r="I199">
        <f>IFERROR(__xludf.DUMMYFUNCTION("""COMPUTED_VALUE"""),"SR")</f>
        <v/>
      </c>
      <c r="J199">
        <f>IFERROR(__xludf.DUMMYFUNCTION("""COMPUTED_VALUE"""),9.99999999E8)</f>
        <v/>
      </c>
      <c r="K199">
        <f>IFERROR(__xludf.DUMMYFUNCTION("""COMPUTED_VALUE"""),9.99999999E8)</f>
        <v/>
      </c>
      <c r="L199">
        <f>IFERROR(__xludf.DUMMYFUNCTION("""COMPUTED_VALUE"""),"カナッジのグレードアップに使用するアイテム")</f>
        <v/>
      </c>
    </row>
    <row r="201">
      <c r="A201">
        <f>IFERROR(__xludf.DUMMYFUNCTION("""COMPUTED_VALUE"""),"mar")</f>
        <v/>
      </c>
      <c r="B201">
        <f>IFERROR(__xludf.DUMMYFUNCTION("""COMPUTED_VALUE"""),"マリッジトキシン")</f>
        <v/>
      </c>
      <c r="C201">
        <f>IFERROR(__xludf.DUMMYFUNCTION("""COMPUTED_VALUE"""),"piece")</f>
        <v/>
      </c>
      <c r="D201">
        <f>IFERROR(__xludf.DUMMYFUNCTION("""COMPUTED_VALUE"""),"00001")</f>
        <v/>
      </c>
      <c r="E201">
        <f>IFERROR(__xludf.DUMMYFUNCTION("""COMPUTED_VALUE"""),"piece_mar_00001")</f>
        <v/>
      </c>
      <c r="F201">
        <f>IFERROR(__xludf.DUMMYFUNCTION("""COMPUTED_VALUE"""),"piece_mar_00001")</f>
        <v/>
      </c>
      <c r="G201">
        <f>IFERROR(__xludf.DUMMYFUNCTION("""COMPUTED_VALUE"""),"item_icon_piece_mar_00001")</f>
        <v/>
      </c>
      <c r="H201">
        <f>IFERROR(__xludf.DUMMYFUNCTION("""COMPUTED_VALUE"""),"不器用な毒使い 下呂 ヒカルのかけら")</f>
        <v/>
      </c>
      <c r="I201">
        <f>IFERROR(__xludf.DUMMYFUNCTION("""COMPUTED_VALUE"""),"UR")</f>
        <v/>
      </c>
      <c r="J201">
        <f>IFERROR(__xludf.DUMMYFUNCTION("""COMPUTED_VALUE"""),9.99999999E8)</f>
        <v/>
      </c>
      <c r="K201">
        <f>IFERROR(__xludf.DUMMYFUNCTION("""COMPUTED_VALUE"""),9.99999999E8)</f>
        <v/>
      </c>
      <c r="L201">
        <f>IFERROR(__xludf.DUMMYFUNCTION("""COMPUTED_VALUE"""),"不器用な毒使い 下呂 ヒカルのグレードアップに使用するアイテム")</f>
        <v/>
      </c>
    </row>
    <row r="202">
      <c r="A202">
        <f>IFERROR(__xludf.DUMMYFUNCTION("""COMPUTED_VALUE"""),"mar")</f>
        <v/>
      </c>
      <c r="B202">
        <f>IFERROR(__xludf.DUMMYFUNCTION("""COMPUTED_VALUE"""),"マリッジトキシン")</f>
        <v/>
      </c>
      <c r="C202">
        <f>IFERROR(__xludf.DUMMYFUNCTION("""COMPUTED_VALUE"""),"piece")</f>
        <v/>
      </c>
      <c r="D202">
        <f>IFERROR(__xludf.DUMMYFUNCTION("""COMPUTED_VALUE"""),"00101")</f>
        <v/>
      </c>
      <c r="E202">
        <f>IFERROR(__xludf.DUMMYFUNCTION("""COMPUTED_VALUE"""),"piece_mar_00101")</f>
        <v/>
      </c>
      <c r="F202">
        <f>IFERROR(__xludf.DUMMYFUNCTION("""COMPUTED_VALUE"""),"piece_mar_00101")</f>
        <v/>
      </c>
      <c r="G202">
        <f>IFERROR(__xludf.DUMMYFUNCTION("""COMPUTED_VALUE"""),"item_icon_piece_mar_00101")</f>
        <v/>
      </c>
      <c r="H202">
        <f>IFERROR(__xludf.DUMMYFUNCTION("""COMPUTED_VALUE"""),"城崎 メイのかけら")</f>
        <v/>
      </c>
      <c r="I202">
        <f>IFERROR(__xludf.DUMMYFUNCTION("""COMPUTED_VALUE"""),"SSR")</f>
        <v/>
      </c>
      <c r="J202">
        <f>IFERROR(__xludf.DUMMYFUNCTION("""COMPUTED_VALUE"""),9.99999999E8)</f>
        <v/>
      </c>
      <c r="K202">
        <f>IFERROR(__xludf.DUMMYFUNCTION("""COMPUTED_VALUE"""),9.99999999E8)</f>
        <v/>
      </c>
      <c r="L202">
        <f>IFERROR(__xludf.DUMMYFUNCTION("""COMPUTED_VALUE"""),"城崎 メイのグレードアップに使用するアイテム")</f>
        <v/>
      </c>
    </row>
    <row r="203">
      <c r="A203">
        <f>IFERROR(__xludf.DUMMYFUNCTION("""COMPUTED_VALUE"""),"mar")</f>
        <v/>
      </c>
      <c r="B203">
        <f>IFERROR(__xludf.DUMMYFUNCTION("""COMPUTED_VALUE"""),"マリッジトキシン")</f>
        <v/>
      </c>
      <c r="C203">
        <f>IFERROR(__xludf.DUMMYFUNCTION("""COMPUTED_VALUE"""),"piece")</f>
        <v/>
      </c>
      <c r="D203">
        <f>IFERROR(__xludf.DUMMYFUNCTION("""COMPUTED_VALUE"""),"00201")</f>
        <v/>
      </c>
      <c r="E203">
        <f>IFERROR(__xludf.DUMMYFUNCTION("""COMPUTED_VALUE"""),"piece_mar_00201")</f>
        <v/>
      </c>
      <c r="F203">
        <f>IFERROR(__xludf.DUMMYFUNCTION("""COMPUTED_VALUE"""),"piece_mar_00201")</f>
        <v/>
      </c>
      <c r="G203">
        <f>IFERROR(__xludf.DUMMYFUNCTION("""COMPUTED_VALUE"""),"item_icon_piece_mar_00201")</f>
        <v/>
      </c>
      <c r="H203">
        <f>IFERROR(__xludf.DUMMYFUNCTION("""COMPUTED_VALUE"""),"姫川 杏子のかけら")</f>
        <v/>
      </c>
      <c r="I203">
        <f>IFERROR(__xludf.DUMMYFUNCTION("""COMPUTED_VALUE"""),"SR")</f>
        <v/>
      </c>
      <c r="J203">
        <f>IFERROR(__xludf.DUMMYFUNCTION("""COMPUTED_VALUE"""),9.99999999E8)</f>
        <v/>
      </c>
      <c r="K203">
        <f>IFERROR(__xludf.DUMMYFUNCTION("""COMPUTED_VALUE"""),9.99999999E8)</f>
        <v/>
      </c>
      <c r="L203">
        <f>IFERROR(__xludf.DUMMYFUNCTION("""COMPUTED_VALUE"""),"姫川 杏子のグレードアップに使用するアイテム")</f>
        <v/>
      </c>
    </row>
    <row r="204">
      <c r="A204">
        <f>IFERROR(__xludf.DUMMYFUNCTION("""COMPUTED_VALUE"""),"mar")</f>
        <v/>
      </c>
      <c r="B204">
        <f>IFERROR(__xludf.DUMMYFUNCTION("""COMPUTED_VALUE"""),"マリッジトキシン")</f>
        <v/>
      </c>
      <c r="C204">
        <f>IFERROR(__xludf.DUMMYFUNCTION("""COMPUTED_VALUE"""),"piece")</f>
        <v/>
      </c>
      <c r="D204">
        <f>IFERROR(__xludf.DUMMYFUNCTION("""COMPUTED_VALUE"""),"00401")</f>
        <v/>
      </c>
      <c r="E204">
        <f>IFERROR(__xludf.DUMMYFUNCTION("""COMPUTED_VALUE"""),"piece_mar_00401")</f>
        <v/>
      </c>
      <c r="F204">
        <f>IFERROR(__xludf.DUMMYFUNCTION("""COMPUTED_VALUE"""),"piece_mar_00401")</f>
        <v/>
      </c>
      <c r="G204">
        <f>IFERROR(__xludf.DUMMYFUNCTION("""COMPUTED_VALUE"""),"item_icon_piece_mar_00401")</f>
        <v/>
      </c>
      <c r="H204">
        <f>IFERROR(__xludf.DUMMYFUNCTION("""COMPUTED_VALUE"""),"音使い 鳴子のかけら")</f>
        <v/>
      </c>
      <c r="I204">
        <f>IFERROR(__xludf.DUMMYFUNCTION("""COMPUTED_VALUE"""),"SR")</f>
        <v/>
      </c>
      <c r="J204">
        <f>IFERROR(__xludf.DUMMYFUNCTION("""COMPUTED_VALUE"""),9.99999999E8)</f>
        <v/>
      </c>
      <c r="K204">
        <f>IFERROR(__xludf.DUMMYFUNCTION("""COMPUTED_VALUE"""),9.99999999E8)</f>
        <v/>
      </c>
      <c r="L204">
        <f>IFERROR(__xludf.DUMMYFUNCTION("""COMPUTED_VALUE"""),"音使い 鳴子のグレードアップに使用するアイテム")</f>
        <v/>
      </c>
    </row>
    <row r="207">
      <c r="B207">
        <f>IFERROR(__xludf.DUMMYFUNCTION("""COMPUTED_VALUE"""),"error")</f>
        <v/>
      </c>
      <c r="C207">
        <f>IFERROR(__xludf.DUMMYFUNCTION("""COMPUTED_VALUE"""),"piece")</f>
        <v/>
      </c>
      <c r="E207">
        <f>IFERROR(__xludf.DUMMYFUNCTION("""COMPUTED_VALUE"""),"piece__")</f>
        <v/>
      </c>
      <c r="F207">
        <f>IFERROR(__xludf.DUMMYFUNCTION("""COMPUTED_VALUE"""),"piece__")</f>
        <v/>
      </c>
      <c r="G207">
        <f>IFERROR(__xludf.DUMMYFUNCTION("""COMPUTED_VALUE"""),"item_icon_piece__")</f>
        <v/>
      </c>
    </row>
    <row r="208">
      <c r="A208">
        <f>IFERROR(__xludf.DUMMYFUNCTION("""COMPUTED_VALUE"""),"▼イベントキャラ専用強化アイテム")</f>
        <v/>
      </c>
    </row>
    <row r="210">
      <c r="A210">
        <f>IFERROR(__xludf.DUMMYFUNCTION("""COMPUTED_VALUE"""),"kai")</f>
        <v/>
      </c>
      <c r="B210">
        <f>IFERROR(__xludf.DUMMYFUNCTION("""COMPUTED_VALUE"""),"怪獣８号")</f>
        <v/>
      </c>
      <c r="C210">
        <f>IFERROR(__xludf.DUMMYFUNCTION("""COMPUTED_VALUE"""),"memory_chara")</f>
        <v/>
      </c>
      <c r="D210">
        <f>IFERROR(__xludf.DUMMYFUNCTION("""COMPUTED_VALUE"""),"00501")</f>
        <v/>
      </c>
      <c r="E210">
        <f>IFERROR(__xludf.DUMMYFUNCTION("""COMPUTED_VALUE"""),"memory_chara_kai_00501")</f>
        <v/>
      </c>
      <c r="F210">
        <f>IFERROR(__xludf.DUMMYFUNCTION("""COMPUTED_VALUE"""),"memory_chara_kai_00501")</f>
        <v/>
      </c>
      <c r="G210">
        <f>IFERROR(__xludf.DUMMYFUNCTION("""COMPUTED_VALUE"""),"item_icon_memory_chara_kai_00501")</f>
        <v/>
      </c>
      <c r="H210">
        <f>IFERROR(__xludf.DUMMYFUNCTION("""COMPUTED_VALUE"""),"四ノ宮 功のメモリー")</f>
        <v/>
      </c>
      <c r="I210">
        <f>IFERROR(__xludf.DUMMYFUNCTION("""COMPUTED_VALUE"""),"SR")</f>
        <v/>
      </c>
      <c r="J210">
        <f>IFERROR(__xludf.DUMMYFUNCTION("""COMPUTED_VALUE"""),9.99999999E8)</f>
        <v/>
      </c>
      <c r="K210">
        <f>IFERROR(__xludf.DUMMYFUNCTION("""COMPUTED_VALUE"""),9.99999999E8)</f>
        <v/>
      </c>
      <c r="L210">
        <f>IFERROR(__xludf.DUMMYFUNCTION("""COMPUTED_VALUE"""),"四ノ宮 功のLv.上限開放に使用するアイテム")</f>
        <v/>
      </c>
      <c r="N210">
        <f>IFERROR(__xludf.DUMMYFUNCTION("""COMPUTED_VALUE"""),"2024-01-01 00:00:00")</f>
        <v/>
      </c>
    </row>
    <row r="211">
      <c r="A211">
        <f>IFERROR(__xludf.DUMMYFUNCTION("""COMPUTED_VALUE"""),"kai")</f>
        <v/>
      </c>
      <c r="B211">
        <f>IFERROR(__xludf.DUMMYFUNCTION("""COMPUTED_VALUE"""),"怪獣８号")</f>
        <v/>
      </c>
      <c r="C211">
        <f>IFERROR(__xludf.DUMMYFUNCTION("""COMPUTED_VALUE"""),"memory_chara")</f>
        <v/>
      </c>
      <c r="D211">
        <f>IFERROR(__xludf.DUMMYFUNCTION("""COMPUTED_VALUE"""),"00601")</f>
        <v/>
      </c>
      <c r="E211">
        <f>IFERROR(__xludf.DUMMYFUNCTION("""COMPUTED_VALUE"""),"memory_chara_kai_00601")</f>
        <v/>
      </c>
      <c r="F211">
        <f>IFERROR(__xludf.DUMMYFUNCTION("""COMPUTED_VALUE"""),"memory_chara_kai_00601")</f>
        <v/>
      </c>
      <c r="G211">
        <f>IFERROR(__xludf.DUMMYFUNCTION("""COMPUTED_VALUE"""),"item_icon_memory_chara_kai_00601")</f>
        <v/>
      </c>
      <c r="H211">
        <f>IFERROR(__xludf.DUMMYFUNCTION("""COMPUTED_VALUE"""),"古橋 伊春のメモリー")</f>
        <v/>
      </c>
      <c r="I211">
        <f>IFERROR(__xludf.DUMMYFUNCTION("""COMPUTED_VALUE"""),"SR")</f>
        <v/>
      </c>
      <c r="J211">
        <f>IFERROR(__xludf.DUMMYFUNCTION("""COMPUTED_VALUE"""),9.99999999E8)</f>
        <v/>
      </c>
      <c r="K211">
        <f>IFERROR(__xludf.DUMMYFUNCTION("""COMPUTED_VALUE"""),9.99999999E8)</f>
        <v/>
      </c>
      <c r="L211">
        <f>IFERROR(__xludf.DUMMYFUNCTION("""COMPUTED_VALUE"""),"古橋 伊春のLv.上限開放に使用するアイテム")</f>
        <v/>
      </c>
      <c r="N211">
        <f>IFERROR(__xludf.DUMMYFUNCTION("""COMPUTED_VALUE"""),"2024-01-01 00:00:00")</f>
        <v/>
      </c>
    </row>
    <row r="213">
      <c r="A213">
        <f>IFERROR(__xludf.DUMMYFUNCTION("""COMPUTED_VALUE"""),"spy")</f>
        <v/>
      </c>
      <c r="B213">
        <f>IFERROR(__xludf.DUMMYFUNCTION("""COMPUTED_VALUE"""),"SPY×FAMILY")</f>
        <v/>
      </c>
      <c r="C213">
        <f>IFERROR(__xludf.DUMMYFUNCTION("""COMPUTED_VALUE"""),"memory_chara")</f>
        <v/>
      </c>
      <c r="D213">
        <f>IFERROR(__xludf.DUMMYFUNCTION("""COMPUTED_VALUE"""),"00301")</f>
        <v/>
      </c>
      <c r="E213">
        <f>IFERROR(__xludf.DUMMYFUNCTION("""COMPUTED_VALUE"""),"memory_chara_spy_00301")</f>
        <v/>
      </c>
      <c r="F213">
        <f>IFERROR(__xludf.DUMMYFUNCTION("""COMPUTED_VALUE"""),"memory_chara_spy_00301")</f>
        <v/>
      </c>
      <c r="G213">
        <f>IFERROR(__xludf.DUMMYFUNCTION("""COMPUTED_VALUE"""),"item_icon_memory_chara_spy_00301")</f>
        <v/>
      </c>
      <c r="H213">
        <f>IFERROR(__xludf.DUMMYFUNCTION("""COMPUTED_VALUE"""),"ダミアン・デズモンドのメモリー")</f>
        <v/>
      </c>
      <c r="I213">
        <f>IFERROR(__xludf.DUMMYFUNCTION("""COMPUTED_VALUE"""),"SR")</f>
        <v/>
      </c>
      <c r="J213">
        <f>IFERROR(__xludf.DUMMYFUNCTION("""COMPUTED_VALUE"""),9.99999999E8)</f>
        <v/>
      </c>
      <c r="K213">
        <f>IFERROR(__xludf.DUMMYFUNCTION("""COMPUTED_VALUE"""),9.99999999E8)</f>
        <v/>
      </c>
      <c r="L213">
        <f>IFERROR(__xludf.DUMMYFUNCTION("""COMPUTED_VALUE"""),"ダミアン・デズモンドのLv.上限開放に使用するアイテム")</f>
        <v/>
      </c>
      <c r="N213">
        <f>IFERROR(__xludf.DUMMYFUNCTION("""COMPUTED_VALUE"""),45936.625)</f>
        <v/>
      </c>
    </row>
    <row r="214">
      <c r="A214">
        <f>IFERROR(__xludf.DUMMYFUNCTION("""COMPUTED_VALUE"""),"spy")</f>
        <v/>
      </c>
      <c r="B214">
        <f>IFERROR(__xludf.DUMMYFUNCTION("""COMPUTED_VALUE"""),"SPY×FAMILY")</f>
        <v/>
      </c>
      <c r="C214">
        <f>IFERROR(__xludf.DUMMYFUNCTION("""COMPUTED_VALUE"""),"memory_chara")</f>
        <v/>
      </c>
      <c r="D214">
        <f>IFERROR(__xludf.DUMMYFUNCTION("""COMPUTED_VALUE"""),"00401")</f>
        <v/>
      </c>
      <c r="E214">
        <f>IFERROR(__xludf.DUMMYFUNCTION("""COMPUTED_VALUE"""),"memory_chara_spy_00401")</f>
        <v/>
      </c>
      <c r="F214">
        <f>IFERROR(__xludf.DUMMYFUNCTION("""COMPUTED_VALUE"""),"memory_chara_spy_00401")</f>
        <v/>
      </c>
      <c r="G214">
        <f>IFERROR(__xludf.DUMMYFUNCTION("""COMPUTED_VALUE"""),"item_icon_memory_chara_spy_00401")</f>
        <v/>
      </c>
      <c r="H214">
        <f>IFERROR(__xludf.DUMMYFUNCTION("""COMPUTED_VALUE"""),"フランキー・フランクリンのメモリー")</f>
        <v/>
      </c>
      <c r="I214">
        <f>IFERROR(__xludf.DUMMYFUNCTION("""COMPUTED_VALUE"""),"SR")</f>
        <v/>
      </c>
      <c r="J214">
        <f>IFERROR(__xludf.DUMMYFUNCTION("""COMPUTED_VALUE"""),9.99999999E8)</f>
        <v/>
      </c>
      <c r="K214">
        <f>IFERROR(__xludf.DUMMYFUNCTION("""COMPUTED_VALUE"""),9.99999999E8)</f>
        <v/>
      </c>
      <c r="L214">
        <f>IFERROR(__xludf.DUMMYFUNCTION("""COMPUTED_VALUE"""),"フランキー・フランクリンのLv.上限開放に使用するアイテム")</f>
        <v/>
      </c>
      <c r="N214">
        <f>IFERROR(__xludf.DUMMYFUNCTION("""COMPUTED_VALUE"""),45936.625)</f>
        <v/>
      </c>
    </row>
    <row r="216">
      <c r="A216">
        <f>IFERROR(__xludf.DUMMYFUNCTION("""COMPUTED_VALUE"""),"dan")</f>
        <v/>
      </c>
      <c r="B216">
        <f>IFERROR(__xludf.DUMMYFUNCTION("""COMPUTED_VALUE"""),"ダンダダン")</f>
        <v/>
      </c>
      <c r="C216">
        <f>IFERROR(__xludf.DUMMYFUNCTION("""COMPUTED_VALUE"""),"memory_chara")</f>
        <v/>
      </c>
      <c r="D216">
        <f>IFERROR(__xludf.DUMMYFUNCTION("""COMPUTED_VALUE"""),"00201")</f>
        <v/>
      </c>
      <c r="E216">
        <f>IFERROR(__xludf.DUMMYFUNCTION("""COMPUTED_VALUE"""),"memory_chara_dan_00201")</f>
        <v/>
      </c>
      <c r="F216">
        <f>IFERROR(__xludf.DUMMYFUNCTION("""COMPUTED_VALUE"""),"memory_chara_dan_00201")</f>
        <v/>
      </c>
      <c r="G216">
        <f>IFERROR(__xludf.DUMMYFUNCTION("""COMPUTED_VALUE"""),"item_icon_memory_chara_dan_00201")</f>
        <v/>
      </c>
      <c r="H216">
        <f>IFERROR(__xludf.DUMMYFUNCTION("""COMPUTED_VALUE"""),"アイラのメモリー")</f>
        <v/>
      </c>
      <c r="I216">
        <f>IFERROR(__xludf.DUMMYFUNCTION("""COMPUTED_VALUE"""),"SR")</f>
        <v/>
      </c>
      <c r="J216">
        <f>IFERROR(__xludf.DUMMYFUNCTION("""COMPUTED_VALUE"""),9.99999999E8)</f>
        <v/>
      </c>
      <c r="K216">
        <f>IFERROR(__xludf.DUMMYFUNCTION("""COMPUTED_VALUE"""),9.99999999E8)</f>
        <v/>
      </c>
      <c r="L216">
        <f>IFERROR(__xludf.DUMMYFUNCTION("""COMPUTED_VALUE"""),"アイラのLv.上限開放に使用するアイテム")</f>
        <v/>
      </c>
      <c r="N216">
        <f>IFERROR(__xludf.DUMMYFUNCTION("""COMPUTED_VALUE"""),45952.625)</f>
        <v/>
      </c>
    </row>
    <row r="217">
      <c r="A217">
        <f>IFERROR(__xludf.DUMMYFUNCTION("""COMPUTED_VALUE"""),"dan")</f>
        <v/>
      </c>
      <c r="B217">
        <f>IFERROR(__xludf.DUMMYFUNCTION("""COMPUTED_VALUE"""),"ダンダダン")</f>
        <v/>
      </c>
      <c r="C217">
        <f>IFERROR(__xludf.DUMMYFUNCTION("""COMPUTED_VALUE"""),"memory_chara")</f>
        <v/>
      </c>
      <c r="D217">
        <f>IFERROR(__xludf.DUMMYFUNCTION("""COMPUTED_VALUE"""),"00301")</f>
        <v/>
      </c>
      <c r="E217">
        <f>IFERROR(__xludf.DUMMYFUNCTION("""COMPUTED_VALUE"""),"memory_chara_dan_00301")</f>
        <v/>
      </c>
      <c r="F217">
        <f>IFERROR(__xludf.DUMMYFUNCTION("""COMPUTED_VALUE"""),"memory_chara_dan_00301")</f>
        <v/>
      </c>
      <c r="G217">
        <f>IFERROR(__xludf.DUMMYFUNCTION("""COMPUTED_VALUE"""),"item_icon_memory_chara_dan_00301")</f>
        <v/>
      </c>
      <c r="H217">
        <f>IFERROR(__xludf.DUMMYFUNCTION("""COMPUTED_VALUE"""),"招き猫 ターボババアのメモリー")</f>
        <v/>
      </c>
      <c r="I217">
        <f>IFERROR(__xludf.DUMMYFUNCTION("""COMPUTED_VALUE"""),"SR")</f>
        <v/>
      </c>
      <c r="J217">
        <f>IFERROR(__xludf.DUMMYFUNCTION("""COMPUTED_VALUE"""),9.99999999E8)</f>
        <v/>
      </c>
      <c r="K217">
        <f>IFERROR(__xludf.DUMMYFUNCTION("""COMPUTED_VALUE"""),9.99999999E8)</f>
        <v/>
      </c>
      <c r="L217">
        <f>IFERROR(__xludf.DUMMYFUNCTION("""COMPUTED_VALUE"""),"招き猫 ターボババアのLv.上限開放に使用するアイテム")</f>
        <v/>
      </c>
      <c r="N217">
        <f>IFERROR(__xludf.DUMMYFUNCTION("""COMPUTED_VALUE"""),45952.625)</f>
        <v/>
      </c>
    </row>
    <row r="219">
      <c r="A219">
        <f>IFERROR(__xludf.DUMMYFUNCTION("""COMPUTED_VALUE"""),"mag")</f>
        <v/>
      </c>
      <c r="B219">
        <f>IFERROR(__xludf.DUMMYFUNCTION("""COMPUTED_VALUE"""),"株式会社マジルミエ")</f>
        <v/>
      </c>
      <c r="C219">
        <f>IFERROR(__xludf.DUMMYFUNCTION("""COMPUTED_VALUE"""),"memory_chara")</f>
        <v/>
      </c>
      <c r="D219">
        <f>IFERROR(__xludf.DUMMYFUNCTION("""COMPUTED_VALUE"""),"00401")</f>
        <v/>
      </c>
      <c r="E219">
        <f>IFERROR(__xludf.DUMMYFUNCTION("""COMPUTED_VALUE"""),"memory_chara_mag_00401")</f>
        <v/>
      </c>
      <c r="F219">
        <f>IFERROR(__xludf.DUMMYFUNCTION("""COMPUTED_VALUE"""),"memory_chara_mag_00401")</f>
        <v/>
      </c>
      <c r="G219">
        <f>IFERROR(__xludf.DUMMYFUNCTION("""COMPUTED_VALUE"""),"item_icon_memory_chara_mag_00401")</f>
        <v/>
      </c>
      <c r="H219">
        <f>IFERROR(__xludf.DUMMYFUNCTION("""COMPUTED_VALUE"""),"槇野 あかねのメモリー")</f>
        <v/>
      </c>
      <c r="I219">
        <f>IFERROR(__xludf.DUMMYFUNCTION("""COMPUTED_VALUE"""),"SR")</f>
        <v/>
      </c>
      <c r="J219">
        <f>IFERROR(__xludf.DUMMYFUNCTION("""COMPUTED_VALUE"""),9.99999999E8)</f>
        <v/>
      </c>
      <c r="K219">
        <f>IFERROR(__xludf.DUMMYFUNCTION("""COMPUTED_VALUE"""),9.99999999E8)</f>
        <v/>
      </c>
      <c r="L219">
        <f>IFERROR(__xludf.DUMMYFUNCTION("""COMPUTED_VALUE"""),"槇野 あかねのLv.上限開放に使用するアイテム")</f>
        <v/>
      </c>
      <c r="N219">
        <f>IFERROR(__xludf.DUMMYFUNCTION("""COMPUTED_VALUE"""),45967.625)</f>
        <v/>
      </c>
    </row>
    <row r="220">
      <c r="A220">
        <f>IFERROR(__xludf.DUMMYFUNCTION("""COMPUTED_VALUE"""),"mag")</f>
        <v/>
      </c>
      <c r="B220">
        <f>IFERROR(__xludf.DUMMYFUNCTION("""COMPUTED_VALUE"""),"株式会社マジルミエ")</f>
        <v/>
      </c>
      <c r="C220">
        <f>IFERROR(__xludf.DUMMYFUNCTION("""COMPUTED_VALUE"""),"memory_chara")</f>
        <v/>
      </c>
      <c r="D220">
        <f>IFERROR(__xludf.DUMMYFUNCTION("""COMPUTED_VALUE"""),"00501")</f>
        <v/>
      </c>
      <c r="E220">
        <f>IFERROR(__xludf.DUMMYFUNCTION("""COMPUTED_VALUE"""),"memory_chara_mag_00501")</f>
        <v/>
      </c>
      <c r="F220">
        <f>IFERROR(__xludf.DUMMYFUNCTION("""COMPUTED_VALUE"""),"memory_chara_mag_00501")</f>
        <v/>
      </c>
      <c r="G220">
        <f>IFERROR(__xludf.DUMMYFUNCTION("""COMPUTED_VALUE"""),"item_icon_memory_chara_mag_00501")</f>
        <v/>
      </c>
      <c r="H220">
        <f>IFERROR(__xludf.DUMMYFUNCTION("""COMPUTED_VALUE"""),"重本 浩司のメモリー")</f>
        <v/>
      </c>
      <c r="I220">
        <f>IFERROR(__xludf.DUMMYFUNCTION("""COMPUTED_VALUE"""),"SR")</f>
        <v/>
      </c>
      <c r="J220">
        <f>IFERROR(__xludf.DUMMYFUNCTION("""COMPUTED_VALUE"""),9.99999999E8)</f>
        <v/>
      </c>
      <c r="K220">
        <f>IFERROR(__xludf.DUMMYFUNCTION("""COMPUTED_VALUE"""),9.99999999E8)</f>
        <v/>
      </c>
      <c r="L220">
        <f>IFERROR(__xludf.DUMMYFUNCTION("""COMPUTED_VALUE"""),"重本 浩司のLv.上限開放に使用するアイテム")</f>
        <v/>
      </c>
      <c r="N220">
        <f>IFERROR(__xludf.DUMMYFUNCTION("""COMPUTED_VALUE"""),45967.625)</f>
        <v/>
      </c>
    </row>
    <row r="222">
      <c r="A222">
        <f>IFERROR(__xludf.DUMMYFUNCTION("""COMPUTED_VALUE"""),"yuw")</f>
        <v/>
      </c>
      <c r="B222">
        <f>IFERROR(__xludf.DUMMYFUNCTION("""COMPUTED_VALUE"""),"2.5次元の誘惑")</f>
        <v/>
      </c>
      <c r="C222">
        <f>IFERROR(__xludf.DUMMYFUNCTION("""COMPUTED_VALUE"""),"memory_chara")</f>
        <v/>
      </c>
      <c r="D222">
        <f>IFERROR(__xludf.DUMMYFUNCTION("""COMPUTED_VALUE"""),"00501")</f>
        <v/>
      </c>
      <c r="E222">
        <f>IFERROR(__xludf.DUMMYFUNCTION("""COMPUTED_VALUE"""),"memory_chara_yuw_00501")</f>
        <v/>
      </c>
      <c r="F222">
        <f>IFERROR(__xludf.DUMMYFUNCTION("""COMPUTED_VALUE"""),"memory_chara_yuw_00501")</f>
        <v/>
      </c>
      <c r="G222">
        <f>IFERROR(__xludf.DUMMYFUNCTION("""COMPUTED_VALUE"""),"item_icon_memory_chara_yuw_00501")</f>
        <v/>
      </c>
      <c r="H222">
        <f>IFERROR(__xludf.DUMMYFUNCTION("""COMPUTED_VALUE"""),"753♡のメモリー")</f>
        <v/>
      </c>
      <c r="I222">
        <f>IFERROR(__xludf.DUMMYFUNCTION("""COMPUTED_VALUE"""),"SR")</f>
        <v/>
      </c>
      <c r="J222">
        <f>IFERROR(__xludf.DUMMYFUNCTION("""COMPUTED_VALUE"""),9.99999999E8)</f>
        <v/>
      </c>
      <c r="K222">
        <f>IFERROR(__xludf.DUMMYFUNCTION("""COMPUTED_VALUE"""),9.99999999E8)</f>
        <v/>
      </c>
      <c r="L222">
        <f>IFERROR(__xludf.DUMMYFUNCTION("""COMPUTED_VALUE"""),"753♡のLv.上限開放に使用するアイテム")</f>
        <v/>
      </c>
      <c r="N222">
        <f>IFERROR(__xludf.DUMMYFUNCTION("""COMPUTED_VALUE"""),"2025-11-25 15:00:00")</f>
        <v/>
      </c>
    </row>
    <row r="223">
      <c r="A223">
        <f>IFERROR(__xludf.DUMMYFUNCTION("""COMPUTED_VALUE"""),"yuw")</f>
        <v/>
      </c>
      <c r="B223">
        <f>IFERROR(__xludf.DUMMYFUNCTION("""COMPUTED_VALUE"""),"2.5次元の誘惑")</f>
        <v/>
      </c>
      <c r="C223">
        <f>IFERROR(__xludf.DUMMYFUNCTION("""COMPUTED_VALUE"""),"memory_chara")</f>
        <v/>
      </c>
      <c r="D223">
        <f>IFERROR(__xludf.DUMMYFUNCTION("""COMPUTED_VALUE"""),"00601")</f>
        <v/>
      </c>
      <c r="E223">
        <f>IFERROR(__xludf.DUMMYFUNCTION("""COMPUTED_VALUE"""),"memory_chara_yuw_00601")</f>
        <v/>
      </c>
      <c r="F223">
        <f>IFERROR(__xludf.DUMMYFUNCTION("""COMPUTED_VALUE"""),"memory_chara_yuw_00601")</f>
        <v/>
      </c>
      <c r="G223">
        <f>IFERROR(__xludf.DUMMYFUNCTION("""COMPUTED_VALUE"""),"item_icon_memory_chara_yuw_00601")</f>
        <v/>
      </c>
      <c r="H223">
        <f>IFERROR(__xludf.DUMMYFUNCTION("""COMPUTED_VALUE"""),"奥村 正宗のメモリー")</f>
        <v/>
      </c>
      <c r="I223">
        <f>IFERROR(__xludf.DUMMYFUNCTION("""COMPUTED_VALUE"""),"SR")</f>
        <v/>
      </c>
      <c r="J223">
        <f>IFERROR(__xludf.DUMMYFUNCTION("""COMPUTED_VALUE"""),9.99999999E8)</f>
        <v/>
      </c>
      <c r="K223">
        <f>IFERROR(__xludf.DUMMYFUNCTION("""COMPUTED_VALUE"""),9.99999999E8)</f>
        <v/>
      </c>
      <c r="L223">
        <f>IFERROR(__xludf.DUMMYFUNCTION("""COMPUTED_VALUE"""),"奥村 正宗のLv.上限開放に使用するアイテム")</f>
        <v/>
      </c>
      <c r="N223">
        <f>IFERROR(__xludf.DUMMYFUNCTION("""COMPUTED_VALUE"""),"2025-11-25 15:00:00")</f>
        <v/>
      </c>
    </row>
    <row r="225">
      <c r="A225">
        <f>IFERROR(__xludf.DUMMYFUNCTION("""COMPUTED_VALUE"""),"sur")</f>
        <v/>
      </c>
      <c r="B225">
        <f>IFERROR(__xludf.DUMMYFUNCTION("""COMPUTED_VALUE"""),"魔都精兵のスレイブ")</f>
        <v/>
      </c>
      <c r="C225">
        <f>IFERROR(__xludf.DUMMYFUNCTION("""COMPUTED_VALUE"""),"memory_chara")</f>
        <v/>
      </c>
      <c r="D225">
        <f>IFERROR(__xludf.DUMMYFUNCTION("""COMPUTED_VALUE"""),"00701")</f>
        <v/>
      </c>
      <c r="E225">
        <f>IFERROR(__xludf.DUMMYFUNCTION("""COMPUTED_VALUE"""),"memory_chara_sur_00701")</f>
        <v/>
      </c>
      <c r="F225">
        <f>IFERROR(__xludf.DUMMYFUNCTION("""COMPUTED_VALUE"""),"memory_chara_sur_00701")</f>
        <v/>
      </c>
      <c r="G225">
        <f>IFERROR(__xludf.DUMMYFUNCTION("""COMPUTED_VALUE"""),"item_icon_memory_chara_sur_00701")</f>
        <v/>
      </c>
      <c r="H225">
        <f>IFERROR(__xludf.DUMMYFUNCTION("""COMPUTED_VALUE"""),"和倉 青羽のメモリー")</f>
        <v/>
      </c>
      <c r="I225">
        <f>IFERROR(__xludf.DUMMYFUNCTION("""COMPUTED_VALUE"""),"SR")</f>
        <v/>
      </c>
      <c r="J225">
        <f>IFERROR(__xludf.DUMMYFUNCTION("""COMPUTED_VALUE"""),9.99999999E8)</f>
        <v/>
      </c>
      <c r="K225">
        <f>IFERROR(__xludf.DUMMYFUNCTION("""COMPUTED_VALUE"""),9.99999999E8)</f>
        <v/>
      </c>
      <c r="L225">
        <f>IFERROR(__xludf.DUMMYFUNCTION("""COMPUTED_VALUE"""),"和倉 青羽のLv.上限開放に使用するアイテム")</f>
        <v/>
      </c>
      <c r="N225">
        <f>IFERROR(__xludf.DUMMYFUNCTION("""COMPUTED_VALUE"""),"2025-12-08 15:00:00")</f>
        <v/>
      </c>
    </row>
    <row r="226">
      <c r="A226">
        <f>IFERROR(__xludf.DUMMYFUNCTION("""COMPUTED_VALUE"""),"sur")</f>
        <v/>
      </c>
      <c r="B226">
        <f>IFERROR(__xludf.DUMMYFUNCTION("""COMPUTED_VALUE"""),"魔都精兵のスレイブ")</f>
        <v/>
      </c>
      <c r="C226">
        <f>IFERROR(__xludf.DUMMYFUNCTION("""COMPUTED_VALUE"""),"memory_chara")</f>
        <v/>
      </c>
      <c r="D226">
        <f>IFERROR(__xludf.DUMMYFUNCTION("""COMPUTED_VALUE"""),"00801")</f>
        <v/>
      </c>
      <c r="E226">
        <f>IFERROR(__xludf.DUMMYFUNCTION("""COMPUTED_VALUE"""),"memory_chara_sur_00801")</f>
        <v/>
      </c>
      <c r="F226">
        <f>IFERROR(__xludf.DUMMYFUNCTION("""COMPUTED_VALUE"""),"memory_chara_sur_00801")</f>
        <v/>
      </c>
      <c r="G226">
        <f>IFERROR(__xludf.DUMMYFUNCTION("""COMPUTED_VALUE"""),"item_icon_memory_chara_sur_00801")</f>
        <v/>
      </c>
      <c r="H226">
        <f>IFERROR(__xludf.DUMMYFUNCTION("""COMPUTED_VALUE"""),"無窮の鎖 和倉 優希のメモリー")</f>
        <v/>
      </c>
      <c r="I226">
        <f>IFERROR(__xludf.DUMMYFUNCTION("""COMPUTED_VALUE"""),"SR")</f>
        <v/>
      </c>
      <c r="J226">
        <f>IFERROR(__xludf.DUMMYFUNCTION("""COMPUTED_VALUE"""),9.99999999E8)</f>
        <v/>
      </c>
      <c r="K226">
        <f>IFERROR(__xludf.DUMMYFUNCTION("""COMPUTED_VALUE"""),9.99999999E8)</f>
        <v/>
      </c>
      <c r="L226">
        <f>IFERROR(__xludf.DUMMYFUNCTION("""COMPUTED_VALUE"""),"無窮の鎖 和倉 優希のLv.上限開放に使用するアイテム")</f>
        <v/>
      </c>
      <c r="N226">
        <f>IFERROR(__xludf.DUMMYFUNCTION("""COMPUTED_VALUE"""),"2025-12-08 15:00:00")</f>
        <v/>
      </c>
    </row>
    <row r="228">
      <c r="A228">
        <f>IFERROR(__xludf.DUMMYFUNCTION("""COMPUTED_VALUE"""),"osh")</f>
        <v/>
      </c>
      <c r="B228">
        <f>IFERROR(__xludf.DUMMYFUNCTION("""COMPUTED_VALUE"""),"【推しの子】")</f>
        <v/>
      </c>
      <c r="C228">
        <f>IFERROR(__xludf.DUMMYFUNCTION("""COMPUTED_VALUE"""),"memory_chara")</f>
        <v/>
      </c>
      <c r="D228">
        <f>IFERROR(__xludf.DUMMYFUNCTION("""COMPUTED_VALUE"""),"00601")</f>
        <v/>
      </c>
      <c r="E228">
        <f>IFERROR(__xludf.DUMMYFUNCTION("""COMPUTED_VALUE"""),"memory_chara_osh_00601")</f>
        <v/>
      </c>
      <c r="F228">
        <f>IFERROR(__xludf.DUMMYFUNCTION("""COMPUTED_VALUE"""),"memory_chara_osh_00601")</f>
        <v/>
      </c>
      <c r="G228">
        <f>IFERROR(__xludf.DUMMYFUNCTION("""COMPUTED_VALUE"""),"item_icon_memory_chara_osh_00601")</f>
        <v/>
      </c>
      <c r="H228">
        <f>IFERROR(__xludf.DUMMYFUNCTION("""COMPUTED_VALUE"""),"ぴえヨンのメモリー")</f>
        <v/>
      </c>
      <c r="I228">
        <f>IFERROR(__xludf.DUMMYFUNCTION("""COMPUTED_VALUE"""),"SR")</f>
        <v/>
      </c>
      <c r="J228">
        <f>IFERROR(__xludf.DUMMYFUNCTION("""COMPUTED_VALUE"""),9.99999999E8)</f>
        <v/>
      </c>
      <c r="K228">
        <f>IFERROR(__xludf.DUMMYFUNCTION("""COMPUTED_VALUE"""),9.99999999E8)</f>
        <v/>
      </c>
      <c r="L228">
        <f>IFERROR(__xludf.DUMMYFUNCTION("""COMPUTED_VALUE"""),"ぴえヨンのLv.上限開放に使用するアイテム")</f>
        <v/>
      </c>
      <c r="N228">
        <f>IFERROR(__xludf.DUMMYFUNCTION("""COMPUTED_VALUE"""),"2026-01-01 00:00:00")</f>
        <v/>
      </c>
    </row>
    <row r="230">
      <c r="A230">
        <f>IFERROR(__xludf.DUMMYFUNCTION("""COMPUTED_VALUE"""),"jig")</f>
        <v/>
      </c>
      <c r="B230">
        <f>IFERROR(__xludf.DUMMYFUNCTION("""COMPUTED_VALUE"""),"地獄楽")</f>
        <v/>
      </c>
      <c r="C230">
        <f>IFERROR(__xludf.DUMMYFUNCTION("""COMPUTED_VALUE"""),"memory_chara")</f>
        <v/>
      </c>
      <c r="D230">
        <f>IFERROR(__xludf.DUMMYFUNCTION("""COMPUTED_VALUE"""),"00601")</f>
        <v/>
      </c>
      <c r="E230">
        <f>IFERROR(__xludf.DUMMYFUNCTION("""COMPUTED_VALUE"""),"memory_chara_jig_00601")</f>
        <v/>
      </c>
      <c r="F230">
        <f>IFERROR(__xludf.DUMMYFUNCTION("""COMPUTED_VALUE"""),"memory_chara_jig_00601")</f>
        <v/>
      </c>
      <c r="G230">
        <f>IFERROR(__xludf.DUMMYFUNCTION("""COMPUTED_VALUE"""),"item_icon_memory_chara_jig_00601")</f>
        <v/>
      </c>
      <c r="H230">
        <f>IFERROR(__xludf.DUMMYFUNCTION("""COMPUTED_VALUE"""),"民谷 巌鉄斎のメモリー")</f>
        <v/>
      </c>
      <c r="I230">
        <f>IFERROR(__xludf.DUMMYFUNCTION("""COMPUTED_VALUE"""),"SR")</f>
        <v/>
      </c>
      <c r="J230">
        <f>IFERROR(__xludf.DUMMYFUNCTION("""COMPUTED_VALUE"""),9.99999999E8)</f>
        <v/>
      </c>
      <c r="K230">
        <f>IFERROR(__xludf.DUMMYFUNCTION("""COMPUTED_VALUE"""),9.99999999E8)</f>
        <v/>
      </c>
      <c r="L230">
        <f>IFERROR(__xludf.DUMMYFUNCTION("""COMPUTED_VALUE"""),"民谷 巌鉄斎のLv.上限開放に使用するアイテム")</f>
        <v/>
      </c>
      <c r="N230">
        <f>IFERROR(__xludf.DUMMYFUNCTION("""COMPUTED_VALUE"""),"2026-01-16 15:00:00")</f>
        <v/>
      </c>
    </row>
    <row r="231">
      <c r="A231">
        <f>IFERROR(__xludf.DUMMYFUNCTION("""COMPUTED_VALUE"""),"jig")</f>
        <v/>
      </c>
      <c r="B231">
        <f>IFERROR(__xludf.DUMMYFUNCTION("""COMPUTED_VALUE"""),"地獄楽")</f>
        <v/>
      </c>
      <c r="C231">
        <f>IFERROR(__xludf.DUMMYFUNCTION("""COMPUTED_VALUE"""),"memory_chara")</f>
        <v/>
      </c>
      <c r="D231">
        <f>IFERROR(__xludf.DUMMYFUNCTION("""COMPUTED_VALUE"""),"00701")</f>
        <v/>
      </c>
      <c r="E231">
        <f>IFERROR(__xludf.DUMMYFUNCTION("""COMPUTED_VALUE"""),"memory_chara_jig_00701")</f>
        <v/>
      </c>
      <c r="F231">
        <f>IFERROR(__xludf.DUMMYFUNCTION("""COMPUTED_VALUE"""),"memory_chara_jig_00701")</f>
        <v/>
      </c>
      <c r="G231">
        <f>IFERROR(__xludf.DUMMYFUNCTION("""COMPUTED_VALUE"""),"item_icon_memory_chara_jig_00701")</f>
        <v/>
      </c>
      <c r="H231">
        <f>IFERROR(__xludf.DUMMYFUNCTION("""COMPUTED_VALUE"""),"メイのメモリー")</f>
        <v/>
      </c>
      <c r="I231">
        <f>IFERROR(__xludf.DUMMYFUNCTION("""COMPUTED_VALUE"""),"SR")</f>
        <v/>
      </c>
      <c r="J231">
        <f>IFERROR(__xludf.DUMMYFUNCTION("""COMPUTED_VALUE"""),9.99999999E8)</f>
        <v/>
      </c>
      <c r="K231">
        <f>IFERROR(__xludf.DUMMYFUNCTION("""COMPUTED_VALUE"""),9.99999999E8)</f>
        <v/>
      </c>
      <c r="L231">
        <f>IFERROR(__xludf.DUMMYFUNCTION("""COMPUTED_VALUE"""),"メイのLv.上限開放に使用するアイテム")</f>
        <v/>
      </c>
      <c r="N231">
        <f>IFERROR(__xludf.DUMMYFUNCTION("""COMPUTED_VALUE"""),"2026-01-16 15:00:00")</f>
        <v/>
      </c>
    </row>
    <row r="233">
      <c r="A233">
        <f>IFERROR(__xludf.DUMMYFUNCTION("""COMPUTED_VALUE"""),"you")</f>
        <v/>
      </c>
      <c r="B233">
        <f>IFERROR(__xludf.DUMMYFUNCTION("""COMPUTED_VALUE"""),"幼稚園WARS")</f>
        <v/>
      </c>
      <c r="C233">
        <f>IFERROR(__xludf.DUMMYFUNCTION("""COMPUTED_VALUE"""),"memory_chara")</f>
        <v/>
      </c>
      <c r="D233">
        <f>IFERROR(__xludf.DUMMYFUNCTION("""COMPUTED_VALUE"""),"00201")</f>
        <v/>
      </c>
      <c r="E233">
        <f>IFERROR(__xludf.DUMMYFUNCTION("""COMPUTED_VALUE"""),"memory_chara_you_00201")</f>
        <v/>
      </c>
      <c r="F233">
        <f>IFERROR(__xludf.DUMMYFUNCTION("""COMPUTED_VALUE"""),"memory_chara_you_00201")</f>
        <v/>
      </c>
      <c r="G233">
        <f>IFERROR(__xludf.DUMMYFUNCTION("""COMPUTED_VALUE"""),"item_icon_memory_chara_you_00201")</f>
        <v/>
      </c>
      <c r="H233">
        <f>IFERROR(__xludf.DUMMYFUNCTION("""COMPUTED_VALUE"""),"ダグのメモリー")</f>
        <v/>
      </c>
      <c r="I233">
        <f>IFERROR(__xludf.DUMMYFUNCTION("""COMPUTED_VALUE"""),"SR")</f>
        <v/>
      </c>
      <c r="J233">
        <f>IFERROR(__xludf.DUMMYFUNCTION("""COMPUTED_VALUE"""),9.99999999E8)</f>
        <v/>
      </c>
      <c r="K233">
        <f>IFERROR(__xludf.DUMMYFUNCTION("""COMPUTED_VALUE"""),9.99999999E8)</f>
        <v/>
      </c>
      <c r="L233">
        <f>IFERROR(__xludf.DUMMYFUNCTION("""COMPUTED_VALUE"""),"ダグのLv.上限開放に使用するアイテム")</f>
        <v/>
      </c>
      <c r="N233">
        <f>IFERROR(__xludf.DUMMYFUNCTION("""COMPUTED_VALUE"""),"2026-02-02 15:00:00")</f>
        <v/>
      </c>
    </row>
    <row r="234">
      <c r="A234">
        <f>IFERROR(__xludf.DUMMYFUNCTION("""COMPUTED_VALUE"""),"you")</f>
        <v/>
      </c>
      <c r="B234">
        <f>IFERROR(__xludf.DUMMYFUNCTION("""COMPUTED_VALUE"""),"幼稚園WARS")</f>
        <v/>
      </c>
      <c r="C234">
        <f>IFERROR(__xludf.DUMMYFUNCTION("""COMPUTED_VALUE"""),"memory_chara")</f>
        <v/>
      </c>
      <c r="D234">
        <f>IFERROR(__xludf.DUMMYFUNCTION("""COMPUTED_VALUE"""),"00301")</f>
        <v/>
      </c>
      <c r="E234">
        <f>IFERROR(__xludf.DUMMYFUNCTION("""COMPUTED_VALUE"""),"memory_chara_you_00301")</f>
        <v/>
      </c>
      <c r="F234">
        <f>IFERROR(__xludf.DUMMYFUNCTION("""COMPUTED_VALUE"""),"memory_chara_you_00301")</f>
        <v/>
      </c>
      <c r="G234">
        <f>IFERROR(__xludf.DUMMYFUNCTION("""COMPUTED_VALUE"""),"item_icon_memory_chara_you_00301")</f>
        <v/>
      </c>
      <c r="H234">
        <f>IFERROR(__xludf.DUMMYFUNCTION("""COMPUTED_VALUE"""),"ハナのメモリー")</f>
        <v/>
      </c>
      <c r="I234">
        <f>IFERROR(__xludf.DUMMYFUNCTION("""COMPUTED_VALUE"""),"SR")</f>
        <v/>
      </c>
      <c r="J234">
        <f>IFERROR(__xludf.DUMMYFUNCTION("""COMPUTED_VALUE"""),9.99999999E8)</f>
        <v/>
      </c>
      <c r="K234">
        <f>IFERROR(__xludf.DUMMYFUNCTION("""COMPUTED_VALUE"""),9.99999999E8)</f>
        <v/>
      </c>
      <c r="L234">
        <f>IFERROR(__xludf.DUMMYFUNCTION("""COMPUTED_VALUE"""),"ハナのLv.上限開放に使用するアイテム")</f>
        <v/>
      </c>
      <c r="N234">
        <f>IFERROR(__xludf.DUMMYFUNCTION("""COMPUTED_VALUE"""),"2026-02-02 15:00:00")</f>
        <v/>
      </c>
    </row>
    <row r="236">
      <c r="A236">
        <f>IFERROR(__xludf.DUMMYFUNCTION("""COMPUTED_VALUE"""),"hut")</f>
        <v/>
      </c>
      <c r="B236">
        <f>IFERROR(__xludf.DUMMYFUNCTION("""COMPUTED_VALUE"""),"ふつうの軽音部")</f>
        <v/>
      </c>
      <c r="C236">
        <f>IFERROR(__xludf.DUMMYFUNCTION("""COMPUTED_VALUE"""),"memory_chara")</f>
        <v/>
      </c>
      <c r="D236">
        <f>IFERROR(__xludf.DUMMYFUNCTION("""COMPUTED_VALUE"""),"00201")</f>
        <v/>
      </c>
      <c r="E236">
        <f>IFERROR(__xludf.DUMMYFUNCTION("""COMPUTED_VALUE"""),"memory_chara_hut_00201")</f>
        <v/>
      </c>
      <c r="F236">
        <f>IFERROR(__xludf.DUMMYFUNCTION("""COMPUTED_VALUE"""),"memory_chara_hut_00201")</f>
        <v/>
      </c>
      <c r="G236">
        <f>IFERROR(__xludf.DUMMYFUNCTION("""COMPUTED_VALUE"""),"item_icon_memory_chara_hut_00201")</f>
        <v/>
      </c>
      <c r="H236">
        <f>IFERROR(__xludf.DUMMYFUNCTION("""COMPUTED_VALUE"""),"内田 桃のメモリー")</f>
        <v/>
      </c>
      <c r="I236">
        <f>IFERROR(__xludf.DUMMYFUNCTION("""COMPUTED_VALUE"""),"SR")</f>
        <v/>
      </c>
      <c r="J236">
        <f>IFERROR(__xludf.DUMMYFUNCTION("""COMPUTED_VALUE"""),9.99999999E8)</f>
        <v/>
      </c>
      <c r="K236">
        <f>IFERROR(__xludf.DUMMYFUNCTION("""COMPUTED_VALUE"""),9.99999999E8)</f>
        <v/>
      </c>
      <c r="L236">
        <f>IFERROR(__xludf.DUMMYFUNCTION("""COMPUTED_VALUE"""),"内田 桃のLv.上限開放に使用するアイテム")</f>
        <v/>
      </c>
      <c r="N236">
        <f>IFERROR(__xludf.DUMMYFUNCTION("""COMPUTED_VALUE"""),"2026-03-02 15:00:00")</f>
        <v/>
      </c>
    </row>
    <row r="237">
      <c r="A237">
        <f>IFERROR(__xludf.DUMMYFUNCTION("""COMPUTED_VALUE"""),"hut")</f>
        <v/>
      </c>
      <c r="B237">
        <f>IFERROR(__xludf.DUMMYFUNCTION("""COMPUTED_VALUE"""),"ふつうの軽音部")</f>
        <v/>
      </c>
      <c r="C237">
        <f>IFERROR(__xludf.DUMMYFUNCTION("""COMPUTED_VALUE"""),"memory_chara")</f>
        <v/>
      </c>
      <c r="D237">
        <f>IFERROR(__xludf.DUMMYFUNCTION("""COMPUTED_VALUE"""),"00301")</f>
        <v/>
      </c>
      <c r="E237">
        <f>IFERROR(__xludf.DUMMYFUNCTION("""COMPUTED_VALUE"""),"memory_chara_hut_00301")</f>
        <v/>
      </c>
      <c r="F237">
        <f>IFERROR(__xludf.DUMMYFUNCTION("""COMPUTED_VALUE"""),"memory_chara_hut_00301")</f>
        <v/>
      </c>
      <c r="G237">
        <f>IFERROR(__xludf.DUMMYFUNCTION("""COMPUTED_VALUE"""),"item_icon_memory_chara_hut_00301")</f>
        <v/>
      </c>
      <c r="H237">
        <f>IFERROR(__xludf.DUMMYFUNCTION("""COMPUTED_VALUE"""),"藤井 彩目のメモリー")</f>
        <v/>
      </c>
      <c r="I237">
        <f>IFERROR(__xludf.DUMMYFUNCTION("""COMPUTED_VALUE"""),"SR")</f>
        <v/>
      </c>
      <c r="J237">
        <f>IFERROR(__xludf.DUMMYFUNCTION("""COMPUTED_VALUE"""),9.99999999E8)</f>
        <v/>
      </c>
      <c r="K237">
        <f>IFERROR(__xludf.DUMMYFUNCTION("""COMPUTED_VALUE"""),9.99999999E8)</f>
        <v/>
      </c>
      <c r="L237">
        <f>IFERROR(__xludf.DUMMYFUNCTION("""COMPUTED_VALUE"""),"藤井 彩目のLv.上限開放に使用するアイテム")</f>
        <v/>
      </c>
      <c r="N237">
        <f>IFERROR(__xludf.DUMMYFUNCTION("""COMPUTED_VALUE"""),"2026-03-02 15:00:00")</f>
        <v/>
      </c>
    </row>
    <row r="239">
      <c r="A239">
        <f>IFERROR(__xludf.DUMMYFUNCTION("""COMPUTED_VALUE"""),"aya")</f>
        <v/>
      </c>
      <c r="B239">
        <f>IFERROR(__xludf.DUMMYFUNCTION("""COMPUTED_VALUE"""),"あやかしトライアングル")</f>
        <v/>
      </c>
      <c r="C239">
        <f>IFERROR(__xludf.DUMMYFUNCTION("""COMPUTED_VALUE"""),"memory_chara")</f>
        <v/>
      </c>
      <c r="D239">
        <f>IFERROR(__xludf.DUMMYFUNCTION("""COMPUTED_VALUE"""),"00201")</f>
        <v/>
      </c>
      <c r="E239">
        <f>IFERROR(__xludf.DUMMYFUNCTION("""COMPUTED_VALUE"""),"memory_chara_aya_00201")</f>
        <v/>
      </c>
      <c r="F239">
        <f>IFERROR(__xludf.DUMMYFUNCTION("""COMPUTED_VALUE"""),"memory_chara_aya_00201")</f>
        <v/>
      </c>
      <c r="G239">
        <f>IFERROR(__xludf.DUMMYFUNCTION("""COMPUTED_VALUE"""),"item_icon_memory_chara_aya_00201")</f>
        <v/>
      </c>
      <c r="H239">
        <f>IFERROR(__xludf.DUMMYFUNCTION("""COMPUTED_VALUE"""),"香炉木 恋緒のメモリー")</f>
        <v/>
      </c>
      <c r="I239">
        <f>IFERROR(__xludf.DUMMYFUNCTION("""COMPUTED_VALUE"""),"SR")</f>
        <v/>
      </c>
      <c r="J239">
        <f>IFERROR(__xludf.DUMMYFUNCTION("""COMPUTED_VALUE"""),9.99999999E8)</f>
        <v/>
      </c>
      <c r="K239">
        <f>IFERROR(__xludf.DUMMYFUNCTION("""COMPUTED_VALUE"""),9.99999999E8)</f>
        <v/>
      </c>
      <c r="L239">
        <f>IFERROR(__xludf.DUMMYFUNCTION("""COMPUTED_VALUE"""),"香炉木 恋緒のLv.上限開放に使用するアイテム")</f>
        <v/>
      </c>
      <c r="N239">
        <f>IFERROR(__xludf.DUMMYFUNCTION("""COMPUTED_VALUE"""),"2026-04-17 15:00:00")</f>
        <v/>
      </c>
    </row>
    <row r="240">
      <c r="A240">
        <f>IFERROR(__xludf.DUMMYFUNCTION("""COMPUTED_VALUE"""),"aya")</f>
        <v/>
      </c>
      <c r="B240">
        <f>IFERROR(__xludf.DUMMYFUNCTION("""COMPUTED_VALUE"""),"あやかしトライアングル")</f>
        <v/>
      </c>
      <c r="C240">
        <f>IFERROR(__xludf.DUMMYFUNCTION("""COMPUTED_VALUE"""),"memory_chara")</f>
        <v/>
      </c>
      <c r="D240">
        <f>IFERROR(__xludf.DUMMYFUNCTION("""COMPUTED_VALUE"""),"00301")</f>
        <v/>
      </c>
      <c r="E240">
        <f>IFERROR(__xludf.DUMMYFUNCTION("""COMPUTED_VALUE"""),"memory_chara_aya_00301")</f>
        <v/>
      </c>
      <c r="F240">
        <f>IFERROR(__xludf.DUMMYFUNCTION("""COMPUTED_VALUE"""),"memory_chara_aya_00301")</f>
        <v/>
      </c>
      <c r="G240">
        <f>IFERROR(__xludf.DUMMYFUNCTION("""COMPUTED_VALUE"""),"item_icon_memory_chara_aya_00301")</f>
        <v/>
      </c>
      <c r="H240">
        <f>IFERROR(__xludf.DUMMYFUNCTION("""COMPUTED_VALUE"""),"ニノ曲 宗牙のメモリー")</f>
        <v/>
      </c>
      <c r="I240">
        <f>IFERROR(__xludf.DUMMYFUNCTION("""COMPUTED_VALUE"""),"SR")</f>
        <v/>
      </c>
      <c r="J240">
        <f>IFERROR(__xludf.DUMMYFUNCTION("""COMPUTED_VALUE"""),9.99999999E8)</f>
        <v/>
      </c>
      <c r="K240">
        <f>IFERROR(__xludf.DUMMYFUNCTION("""COMPUTED_VALUE"""),9.99999999E8)</f>
        <v/>
      </c>
      <c r="L240">
        <f>IFERROR(__xludf.DUMMYFUNCTION("""COMPUTED_VALUE"""),"ニノ曲 宗牙のLv.上限開放に使用するアイテム")</f>
        <v/>
      </c>
      <c r="N240">
        <f>IFERROR(__xludf.DUMMYFUNCTION("""COMPUTED_VALUE"""),"2026-04-17 15:00:00")</f>
        <v/>
      </c>
    </row>
    <row r="242">
      <c r="A242">
        <f>IFERROR(__xludf.DUMMYFUNCTION("""COMPUTED_VALUE"""),"hyp")</f>
        <v/>
      </c>
      <c r="B242">
        <f>IFERROR(__xludf.DUMMYFUNCTION("""COMPUTED_VALUE"""),"ハイパーインフレーション")</f>
        <v/>
      </c>
      <c r="C242">
        <f>IFERROR(__xludf.DUMMYFUNCTION("""COMPUTED_VALUE"""),"memory_chara")</f>
        <v/>
      </c>
      <c r="D242">
        <f>IFERROR(__xludf.DUMMYFUNCTION("""COMPUTED_VALUE"""),"00001")</f>
        <v/>
      </c>
      <c r="E242">
        <f>IFERROR(__xludf.DUMMYFUNCTION("""COMPUTED_VALUE"""),"memory_chara_hyp_00001")</f>
        <v/>
      </c>
      <c r="F242">
        <f>IFERROR(__xludf.DUMMYFUNCTION("""COMPUTED_VALUE"""),"memory_chara_hyp_00001")</f>
        <v/>
      </c>
      <c r="G242">
        <f>IFERROR(__xludf.DUMMYFUNCTION("""COMPUTED_VALUE"""),"item_icon_memory_chara_hyp_00001")</f>
        <v/>
      </c>
      <c r="H242">
        <f>IFERROR(__xludf.DUMMYFUNCTION("""COMPUTED_VALUE"""),"ルークのメモリー")</f>
        <v/>
      </c>
      <c r="I242">
        <f>IFERROR(__xludf.DUMMYFUNCTION("""COMPUTED_VALUE"""),"SR")</f>
        <v/>
      </c>
      <c r="J242">
        <f>IFERROR(__xludf.DUMMYFUNCTION("""COMPUTED_VALUE"""),9.99999999E8)</f>
        <v/>
      </c>
      <c r="K242">
        <f>IFERROR(__xludf.DUMMYFUNCTION("""COMPUTED_VALUE"""),9.99999999E8)</f>
        <v/>
      </c>
      <c r="L242">
        <f>IFERROR(__xludf.DUMMYFUNCTION("""COMPUTED_VALUE"""),"ルークのLv.上限開放に使用するアイテム")</f>
        <v/>
      </c>
    </row>
    <row r="244">
      <c r="A244">
        <f>IFERROR(__xludf.DUMMYFUNCTION("""COMPUTED_VALUE"""),"ara")</f>
        <v/>
      </c>
      <c r="B244">
        <f>IFERROR(__xludf.DUMMYFUNCTION("""COMPUTED_VALUE"""),"アラガネの子")</f>
        <v/>
      </c>
      <c r="C244">
        <f>IFERROR(__xludf.DUMMYFUNCTION("""COMPUTED_VALUE"""),"memory_chara")</f>
        <v/>
      </c>
      <c r="D244">
        <f>IFERROR(__xludf.DUMMYFUNCTION("""COMPUTED_VALUE"""),"00001")</f>
        <v/>
      </c>
      <c r="E244">
        <f>IFERROR(__xludf.DUMMYFUNCTION("""COMPUTED_VALUE"""),"memory_chara_ara_00001")</f>
        <v/>
      </c>
      <c r="F244">
        <f>IFERROR(__xludf.DUMMYFUNCTION("""COMPUTED_VALUE"""),"memory_chara_ara_00001")</f>
        <v/>
      </c>
      <c r="G244">
        <f>IFERROR(__xludf.DUMMYFUNCTION("""COMPUTED_VALUE"""),"item_icon_memory_chara_ara_00001")</f>
        <v/>
      </c>
      <c r="H244">
        <f>IFERROR(__xludf.DUMMYFUNCTION("""COMPUTED_VALUE"""),"灰のメモリー")</f>
        <v/>
      </c>
      <c r="I244">
        <f>IFERROR(__xludf.DUMMYFUNCTION("""COMPUTED_VALUE"""),"SR")</f>
        <v/>
      </c>
      <c r="J244">
        <f>IFERROR(__xludf.DUMMYFUNCTION("""COMPUTED_VALUE"""),9.99999999E8)</f>
        <v/>
      </c>
      <c r="K244">
        <f>IFERROR(__xludf.DUMMYFUNCTION("""COMPUTED_VALUE"""),9.99999999E8)</f>
        <v/>
      </c>
      <c r="L244">
        <f>IFERROR(__xludf.DUMMYFUNCTION("""COMPUTED_VALUE"""),"灰のLv.上限開放に使用するアイテム")</f>
        <v/>
      </c>
    </row>
    <row r="246">
      <c r="A246">
        <f>IFERROR(__xludf.DUMMYFUNCTION("""COMPUTED_VALUE"""),"osh")</f>
        <v/>
      </c>
      <c r="B246">
        <f>IFERROR(__xludf.DUMMYFUNCTION("""COMPUTED_VALUE"""),"【推しの子】")</f>
        <v/>
      </c>
      <c r="C246">
        <f>IFERROR(__xludf.DUMMYFUNCTION("""COMPUTED_VALUE"""),"memory_chara")</f>
        <v/>
      </c>
      <c r="D246">
        <f>IFERROR(__xludf.DUMMYFUNCTION("""COMPUTED_VALUE"""),"00701")</f>
        <v/>
      </c>
      <c r="E246">
        <f>IFERROR(__xludf.DUMMYFUNCTION("""COMPUTED_VALUE"""),"memory_chara_osh_00701")</f>
        <v/>
      </c>
      <c r="F246">
        <f>IFERROR(__xludf.DUMMYFUNCTION("""COMPUTED_VALUE"""),"memory_chara_osh_00701")</f>
        <v/>
      </c>
      <c r="G246">
        <f>IFERROR(__xludf.DUMMYFUNCTION("""COMPUTED_VALUE"""),"item_icon_memory_chara_osh_00701")</f>
        <v/>
      </c>
      <c r="H246">
        <f>IFERROR(__xludf.DUMMYFUNCTION("""COMPUTED_VALUE"""),"雨宮 吾郎のメモリー")</f>
        <v/>
      </c>
      <c r="I246">
        <f>IFERROR(__xludf.DUMMYFUNCTION("""COMPUTED_VALUE"""),"SR")</f>
        <v/>
      </c>
      <c r="J246">
        <f>IFERROR(__xludf.DUMMYFUNCTION("""COMPUTED_VALUE"""),9.99999999E8)</f>
        <v/>
      </c>
      <c r="K246">
        <f>IFERROR(__xludf.DUMMYFUNCTION("""COMPUTED_VALUE"""),9.99999999E8)</f>
        <v/>
      </c>
      <c r="L246">
        <f>IFERROR(__xludf.DUMMYFUNCTION("""COMPUTED_VALUE"""),"雨宮 吾郎のLv.上限開放に使用するアイテム")</f>
        <v/>
      </c>
    </row>
    <row r="248">
      <c r="A248">
        <f>IFERROR(__xludf.DUMMYFUNCTION("""COMPUTED_VALUE"""),"gom")</f>
        <v/>
      </c>
      <c r="B248">
        <f>IFERROR(__xludf.DUMMYFUNCTION("""COMPUTED_VALUE"""),"姫様“拷問”の時間です")</f>
        <v/>
      </c>
      <c r="C248">
        <f>IFERROR(__xludf.DUMMYFUNCTION("""COMPUTED_VALUE"""),"memory_chara")</f>
        <v/>
      </c>
      <c r="D248">
        <f>IFERROR(__xludf.DUMMYFUNCTION("""COMPUTED_VALUE"""),"00701")</f>
        <v/>
      </c>
      <c r="E248">
        <f>IFERROR(__xludf.DUMMYFUNCTION("""COMPUTED_VALUE"""),"memory_chara_gom_00701")</f>
        <v/>
      </c>
      <c r="F248">
        <f>IFERROR(__xludf.DUMMYFUNCTION("""COMPUTED_VALUE"""),"memory_chara_gom_00701")</f>
        <v/>
      </c>
      <c r="G248">
        <f>IFERROR(__xludf.DUMMYFUNCTION("""COMPUTED_VALUE"""),"item_icon_memory_chara_gom_00701")</f>
        <v/>
      </c>
      <c r="H248">
        <f>IFERROR(__xludf.DUMMYFUNCTION("""COMPUTED_VALUE"""),"カナッジのメモリー")</f>
        <v/>
      </c>
      <c r="I248">
        <f>IFERROR(__xludf.DUMMYFUNCTION("""COMPUTED_VALUE"""),"SR")</f>
        <v/>
      </c>
      <c r="J248">
        <f>IFERROR(__xludf.DUMMYFUNCTION("""COMPUTED_VALUE"""),9.99999999E8)</f>
        <v/>
      </c>
      <c r="K248">
        <f>IFERROR(__xludf.DUMMYFUNCTION("""COMPUTED_VALUE"""),9.99999999E8)</f>
        <v/>
      </c>
      <c r="L248">
        <f>IFERROR(__xludf.DUMMYFUNCTION("""COMPUTED_VALUE"""),"カナッジのLv.上限開放に使用するアイテム")</f>
        <v/>
      </c>
    </row>
    <row r="250">
      <c r="A250">
        <f>IFERROR(__xludf.DUMMYFUNCTION("""COMPUTED_VALUE"""),"mar")</f>
        <v/>
      </c>
      <c r="B250">
        <f>IFERROR(__xludf.DUMMYFUNCTION("""COMPUTED_VALUE"""),"マリッジトキシン")</f>
        <v/>
      </c>
      <c r="C250">
        <f>IFERROR(__xludf.DUMMYFUNCTION("""COMPUTED_VALUE"""),"memory_chara")</f>
        <v/>
      </c>
      <c r="D250">
        <f>IFERROR(__xludf.DUMMYFUNCTION("""COMPUTED_VALUE"""),"00201")</f>
        <v/>
      </c>
      <c r="E250">
        <f>IFERROR(__xludf.DUMMYFUNCTION("""COMPUTED_VALUE"""),"memory_chara_mar_00201")</f>
        <v/>
      </c>
      <c r="F250">
        <f>IFERROR(__xludf.DUMMYFUNCTION("""COMPUTED_VALUE"""),"memory_chara_mar_00201")</f>
        <v/>
      </c>
      <c r="G250">
        <f>IFERROR(__xludf.DUMMYFUNCTION("""COMPUTED_VALUE"""),"item_icon_memory_chara_mar_00201")</f>
        <v/>
      </c>
      <c r="H250">
        <f>IFERROR(__xludf.DUMMYFUNCTION("""COMPUTED_VALUE"""),"姫川 杏子のメモリー")</f>
        <v/>
      </c>
      <c r="I250">
        <f>IFERROR(__xludf.DUMMYFUNCTION("""COMPUTED_VALUE"""),"SR")</f>
        <v/>
      </c>
      <c r="J250">
        <f>IFERROR(__xludf.DUMMYFUNCTION("""COMPUTED_VALUE"""),9.99999999E8)</f>
        <v/>
      </c>
      <c r="K250">
        <f>IFERROR(__xludf.DUMMYFUNCTION("""COMPUTED_VALUE"""),9.99999999E8)</f>
        <v/>
      </c>
      <c r="L250">
        <f>IFERROR(__xludf.DUMMYFUNCTION("""COMPUTED_VALUE"""),"姫川 杏子のLv.上限開放に使用するアイテム")</f>
        <v/>
      </c>
    </row>
    <row r="251">
      <c r="A251">
        <f>IFERROR(__xludf.DUMMYFUNCTION("""COMPUTED_VALUE"""),"mar")</f>
        <v/>
      </c>
      <c r="B251">
        <f>IFERROR(__xludf.DUMMYFUNCTION("""COMPUTED_VALUE"""),"マリッジトキシン")</f>
        <v/>
      </c>
      <c r="C251">
        <f>IFERROR(__xludf.DUMMYFUNCTION("""COMPUTED_VALUE"""),"memory_chara")</f>
        <v/>
      </c>
      <c r="D251">
        <f>IFERROR(__xludf.DUMMYFUNCTION("""COMPUTED_VALUE"""),"00401")</f>
        <v/>
      </c>
      <c r="E251">
        <f>IFERROR(__xludf.DUMMYFUNCTION("""COMPUTED_VALUE"""),"memory_chara_mar_00401")</f>
        <v/>
      </c>
      <c r="F251">
        <f>IFERROR(__xludf.DUMMYFUNCTION("""COMPUTED_VALUE"""),"memory_chara_mar_00401")</f>
        <v/>
      </c>
      <c r="G251">
        <f>IFERROR(__xludf.DUMMYFUNCTION("""COMPUTED_VALUE"""),"item_icon_memory_chara_mar_00401")</f>
        <v/>
      </c>
      <c r="H251">
        <f>IFERROR(__xludf.DUMMYFUNCTION("""COMPUTED_VALUE"""),"音使い 鳴子のメモリー")</f>
        <v/>
      </c>
      <c r="I251">
        <f>IFERROR(__xludf.DUMMYFUNCTION("""COMPUTED_VALUE"""),"SR")</f>
        <v/>
      </c>
      <c r="J251">
        <f>IFERROR(__xludf.DUMMYFUNCTION("""COMPUTED_VALUE"""),9.99999999E8)</f>
        <v/>
      </c>
      <c r="K251">
        <f>IFERROR(__xludf.DUMMYFUNCTION("""COMPUTED_VALUE"""),9.99999999E8)</f>
        <v/>
      </c>
      <c r="L251">
        <f>IFERROR(__xludf.DUMMYFUNCTION("""COMPUTED_VALUE"""),"音使い 鳴子のLv.上限開放に使用するアイテム")</f>
        <v/>
      </c>
    </row>
    <row r="255">
      <c r="A255">
        <f>IFERROR(__xludf.DUMMYFUNCTION("""COMPUTED_VALUE"""),"▼原画強化アイテム")</f>
        <v/>
      </c>
    </row>
    <row r="256">
      <c r="A256">
        <f>IFERROR(__xludf.DUMMYFUNCTION("""COMPUTED_VALUE"""),"glo")</f>
        <v/>
      </c>
      <c r="B256">
        <f>IFERROR(__xludf.DUMMYFUNCTION("""COMPUTED_VALUE"""),"GLOW")</f>
        <v/>
      </c>
      <c r="C256">
        <f>IFERROR(__xludf.DUMMYFUNCTION("""COMPUTED_VALUE"""),"artwork_enhance")</f>
        <v/>
      </c>
      <c r="D256">
        <f>IFERROR(__xludf.DUMMYFUNCTION("""COMPUTED_VALUE"""),"00001")</f>
        <v/>
      </c>
      <c r="E256">
        <f>IFERROR(__xludf.DUMMYFUNCTION("""COMPUTED_VALUE"""),"artwork_enhance_glo_00001")</f>
        <v/>
      </c>
      <c r="F256">
        <f>IFERROR(__xludf.DUMMYFUNCTION("""COMPUTED_VALUE"""),"artwork_enhance_glo_00001")</f>
        <v/>
      </c>
      <c r="G256">
        <f>IFERROR(__xludf.DUMMYFUNCTION("""COMPUTED_VALUE"""),"item_icon_artwork_enhance_glo_00001")</f>
        <v/>
      </c>
      <c r="H256">
        <f>IFERROR(__xludf.DUMMYFUNCTION("""COMPUTED_VALUE"""),"普通の原稿用紙")</f>
        <v/>
      </c>
      <c r="I256">
        <f>IFERROR(__xludf.DUMMYFUNCTION("""COMPUTED_VALUE"""),"SR")</f>
        <v/>
      </c>
      <c r="J256">
        <f>IFERROR(__xludf.DUMMYFUNCTION("""COMPUTED_VALUE"""),9.99999999E8)</f>
        <v/>
      </c>
      <c r="K256">
        <f>IFERROR(__xludf.DUMMYFUNCTION("""COMPUTED_VALUE"""),9.99999999E8)</f>
        <v/>
      </c>
      <c r="L256">
        <f>IFERROR(__xludf.DUMMYFUNCTION("""COMPUTED_VALUE""")," 原画のグレードアップに使用するアイテム")</f>
        <v/>
      </c>
      <c r="N256">
        <f>IFERROR(__xludf.DUMMYFUNCTION("""COMPUTED_VALUE"""),"2026-03-16 15:00:00")</f>
        <v/>
      </c>
    </row>
    <row r="257">
      <c r="A257">
        <f>IFERROR(__xludf.DUMMYFUNCTION("""COMPUTED_VALUE"""),"glo")</f>
        <v/>
      </c>
      <c r="B257">
        <f>IFERROR(__xludf.DUMMYFUNCTION("""COMPUTED_VALUE"""),"GLOW")</f>
        <v/>
      </c>
      <c r="C257">
        <f>IFERROR(__xludf.DUMMYFUNCTION("""COMPUTED_VALUE"""),"artwork_enhance")</f>
        <v/>
      </c>
      <c r="D257">
        <f>IFERROR(__xludf.DUMMYFUNCTION("""COMPUTED_VALUE"""),"00002")</f>
        <v/>
      </c>
      <c r="E257">
        <f>IFERROR(__xludf.DUMMYFUNCTION("""COMPUTED_VALUE"""),"artwork_enhance_glo_00002")</f>
        <v/>
      </c>
      <c r="F257">
        <f>IFERROR(__xludf.DUMMYFUNCTION("""COMPUTED_VALUE"""),"artwork_enhance_glo_00002")</f>
        <v/>
      </c>
      <c r="G257">
        <f>IFERROR(__xludf.DUMMYFUNCTION("""COMPUTED_VALUE"""),"item_icon_artwork_enhance_glo_00002")</f>
        <v/>
      </c>
      <c r="H257">
        <f>IFERROR(__xludf.DUMMYFUNCTION("""COMPUTED_VALUE"""),"魂のインク")</f>
        <v/>
      </c>
      <c r="I257">
        <f>IFERROR(__xludf.DUMMYFUNCTION("""COMPUTED_VALUE"""),"SSR")</f>
        <v/>
      </c>
      <c r="J257">
        <f>IFERROR(__xludf.DUMMYFUNCTION("""COMPUTED_VALUE"""),9.99999999E8)</f>
        <v/>
      </c>
      <c r="K257">
        <f>IFERROR(__xludf.DUMMYFUNCTION("""COMPUTED_VALUE"""),9.99999999E8)</f>
        <v/>
      </c>
      <c r="L257">
        <f>IFERROR(__xludf.DUMMYFUNCTION("""COMPUTED_VALUE""")," 原画のグレードアップに使用するアイテム")</f>
        <v/>
      </c>
      <c r="N257">
        <f>IFERROR(__xludf.DUMMYFUNCTION("""COMPUTED_VALUE"""),"2026-03-16 15:00:00")</f>
        <v/>
      </c>
    </row>
    <row r="258">
      <c r="A258">
        <f>IFERROR(__xludf.DUMMYFUNCTION("""COMPUTED_VALUE"""),"glo")</f>
        <v/>
      </c>
      <c r="B258">
        <f>IFERROR(__xludf.DUMMYFUNCTION("""COMPUTED_VALUE"""),"GLOW")</f>
        <v/>
      </c>
      <c r="C258">
        <f>IFERROR(__xludf.DUMMYFUNCTION("""COMPUTED_VALUE"""),"artwork_enhance")</f>
        <v/>
      </c>
      <c r="D258">
        <f>IFERROR(__xludf.DUMMYFUNCTION("""COMPUTED_VALUE"""),"00003")</f>
        <v/>
      </c>
      <c r="E258">
        <f>IFERROR(__xludf.DUMMYFUNCTION("""COMPUTED_VALUE"""),"artwork_enhance_glo_00003")</f>
        <v/>
      </c>
      <c r="F258">
        <f>IFERROR(__xludf.DUMMYFUNCTION("""COMPUTED_VALUE"""),"artwork_enhance_glo_00003")</f>
        <v/>
      </c>
      <c r="G258">
        <f>IFERROR(__xludf.DUMMYFUNCTION("""COMPUTED_VALUE"""),"item_icon_artwork_enhance_glo_00003")</f>
        <v/>
      </c>
      <c r="H258">
        <f>IFERROR(__xludf.DUMMYFUNCTION("""COMPUTED_VALUE"""),"伝説のペン")</f>
        <v/>
      </c>
      <c r="I258">
        <f>IFERROR(__xludf.DUMMYFUNCTION("""COMPUTED_VALUE"""),"UR")</f>
        <v/>
      </c>
      <c r="J258">
        <f>IFERROR(__xludf.DUMMYFUNCTION("""COMPUTED_VALUE"""),9.99999999E8)</f>
        <v/>
      </c>
      <c r="K258">
        <f>IFERROR(__xludf.DUMMYFUNCTION("""COMPUTED_VALUE"""),9.99999999E8)</f>
        <v/>
      </c>
      <c r="L258">
        <f>IFERROR(__xludf.DUMMYFUNCTION("""COMPUTED_VALUE""")," 原画のグレードアップに使用するアイテム")</f>
        <v/>
      </c>
      <c r="N258">
        <f>IFERROR(__xludf.DUMMYFUNCTION("""COMPUTED_VALUE"""),"2026-03-16 15:00:00")</f>
        <v/>
      </c>
    </row>
    <row r="259">
      <c r="A259">
        <f>IFERROR(__xludf.DUMMYFUNCTION("""COMPUTED_VALUE"""),"spy")</f>
        <v/>
      </c>
      <c r="B259">
        <f>IFERROR(__xludf.DUMMYFUNCTION("""COMPUTED_VALUE"""),"SPY×FAMILY")</f>
        <v/>
      </c>
      <c r="C259">
        <f>IFERROR(__xludf.DUMMYFUNCTION("""COMPUTED_VALUE"""),"artwork_enhance")</f>
        <v/>
      </c>
      <c r="D259">
        <f>IFERROR(__xludf.DUMMYFUNCTION("""COMPUTED_VALUE"""),"00001")</f>
        <v/>
      </c>
      <c r="E259">
        <f>IFERROR(__xludf.DUMMYFUNCTION("""COMPUTED_VALUE"""),"artwork_enhance_spy_00001")</f>
        <v/>
      </c>
      <c r="F259">
        <f>IFERROR(__xludf.DUMMYFUNCTION("""COMPUTED_VALUE"""),"artwork_enhance_spy_00001")</f>
        <v/>
      </c>
      <c r="G259">
        <f>IFERROR(__xludf.DUMMYFUNCTION("""COMPUTED_VALUE"""),"item_icon_artwork_enhance_spy_00001")</f>
        <v/>
      </c>
      <c r="H259">
        <f>IFERROR(__xludf.DUMMYFUNCTION("""COMPUTED_VALUE"""),"『SPY×FAMILY』の表紙")</f>
        <v/>
      </c>
      <c r="I259">
        <f>IFERROR(__xludf.DUMMYFUNCTION("""COMPUTED_VALUE"""),"UR")</f>
        <v/>
      </c>
      <c r="J259">
        <f>IFERROR(__xludf.DUMMYFUNCTION("""COMPUTED_VALUE"""),9.99999999E8)</f>
        <v/>
      </c>
      <c r="K259">
        <f>IFERROR(__xludf.DUMMYFUNCTION("""COMPUTED_VALUE"""),9.99999999E8)</f>
        <v/>
      </c>
      <c r="L259">
        <f>IFERROR(__xludf.DUMMYFUNCTION("""COMPUTED_VALUE"""),"「SPY×FAMILY」の原画のグレードアップに使用するアイテム")</f>
        <v/>
      </c>
      <c r="N259">
        <f>IFERROR(__xludf.DUMMYFUNCTION("""COMPUTED_VALUE"""),"2026-03-16 15:00:00")</f>
        <v/>
      </c>
    </row>
    <row r="260">
      <c r="A260">
        <f>IFERROR(__xludf.DUMMYFUNCTION("""COMPUTED_VALUE"""),"aka")</f>
        <v/>
      </c>
      <c r="B260">
        <f>IFERROR(__xludf.DUMMYFUNCTION("""COMPUTED_VALUE"""),"ラーメン赤猫")</f>
        <v/>
      </c>
      <c r="C260">
        <f>IFERROR(__xludf.DUMMYFUNCTION("""COMPUTED_VALUE"""),"artwork_enhance")</f>
        <v/>
      </c>
      <c r="D260">
        <f>IFERROR(__xludf.DUMMYFUNCTION("""COMPUTED_VALUE"""),"00001")</f>
        <v/>
      </c>
      <c r="E260">
        <f>IFERROR(__xludf.DUMMYFUNCTION("""COMPUTED_VALUE"""),"artwork_enhance_aka_00001")</f>
        <v/>
      </c>
      <c r="F260">
        <f>IFERROR(__xludf.DUMMYFUNCTION("""COMPUTED_VALUE"""),"artwork_enhance_aka_00001")</f>
        <v/>
      </c>
      <c r="G260">
        <f>IFERROR(__xludf.DUMMYFUNCTION("""COMPUTED_VALUE"""),"item_icon_artwork_enhance_aka_00001")</f>
        <v/>
      </c>
      <c r="H260">
        <f>IFERROR(__xludf.DUMMYFUNCTION("""COMPUTED_VALUE"""),"『ラーメン赤猫』の表紙")</f>
        <v/>
      </c>
      <c r="I260">
        <f>IFERROR(__xludf.DUMMYFUNCTION("""COMPUTED_VALUE"""),"UR")</f>
        <v/>
      </c>
      <c r="J260">
        <f>IFERROR(__xludf.DUMMYFUNCTION("""COMPUTED_VALUE"""),9.99999999E8)</f>
        <v/>
      </c>
      <c r="K260">
        <f>IFERROR(__xludf.DUMMYFUNCTION("""COMPUTED_VALUE"""),9.99999999E8)</f>
        <v/>
      </c>
      <c r="L260">
        <f>IFERROR(__xludf.DUMMYFUNCTION("""COMPUTED_VALUE"""),"「ラーメン赤猫」の原画のグレードアップに使用するアイテム")</f>
        <v/>
      </c>
      <c r="N260">
        <f>IFERROR(__xludf.DUMMYFUNCTION("""COMPUTED_VALUE"""),"2026-03-16 15:00:00")</f>
        <v/>
      </c>
    </row>
    <row r="261">
      <c r="A261">
        <f>IFERROR(__xludf.DUMMYFUNCTION("""COMPUTED_VALUE"""),"rik")</f>
        <v/>
      </c>
      <c r="B261">
        <f>IFERROR(__xludf.DUMMYFUNCTION("""COMPUTED_VALUE"""),"トマトイプーのリコピン")</f>
        <v/>
      </c>
      <c r="C261">
        <f>IFERROR(__xludf.DUMMYFUNCTION("""COMPUTED_VALUE"""),"artwork_enhance")</f>
        <v/>
      </c>
      <c r="D261">
        <f>IFERROR(__xludf.DUMMYFUNCTION("""COMPUTED_VALUE"""),"00001")</f>
        <v/>
      </c>
      <c r="E261">
        <f>IFERROR(__xludf.DUMMYFUNCTION("""COMPUTED_VALUE"""),"artwork_enhance_rik_00001")</f>
        <v/>
      </c>
      <c r="F261">
        <f>IFERROR(__xludf.DUMMYFUNCTION("""COMPUTED_VALUE"""),"artwork_enhance_rik_00001")</f>
        <v/>
      </c>
      <c r="G261">
        <f>IFERROR(__xludf.DUMMYFUNCTION("""COMPUTED_VALUE"""),"item_icon_artwork_enhance_rik_00001")</f>
        <v/>
      </c>
      <c r="H261">
        <f>IFERROR(__xludf.DUMMYFUNCTION("""COMPUTED_VALUE"""),"『トマトイプーのリコピン』の表紙")</f>
        <v/>
      </c>
      <c r="I261">
        <f>IFERROR(__xludf.DUMMYFUNCTION("""COMPUTED_VALUE"""),"UR")</f>
        <v/>
      </c>
      <c r="J261">
        <f>IFERROR(__xludf.DUMMYFUNCTION("""COMPUTED_VALUE"""),9.99999999E8)</f>
        <v/>
      </c>
      <c r="K261">
        <f>IFERROR(__xludf.DUMMYFUNCTION("""COMPUTED_VALUE"""),9.99999999E8)</f>
        <v/>
      </c>
      <c r="L261">
        <f>IFERROR(__xludf.DUMMYFUNCTION("""COMPUTED_VALUE"""),"「トマトイプーのリコピン」の原画のグレードアップに使用するアイテム")</f>
        <v/>
      </c>
      <c r="N261">
        <f>IFERROR(__xludf.DUMMYFUNCTION("""COMPUTED_VALUE"""),"2026-03-16 15:00:00")</f>
        <v/>
      </c>
    </row>
    <row r="262">
      <c r="A262">
        <f>IFERROR(__xludf.DUMMYFUNCTION("""COMPUTED_VALUE"""),"dan")</f>
        <v/>
      </c>
      <c r="B262">
        <f>IFERROR(__xludf.DUMMYFUNCTION("""COMPUTED_VALUE"""),"ダンダダン")</f>
        <v/>
      </c>
      <c r="C262">
        <f>IFERROR(__xludf.DUMMYFUNCTION("""COMPUTED_VALUE"""),"artwork_enhance")</f>
        <v/>
      </c>
      <c r="D262">
        <f>IFERROR(__xludf.DUMMYFUNCTION("""COMPUTED_VALUE"""),"00001")</f>
        <v/>
      </c>
      <c r="E262">
        <f>IFERROR(__xludf.DUMMYFUNCTION("""COMPUTED_VALUE"""),"artwork_enhance_dan_00001")</f>
        <v/>
      </c>
      <c r="F262">
        <f>IFERROR(__xludf.DUMMYFUNCTION("""COMPUTED_VALUE"""),"artwork_enhance_dan_00001")</f>
        <v/>
      </c>
      <c r="G262">
        <f>IFERROR(__xludf.DUMMYFUNCTION("""COMPUTED_VALUE"""),"item_icon_artwork_enhance_dan_00001")</f>
        <v/>
      </c>
      <c r="H262">
        <f>IFERROR(__xludf.DUMMYFUNCTION("""COMPUTED_VALUE"""),"『ダンダダン』の表紙")</f>
        <v/>
      </c>
      <c r="I262">
        <f>IFERROR(__xludf.DUMMYFUNCTION("""COMPUTED_VALUE"""),"UR")</f>
        <v/>
      </c>
      <c r="J262">
        <f>IFERROR(__xludf.DUMMYFUNCTION("""COMPUTED_VALUE"""),9.99999999E8)</f>
        <v/>
      </c>
      <c r="K262">
        <f>IFERROR(__xludf.DUMMYFUNCTION("""COMPUTED_VALUE"""),9.99999999E8)</f>
        <v/>
      </c>
      <c r="L262">
        <f>IFERROR(__xludf.DUMMYFUNCTION("""COMPUTED_VALUE"""),"「ダンダダン」の原画のグレードアップに使用するアイテム")</f>
        <v/>
      </c>
      <c r="N262">
        <f>IFERROR(__xludf.DUMMYFUNCTION("""COMPUTED_VALUE"""),"2026-03-16 15:00:00")</f>
        <v/>
      </c>
    </row>
    <row r="263">
      <c r="A263">
        <f>IFERROR(__xludf.DUMMYFUNCTION("""COMPUTED_VALUE"""),"gom")</f>
        <v/>
      </c>
      <c r="B263">
        <f>IFERROR(__xludf.DUMMYFUNCTION("""COMPUTED_VALUE"""),"姫様“拷問”の時間です")</f>
        <v/>
      </c>
      <c r="C263">
        <f>IFERROR(__xludf.DUMMYFUNCTION("""COMPUTED_VALUE"""),"artwork_enhance")</f>
        <v/>
      </c>
      <c r="D263">
        <f>IFERROR(__xludf.DUMMYFUNCTION("""COMPUTED_VALUE"""),"00001")</f>
        <v/>
      </c>
      <c r="E263">
        <f>IFERROR(__xludf.DUMMYFUNCTION("""COMPUTED_VALUE"""),"artwork_enhance_gom_00001")</f>
        <v/>
      </c>
      <c r="F263">
        <f>IFERROR(__xludf.DUMMYFUNCTION("""COMPUTED_VALUE"""),"artwork_enhance_gom_00001")</f>
        <v/>
      </c>
      <c r="G263">
        <f>IFERROR(__xludf.DUMMYFUNCTION("""COMPUTED_VALUE"""),"item_icon_artwork_enhance_gom_00001")</f>
        <v/>
      </c>
      <c r="H263">
        <f>IFERROR(__xludf.DUMMYFUNCTION("""COMPUTED_VALUE"""),"『姫様“拷問”の時間です』の表紙")</f>
        <v/>
      </c>
      <c r="I263">
        <f>IFERROR(__xludf.DUMMYFUNCTION("""COMPUTED_VALUE"""),"UR")</f>
        <v/>
      </c>
      <c r="J263">
        <f>IFERROR(__xludf.DUMMYFUNCTION("""COMPUTED_VALUE"""),9.99999999E8)</f>
        <v/>
      </c>
      <c r="K263">
        <f>IFERROR(__xludf.DUMMYFUNCTION("""COMPUTED_VALUE"""),9.99999999E8)</f>
        <v/>
      </c>
      <c r="L263">
        <f>IFERROR(__xludf.DUMMYFUNCTION("""COMPUTED_VALUE"""),"「姫様“拷問”の時間です」の原画のグレードアップに使用するアイテム")</f>
        <v/>
      </c>
      <c r="N263">
        <f>IFERROR(__xludf.DUMMYFUNCTION("""COMPUTED_VALUE"""),"2026-03-16 15:00:00")</f>
        <v/>
      </c>
    </row>
    <row r="264">
      <c r="A264">
        <f>IFERROR(__xludf.DUMMYFUNCTION("""COMPUTED_VALUE"""),"chi")</f>
        <v/>
      </c>
      <c r="B264">
        <f>IFERROR(__xludf.DUMMYFUNCTION("""COMPUTED_VALUE"""),"チェンソーマン")</f>
        <v/>
      </c>
      <c r="C264">
        <f>IFERROR(__xludf.DUMMYFUNCTION("""COMPUTED_VALUE"""),"artwork_enhance")</f>
        <v/>
      </c>
      <c r="D264">
        <f>IFERROR(__xludf.DUMMYFUNCTION("""COMPUTED_VALUE"""),"00001")</f>
        <v/>
      </c>
      <c r="E264">
        <f>IFERROR(__xludf.DUMMYFUNCTION("""COMPUTED_VALUE"""),"artwork_enhance_chi_00001")</f>
        <v/>
      </c>
      <c r="F264">
        <f>IFERROR(__xludf.DUMMYFUNCTION("""COMPUTED_VALUE"""),"artwork_enhance_chi_00001")</f>
        <v/>
      </c>
      <c r="G264">
        <f>IFERROR(__xludf.DUMMYFUNCTION("""COMPUTED_VALUE"""),"item_icon_artwork_enhance_chi_00001")</f>
        <v/>
      </c>
      <c r="H264">
        <f>IFERROR(__xludf.DUMMYFUNCTION("""COMPUTED_VALUE"""),"『チェンソーマン』の表紙")</f>
        <v/>
      </c>
      <c r="I264">
        <f>IFERROR(__xludf.DUMMYFUNCTION("""COMPUTED_VALUE"""),"UR")</f>
        <v/>
      </c>
      <c r="J264">
        <f>IFERROR(__xludf.DUMMYFUNCTION("""COMPUTED_VALUE"""),9.99999999E8)</f>
        <v/>
      </c>
      <c r="K264">
        <f>IFERROR(__xludf.DUMMYFUNCTION("""COMPUTED_VALUE"""),9.99999999E8)</f>
        <v/>
      </c>
      <c r="L264">
        <f>IFERROR(__xludf.DUMMYFUNCTION("""COMPUTED_VALUE"""),"「チェンソーマン」の原画のグレードアップに使用するアイテム")</f>
        <v/>
      </c>
      <c r="N264">
        <f>IFERROR(__xludf.DUMMYFUNCTION("""COMPUTED_VALUE"""),"2026-03-16 15:00:00")</f>
        <v/>
      </c>
    </row>
    <row r="265">
      <c r="A265">
        <f>IFERROR(__xludf.DUMMYFUNCTION("""COMPUTED_VALUE"""),"chi2")</f>
        <v/>
      </c>
      <c r="B265">
        <f>IFERROR(__xludf.DUMMYFUNCTION("""COMPUTED_VALUE"""),"チェンソーマン 第二部")</f>
        <v/>
      </c>
      <c r="C265">
        <f>IFERROR(__xludf.DUMMYFUNCTION("""COMPUTED_VALUE"""),"artwork_enhance")</f>
        <v/>
      </c>
      <c r="D265">
        <f>IFERROR(__xludf.DUMMYFUNCTION("""COMPUTED_VALUE"""),"00001")</f>
        <v/>
      </c>
      <c r="E265">
        <f>IFERROR(__xludf.DUMMYFUNCTION("""COMPUTED_VALUE"""),"artwork_enhance_chi2_00001")</f>
        <v/>
      </c>
      <c r="F265">
        <f>IFERROR(__xludf.DUMMYFUNCTION("""COMPUTED_VALUE"""),"artwork_enhance_chi2_00001")</f>
        <v/>
      </c>
      <c r="G265">
        <f>IFERROR(__xludf.DUMMYFUNCTION("""COMPUTED_VALUE"""),"item_icon_artwork_enhance_chi2_00001")</f>
        <v/>
      </c>
      <c r="H265">
        <f>IFERROR(__xludf.DUMMYFUNCTION("""COMPUTED_VALUE"""),"『チェンソーマン 第二部』の表紙")</f>
        <v/>
      </c>
      <c r="I265">
        <f>IFERROR(__xludf.DUMMYFUNCTION("""COMPUTED_VALUE"""),"UR")</f>
        <v/>
      </c>
      <c r="J265">
        <f>IFERROR(__xludf.DUMMYFUNCTION("""COMPUTED_VALUE"""),9.99999999E8)</f>
        <v/>
      </c>
      <c r="K265">
        <f>IFERROR(__xludf.DUMMYFUNCTION("""COMPUTED_VALUE"""),9.99999999E8)</f>
        <v/>
      </c>
      <c r="L265">
        <f>IFERROR(__xludf.DUMMYFUNCTION("""COMPUTED_VALUE"""),"「チェンソーマン 第二部」の原画のグレードアップに使用するアイテム")</f>
        <v/>
      </c>
      <c r="N265">
        <f>IFERROR(__xludf.DUMMYFUNCTION("""COMPUTED_VALUE"""),"2026-03-16 15:00:00")</f>
        <v/>
      </c>
    </row>
    <row r="266">
      <c r="A266">
        <f>IFERROR(__xludf.DUMMYFUNCTION("""COMPUTED_VALUE"""),"mag")</f>
        <v/>
      </c>
      <c r="B266">
        <f>IFERROR(__xludf.DUMMYFUNCTION("""COMPUTED_VALUE"""),"株式会社マジルミエ")</f>
        <v/>
      </c>
      <c r="C266">
        <f>IFERROR(__xludf.DUMMYFUNCTION("""COMPUTED_VALUE"""),"artwork_enhance")</f>
        <v/>
      </c>
      <c r="D266">
        <f>IFERROR(__xludf.DUMMYFUNCTION("""COMPUTED_VALUE"""),"00001")</f>
        <v/>
      </c>
      <c r="E266">
        <f>IFERROR(__xludf.DUMMYFUNCTION("""COMPUTED_VALUE"""),"artwork_enhance_mag_00001")</f>
        <v/>
      </c>
      <c r="F266">
        <f>IFERROR(__xludf.DUMMYFUNCTION("""COMPUTED_VALUE"""),"artwork_enhance_mag_00001")</f>
        <v/>
      </c>
      <c r="G266">
        <f>IFERROR(__xludf.DUMMYFUNCTION("""COMPUTED_VALUE"""),"item_icon_artwork_enhance_mag_00001")</f>
        <v/>
      </c>
      <c r="H266">
        <f>IFERROR(__xludf.DUMMYFUNCTION("""COMPUTED_VALUE"""),"『株式会社マジルミエ』の表紙")</f>
        <v/>
      </c>
      <c r="I266">
        <f>IFERROR(__xludf.DUMMYFUNCTION("""COMPUTED_VALUE"""),"UR")</f>
        <v/>
      </c>
      <c r="J266">
        <f>IFERROR(__xludf.DUMMYFUNCTION("""COMPUTED_VALUE"""),9.99999999E8)</f>
        <v/>
      </c>
      <c r="K266">
        <f>IFERROR(__xludf.DUMMYFUNCTION("""COMPUTED_VALUE"""),9.99999999E8)</f>
        <v/>
      </c>
      <c r="L266">
        <f>IFERROR(__xludf.DUMMYFUNCTION("""COMPUTED_VALUE"""),"「株式会社マジルミエ」の原画のグレードアップに使用するアイテム")</f>
        <v/>
      </c>
      <c r="N266">
        <f>IFERROR(__xludf.DUMMYFUNCTION("""COMPUTED_VALUE"""),"2026-03-16 15:00:00")</f>
        <v/>
      </c>
    </row>
    <row r="267">
      <c r="A267">
        <f>IFERROR(__xludf.DUMMYFUNCTION("""COMPUTED_VALUE"""),"dos")</f>
        <v/>
      </c>
      <c r="B267">
        <f>IFERROR(__xludf.DUMMYFUNCTION("""COMPUTED_VALUE"""),"道産子ギャルはなまらめんこい")</f>
        <v/>
      </c>
      <c r="C267">
        <f>IFERROR(__xludf.DUMMYFUNCTION("""COMPUTED_VALUE"""),"artwork_enhance")</f>
        <v/>
      </c>
      <c r="D267">
        <f>IFERROR(__xludf.DUMMYFUNCTION("""COMPUTED_VALUE"""),"00001")</f>
        <v/>
      </c>
      <c r="E267">
        <f>IFERROR(__xludf.DUMMYFUNCTION("""COMPUTED_VALUE"""),"artwork_enhance_dos_00001")</f>
        <v/>
      </c>
      <c r="F267">
        <f>IFERROR(__xludf.DUMMYFUNCTION("""COMPUTED_VALUE"""),"artwork_enhance_dos_00001")</f>
        <v/>
      </c>
      <c r="G267">
        <f>IFERROR(__xludf.DUMMYFUNCTION("""COMPUTED_VALUE"""),"item_icon_artwork_enhance_dos_00001")</f>
        <v/>
      </c>
      <c r="H267">
        <f>IFERROR(__xludf.DUMMYFUNCTION("""COMPUTED_VALUE"""),"『道産子ギャルはなまらめんこい』の表紙")</f>
        <v/>
      </c>
      <c r="I267">
        <f>IFERROR(__xludf.DUMMYFUNCTION("""COMPUTED_VALUE"""),"UR")</f>
        <v/>
      </c>
      <c r="J267">
        <f>IFERROR(__xludf.DUMMYFUNCTION("""COMPUTED_VALUE"""),9.99999999E8)</f>
        <v/>
      </c>
      <c r="K267">
        <f>IFERROR(__xludf.DUMMYFUNCTION("""COMPUTED_VALUE"""),9.99999999E8)</f>
        <v/>
      </c>
      <c r="L267">
        <f>IFERROR(__xludf.DUMMYFUNCTION("""COMPUTED_VALUE"""),"「道産子ギャルはなまらめんこい」の原画のグレードアップに使用するアイテム")</f>
        <v/>
      </c>
      <c r="N267">
        <f>IFERROR(__xludf.DUMMYFUNCTION("""COMPUTED_VALUE"""),"2026-03-16 15:00:00")</f>
        <v/>
      </c>
    </row>
    <row r="268">
      <c r="A268">
        <f>IFERROR(__xludf.DUMMYFUNCTION("""COMPUTED_VALUE"""),"bat")</f>
        <v/>
      </c>
      <c r="B268">
        <f>IFERROR(__xludf.DUMMYFUNCTION("""COMPUTED_VALUE"""),"忘却バッテリー")</f>
        <v/>
      </c>
      <c r="C268">
        <f>IFERROR(__xludf.DUMMYFUNCTION("""COMPUTED_VALUE"""),"artwork_enhance")</f>
        <v/>
      </c>
      <c r="D268">
        <f>IFERROR(__xludf.DUMMYFUNCTION("""COMPUTED_VALUE"""),"00001")</f>
        <v/>
      </c>
      <c r="E268">
        <f>IFERROR(__xludf.DUMMYFUNCTION("""COMPUTED_VALUE"""),"artwork_enhance_bat_00001")</f>
        <v/>
      </c>
      <c r="F268">
        <f>IFERROR(__xludf.DUMMYFUNCTION("""COMPUTED_VALUE"""),"artwork_enhance_bat_00001")</f>
        <v/>
      </c>
      <c r="G268">
        <f>IFERROR(__xludf.DUMMYFUNCTION("""COMPUTED_VALUE"""),"item_icon_artwork_enhance_bat_00001")</f>
        <v/>
      </c>
      <c r="H268">
        <f>IFERROR(__xludf.DUMMYFUNCTION("""COMPUTED_VALUE"""),"『忘却バッテリー』の表紙")</f>
        <v/>
      </c>
      <c r="I268">
        <f>IFERROR(__xludf.DUMMYFUNCTION("""COMPUTED_VALUE"""),"UR")</f>
        <v/>
      </c>
      <c r="J268">
        <f>IFERROR(__xludf.DUMMYFUNCTION("""COMPUTED_VALUE"""),9.99999999E8)</f>
        <v/>
      </c>
      <c r="K268">
        <f>IFERROR(__xludf.DUMMYFUNCTION("""COMPUTED_VALUE"""),9.99999999E8)</f>
        <v/>
      </c>
      <c r="L268">
        <f>IFERROR(__xludf.DUMMYFUNCTION("""COMPUTED_VALUE"""),"「忘却バッテリー」の原画のグレードアップに使用するアイテム")</f>
        <v/>
      </c>
      <c r="N268">
        <f>IFERROR(__xludf.DUMMYFUNCTION("""COMPUTED_VALUE"""),"2026-03-16 15:00:00")</f>
        <v/>
      </c>
    </row>
    <row r="269">
      <c r="A269">
        <f>IFERROR(__xludf.DUMMYFUNCTION("""COMPUTED_VALUE"""),"kai")</f>
        <v/>
      </c>
      <c r="B269">
        <f>IFERROR(__xludf.DUMMYFUNCTION("""COMPUTED_VALUE"""),"怪獣８号")</f>
        <v/>
      </c>
      <c r="C269">
        <f>IFERROR(__xludf.DUMMYFUNCTION("""COMPUTED_VALUE"""),"artwork_enhance")</f>
        <v/>
      </c>
      <c r="D269">
        <f>IFERROR(__xludf.DUMMYFUNCTION("""COMPUTED_VALUE"""),"00001")</f>
        <v/>
      </c>
      <c r="E269">
        <f>IFERROR(__xludf.DUMMYFUNCTION("""COMPUTED_VALUE"""),"artwork_enhance_kai_00001")</f>
        <v/>
      </c>
      <c r="F269">
        <f>IFERROR(__xludf.DUMMYFUNCTION("""COMPUTED_VALUE"""),"artwork_enhance_kai_00001")</f>
        <v/>
      </c>
      <c r="G269">
        <f>IFERROR(__xludf.DUMMYFUNCTION("""COMPUTED_VALUE"""),"item_icon_artwork_enhance_kai_00001")</f>
        <v/>
      </c>
      <c r="H269">
        <f>IFERROR(__xludf.DUMMYFUNCTION("""COMPUTED_VALUE"""),"『怪獣８号』の表紙")</f>
        <v/>
      </c>
      <c r="I269">
        <f>IFERROR(__xludf.DUMMYFUNCTION("""COMPUTED_VALUE"""),"UR")</f>
        <v/>
      </c>
      <c r="J269">
        <f>IFERROR(__xludf.DUMMYFUNCTION("""COMPUTED_VALUE"""),9.99999999E8)</f>
        <v/>
      </c>
      <c r="K269">
        <f>IFERROR(__xludf.DUMMYFUNCTION("""COMPUTED_VALUE"""),9.99999999E8)</f>
        <v/>
      </c>
      <c r="L269">
        <f>IFERROR(__xludf.DUMMYFUNCTION("""COMPUTED_VALUE"""),"「怪獣８号」の原画のグレードアップに使用するアイテム")</f>
        <v/>
      </c>
      <c r="N269">
        <f>IFERROR(__xludf.DUMMYFUNCTION("""COMPUTED_VALUE"""),"2026-03-16 15:00:00")</f>
        <v/>
      </c>
    </row>
    <row r="270">
      <c r="A270">
        <f>IFERROR(__xludf.DUMMYFUNCTION("""COMPUTED_VALUE"""),"yuw")</f>
        <v/>
      </c>
      <c r="B270">
        <f>IFERROR(__xludf.DUMMYFUNCTION("""COMPUTED_VALUE"""),"2.5次元の誘惑")</f>
        <v/>
      </c>
      <c r="C270">
        <f>IFERROR(__xludf.DUMMYFUNCTION("""COMPUTED_VALUE"""),"artwork_enhance")</f>
        <v/>
      </c>
      <c r="D270">
        <f>IFERROR(__xludf.DUMMYFUNCTION("""COMPUTED_VALUE"""),"00001")</f>
        <v/>
      </c>
      <c r="E270">
        <f>IFERROR(__xludf.DUMMYFUNCTION("""COMPUTED_VALUE"""),"artwork_enhance_yuw_00001")</f>
        <v/>
      </c>
      <c r="F270">
        <f>IFERROR(__xludf.DUMMYFUNCTION("""COMPUTED_VALUE"""),"artwork_enhance_yuw_00001")</f>
        <v/>
      </c>
      <c r="G270">
        <f>IFERROR(__xludf.DUMMYFUNCTION("""COMPUTED_VALUE"""),"item_icon_artwork_enhance_yuw_00001")</f>
        <v/>
      </c>
      <c r="H270">
        <f>IFERROR(__xludf.DUMMYFUNCTION("""COMPUTED_VALUE"""),"『2.5次元の誘惑』の表紙")</f>
        <v/>
      </c>
      <c r="I270">
        <f>IFERROR(__xludf.DUMMYFUNCTION("""COMPUTED_VALUE"""),"UR")</f>
        <v/>
      </c>
      <c r="J270">
        <f>IFERROR(__xludf.DUMMYFUNCTION("""COMPUTED_VALUE"""),9.99999999E8)</f>
        <v/>
      </c>
      <c r="K270">
        <f>IFERROR(__xludf.DUMMYFUNCTION("""COMPUTED_VALUE"""),9.99999999E8)</f>
        <v/>
      </c>
      <c r="L270">
        <f>IFERROR(__xludf.DUMMYFUNCTION("""COMPUTED_VALUE"""),"「2.5次元の誘惑」の原画のグレードアップに使用するアイテム")</f>
        <v/>
      </c>
      <c r="N270">
        <f>IFERROR(__xludf.DUMMYFUNCTION("""COMPUTED_VALUE"""),"2026-03-16 15:00:00")</f>
        <v/>
      </c>
    </row>
    <row r="271">
      <c r="A271">
        <f>IFERROR(__xludf.DUMMYFUNCTION("""COMPUTED_VALUE"""),"sur")</f>
        <v/>
      </c>
      <c r="B271">
        <f>IFERROR(__xludf.DUMMYFUNCTION("""COMPUTED_VALUE"""),"魔都精兵のスレイブ")</f>
        <v/>
      </c>
      <c r="C271">
        <f>IFERROR(__xludf.DUMMYFUNCTION("""COMPUTED_VALUE"""),"artwork_enhance")</f>
        <v/>
      </c>
      <c r="D271">
        <f>IFERROR(__xludf.DUMMYFUNCTION("""COMPUTED_VALUE"""),"00001")</f>
        <v/>
      </c>
      <c r="E271">
        <f>IFERROR(__xludf.DUMMYFUNCTION("""COMPUTED_VALUE"""),"artwork_enhance_sur_00001")</f>
        <v/>
      </c>
      <c r="F271">
        <f>IFERROR(__xludf.DUMMYFUNCTION("""COMPUTED_VALUE"""),"artwork_enhance_sur_00001")</f>
        <v/>
      </c>
      <c r="G271">
        <f>IFERROR(__xludf.DUMMYFUNCTION("""COMPUTED_VALUE"""),"item_icon_artwork_enhance_sur_00001")</f>
        <v/>
      </c>
      <c r="H271">
        <f>IFERROR(__xludf.DUMMYFUNCTION("""COMPUTED_VALUE"""),"『魔都精兵のスレイブ』の表紙")</f>
        <v/>
      </c>
      <c r="I271">
        <f>IFERROR(__xludf.DUMMYFUNCTION("""COMPUTED_VALUE"""),"UR")</f>
        <v/>
      </c>
      <c r="J271">
        <f>IFERROR(__xludf.DUMMYFUNCTION("""COMPUTED_VALUE"""),9.99999999E8)</f>
        <v/>
      </c>
      <c r="K271">
        <f>IFERROR(__xludf.DUMMYFUNCTION("""COMPUTED_VALUE"""),9.99999999E8)</f>
        <v/>
      </c>
      <c r="L271">
        <f>IFERROR(__xludf.DUMMYFUNCTION("""COMPUTED_VALUE"""),"「魔都精兵のスレイブ」の原画のグレードアップに使用するアイテム")</f>
        <v/>
      </c>
      <c r="N271">
        <f>IFERROR(__xludf.DUMMYFUNCTION("""COMPUTED_VALUE"""),"2026-03-16 15:00:00")</f>
        <v/>
      </c>
    </row>
    <row r="272">
      <c r="A272">
        <f>IFERROR(__xludf.DUMMYFUNCTION("""COMPUTED_VALUE"""),"ron")</f>
        <v/>
      </c>
      <c r="B272">
        <f>IFERROR(__xludf.DUMMYFUNCTION("""COMPUTED_VALUE"""),"鴨乃橋ロンの禁断推理")</f>
        <v/>
      </c>
      <c r="C272">
        <f>IFERROR(__xludf.DUMMYFUNCTION("""COMPUTED_VALUE"""),"artwork_enhance")</f>
        <v/>
      </c>
      <c r="D272">
        <f>IFERROR(__xludf.DUMMYFUNCTION("""COMPUTED_VALUE"""),"00001")</f>
        <v/>
      </c>
      <c r="E272">
        <f>IFERROR(__xludf.DUMMYFUNCTION("""COMPUTED_VALUE"""),"artwork_enhance_ron_00001")</f>
        <v/>
      </c>
      <c r="F272">
        <f>IFERROR(__xludf.DUMMYFUNCTION("""COMPUTED_VALUE"""),"artwork_enhance_ron_00001")</f>
        <v/>
      </c>
      <c r="G272">
        <f>IFERROR(__xludf.DUMMYFUNCTION("""COMPUTED_VALUE"""),"item_icon_artwork_enhance_ron_00001")</f>
        <v/>
      </c>
      <c r="H272">
        <f>IFERROR(__xludf.DUMMYFUNCTION("""COMPUTED_VALUE"""),"『鴨乃橋ロンの禁断推理』の表紙")</f>
        <v/>
      </c>
      <c r="I272">
        <f>IFERROR(__xludf.DUMMYFUNCTION("""COMPUTED_VALUE"""),"UR")</f>
        <v/>
      </c>
      <c r="J272">
        <f>IFERROR(__xludf.DUMMYFUNCTION("""COMPUTED_VALUE"""),9.99999999E8)</f>
        <v/>
      </c>
      <c r="K272">
        <f>IFERROR(__xludf.DUMMYFUNCTION("""COMPUTED_VALUE"""),9.99999999E8)</f>
        <v/>
      </c>
      <c r="L272">
        <f>IFERROR(__xludf.DUMMYFUNCTION("""COMPUTED_VALUE"""),"「鴨乃橋ロンの禁断推理」の原画のグレードアップに使用するアイテム")</f>
        <v/>
      </c>
      <c r="N272">
        <f>IFERROR(__xludf.DUMMYFUNCTION("""COMPUTED_VALUE"""),"2026-03-16 15:00:00")</f>
        <v/>
      </c>
    </row>
    <row r="273">
      <c r="A273">
        <f>IFERROR(__xludf.DUMMYFUNCTION("""COMPUTED_VALUE"""),"aha")</f>
        <v/>
      </c>
      <c r="B273">
        <f>IFERROR(__xludf.DUMMYFUNCTION("""COMPUTED_VALUE"""),"阿波連さんははかれない")</f>
        <v/>
      </c>
      <c r="C273">
        <f>IFERROR(__xludf.DUMMYFUNCTION("""COMPUTED_VALUE"""),"artwork_enhance")</f>
        <v/>
      </c>
      <c r="D273">
        <f>IFERROR(__xludf.DUMMYFUNCTION("""COMPUTED_VALUE"""),"00001")</f>
        <v/>
      </c>
      <c r="E273">
        <f>IFERROR(__xludf.DUMMYFUNCTION("""COMPUTED_VALUE"""),"artwork_enhance_aha_00001")</f>
        <v/>
      </c>
      <c r="F273">
        <f>IFERROR(__xludf.DUMMYFUNCTION("""COMPUTED_VALUE"""),"artwork_enhance_aha_00001")</f>
        <v/>
      </c>
      <c r="G273">
        <f>IFERROR(__xludf.DUMMYFUNCTION("""COMPUTED_VALUE"""),"item_icon_artwork_enhance_aha_00001")</f>
        <v/>
      </c>
      <c r="H273">
        <f>IFERROR(__xludf.DUMMYFUNCTION("""COMPUTED_VALUE"""),"『阿波連さんははかれない』の表紙")</f>
        <v/>
      </c>
      <c r="I273">
        <f>IFERROR(__xludf.DUMMYFUNCTION("""COMPUTED_VALUE"""),"UR")</f>
        <v/>
      </c>
      <c r="J273">
        <f>IFERROR(__xludf.DUMMYFUNCTION("""COMPUTED_VALUE"""),9.99999999E8)</f>
        <v/>
      </c>
      <c r="K273">
        <f>IFERROR(__xludf.DUMMYFUNCTION("""COMPUTED_VALUE"""),9.99999999E8)</f>
        <v/>
      </c>
      <c r="L273">
        <f>IFERROR(__xludf.DUMMYFUNCTION("""COMPUTED_VALUE"""),"「阿波連さんははかれない」の原画のグレードアップに使用するアイテム")</f>
        <v/>
      </c>
      <c r="N273">
        <f>IFERROR(__xludf.DUMMYFUNCTION("""COMPUTED_VALUE"""),"2026-03-16 15:00:00")</f>
        <v/>
      </c>
    </row>
    <row r="274">
      <c r="A274">
        <f>IFERROR(__xludf.DUMMYFUNCTION("""COMPUTED_VALUE"""),"sum")</f>
        <v/>
      </c>
      <c r="B274">
        <f>IFERROR(__xludf.DUMMYFUNCTION("""COMPUTED_VALUE"""),"サマータイムレンダ")</f>
        <v/>
      </c>
      <c r="C274">
        <f>IFERROR(__xludf.DUMMYFUNCTION("""COMPUTED_VALUE"""),"artwork_enhance")</f>
        <v/>
      </c>
      <c r="D274">
        <f>IFERROR(__xludf.DUMMYFUNCTION("""COMPUTED_VALUE"""),"00001")</f>
        <v/>
      </c>
      <c r="E274">
        <f>IFERROR(__xludf.DUMMYFUNCTION("""COMPUTED_VALUE"""),"artwork_enhance_sum_00001")</f>
        <v/>
      </c>
      <c r="F274">
        <f>IFERROR(__xludf.DUMMYFUNCTION("""COMPUTED_VALUE"""),"artwork_enhance_sum_00001")</f>
        <v/>
      </c>
      <c r="G274">
        <f>IFERROR(__xludf.DUMMYFUNCTION("""COMPUTED_VALUE"""),"item_icon_artwork_enhance_sum_00001")</f>
        <v/>
      </c>
      <c r="H274">
        <f>IFERROR(__xludf.DUMMYFUNCTION("""COMPUTED_VALUE"""),"『サマータイムレンダ』の表紙")</f>
        <v/>
      </c>
      <c r="I274">
        <f>IFERROR(__xludf.DUMMYFUNCTION("""COMPUTED_VALUE"""),"UR")</f>
        <v/>
      </c>
      <c r="J274">
        <f>IFERROR(__xludf.DUMMYFUNCTION("""COMPUTED_VALUE"""),9.99999999E8)</f>
        <v/>
      </c>
      <c r="K274">
        <f>IFERROR(__xludf.DUMMYFUNCTION("""COMPUTED_VALUE"""),9.99999999E8)</f>
        <v/>
      </c>
      <c r="L274">
        <f>IFERROR(__xludf.DUMMYFUNCTION("""COMPUTED_VALUE"""),"「サマータイムレンダ」の原画のグレードアップに使用するアイテム")</f>
        <v/>
      </c>
      <c r="N274">
        <f>IFERROR(__xludf.DUMMYFUNCTION("""COMPUTED_VALUE"""),"2026-03-16 15:00:00")</f>
        <v/>
      </c>
    </row>
    <row r="275">
      <c r="A275">
        <f>IFERROR(__xludf.DUMMYFUNCTION("""COMPUTED_VALUE"""),"jig")</f>
        <v/>
      </c>
      <c r="B275">
        <f>IFERROR(__xludf.DUMMYFUNCTION("""COMPUTED_VALUE"""),"地獄楽")</f>
        <v/>
      </c>
      <c r="C275">
        <f>IFERROR(__xludf.DUMMYFUNCTION("""COMPUTED_VALUE"""),"artwork_enhance")</f>
        <v/>
      </c>
      <c r="D275">
        <f>IFERROR(__xludf.DUMMYFUNCTION("""COMPUTED_VALUE"""),"00001")</f>
        <v/>
      </c>
      <c r="E275">
        <f>IFERROR(__xludf.DUMMYFUNCTION("""COMPUTED_VALUE"""),"artwork_enhance_jig_00001")</f>
        <v/>
      </c>
      <c r="F275">
        <f>IFERROR(__xludf.DUMMYFUNCTION("""COMPUTED_VALUE"""),"artwork_enhance_jig_00001")</f>
        <v/>
      </c>
      <c r="G275">
        <f>IFERROR(__xludf.DUMMYFUNCTION("""COMPUTED_VALUE"""),"item_icon_artwork_enhance_jig_00001")</f>
        <v/>
      </c>
      <c r="H275">
        <f>IFERROR(__xludf.DUMMYFUNCTION("""COMPUTED_VALUE"""),"『地獄楽』の表紙")</f>
        <v/>
      </c>
      <c r="I275">
        <f>IFERROR(__xludf.DUMMYFUNCTION("""COMPUTED_VALUE"""),"UR")</f>
        <v/>
      </c>
      <c r="J275">
        <f>IFERROR(__xludf.DUMMYFUNCTION("""COMPUTED_VALUE"""),9.99999999E8)</f>
        <v/>
      </c>
      <c r="K275">
        <f>IFERROR(__xludf.DUMMYFUNCTION("""COMPUTED_VALUE"""),9.99999999E8)</f>
        <v/>
      </c>
      <c r="L275">
        <f>IFERROR(__xludf.DUMMYFUNCTION("""COMPUTED_VALUE"""),"「地獄楽」の原画のグレードアップに使用するアイテム")</f>
        <v/>
      </c>
      <c r="N275">
        <f>IFERROR(__xludf.DUMMYFUNCTION("""COMPUTED_VALUE"""),"2026-03-16 15:00:00")</f>
        <v/>
      </c>
    </row>
    <row r="276">
      <c r="A276">
        <f>IFERROR(__xludf.DUMMYFUNCTION("""COMPUTED_VALUE"""),"tak")</f>
        <v/>
      </c>
      <c r="B276">
        <f>IFERROR(__xludf.DUMMYFUNCTION("""COMPUTED_VALUE"""),"タコピーの原罪")</f>
        <v/>
      </c>
      <c r="C276">
        <f>IFERROR(__xludf.DUMMYFUNCTION("""COMPUTED_VALUE"""),"artwork_enhance")</f>
        <v/>
      </c>
      <c r="D276">
        <f>IFERROR(__xludf.DUMMYFUNCTION("""COMPUTED_VALUE"""),"00001")</f>
        <v/>
      </c>
      <c r="E276">
        <f>IFERROR(__xludf.DUMMYFUNCTION("""COMPUTED_VALUE"""),"artwork_enhance_tak_00001")</f>
        <v/>
      </c>
      <c r="F276">
        <f>IFERROR(__xludf.DUMMYFUNCTION("""COMPUTED_VALUE"""),"artwork_enhance_tak_00001")</f>
        <v/>
      </c>
      <c r="G276">
        <f>IFERROR(__xludf.DUMMYFUNCTION("""COMPUTED_VALUE"""),"item_icon_artwork_enhance_tak_00001")</f>
        <v/>
      </c>
      <c r="H276">
        <f>IFERROR(__xludf.DUMMYFUNCTION("""COMPUTED_VALUE"""),"『タコピーの原罪』の表紙")</f>
        <v/>
      </c>
      <c r="I276">
        <f>IFERROR(__xludf.DUMMYFUNCTION("""COMPUTED_VALUE"""),"UR")</f>
        <v/>
      </c>
      <c r="J276">
        <f>IFERROR(__xludf.DUMMYFUNCTION("""COMPUTED_VALUE"""),9.99999999E8)</f>
        <v/>
      </c>
      <c r="K276">
        <f>IFERROR(__xludf.DUMMYFUNCTION("""COMPUTED_VALUE"""),9.99999999E8)</f>
        <v/>
      </c>
      <c r="L276">
        <f>IFERROR(__xludf.DUMMYFUNCTION("""COMPUTED_VALUE"""),"「タコピーの原罪」の原画のグレードアップに使用するアイテム")</f>
        <v/>
      </c>
      <c r="N276">
        <f>IFERROR(__xludf.DUMMYFUNCTION("""COMPUTED_VALUE"""),"2026-03-16 15:00:00")</f>
        <v/>
      </c>
    </row>
    <row r="277">
      <c r="A277">
        <f>IFERROR(__xludf.DUMMYFUNCTION("""COMPUTED_VALUE"""),"osh")</f>
        <v/>
      </c>
      <c r="B277">
        <f>IFERROR(__xludf.DUMMYFUNCTION("""COMPUTED_VALUE"""),"【推しの子】")</f>
        <v/>
      </c>
      <c r="C277">
        <f>IFERROR(__xludf.DUMMYFUNCTION("""COMPUTED_VALUE"""),"artwork_enhance")</f>
        <v/>
      </c>
      <c r="D277">
        <f>IFERROR(__xludf.DUMMYFUNCTION("""COMPUTED_VALUE"""),"00001")</f>
        <v/>
      </c>
      <c r="E277">
        <f>IFERROR(__xludf.DUMMYFUNCTION("""COMPUTED_VALUE"""),"artwork_enhance_osh_00001")</f>
        <v/>
      </c>
      <c r="F277">
        <f>IFERROR(__xludf.DUMMYFUNCTION("""COMPUTED_VALUE"""),"artwork_enhance_osh_00001")</f>
        <v/>
      </c>
      <c r="G277">
        <f>IFERROR(__xludf.DUMMYFUNCTION("""COMPUTED_VALUE"""),"item_icon_artwork_enhance_osh_00001")</f>
        <v/>
      </c>
      <c r="H277">
        <f>IFERROR(__xludf.DUMMYFUNCTION("""COMPUTED_VALUE"""),"『【推しの子】』の表紙")</f>
        <v/>
      </c>
      <c r="I277">
        <f>IFERROR(__xludf.DUMMYFUNCTION("""COMPUTED_VALUE"""),"UR")</f>
        <v/>
      </c>
      <c r="J277">
        <f>IFERROR(__xludf.DUMMYFUNCTION("""COMPUTED_VALUE"""),9.99999999E8)</f>
        <v/>
      </c>
      <c r="K277">
        <f>IFERROR(__xludf.DUMMYFUNCTION("""COMPUTED_VALUE"""),9.99999999E8)</f>
        <v/>
      </c>
      <c r="L277">
        <f>IFERROR(__xludf.DUMMYFUNCTION("""COMPUTED_VALUE"""),"「【推しの子】」の原画のグレードアップに使用するアイテム")</f>
        <v/>
      </c>
      <c r="N277">
        <f>IFERROR(__xludf.DUMMYFUNCTION("""COMPUTED_VALUE"""),"2026-03-16 15:00:00")</f>
        <v/>
      </c>
    </row>
    <row r="278">
      <c r="A278">
        <f>IFERROR(__xludf.DUMMYFUNCTION("""COMPUTED_VALUE"""),"you")</f>
        <v/>
      </c>
      <c r="B278">
        <f>IFERROR(__xludf.DUMMYFUNCTION("""COMPUTED_VALUE"""),"幼稚園WARS")</f>
        <v/>
      </c>
      <c r="C278">
        <f>IFERROR(__xludf.DUMMYFUNCTION("""COMPUTED_VALUE"""),"artwork_enhance")</f>
        <v/>
      </c>
      <c r="D278">
        <f>IFERROR(__xludf.DUMMYFUNCTION("""COMPUTED_VALUE"""),"00001")</f>
        <v/>
      </c>
      <c r="E278">
        <f>IFERROR(__xludf.DUMMYFUNCTION("""COMPUTED_VALUE"""),"artwork_enhance_you_00001")</f>
        <v/>
      </c>
      <c r="F278">
        <f>IFERROR(__xludf.DUMMYFUNCTION("""COMPUTED_VALUE"""),"artwork_enhance_you_00001")</f>
        <v/>
      </c>
      <c r="G278">
        <f>IFERROR(__xludf.DUMMYFUNCTION("""COMPUTED_VALUE"""),"item_icon_artwork_enhance_you_00001")</f>
        <v/>
      </c>
      <c r="H278">
        <f>IFERROR(__xludf.DUMMYFUNCTION("""COMPUTED_VALUE"""),"『幼稚園WARS』の表紙")</f>
        <v/>
      </c>
      <c r="I278">
        <f>IFERROR(__xludf.DUMMYFUNCTION("""COMPUTED_VALUE"""),"UR")</f>
        <v/>
      </c>
      <c r="J278">
        <f>IFERROR(__xludf.DUMMYFUNCTION("""COMPUTED_VALUE"""),9.99999999E8)</f>
        <v/>
      </c>
      <c r="K278">
        <f>IFERROR(__xludf.DUMMYFUNCTION("""COMPUTED_VALUE"""),9.99999999E8)</f>
        <v/>
      </c>
      <c r="L278">
        <f>IFERROR(__xludf.DUMMYFUNCTION("""COMPUTED_VALUE"""),"「幼稚園WARS」の原画のグレードアップに使用するアイテム")</f>
        <v/>
      </c>
      <c r="N278">
        <f>IFERROR(__xludf.DUMMYFUNCTION("""COMPUTED_VALUE"""),"2026-03-16 15:00:00")</f>
        <v/>
      </c>
    </row>
    <row r="279">
      <c r="A279">
        <f>IFERROR(__xludf.DUMMYFUNCTION("""COMPUTED_VALUE"""),"kim")</f>
        <v/>
      </c>
      <c r="B279">
        <f>IFERROR(__xludf.DUMMYFUNCTION("""COMPUTED_VALUE"""),"君のことが大大大大大好きな100人の彼女")</f>
        <v/>
      </c>
      <c r="C279">
        <f>IFERROR(__xludf.DUMMYFUNCTION("""COMPUTED_VALUE"""),"artwork_enhance")</f>
        <v/>
      </c>
      <c r="D279">
        <f>IFERROR(__xludf.DUMMYFUNCTION("""COMPUTED_VALUE"""),"00001")</f>
        <v/>
      </c>
      <c r="E279">
        <f>IFERROR(__xludf.DUMMYFUNCTION("""COMPUTED_VALUE"""),"artwork_enhance_kim_00001")</f>
        <v/>
      </c>
      <c r="F279">
        <f>IFERROR(__xludf.DUMMYFUNCTION("""COMPUTED_VALUE"""),"artwork_enhance_kim_00001")</f>
        <v/>
      </c>
      <c r="G279">
        <f>IFERROR(__xludf.DUMMYFUNCTION("""COMPUTED_VALUE"""),"item_icon_artwork_enhance_kim_00001")</f>
        <v/>
      </c>
      <c r="H279">
        <f>IFERROR(__xludf.DUMMYFUNCTION("""COMPUTED_VALUE"""),"『君のことが大大大大大好きな100人の彼女』の表紙")</f>
        <v/>
      </c>
      <c r="I279">
        <f>IFERROR(__xludf.DUMMYFUNCTION("""COMPUTED_VALUE"""),"UR")</f>
        <v/>
      </c>
      <c r="J279">
        <f>IFERROR(__xludf.DUMMYFUNCTION("""COMPUTED_VALUE"""),9.99999999E8)</f>
        <v/>
      </c>
      <c r="K279">
        <f>IFERROR(__xludf.DUMMYFUNCTION("""COMPUTED_VALUE"""),9.99999999E8)</f>
        <v/>
      </c>
      <c r="L279">
        <f>IFERROR(__xludf.DUMMYFUNCTION("""COMPUTED_VALUE"""),"「君のことが大大大大大好きな100人の彼女」の原画のグレードアップに使用するアイテム")</f>
        <v/>
      </c>
      <c r="N279">
        <f>IFERROR(__xludf.DUMMYFUNCTION("""COMPUTED_VALUE"""),"2026-03-16 15:00:00")</f>
        <v/>
      </c>
    </row>
    <row r="280">
      <c r="A280">
        <f>IFERROR(__xludf.DUMMYFUNCTION("""COMPUTED_VALUE"""),"hut")</f>
        <v/>
      </c>
      <c r="B280">
        <f>IFERROR(__xludf.DUMMYFUNCTION("""COMPUTED_VALUE"""),"ふつうの軽音部")</f>
        <v/>
      </c>
      <c r="C280">
        <f>IFERROR(__xludf.DUMMYFUNCTION("""COMPUTED_VALUE"""),"artwork_enhance")</f>
        <v/>
      </c>
      <c r="D280">
        <f>IFERROR(__xludf.DUMMYFUNCTION("""COMPUTED_VALUE"""),"00001")</f>
        <v/>
      </c>
      <c r="E280">
        <f>IFERROR(__xludf.DUMMYFUNCTION("""COMPUTED_VALUE"""),"artwork_enhance_hut_00001")</f>
        <v/>
      </c>
      <c r="F280">
        <f>IFERROR(__xludf.DUMMYFUNCTION("""COMPUTED_VALUE"""),"artwork_enhance_hut_00001")</f>
        <v/>
      </c>
      <c r="G280">
        <f>IFERROR(__xludf.DUMMYFUNCTION("""COMPUTED_VALUE"""),"item_icon_artwork_enhance_hut_00001")</f>
        <v/>
      </c>
      <c r="H280">
        <f>IFERROR(__xludf.DUMMYFUNCTION("""COMPUTED_VALUE"""),"『ふつうの軽音部』の表紙")</f>
        <v/>
      </c>
      <c r="I280">
        <f>IFERROR(__xludf.DUMMYFUNCTION("""COMPUTED_VALUE"""),"UR")</f>
        <v/>
      </c>
      <c r="J280">
        <f>IFERROR(__xludf.DUMMYFUNCTION("""COMPUTED_VALUE"""),9.99999999E8)</f>
        <v/>
      </c>
      <c r="K280">
        <f>IFERROR(__xludf.DUMMYFUNCTION("""COMPUTED_VALUE"""),9.99999999E8)</f>
        <v/>
      </c>
      <c r="L280">
        <f>IFERROR(__xludf.DUMMYFUNCTION("""COMPUTED_VALUE"""),"「ふつうの軽音部」の原画のグレードアップに使用するアイテム")</f>
        <v/>
      </c>
      <c r="N280">
        <f>IFERROR(__xludf.DUMMYFUNCTION("""COMPUTED_VALUE"""),"2026-03-16 15:00:00")</f>
        <v/>
      </c>
    </row>
    <row r="281">
      <c r="A281">
        <f>IFERROR(__xludf.DUMMYFUNCTION("""COMPUTED_VALUE"""),"rur")</f>
        <v/>
      </c>
      <c r="B281">
        <f>IFERROR(__xludf.DUMMYFUNCTION("""COMPUTED_VALUE"""),"ルリドラゴン")</f>
        <v/>
      </c>
      <c r="C281">
        <f>IFERROR(__xludf.DUMMYFUNCTION("""COMPUTED_VALUE"""),"artwork_enhance")</f>
        <v/>
      </c>
      <c r="D281">
        <f>IFERROR(__xludf.DUMMYFUNCTION("""COMPUTED_VALUE"""),"00001")</f>
        <v/>
      </c>
      <c r="E281">
        <f>IFERROR(__xludf.DUMMYFUNCTION("""COMPUTED_VALUE"""),"artwork_enhance_rur_00001")</f>
        <v/>
      </c>
      <c r="F281">
        <f>IFERROR(__xludf.DUMMYFUNCTION("""COMPUTED_VALUE"""),"artwork_enhance_rur_00001")</f>
        <v/>
      </c>
      <c r="G281">
        <f>IFERROR(__xludf.DUMMYFUNCTION("""COMPUTED_VALUE"""),"item_icon_artwork_enhance_rur_00001")</f>
        <v/>
      </c>
      <c r="H281">
        <f>IFERROR(__xludf.DUMMYFUNCTION("""COMPUTED_VALUE"""),"『ルリドラゴン』の表紙")</f>
        <v/>
      </c>
      <c r="I281">
        <f>IFERROR(__xludf.DUMMYFUNCTION("""COMPUTED_VALUE"""),"UR")</f>
        <v/>
      </c>
      <c r="J281">
        <f>IFERROR(__xludf.DUMMYFUNCTION("""COMPUTED_VALUE"""),9.99999999E8)</f>
        <v/>
      </c>
      <c r="K281">
        <f>IFERROR(__xludf.DUMMYFUNCTION("""COMPUTED_VALUE"""),9.99999999E8)</f>
        <v/>
      </c>
      <c r="L281">
        <f>IFERROR(__xludf.DUMMYFUNCTION("""COMPUTED_VALUE"""),"「ルリドラゴン」の原画のグレードアップに使用するアイテム")</f>
        <v/>
      </c>
    </row>
    <row r="282">
      <c r="A282">
        <f>IFERROR(__xludf.DUMMYFUNCTION("""COMPUTED_VALUE"""),"hyp")</f>
        <v/>
      </c>
      <c r="B282">
        <f>IFERROR(__xludf.DUMMYFUNCTION("""COMPUTED_VALUE"""),"ハイパーインフレーション")</f>
        <v/>
      </c>
      <c r="C282">
        <f>IFERROR(__xludf.DUMMYFUNCTION("""COMPUTED_VALUE"""),"artwork_enhance")</f>
        <v/>
      </c>
      <c r="D282">
        <f>IFERROR(__xludf.DUMMYFUNCTION("""COMPUTED_VALUE"""),"00001")</f>
        <v/>
      </c>
      <c r="E282">
        <f>IFERROR(__xludf.DUMMYFUNCTION("""COMPUTED_VALUE"""),"artwork_enhance_hyp_00001")</f>
        <v/>
      </c>
      <c r="F282">
        <f>IFERROR(__xludf.DUMMYFUNCTION("""COMPUTED_VALUE"""),"artwork_enhance_hyp_00001")</f>
        <v/>
      </c>
      <c r="G282">
        <f>IFERROR(__xludf.DUMMYFUNCTION("""COMPUTED_VALUE"""),"item_icon_artwork_enhance_hyp_00001")</f>
        <v/>
      </c>
      <c r="H282">
        <f>IFERROR(__xludf.DUMMYFUNCTION("""COMPUTED_VALUE"""),"『ハイパーインフレーション』の表紙")</f>
        <v/>
      </c>
      <c r="I282">
        <f>IFERROR(__xludf.DUMMYFUNCTION("""COMPUTED_VALUE"""),"UR")</f>
        <v/>
      </c>
      <c r="J282">
        <f>IFERROR(__xludf.DUMMYFUNCTION("""COMPUTED_VALUE"""),9.99999999E8)</f>
        <v/>
      </c>
      <c r="K282">
        <f>IFERROR(__xludf.DUMMYFUNCTION("""COMPUTED_VALUE"""),9.99999999E8)</f>
        <v/>
      </c>
      <c r="L282">
        <f>IFERROR(__xludf.DUMMYFUNCTION("""COMPUTED_VALUE"""),"「ハイパーインフレーション」の原画のグレードアップに使用するアイテム")</f>
        <v/>
      </c>
      <c r="N282">
        <f>IFERROR(__xludf.DUMMYFUNCTION("""COMPUTED_VALUE"""),"2026-03-16 15:00:00")</f>
        <v/>
      </c>
    </row>
    <row r="283">
      <c r="A283">
        <f>IFERROR(__xludf.DUMMYFUNCTION("""COMPUTED_VALUE"""),"gam")</f>
        <v/>
      </c>
      <c r="B283">
        <f>IFERROR(__xludf.DUMMYFUNCTION("""COMPUTED_VALUE"""),"ゲーミングお嬢様")</f>
        <v/>
      </c>
      <c r="C283">
        <f>IFERROR(__xludf.DUMMYFUNCTION("""COMPUTED_VALUE"""),"artwork_enhance")</f>
        <v/>
      </c>
      <c r="D283">
        <f>IFERROR(__xludf.DUMMYFUNCTION("""COMPUTED_VALUE"""),"00001")</f>
        <v/>
      </c>
      <c r="E283">
        <f>IFERROR(__xludf.DUMMYFUNCTION("""COMPUTED_VALUE"""),"artwork_enhance_gam_00001")</f>
        <v/>
      </c>
      <c r="F283">
        <f>IFERROR(__xludf.DUMMYFUNCTION("""COMPUTED_VALUE"""),"artwork_enhance_gam_00001")</f>
        <v/>
      </c>
      <c r="G283">
        <f>IFERROR(__xludf.DUMMYFUNCTION("""COMPUTED_VALUE"""),"item_icon_artwork_enhance_gam_00001")</f>
        <v/>
      </c>
      <c r="H283">
        <f>IFERROR(__xludf.DUMMYFUNCTION("""COMPUTED_VALUE"""),"『ゲーミングお嬢様』の表紙")</f>
        <v/>
      </c>
      <c r="I283">
        <f>IFERROR(__xludf.DUMMYFUNCTION("""COMPUTED_VALUE"""),"UR")</f>
        <v/>
      </c>
      <c r="J283">
        <f>IFERROR(__xludf.DUMMYFUNCTION("""COMPUTED_VALUE"""),9.99999999E8)</f>
        <v/>
      </c>
      <c r="K283">
        <f>IFERROR(__xludf.DUMMYFUNCTION("""COMPUTED_VALUE"""),9.99999999E8)</f>
        <v/>
      </c>
      <c r="L283">
        <f>IFERROR(__xludf.DUMMYFUNCTION("""COMPUTED_VALUE"""),"「ゲーミングお嬢様」の原画のグレードアップに使用するアイテム")</f>
        <v/>
      </c>
      <c r="N283">
        <f>IFERROR(__xludf.DUMMYFUNCTION("""COMPUTED_VALUE"""),"2026-03-16 15:00:00")</f>
        <v/>
      </c>
    </row>
    <row r="284">
      <c r="A284">
        <f>IFERROR(__xludf.DUMMYFUNCTION("""COMPUTED_VALUE"""),"ara")</f>
        <v/>
      </c>
      <c r="B284">
        <f>IFERROR(__xludf.DUMMYFUNCTION("""COMPUTED_VALUE"""),"アラガネの子")</f>
        <v/>
      </c>
      <c r="C284">
        <f>IFERROR(__xludf.DUMMYFUNCTION("""COMPUTED_VALUE"""),"artwork_enhance")</f>
        <v/>
      </c>
      <c r="D284">
        <f>IFERROR(__xludf.DUMMYFUNCTION("""COMPUTED_VALUE"""),"00001")</f>
        <v/>
      </c>
      <c r="E284">
        <f>IFERROR(__xludf.DUMMYFUNCTION("""COMPUTED_VALUE"""),"artwork_enhance_ara_00001")</f>
        <v/>
      </c>
      <c r="F284">
        <f>IFERROR(__xludf.DUMMYFUNCTION("""COMPUTED_VALUE"""),"artwork_enhance_ara_00001")</f>
        <v/>
      </c>
      <c r="G284">
        <f>IFERROR(__xludf.DUMMYFUNCTION("""COMPUTED_VALUE"""),"item_icon_artwork_enhance_ara_00001")</f>
        <v/>
      </c>
      <c r="H284">
        <f>IFERROR(__xludf.DUMMYFUNCTION("""COMPUTED_VALUE"""),"『アラガネの子』の表紙")</f>
        <v/>
      </c>
      <c r="I284">
        <f>IFERROR(__xludf.DUMMYFUNCTION("""COMPUTED_VALUE"""),"UR")</f>
        <v/>
      </c>
      <c r="J284">
        <f>IFERROR(__xludf.DUMMYFUNCTION("""COMPUTED_VALUE"""),9.99999999E8)</f>
        <v/>
      </c>
      <c r="K284">
        <f>IFERROR(__xludf.DUMMYFUNCTION("""COMPUTED_VALUE"""),9.99999999E8)</f>
        <v/>
      </c>
      <c r="L284">
        <f>IFERROR(__xludf.DUMMYFUNCTION("""COMPUTED_VALUE"""),"「アラガネの子」の原画のグレードアップに使用するアイテム")</f>
        <v/>
      </c>
      <c r="N284">
        <f>IFERROR(__xludf.DUMMYFUNCTION("""COMPUTED_VALUE"""),"2026-03-16 15:00:00")</f>
        <v/>
      </c>
    </row>
    <row r="285">
      <c r="A285">
        <f>IFERROR(__xludf.DUMMYFUNCTION("""COMPUTED_VALUE"""),"aya")</f>
        <v/>
      </c>
      <c r="B285">
        <f>IFERROR(__xludf.DUMMYFUNCTION("""COMPUTED_VALUE"""),"あやかしトライアングル")</f>
        <v/>
      </c>
      <c r="C285">
        <f>IFERROR(__xludf.DUMMYFUNCTION("""COMPUTED_VALUE"""),"artwork_enhance")</f>
        <v/>
      </c>
      <c r="D285">
        <f>IFERROR(__xludf.DUMMYFUNCTION("""COMPUTED_VALUE"""),"00001")</f>
        <v/>
      </c>
      <c r="E285">
        <f>IFERROR(__xludf.DUMMYFUNCTION("""COMPUTED_VALUE"""),"artwork_enhance_aya_00001")</f>
        <v/>
      </c>
      <c r="F285">
        <f>IFERROR(__xludf.DUMMYFUNCTION("""COMPUTED_VALUE"""),"artwork_enhance_aya_00001")</f>
        <v/>
      </c>
      <c r="G285">
        <f>IFERROR(__xludf.DUMMYFUNCTION("""COMPUTED_VALUE"""),"item_icon_artwork_enhance_aya_00001")</f>
        <v/>
      </c>
      <c r="H285">
        <f>IFERROR(__xludf.DUMMYFUNCTION("""COMPUTED_VALUE"""),"『あやかしトライアングル』の表紙")</f>
        <v/>
      </c>
      <c r="I285">
        <f>IFERROR(__xludf.DUMMYFUNCTION("""COMPUTED_VALUE"""),"UR")</f>
        <v/>
      </c>
      <c r="J285">
        <f>IFERROR(__xludf.DUMMYFUNCTION("""COMPUTED_VALUE"""),9.99999999E8)</f>
        <v/>
      </c>
      <c r="K285">
        <f>IFERROR(__xludf.DUMMYFUNCTION("""COMPUTED_VALUE"""),9.99999999E8)</f>
        <v/>
      </c>
      <c r="L285">
        <f>IFERROR(__xludf.DUMMYFUNCTION("""COMPUTED_VALUE"""),"「あやかしトライアングル」の原画のグレードアップに使用するアイテム")</f>
        <v/>
      </c>
    </row>
    <row r="286">
      <c r="A286">
        <f>IFERROR(__xludf.DUMMYFUNCTION("""COMPUTED_VALUE"""),"mar")</f>
        <v/>
      </c>
      <c r="B286">
        <f>IFERROR(__xludf.DUMMYFUNCTION("""COMPUTED_VALUE"""),"マリッジトキシン")</f>
        <v/>
      </c>
      <c r="C286">
        <f>IFERROR(__xludf.DUMMYFUNCTION("""COMPUTED_VALUE"""),"artwork_enhance")</f>
        <v/>
      </c>
      <c r="D286">
        <f>IFERROR(__xludf.DUMMYFUNCTION("""COMPUTED_VALUE"""),"00001")</f>
        <v/>
      </c>
      <c r="E286">
        <f>IFERROR(__xludf.DUMMYFUNCTION("""COMPUTED_VALUE"""),"artwork_enhance_mar_00001")</f>
        <v/>
      </c>
      <c r="F286">
        <f>IFERROR(__xludf.DUMMYFUNCTION("""COMPUTED_VALUE"""),"artwork_enhance_mar_00001")</f>
        <v/>
      </c>
      <c r="G286">
        <f>IFERROR(__xludf.DUMMYFUNCTION("""COMPUTED_VALUE"""),"item_icon_artwork_enhance_mar_00001")</f>
        <v/>
      </c>
      <c r="H286">
        <f>IFERROR(__xludf.DUMMYFUNCTION("""COMPUTED_VALUE"""),"『マリッジトキシン』の表紙")</f>
        <v/>
      </c>
      <c r="I286">
        <f>IFERROR(__xludf.DUMMYFUNCTION("""COMPUTED_VALUE"""),"UR")</f>
        <v/>
      </c>
      <c r="J286">
        <f>IFERROR(__xludf.DUMMYFUNCTION("""COMPUTED_VALUE"""),9.99999999E8)</f>
        <v/>
      </c>
      <c r="K286">
        <f>IFERROR(__xludf.DUMMYFUNCTION("""COMPUTED_VALUE"""),9.99999999E8)</f>
        <v/>
      </c>
      <c r="L286">
        <f>IFERROR(__xludf.DUMMYFUNCTION("""COMPUTED_VALUE"""),"「マリッジトキシン」の原画のグレードアップに使用するアイテム")</f>
        <v/>
      </c>
    </row>
    <row r="287">
      <c r="A287">
        <f>IFERROR(__xludf.DUMMYFUNCTION("""COMPUTED_VALUE"""),"sib")</f>
        <v/>
      </c>
      <c r="B287">
        <f>IFERROR(__xludf.DUMMYFUNCTION("""COMPUTED_VALUE"""),"シバつき物件")</f>
        <v/>
      </c>
      <c r="C287">
        <f>IFERROR(__xludf.DUMMYFUNCTION("""COMPUTED_VALUE"""),"artwork_enhance")</f>
        <v/>
      </c>
      <c r="D287">
        <f>IFERROR(__xludf.DUMMYFUNCTION("""COMPUTED_VALUE"""),"00001")</f>
        <v/>
      </c>
      <c r="E287">
        <f>IFERROR(__xludf.DUMMYFUNCTION("""COMPUTED_VALUE"""),"artwork_enhance_sib_00001")</f>
        <v/>
      </c>
      <c r="F287">
        <f>IFERROR(__xludf.DUMMYFUNCTION("""COMPUTED_VALUE"""),"artwork_enhance_sib_00001")</f>
        <v/>
      </c>
      <c r="G287">
        <f>IFERROR(__xludf.DUMMYFUNCTION("""COMPUTED_VALUE"""),"item_icon_artwork_enhance_sib_00001")</f>
        <v/>
      </c>
      <c r="H287">
        <f>IFERROR(__xludf.DUMMYFUNCTION("""COMPUTED_VALUE"""),"『シバつき物件』の表紙")</f>
        <v/>
      </c>
      <c r="I287">
        <f>IFERROR(__xludf.DUMMYFUNCTION("""COMPUTED_VALUE"""),"UR")</f>
        <v/>
      </c>
      <c r="J287">
        <f>IFERROR(__xludf.DUMMYFUNCTION("""COMPUTED_VALUE"""),9.99999999E8)</f>
        <v/>
      </c>
      <c r="K287">
        <f>IFERROR(__xludf.DUMMYFUNCTION("""COMPUTED_VALUE"""),9.99999999E8)</f>
        <v/>
      </c>
      <c r="L287">
        <f>IFERROR(__xludf.DUMMYFUNCTION("""COMPUTED_VALUE"""),"「シバつき物件」の原画のグレードアップに使用するアイテム")</f>
        <v/>
      </c>
    </row>
    <row r="288">
      <c r="A288">
        <f>IFERROR(__xludf.DUMMYFUNCTION("""COMPUTED_VALUE"""),"nek")</f>
        <v/>
      </c>
      <c r="B288">
        <f>IFERROR(__xludf.DUMMYFUNCTION("""COMPUTED_VALUE"""),"猫田びより")</f>
        <v/>
      </c>
      <c r="C288">
        <f>IFERROR(__xludf.DUMMYFUNCTION("""COMPUTED_VALUE"""),"artwork_enhance")</f>
        <v/>
      </c>
      <c r="D288">
        <f>IFERROR(__xludf.DUMMYFUNCTION("""COMPUTED_VALUE"""),"00001")</f>
        <v/>
      </c>
      <c r="E288">
        <f>IFERROR(__xludf.DUMMYFUNCTION("""COMPUTED_VALUE"""),"artwork_enhance_nek_00001")</f>
        <v/>
      </c>
      <c r="F288">
        <f>IFERROR(__xludf.DUMMYFUNCTION("""COMPUTED_VALUE"""),"artwork_enhance_nek_00001")</f>
        <v/>
      </c>
      <c r="G288">
        <f>IFERROR(__xludf.DUMMYFUNCTION("""COMPUTED_VALUE"""),"item_icon_artwork_enhance_nek_00001")</f>
        <v/>
      </c>
      <c r="H288">
        <f>IFERROR(__xludf.DUMMYFUNCTION("""COMPUTED_VALUE"""),"『猫田びより』の表紙")</f>
        <v/>
      </c>
      <c r="I288">
        <f>IFERROR(__xludf.DUMMYFUNCTION("""COMPUTED_VALUE"""),"UR")</f>
        <v/>
      </c>
      <c r="J288">
        <f>IFERROR(__xludf.DUMMYFUNCTION("""COMPUTED_VALUE"""),9.99999999E8)</f>
        <v/>
      </c>
      <c r="K288">
        <f>IFERROR(__xludf.DUMMYFUNCTION("""COMPUTED_VALUE"""),9.99999999E8)</f>
        <v/>
      </c>
      <c r="L288">
        <f>IFERROR(__xludf.DUMMYFUNCTION("""COMPUTED_VALUE"""),"「猫田びより」の原画のグレードアップに使用するアイテム")</f>
        <v/>
      </c>
    </row>
    <row r="289">
      <c r="A289">
        <f>IFERROR(__xludf.DUMMYFUNCTION("""COMPUTED_VALUE"""),"mad")</f>
        <v/>
      </c>
      <c r="B289">
        <f>IFERROR(__xludf.DUMMYFUNCTION("""COMPUTED_VALUE"""),"MAD")</f>
        <v/>
      </c>
      <c r="C289">
        <f>IFERROR(__xludf.DUMMYFUNCTION("""COMPUTED_VALUE"""),"artwork_enhance")</f>
        <v/>
      </c>
      <c r="D289">
        <f>IFERROR(__xludf.DUMMYFUNCTION("""COMPUTED_VALUE"""),"00001")</f>
        <v/>
      </c>
      <c r="E289">
        <f>IFERROR(__xludf.DUMMYFUNCTION("""COMPUTED_VALUE"""),"artwork_enhance_mad_00001")</f>
        <v/>
      </c>
      <c r="F289">
        <f>IFERROR(__xludf.DUMMYFUNCTION("""COMPUTED_VALUE"""),"artwork_enhance_mad_00001")</f>
        <v/>
      </c>
      <c r="G289">
        <f>IFERROR(__xludf.DUMMYFUNCTION("""COMPUTED_VALUE"""),"item_icon_artwork_enhance_mad_00001")</f>
        <v/>
      </c>
      <c r="H289">
        <f>IFERROR(__xludf.DUMMYFUNCTION("""COMPUTED_VALUE"""),"『MAD』の表紙")</f>
        <v/>
      </c>
      <c r="I289">
        <f>IFERROR(__xludf.DUMMYFUNCTION("""COMPUTED_VALUE"""),"UR")</f>
        <v/>
      </c>
      <c r="J289">
        <f>IFERROR(__xludf.DUMMYFUNCTION("""COMPUTED_VALUE"""),9.99999999E8)</f>
        <v/>
      </c>
      <c r="K289">
        <f>IFERROR(__xludf.DUMMYFUNCTION("""COMPUTED_VALUE"""),9.99999999E8)</f>
        <v/>
      </c>
      <c r="L289">
        <f>IFERROR(__xludf.DUMMYFUNCTION("""COMPUTED_VALUE"""),"「MAD」の原画のグレードアップに使用するアイテム")</f>
        <v/>
      </c>
    </row>
    <row r="290">
      <c r="A290">
        <f>IFERROR(__xludf.DUMMYFUNCTION("""COMPUTED_VALUE"""),"syu")</f>
        <v/>
      </c>
      <c r="B290">
        <f>IFERROR(__xludf.DUMMYFUNCTION("""COMPUTED_VALUE"""),"終末のハーレム")</f>
        <v/>
      </c>
      <c r="C290">
        <f>IFERROR(__xludf.DUMMYFUNCTION("""COMPUTED_VALUE"""),"artwork_enhance")</f>
        <v/>
      </c>
      <c r="D290">
        <f>IFERROR(__xludf.DUMMYFUNCTION("""COMPUTED_VALUE"""),"00001")</f>
        <v/>
      </c>
      <c r="E290">
        <f>IFERROR(__xludf.DUMMYFUNCTION("""COMPUTED_VALUE"""),"artwork_enhance_syu_00001")</f>
        <v/>
      </c>
      <c r="F290">
        <f>IFERROR(__xludf.DUMMYFUNCTION("""COMPUTED_VALUE"""),"artwork_enhance_syu_00001")</f>
        <v/>
      </c>
      <c r="G290">
        <f>IFERROR(__xludf.DUMMYFUNCTION("""COMPUTED_VALUE"""),"item_icon_artwork_enhance_syu_00001")</f>
        <v/>
      </c>
      <c r="H290">
        <f>IFERROR(__xludf.DUMMYFUNCTION("""COMPUTED_VALUE"""),"『終末のハーレム』の表紙")</f>
        <v/>
      </c>
      <c r="I290">
        <f>IFERROR(__xludf.DUMMYFUNCTION("""COMPUTED_VALUE"""),"UR")</f>
        <v/>
      </c>
      <c r="J290">
        <f>IFERROR(__xludf.DUMMYFUNCTION("""COMPUTED_VALUE"""),9.99999999E8)</f>
        <v/>
      </c>
      <c r="K290">
        <f>IFERROR(__xludf.DUMMYFUNCTION("""COMPUTED_VALUE"""),9.99999999E8)</f>
        <v/>
      </c>
      <c r="L290">
        <f>IFERROR(__xludf.DUMMYFUNCTION("""COMPUTED_VALUE"""),"「終末のハーレム」の原画のグレードアップに使用するアイテム")</f>
        <v/>
      </c>
    </row>
    <row r="291">
      <c r="A291">
        <f>IFERROR(__xludf.DUMMYFUNCTION("""COMPUTED_VALUE"""),"aft")</f>
        <v/>
      </c>
      <c r="B291">
        <f>IFERROR(__xludf.DUMMYFUNCTION("""COMPUTED_VALUE"""),"終末のハーレム After World")</f>
        <v/>
      </c>
      <c r="C291">
        <f>IFERROR(__xludf.DUMMYFUNCTION("""COMPUTED_VALUE"""),"artwork_enhance")</f>
        <v/>
      </c>
      <c r="D291">
        <f>IFERROR(__xludf.DUMMYFUNCTION("""COMPUTED_VALUE"""),"00001")</f>
        <v/>
      </c>
      <c r="E291">
        <f>IFERROR(__xludf.DUMMYFUNCTION("""COMPUTED_VALUE"""),"artwork_enhance_aft_00001")</f>
        <v/>
      </c>
      <c r="F291">
        <f>IFERROR(__xludf.DUMMYFUNCTION("""COMPUTED_VALUE"""),"artwork_enhance_aft_00001")</f>
        <v/>
      </c>
      <c r="G291">
        <f>IFERROR(__xludf.DUMMYFUNCTION("""COMPUTED_VALUE"""),"item_icon_artwork_enhance_aft_00001")</f>
        <v/>
      </c>
      <c r="H291">
        <f>IFERROR(__xludf.DUMMYFUNCTION("""COMPUTED_VALUE"""),"『終末のハーレム After World』の表紙")</f>
        <v/>
      </c>
      <c r="I291">
        <f>IFERROR(__xludf.DUMMYFUNCTION("""COMPUTED_VALUE"""),"UR")</f>
        <v/>
      </c>
      <c r="J291">
        <f>IFERROR(__xludf.DUMMYFUNCTION("""COMPUTED_VALUE"""),9.99999999E8)</f>
        <v/>
      </c>
      <c r="K291">
        <f>IFERROR(__xludf.DUMMYFUNCTION("""COMPUTED_VALUE"""),9.99999999E8)</f>
        <v/>
      </c>
      <c r="L291">
        <f>IFERROR(__xludf.DUMMYFUNCTION("""COMPUTED_VALUE"""),"「終末のハーレム After World」の原画のグレードアップに使用するアイテム")</f>
        <v/>
      </c>
    </row>
    <row r="292">
      <c r="A292">
        <f>IFERROR(__xludf.DUMMYFUNCTION("""COMPUTED_VALUE"""),"fan")</f>
        <v/>
      </c>
      <c r="B292">
        <f>IFERROR(__xludf.DUMMYFUNCTION("""COMPUTED_VALUE"""),"終末のハーレム ファンタジア")</f>
        <v/>
      </c>
      <c r="C292">
        <f>IFERROR(__xludf.DUMMYFUNCTION("""COMPUTED_VALUE"""),"artwork_enhance")</f>
        <v/>
      </c>
      <c r="D292">
        <f>IFERROR(__xludf.DUMMYFUNCTION("""COMPUTED_VALUE"""),"00001")</f>
        <v/>
      </c>
      <c r="E292">
        <f>IFERROR(__xludf.DUMMYFUNCTION("""COMPUTED_VALUE"""),"artwork_enhance_fan_00001")</f>
        <v/>
      </c>
      <c r="F292">
        <f>IFERROR(__xludf.DUMMYFUNCTION("""COMPUTED_VALUE"""),"artwork_enhance_fan_00001")</f>
        <v/>
      </c>
      <c r="G292">
        <f>IFERROR(__xludf.DUMMYFUNCTION("""COMPUTED_VALUE"""),"item_icon_artwork_enhance_fan_00001")</f>
        <v/>
      </c>
      <c r="H292">
        <f>IFERROR(__xludf.DUMMYFUNCTION("""COMPUTED_VALUE"""),"『終末のハーレム ファンタジア』の表紙")</f>
        <v/>
      </c>
      <c r="I292">
        <f>IFERROR(__xludf.DUMMYFUNCTION("""COMPUTED_VALUE"""),"UR")</f>
        <v/>
      </c>
      <c r="J292">
        <f>IFERROR(__xludf.DUMMYFUNCTION("""COMPUTED_VALUE"""),9.99999999E8)</f>
        <v/>
      </c>
      <c r="K292">
        <f>IFERROR(__xludf.DUMMYFUNCTION("""COMPUTED_VALUE"""),9.99999999E8)</f>
        <v/>
      </c>
      <c r="L292">
        <f>IFERROR(__xludf.DUMMYFUNCTION("""COMPUTED_VALUE"""),"「終末のハーレム ファンタジア」の原画のグレードアップに使用するアイテム")</f>
        <v/>
      </c>
    </row>
    <row r="293">
      <c r="A293">
        <f>IFERROR(__xludf.DUMMYFUNCTION("""COMPUTED_VALUE"""),"kut")</f>
        <v/>
      </c>
      <c r="B293">
        <f>IFERROR(__xludf.DUMMYFUNCTION("""COMPUTED_VALUE"""),"口が裂けても君には")</f>
        <v/>
      </c>
      <c r="C293">
        <f>IFERROR(__xludf.DUMMYFUNCTION("""COMPUTED_VALUE"""),"artwork_enhance")</f>
        <v/>
      </c>
      <c r="D293">
        <f>IFERROR(__xludf.DUMMYFUNCTION("""COMPUTED_VALUE"""),"00001")</f>
        <v/>
      </c>
      <c r="E293">
        <f>IFERROR(__xludf.DUMMYFUNCTION("""COMPUTED_VALUE"""),"artwork_enhance_kut_00001")</f>
        <v/>
      </c>
      <c r="F293">
        <f>IFERROR(__xludf.DUMMYFUNCTION("""COMPUTED_VALUE"""),"artwork_enhance_kut_00001")</f>
        <v/>
      </c>
      <c r="G293">
        <f>IFERROR(__xludf.DUMMYFUNCTION("""COMPUTED_VALUE"""),"item_icon_artwork_enhance_kut_00001")</f>
        <v/>
      </c>
      <c r="H293">
        <f>IFERROR(__xludf.DUMMYFUNCTION("""COMPUTED_VALUE"""),"『口が裂けても君には』の表紙")</f>
        <v/>
      </c>
      <c r="I293">
        <f>IFERROR(__xludf.DUMMYFUNCTION("""COMPUTED_VALUE"""),"UR")</f>
        <v/>
      </c>
      <c r="J293">
        <f>IFERROR(__xludf.DUMMYFUNCTION("""COMPUTED_VALUE"""),9.99999999E8)</f>
        <v/>
      </c>
      <c r="K293">
        <f>IFERROR(__xludf.DUMMYFUNCTION("""COMPUTED_VALUE"""),9.99999999E8)</f>
        <v/>
      </c>
      <c r="L293">
        <f>IFERROR(__xludf.DUMMYFUNCTION("""COMPUTED_VALUE"""),"「口が裂けても君には」の原画のグレードアップに使用するアイテム")</f>
        <v/>
      </c>
    </row>
    <row r="294">
      <c r="A294">
        <f>IFERROR(__xludf.DUMMYFUNCTION("""COMPUTED_VALUE"""),"san")</f>
        <v/>
      </c>
      <c r="B294">
        <f>IFERROR(__xludf.DUMMYFUNCTION("""COMPUTED_VALUE"""),"サンキューピッチ")</f>
        <v/>
      </c>
      <c r="C294">
        <f>IFERROR(__xludf.DUMMYFUNCTION("""COMPUTED_VALUE"""),"artwork_enhance")</f>
        <v/>
      </c>
      <c r="D294">
        <f>IFERROR(__xludf.DUMMYFUNCTION("""COMPUTED_VALUE"""),"00001")</f>
        <v/>
      </c>
      <c r="E294">
        <f>IFERROR(__xludf.DUMMYFUNCTION("""COMPUTED_VALUE"""),"artwork_enhance_san_00001")</f>
        <v/>
      </c>
      <c r="F294">
        <f>IFERROR(__xludf.DUMMYFUNCTION("""COMPUTED_VALUE"""),"artwork_enhance_san_00001")</f>
        <v/>
      </c>
      <c r="G294">
        <f>IFERROR(__xludf.DUMMYFUNCTION("""COMPUTED_VALUE"""),"item_icon_artwork_enhance_san_00001")</f>
        <v/>
      </c>
      <c r="H294">
        <f>IFERROR(__xludf.DUMMYFUNCTION("""COMPUTED_VALUE"""),"『サンキューピッチ』の表紙")</f>
        <v/>
      </c>
      <c r="I294">
        <f>IFERROR(__xludf.DUMMYFUNCTION("""COMPUTED_VALUE"""),"UR")</f>
        <v/>
      </c>
      <c r="J294">
        <f>IFERROR(__xludf.DUMMYFUNCTION("""COMPUTED_VALUE"""),9.99999999E8)</f>
        <v/>
      </c>
      <c r="K294">
        <f>IFERROR(__xludf.DUMMYFUNCTION("""COMPUTED_VALUE"""),9.99999999E8)</f>
        <v/>
      </c>
      <c r="L294">
        <f>IFERROR(__xludf.DUMMYFUNCTION("""COMPUTED_VALUE"""),"「サンキューピッチ」の原画のグレードアップに使用するアイテム")</f>
        <v/>
      </c>
    </row>
    <row r="295">
      <c r="A295">
        <f>IFERROR(__xludf.DUMMYFUNCTION("""COMPUTED_VALUE"""),"kus")</f>
        <v/>
      </c>
      <c r="B295">
        <f>IFERROR(__xludf.DUMMYFUNCTION("""COMPUTED_VALUE"""),"クソ女に幸あれ")</f>
        <v/>
      </c>
      <c r="C295">
        <f>IFERROR(__xludf.DUMMYFUNCTION("""COMPUTED_VALUE"""),"artwork_enhance")</f>
        <v/>
      </c>
      <c r="D295">
        <f>IFERROR(__xludf.DUMMYFUNCTION("""COMPUTED_VALUE"""),"00001")</f>
        <v/>
      </c>
      <c r="E295">
        <f>IFERROR(__xludf.DUMMYFUNCTION("""COMPUTED_VALUE"""),"artwork_enhance_kus_00001")</f>
        <v/>
      </c>
      <c r="F295">
        <f>IFERROR(__xludf.DUMMYFUNCTION("""COMPUTED_VALUE"""),"artwork_enhance_kus_00001")</f>
        <v/>
      </c>
      <c r="G295">
        <f>IFERROR(__xludf.DUMMYFUNCTION("""COMPUTED_VALUE"""),"item_icon_artwork_enhance_kus_00001")</f>
        <v/>
      </c>
      <c r="H295">
        <f>IFERROR(__xludf.DUMMYFUNCTION("""COMPUTED_VALUE"""),"『クソ女に幸あれ』の表紙")</f>
        <v/>
      </c>
      <c r="I295">
        <f>IFERROR(__xludf.DUMMYFUNCTION("""COMPUTED_VALUE"""),"UR")</f>
        <v/>
      </c>
      <c r="J295">
        <f>IFERROR(__xludf.DUMMYFUNCTION("""COMPUTED_VALUE"""),9.99999999E8)</f>
        <v/>
      </c>
      <c r="K295">
        <f>IFERROR(__xludf.DUMMYFUNCTION("""COMPUTED_VALUE"""),9.99999999E8)</f>
        <v/>
      </c>
      <c r="L295">
        <f>IFERROR(__xludf.DUMMYFUNCTION("""COMPUTED_VALUE"""),"「クソ女に幸あれ」の原画のグレードアップに使用するアイテム")</f>
        <v/>
      </c>
    </row>
    <row r="296">
      <c r="A296">
        <f>IFERROR(__xludf.DUMMYFUNCTION("""COMPUTED_VALUE"""),"han")</f>
        <v/>
      </c>
      <c r="B296">
        <f>IFERROR(__xludf.DUMMYFUNCTION("""COMPUTED_VALUE"""),"半人前の恋人")</f>
        <v/>
      </c>
      <c r="C296">
        <f>IFERROR(__xludf.DUMMYFUNCTION("""COMPUTED_VALUE"""),"artwork_enhance")</f>
        <v/>
      </c>
      <c r="D296">
        <f>IFERROR(__xludf.DUMMYFUNCTION("""COMPUTED_VALUE"""),"00001")</f>
        <v/>
      </c>
      <c r="E296">
        <f>IFERROR(__xludf.DUMMYFUNCTION("""COMPUTED_VALUE"""),"artwork_enhance_han_00001")</f>
        <v/>
      </c>
      <c r="F296">
        <f>IFERROR(__xludf.DUMMYFUNCTION("""COMPUTED_VALUE"""),"artwork_enhance_han_00001")</f>
        <v/>
      </c>
      <c r="G296">
        <f>IFERROR(__xludf.DUMMYFUNCTION("""COMPUTED_VALUE"""),"item_icon_artwork_enhance_han_00001")</f>
        <v/>
      </c>
      <c r="H296">
        <f>IFERROR(__xludf.DUMMYFUNCTION("""COMPUTED_VALUE"""),"『半人前の恋人』の表紙")</f>
        <v/>
      </c>
      <c r="I296">
        <f>IFERROR(__xludf.DUMMYFUNCTION("""COMPUTED_VALUE"""),"UR")</f>
        <v/>
      </c>
      <c r="J296">
        <f>IFERROR(__xludf.DUMMYFUNCTION("""COMPUTED_VALUE"""),9.99999999E8)</f>
        <v/>
      </c>
      <c r="K296">
        <f>IFERROR(__xludf.DUMMYFUNCTION("""COMPUTED_VALUE"""),9.99999999E8)</f>
        <v/>
      </c>
      <c r="L296">
        <f>IFERROR(__xludf.DUMMYFUNCTION("""COMPUTED_VALUE"""),"「半人前の恋人」の原画のグレードアップに使用するアイテム")</f>
        <v/>
      </c>
    </row>
    <row r="297">
      <c r="A297">
        <f>IFERROR(__xludf.DUMMYFUNCTION("""COMPUTED_VALUE"""),"kub")</f>
        <v/>
      </c>
      <c r="B297">
        <f>IFERROR(__xludf.DUMMYFUNCTION("""COMPUTED_VALUE"""),"久保さんは僕を許さない")</f>
        <v/>
      </c>
      <c r="C297">
        <f>IFERROR(__xludf.DUMMYFUNCTION("""COMPUTED_VALUE"""),"artwork_enhance")</f>
        <v/>
      </c>
      <c r="D297">
        <f>IFERROR(__xludf.DUMMYFUNCTION("""COMPUTED_VALUE"""),"00001")</f>
        <v/>
      </c>
      <c r="E297">
        <f>IFERROR(__xludf.DUMMYFUNCTION("""COMPUTED_VALUE"""),"artwork_enhance_kub_00001")</f>
        <v/>
      </c>
      <c r="F297">
        <f>IFERROR(__xludf.DUMMYFUNCTION("""COMPUTED_VALUE"""),"artwork_enhance_kub_00001")</f>
        <v/>
      </c>
      <c r="G297">
        <f>IFERROR(__xludf.DUMMYFUNCTION("""COMPUTED_VALUE"""),"item_icon_artwork_enhance_kub_00001")</f>
        <v/>
      </c>
      <c r="H297">
        <f>IFERROR(__xludf.DUMMYFUNCTION("""COMPUTED_VALUE"""),"『久保さんは僕を許さない』の表紙")</f>
        <v/>
      </c>
      <c r="I297">
        <f>IFERROR(__xludf.DUMMYFUNCTION("""COMPUTED_VALUE"""),"UR")</f>
        <v/>
      </c>
      <c r="J297">
        <f>IFERROR(__xludf.DUMMYFUNCTION("""COMPUTED_VALUE"""),9.99999999E8)</f>
        <v/>
      </c>
      <c r="K297">
        <f>IFERROR(__xludf.DUMMYFUNCTION("""COMPUTED_VALUE"""),9.99999999E8)</f>
        <v/>
      </c>
      <c r="L297">
        <f>IFERROR(__xludf.DUMMYFUNCTION("""COMPUTED_VALUE"""),"「久保さんは僕を許さない」の原画のグレードアップに使用するアイテム")</f>
        <v/>
      </c>
    </row>
    <row r="298">
      <c r="A298">
        <f>IFERROR(__xludf.DUMMYFUNCTION("""COMPUTED_VALUE"""),"sei")</f>
        <v/>
      </c>
      <c r="B298">
        <f>IFERROR(__xludf.DUMMYFUNCTION("""COMPUTED_VALUE"""),"正反対な君と僕")</f>
        <v/>
      </c>
      <c r="C298">
        <f>IFERROR(__xludf.DUMMYFUNCTION("""COMPUTED_VALUE"""),"artwork_enhance")</f>
        <v/>
      </c>
      <c r="D298">
        <f>IFERROR(__xludf.DUMMYFUNCTION("""COMPUTED_VALUE"""),"00001")</f>
        <v/>
      </c>
      <c r="E298">
        <f>IFERROR(__xludf.DUMMYFUNCTION("""COMPUTED_VALUE"""),"artwork_enhance_sei_00001")</f>
        <v/>
      </c>
      <c r="F298">
        <f>IFERROR(__xludf.DUMMYFUNCTION("""COMPUTED_VALUE"""),"artwork_enhance_sei_00001")</f>
        <v/>
      </c>
      <c r="G298">
        <f>IFERROR(__xludf.DUMMYFUNCTION("""COMPUTED_VALUE"""),"item_icon_artwork_enhance_sei_00001")</f>
        <v/>
      </c>
      <c r="H298">
        <f>IFERROR(__xludf.DUMMYFUNCTION("""COMPUTED_VALUE"""),"『正反対な君と僕』の表紙")</f>
        <v/>
      </c>
      <c r="I298">
        <f>IFERROR(__xludf.DUMMYFUNCTION("""COMPUTED_VALUE"""),"UR")</f>
        <v/>
      </c>
      <c r="J298">
        <f>IFERROR(__xludf.DUMMYFUNCTION("""COMPUTED_VALUE"""),9.99999999E8)</f>
        <v/>
      </c>
      <c r="K298">
        <f>IFERROR(__xludf.DUMMYFUNCTION("""COMPUTED_VALUE"""),9.99999999E8)</f>
        <v/>
      </c>
      <c r="L298">
        <f>IFERROR(__xludf.DUMMYFUNCTION("""COMPUTED_VALUE"""),"「正反対な君と僕」の原画のグレードアップに使用するアイテム")</f>
        <v/>
      </c>
    </row>
    <row r="299">
      <c r="A299">
        <f>IFERROR(__xludf.DUMMYFUNCTION("""COMPUTED_VALUE"""),"kaw")</f>
        <v/>
      </c>
      <c r="B299">
        <f>IFERROR(__xludf.DUMMYFUNCTION("""COMPUTED_VALUE"""),"カワイスギクライシス")</f>
        <v/>
      </c>
      <c r="C299">
        <f>IFERROR(__xludf.DUMMYFUNCTION("""COMPUTED_VALUE"""),"artwork_enhance")</f>
        <v/>
      </c>
      <c r="D299">
        <f>IFERROR(__xludf.DUMMYFUNCTION("""COMPUTED_VALUE"""),"00001")</f>
        <v/>
      </c>
      <c r="E299">
        <f>IFERROR(__xludf.DUMMYFUNCTION("""COMPUTED_VALUE"""),"artwork_enhance_kaw_00001")</f>
        <v/>
      </c>
      <c r="F299">
        <f>IFERROR(__xludf.DUMMYFUNCTION("""COMPUTED_VALUE"""),"artwork_enhance_kaw_00001")</f>
        <v/>
      </c>
      <c r="G299">
        <f>IFERROR(__xludf.DUMMYFUNCTION("""COMPUTED_VALUE"""),"item_icon_artwork_enhance_kaw_00001")</f>
        <v/>
      </c>
      <c r="H299">
        <f>IFERROR(__xludf.DUMMYFUNCTION("""COMPUTED_VALUE"""),"『カワイスギクライシス』の表紙")</f>
        <v/>
      </c>
      <c r="I299">
        <f>IFERROR(__xludf.DUMMYFUNCTION("""COMPUTED_VALUE"""),"UR")</f>
        <v/>
      </c>
      <c r="J299">
        <f>IFERROR(__xludf.DUMMYFUNCTION("""COMPUTED_VALUE"""),9.99999999E8)</f>
        <v/>
      </c>
      <c r="K299">
        <f>IFERROR(__xludf.DUMMYFUNCTION("""COMPUTED_VALUE"""),9.99999999E8)</f>
        <v/>
      </c>
      <c r="L299">
        <f>IFERROR(__xludf.DUMMYFUNCTION("""COMPUTED_VALUE"""),"「カワイスギクライシス」の原画のグレードアップに使用するアイテム")</f>
        <v/>
      </c>
    </row>
    <row r="300">
      <c r="A300">
        <f>IFERROR(__xludf.DUMMYFUNCTION("""COMPUTED_VALUE"""),"c8m")</f>
        <v/>
      </c>
      <c r="B300">
        <f>IFERROR(__xludf.DUMMYFUNCTION("""COMPUTED_VALUE"""),"ちえりの恋は8メートル")</f>
        <v/>
      </c>
      <c r="C300">
        <f>IFERROR(__xludf.DUMMYFUNCTION("""COMPUTED_VALUE"""),"artwork_enhance")</f>
        <v/>
      </c>
      <c r="D300">
        <f>IFERROR(__xludf.DUMMYFUNCTION("""COMPUTED_VALUE"""),"00001")</f>
        <v/>
      </c>
      <c r="E300">
        <f>IFERROR(__xludf.DUMMYFUNCTION("""COMPUTED_VALUE"""),"artwork_enhance_c8m_00001")</f>
        <v/>
      </c>
      <c r="F300">
        <f>IFERROR(__xludf.DUMMYFUNCTION("""COMPUTED_VALUE"""),"artwork_enhance_c8m_00001")</f>
        <v/>
      </c>
      <c r="G300">
        <f>IFERROR(__xludf.DUMMYFUNCTION("""COMPUTED_VALUE"""),"item_icon_artwork_enhance_c8m_00001")</f>
        <v/>
      </c>
      <c r="H300">
        <f>IFERROR(__xludf.DUMMYFUNCTION("""COMPUTED_VALUE"""),"『ちえりの恋は8メートル』の表紙")</f>
        <v/>
      </c>
      <c r="I300">
        <f>IFERROR(__xludf.DUMMYFUNCTION("""COMPUTED_VALUE"""),"UR")</f>
        <v/>
      </c>
      <c r="J300">
        <f>IFERROR(__xludf.DUMMYFUNCTION("""COMPUTED_VALUE"""),9.99999999E8)</f>
        <v/>
      </c>
      <c r="K300">
        <f>IFERROR(__xludf.DUMMYFUNCTION("""COMPUTED_VALUE"""),9.99999999E8)</f>
        <v/>
      </c>
      <c r="L300">
        <f>IFERROR(__xludf.DUMMYFUNCTION("""COMPUTED_VALUE"""),"「ちえりの恋は8メートル」の原画のグレードアップに使用するアイテム")</f>
        <v/>
      </c>
    </row>
    <row r="301">
      <c r="A301">
        <f>IFERROR(__xludf.DUMMYFUNCTION("""COMPUTED_VALUE"""),"vig")</f>
        <v/>
      </c>
      <c r="B301">
        <f>IFERROR(__xludf.DUMMYFUNCTION("""COMPUTED_VALUE"""),"ヴィジランテ-僕のヒーローアカデミア ILLEGALS-")</f>
        <v/>
      </c>
      <c r="C301">
        <f>IFERROR(__xludf.DUMMYFUNCTION("""COMPUTED_VALUE"""),"artwork_enhance")</f>
        <v/>
      </c>
      <c r="D301">
        <f>IFERROR(__xludf.DUMMYFUNCTION("""COMPUTED_VALUE"""),"00001")</f>
        <v/>
      </c>
      <c r="E301">
        <f>IFERROR(__xludf.DUMMYFUNCTION("""COMPUTED_VALUE"""),"artwork_enhance_vig_00001")</f>
        <v/>
      </c>
      <c r="F301">
        <f>IFERROR(__xludf.DUMMYFUNCTION("""COMPUTED_VALUE"""),"artwork_enhance_vig_00001")</f>
        <v/>
      </c>
      <c r="G301">
        <f>IFERROR(__xludf.DUMMYFUNCTION("""COMPUTED_VALUE"""),"item_icon_artwork_enhance_vig_00001")</f>
        <v/>
      </c>
      <c r="H301">
        <f>IFERROR(__xludf.DUMMYFUNCTION("""COMPUTED_VALUE"""),"『ヴィジランテ-僕のヒーローアカデミア ILLEGALS-』の表紙")</f>
        <v/>
      </c>
      <c r="I301">
        <f>IFERROR(__xludf.DUMMYFUNCTION("""COMPUTED_VALUE"""),"UR")</f>
        <v/>
      </c>
      <c r="J301">
        <f>IFERROR(__xludf.DUMMYFUNCTION("""COMPUTED_VALUE"""),9.99999999E8)</f>
        <v/>
      </c>
      <c r="K301">
        <f>IFERROR(__xludf.DUMMYFUNCTION("""COMPUTED_VALUE"""),9.99999999E8)</f>
        <v/>
      </c>
      <c r="L301">
        <f>IFERROR(__xludf.DUMMYFUNCTION("""COMPUTED_VALUE"""),"「ヴィジランテ-僕のヒーローアカデミア ILLEGALS-」の原画のグレードアップに使用するアイテム")</f>
        <v/>
      </c>
    </row>
    <row r="302">
      <c r="A302">
        <f>IFERROR(__xludf.DUMMYFUNCTION("""COMPUTED_VALUE"""),"ssm")</f>
        <v/>
      </c>
      <c r="B302">
        <f>IFERROR(__xludf.DUMMYFUNCTION("""COMPUTED_VALUE"""),"すすめ！ジャンプへっぽこ探検隊！")</f>
        <v/>
      </c>
      <c r="C302">
        <f>IFERROR(__xludf.DUMMYFUNCTION("""COMPUTED_VALUE"""),"artwork_enhance")</f>
        <v/>
      </c>
      <c r="D302">
        <f>IFERROR(__xludf.DUMMYFUNCTION("""COMPUTED_VALUE"""),"00001")</f>
        <v/>
      </c>
      <c r="E302">
        <f>IFERROR(__xludf.DUMMYFUNCTION("""COMPUTED_VALUE"""),"artwork_enhance_ssm_00001")</f>
        <v/>
      </c>
      <c r="F302">
        <f>IFERROR(__xludf.DUMMYFUNCTION("""COMPUTED_VALUE"""),"artwork_enhance_ssm_00001")</f>
        <v/>
      </c>
      <c r="G302">
        <f>IFERROR(__xludf.DUMMYFUNCTION("""COMPUTED_VALUE"""),"item_icon_artwork_enhance_ssm_00001")</f>
        <v/>
      </c>
      <c r="H302">
        <f>IFERROR(__xludf.DUMMYFUNCTION("""COMPUTED_VALUE"""),"『すすめ！ジャンプへっぽこ探検隊！』の表紙")</f>
        <v/>
      </c>
      <c r="I302">
        <f>IFERROR(__xludf.DUMMYFUNCTION("""COMPUTED_VALUE"""),"UR")</f>
        <v/>
      </c>
      <c r="J302">
        <f>IFERROR(__xludf.DUMMYFUNCTION("""COMPUTED_VALUE"""),9.99999999E8)</f>
        <v/>
      </c>
      <c r="K302">
        <f>IFERROR(__xludf.DUMMYFUNCTION("""COMPUTED_VALUE"""),9.99999999E8)</f>
        <v/>
      </c>
      <c r="L302">
        <f>IFERROR(__xludf.DUMMYFUNCTION("""COMPUTED_VALUE"""),"「すすめ！ジャンプへっぽこ探検隊！」の原画のグレードアップに使用するアイテム")</f>
        <v/>
      </c>
    </row>
    <row r="303">
      <c r="A303">
        <f>IFERROR(__xludf.DUMMYFUNCTION("""COMPUTED_VALUE"""),"eiu")</f>
        <v/>
      </c>
      <c r="B303">
        <f>IFERROR(__xludf.DUMMYFUNCTION("""COMPUTED_VALUE"""),"英雄機関")</f>
        <v/>
      </c>
      <c r="C303">
        <f>IFERROR(__xludf.DUMMYFUNCTION("""COMPUTED_VALUE"""),"artwork_enhance")</f>
        <v/>
      </c>
      <c r="D303">
        <f>IFERROR(__xludf.DUMMYFUNCTION("""COMPUTED_VALUE"""),"00001")</f>
        <v/>
      </c>
      <c r="E303">
        <f>IFERROR(__xludf.DUMMYFUNCTION("""COMPUTED_VALUE"""),"artwork_enhance_eiu_00001")</f>
        <v/>
      </c>
      <c r="F303">
        <f>IFERROR(__xludf.DUMMYFUNCTION("""COMPUTED_VALUE"""),"artwork_enhance_eiu_00001")</f>
        <v/>
      </c>
      <c r="G303">
        <f>IFERROR(__xludf.DUMMYFUNCTION("""COMPUTED_VALUE"""),"item_icon_artwork_enhance_eiu_00001")</f>
        <v/>
      </c>
      <c r="H303">
        <f>IFERROR(__xludf.DUMMYFUNCTION("""COMPUTED_VALUE"""),"『英雄機関』の表紙")</f>
        <v/>
      </c>
      <c r="I303">
        <f>IFERROR(__xludf.DUMMYFUNCTION("""COMPUTED_VALUE"""),"UR")</f>
        <v/>
      </c>
      <c r="J303">
        <f>IFERROR(__xludf.DUMMYFUNCTION("""COMPUTED_VALUE"""),9.99999999E8)</f>
        <v/>
      </c>
      <c r="K303">
        <f>IFERROR(__xludf.DUMMYFUNCTION("""COMPUTED_VALUE"""),9.99999999E8)</f>
        <v/>
      </c>
      <c r="L303">
        <f>IFERROR(__xludf.DUMMYFUNCTION("""COMPUTED_VALUE"""),"「英雄機関」の原画のグレードアップに使用するアイテム")</f>
        <v/>
      </c>
    </row>
    <row r="304">
      <c r="A304">
        <f>IFERROR(__xludf.DUMMYFUNCTION("""COMPUTED_VALUE"""),"exo")</f>
        <v/>
      </c>
      <c r="B304">
        <f>IFERROR(__xludf.DUMMYFUNCTION("""COMPUTED_VALUE"""),"エクソシストを堕とせない")</f>
        <v/>
      </c>
      <c r="C304">
        <f>IFERROR(__xludf.DUMMYFUNCTION("""COMPUTED_VALUE"""),"artwork_enhance")</f>
        <v/>
      </c>
      <c r="D304">
        <f>IFERROR(__xludf.DUMMYFUNCTION("""COMPUTED_VALUE"""),"00001")</f>
        <v/>
      </c>
      <c r="E304">
        <f>IFERROR(__xludf.DUMMYFUNCTION("""COMPUTED_VALUE"""),"artwork_enhance_exo_00001")</f>
        <v/>
      </c>
      <c r="F304">
        <f>IFERROR(__xludf.DUMMYFUNCTION("""COMPUTED_VALUE"""),"artwork_enhance_exo_00001")</f>
        <v/>
      </c>
      <c r="G304">
        <f>IFERROR(__xludf.DUMMYFUNCTION("""COMPUTED_VALUE"""),"item_icon_artwork_enhance_exo_00001")</f>
        <v/>
      </c>
      <c r="H304">
        <f>IFERROR(__xludf.DUMMYFUNCTION("""COMPUTED_VALUE"""),"『エクソシストを堕とせない』の表紙")</f>
        <v/>
      </c>
      <c r="I304">
        <f>IFERROR(__xludf.DUMMYFUNCTION("""COMPUTED_VALUE"""),"UR")</f>
        <v/>
      </c>
      <c r="J304">
        <f>IFERROR(__xludf.DUMMYFUNCTION("""COMPUTED_VALUE"""),9.99999999E8)</f>
        <v/>
      </c>
      <c r="K304">
        <f>IFERROR(__xludf.DUMMYFUNCTION("""COMPUTED_VALUE"""),9.99999999E8)</f>
        <v/>
      </c>
      <c r="L304">
        <f>IFERROR(__xludf.DUMMYFUNCTION("""COMPUTED_VALUE"""),"「エクソシストを堕とせない」の原画のグレードアップに使用するアイテム")</f>
        <v/>
      </c>
    </row>
    <row r="305">
      <c r="A305">
        <f>IFERROR(__xludf.DUMMYFUNCTION("""COMPUTED_VALUE"""),"oto")</f>
        <v/>
      </c>
      <c r="B305">
        <f>IFERROR(__xludf.DUMMYFUNCTION("""COMPUTED_VALUE"""),"大人大戦")</f>
        <v/>
      </c>
      <c r="C305">
        <f>IFERROR(__xludf.DUMMYFUNCTION("""COMPUTED_VALUE"""),"artwork_enhance")</f>
        <v/>
      </c>
      <c r="D305">
        <f>IFERROR(__xludf.DUMMYFUNCTION("""COMPUTED_VALUE"""),"00001")</f>
        <v/>
      </c>
      <c r="E305">
        <f>IFERROR(__xludf.DUMMYFUNCTION("""COMPUTED_VALUE"""),"artwork_enhance_oto_00001")</f>
        <v/>
      </c>
      <c r="F305">
        <f>IFERROR(__xludf.DUMMYFUNCTION("""COMPUTED_VALUE"""),"artwork_enhance_oto_00001")</f>
        <v/>
      </c>
      <c r="G305">
        <f>IFERROR(__xludf.DUMMYFUNCTION("""COMPUTED_VALUE"""),"item_icon_artwork_enhance_oto_00001")</f>
        <v/>
      </c>
      <c r="H305">
        <f>IFERROR(__xludf.DUMMYFUNCTION("""COMPUTED_VALUE"""),"『大人大戦』の表紙")</f>
        <v/>
      </c>
      <c r="I305">
        <f>IFERROR(__xludf.DUMMYFUNCTION("""COMPUTED_VALUE"""),"UR")</f>
        <v/>
      </c>
      <c r="J305">
        <f>IFERROR(__xludf.DUMMYFUNCTION("""COMPUTED_VALUE"""),9.99999999E8)</f>
        <v/>
      </c>
      <c r="K305">
        <f>IFERROR(__xludf.DUMMYFUNCTION("""COMPUTED_VALUE"""),9.99999999E8)</f>
        <v/>
      </c>
      <c r="L305">
        <f>IFERROR(__xludf.DUMMYFUNCTION("""COMPUTED_VALUE"""),"「大人大戦」の原画のグレードアップに使用するアイテム")</f>
        <v/>
      </c>
    </row>
    <row r="312">
      <c r="A312">
        <f>IFERROR(__xludf.DUMMYFUNCTION("""COMPUTED_VALUE"""),"▼いいジャンくじ（BOXガシャ）専用リソースアイテム（end_dateの記載を忘れないように）
※その都度、ID切り直し名称も少し変更しますが、画像は共通のものを使用してください")</f>
        <v/>
      </c>
    </row>
    <row r="313">
      <c r="A313">
        <f>IFERROR(__xludf.DUMMYFUNCTION("""COMPUTED_VALUE"""),"glo")</f>
        <v/>
      </c>
      <c r="B313">
        <f>IFERROR(__xludf.DUMMYFUNCTION("""COMPUTED_VALUE"""),"GLOW")</f>
        <v/>
      </c>
      <c r="C313">
        <f>IFERROR(__xludf.DUMMYFUNCTION("""COMPUTED_VALUE"""),"box_item")</f>
        <v/>
      </c>
      <c r="D313">
        <f>IFERROR(__xludf.DUMMYFUNCTION("""COMPUTED_VALUE"""),"00001")</f>
        <v/>
      </c>
      <c r="E313">
        <f>IFERROR(__xludf.DUMMYFUNCTION("""COMPUTED_VALUE"""),"box_item_glo_00001")</f>
        <v/>
      </c>
      <c r="F313">
        <f>IFERROR(__xludf.DUMMYFUNCTION("""COMPUTED_VALUE"""),"box_item_glo_00001")</f>
        <v/>
      </c>
      <c r="G313">
        <f>IFERROR(__xludf.DUMMYFUNCTION("""COMPUTED_VALUE"""),"item_icon_box_item_glo_00001")</f>
        <v/>
      </c>
      <c r="H313">
        <f>IFERROR(__xludf.DUMMYFUNCTION("""COMPUTED_VALUE"""),"100カノ いいジャンくじ券")</f>
        <v/>
      </c>
      <c r="I313">
        <f>IFERROR(__xludf.DUMMYFUNCTION("""COMPUTED_VALUE"""),"R")</f>
        <v/>
      </c>
      <c r="J313">
        <f>IFERROR(__xludf.DUMMYFUNCTION("""COMPUTED_VALUE"""),9.99999999E8)</f>
        <v/>
      </c>
      <c r="K313">
        <f>IFERROR(__xludf.DUMMYFUNCTION("""COMPUTED_VALUE"""),9.99999999E8)</f>
        <v/>
      </c>
      <c r="L313">
        <f>IFERROR(__xludf.DUMMYFUNCTION("""COMPUTED_VALUE"""),"100カノ いいジャンくじ券引換所で使用するアイテム")</f>
        <v/>
      </c>
      <c r="M313">
        <f>IFERROR(__xludf.DUMMYFUNCTION("""COMPUTED_VALUE"""),"画像デザインは全て同じものを使用するので、アセットキーや画像ファイルIDは固定とする
アイテム名称は施策名+いいジャンくじ券
とする
識別IDは連番で使用する
施策終了に合わせて非表示になるようにする")</f>
        <v/>
      </c>
      <c r="N313">
        <f>IFERROR(__xludf.DUMMYFUNCTION("""COMPUTED_VALUE"""),"2026-02-16 15:00:00")</f>
        <v/>
      </c>
    </row>
    <row r="314">
      <c r="A314">
        <f>IFERROR(__xludf.DUMMYFUNCTION("""COMPUTED_VALUE"""),"l05anniv")</f>
        <v/>
      </c>
      <c r="B314">
        <f>IFERROR(__xludf.DUMMYFUNCTION("""COMPUTED_VALUE"""),"ハーフアニバーサリー 感謝祭！後半")</f>
        <v/>
      </c>
      <c r="C314">
        <f>IFERROR(__xludf.DUMMYFUNCTION("""COMPUTED_VALUE"""),"box_item")</f>
        <v/>
      </c>
      <c r="D314">
        <f>IFERROR(__xludf.DUMMYFUNCTION("""COMPUTED_VALUE"""),"00001")</f>
        <v/>
      </c>
      <c r="E314">
        <f>IFERROR(__xludf.DUMMYFUNCTION("""COMPUTED_VALUE"""),"box_item_l05anniv_00001")</f>
        <v/>
      </c>
      <c r="F314">
        <f>IFERROR(__xludf.DUMMYFUNCTION("""COMPUTED_VALUE"""),"box_item_l05anniv_00001")</f>
        <v/>
      </c>
      <c r="G314">
        <f>IFERROR(__xludf.DUMMYFUNCTION("""COMPUTED_VALUE"""),"item_icon_box_item_glo_00001")</f>
        <v/>
      </c>
      <c r="H314">
        <f>IFERROR(__xludf.DUMMYFUNCTION("""COMPUTED_VALUE"""),"ハーフアニバーサリー いいジャンくじ券")</f>
        <v/>
      </c>
      <c r="I314">
        <f>IFERROR(__xludf.DUMMYFUNCTION("""COMPUTED_VALUE"""),"R")</f>
        <v/>
      </c>
      <c r="J314">
        <f>IFERROR(__xludf.DUMMYFUNCTION("""COMPUTED_VALUE"""),9.99999999E8)</f>
        <v/>
      </c>
      <c r="K314">
        <f>IFERROR(__xludf.DUMMYFUNCTION("""COMPUTED_VALUE"""),9.99999999E8)</f>
        <v/>
      </c>
      <c r="L314">
        <f>IFERROR(__xludf.DUMMYFUNCTION("""COMPUTED_VALUE"""),"ハーフアニバーサリー いいジャンくじ引換所で使用するアイテム")</f>
        <v/>
      </c>
      <c r="N314">
        <f>IFERROR(__xludf.DUMMYFUNCTION("""COMPUTED_VALUE"""),"2026-03-30 15:00:00")</f>
        <v/>
      </c>
    </row>
    <row r="316">
      <c r="A316">
        <f>IFERROR(__xludf.DUMMYFUNCTION("""COMPUTED_VALUE"""),"▼収集アイテム（交換所で使用できるアイテム）（end_dateの記載を忘れないように）")</f>
        <v/>
      </c>
    </row>
    <row r="317">
      <c r="A317">
        <f>IFERROR(__xludf.DUMMYFUNCTION("""COMPUTED_VALUE"""),"glo")</f>
        <v/>
      </c>
      <c r="B317">
        <f>IFERROR(__xludf.DUMMYFUNCTION("""COMPUTED_VALUE"""),"GLOW")</f>
        <v/>
      </c>
      <c r="C317">
        <f>IFERROR(__xludf.DUMMYFUNCTION("""COMPUTED_VALUE"""),"item")</f>
        <v/>
      </c>
      <c r="D317">
        <f>IFERROR(__xludf.DUMMYFUNCTION("""COMPUTED_VALUE"""),"00001")</f>
        <v/>
      </c>
      <c r="E317">
        <f>IFERROR(__xludf.DUMMYFUNCTION("""COMPUTED_VALUE"""),"item_glo_00001")</f>
        <v/>
      </c>
      <c r="F317">
        <f>IFERROR(__xludf.DUMMYFUNCTION("""COMPUTED_VALUE"""),"item_glo_00001")</f>
        <v/>
      </c>
      <c r="G317">
        <f>IFERROR(__xludf.DUMMYFUNCTION("""COMPUTED_VALUE"""),"item_icon_item_glo_00001")</f>
        <v/>
      </c>
      <c r="H317">
        <f>IFERROR(__xludf.DUMMYFUNCTION("""COMPUTED_VALUE"""),"いいジャン祭メダル【赤】")</f>
        <v/>
      </c>
      <c r="I317">
        <f>IFERROR(__xludf.DUMMYFUNCTION("""COMPUTED_VALUE"""),"R")</f>
        <v/>
      </c>
      <c r="J317">
        <f>IFERROR(__xludf.DUMMYFUNCTION("""COMPUTED_VALUE"""),9.99999999E8)</f>
        <v/>
      </c>
      <c r="K317">
        <f>IFERROR(__xludf.DUMMYFUNCTION("""COMPUTED_VALUE"""),9.99999999E8)</f>
        <v/>
      </c>
      <c r="L317">
        <f>IFERROR(__xludf.DUMMYFUNCTION("""COMPUTED_VALUE"""),"交換所で使用するメダル")</f>
        <v/>
      </c>
      <c r="N317">
        <f>IFERROR(__xludf.DUMMYFUNCTION("""COMPUTED_VALUE"""),"2026-01-01 00:00:00")</f>
        <v/>
      </c>
    </row>
    <row r="318">
      <c r="A318">
        <f>IFERROR(__xludf.DUMMYFUNCTION("""COMPUTED_VALUE"""),"glo")</f>
        <v/>
      </c>
      <c r="B318">
        <f>IFERROR(__xludf.DUMMYFUNCTION("""COMPUTED_VALUE"""),"GLOW")</f>
        <v/>
      </c>
      <c r="C318">
        <f>IFERROR(__xludf.DUMMYFUNCTION("""COMPUTED_VALUE"""),"item")</f>
        <v/>
      </c>
      <c r="D318">
        <f>IFERROR(__xludf.DUMMYFUNCTION("""COMPUTED_VALUE"""),"00002")</f>
        <v/>
      </c>
      <c r="E318">
        <f>IFERROR(__xludf.DUMMYFUNCTION("""COMPUTED_VALUE"""),"item_glo_00002")</f>
        <v/>
      </c>
      <c r="F318">
        <f>IFERROR(__xludf.DUMMYFUNCTION("""COMPUTED_VALUE"""),"item_glo_00002")</f>
        <v/>
      </c>
      <c r="G318">
        <f>IFERROR(__xludf.DUMMYFUNCTION("""COMPUTED_VALUE"""),"item_icon_item_glo_00002")</f>
        <v/>
      </c>
      <c r="H318">
        <f>IFERROR(__xludf.DUMMYFUNCTION("""COMPUTED_VALUE"""),"いいジャン祭メダル【青】")</f>
        <v/>
      </c>
      <c r="I318">
        <f>IFERROR(__xludf.DUMMYFUNCTION("""COMPUTED_VALUE"""),"R")</f>
        <v/>
      </c>
      <c r="J318">
        <f>IFERROR(__xludf.DUMMYFUNCTION("""COMPUTED_VALUE"""),9.99999999E8)</f>
        <v/>
      </c>
      <c r="K318">
        <f>IFERROR(__xludf.DUMMYFUNCTION("""COMPUTED_VALUE"""),9.99999999E8)</f>
        <v/>
      </c>
      <c r="L318">
        <f>IFERROR(__xludf.DUMMYFUNCTION("""COMPUTED_VALUE"""),"交換所で使用するメダル")</f>
        <v/>
      </c>
      <c r="N318">
        <f>IFERROR(__xludf.DUMMYFUNCTION("""COMPUTED_VALUE"""),"2026-01-01 00:00:00")</f>
        <v/>
      </c>
    </row>
    <row r="319">
      <c r="A319">
        <f>IFERROR(__xludf.DUMMYFUNCTION("""COMPUTED_VALUE"""),"glo")</f>
        <v/>
      </c>
      <c r="B319">
        <f>IFERROR(__xludf.DUMMYFUNCTION("""COMPUTED_VALUE"""),"GLOW")</f>
        <v/>
      </c>
      <c r="C319">
        <f>IFERROR(__xludf.DUMMYFUNCTION("""COMPUTED_VALUE"""),"item")</f>
        <v/>
      </c>
      <c r="D319">
        <f>IFERROR(__xludf.DUMMYFUNCTION("""COMPUTED_VALUE"""),"00003")</f>
        <v/>
      </c>
      <c r="E319">
        <f>IFERROR(__xludf.DUMMYFUNCTION("""COMPUTED_VALUE"""),"item_glo_00003")</f>
        <v/>
      </c>
      <c r="F319">
        <f>IFERROR(__xludf.DUMMYFUNCTION("""COMPUTED_VALUE"""),"item_glo_00003")</f>
        <v/>
      </c>
      <c r="G319">
        <f>IFERROR(__xludf.DUMMYFUNCTION("""COMPUTED_VALUE"""),"item_icon_item_glo_00003")</f>
        <v/>
      </c>
      <c r="H319">
        <f>IFERROR(__xludf.DUMMYFUNCTION("""COMPUTED_VALUE"""),"いいジャン祭メダル【緑】")</f>
        <v/>
      </c>
      <c r="I319">
        <f>IFERROR(__xludf.DUMMYFUNCTION("""COMPUTED_VALUE"""),"R")</f>
        <v/>
      </c>
      <c r="J319">
        <f>IFERROR(__xludf.DUMMYFUNCTION("""COMPUTED_VALUE"""),9.99999999E8)</f>
        <v/>
      </c>
      <c r="K319">
        <f>IFERROR(__xludf.DUMMYFUNCTION("""COMPUTED_VALUE"""),9.99999999E8)</f>
        <v/>
      </c>
      <c r="L319">
        <f>IFERROR(__xludf.DUMMYFUNCTION("""COMPUTED_VALUE"""),"交換所で使用するメダル")</f>
        <v/>
      </c>
      <c r="N319">
        <f>IFERROR(__xludf.DUMMYFUNCTION("""COMPUTED_VALUE"""),"2026-01-01 00:00:00")</f>
        <v/>
      </c>
    </row>
    <row r="320">
      <c r="A320">
        <f>IFERROR(__xludf.DUMMYFUNCTION("""COMPUTED_VALUE"""),"glo")</f>
        <v/>
      </c>
      <c r="B320">
        <f>IFERROR(__xludf.DUMMYFUNCTION("""COMPUTED_VALUE"""),"GLOW")</f>
        <v/>
      </c>
      <c r="C320">
        <f>IFERROR(__xludf.DUMMYFUNCTION("""COMPUTED_VALUE"""),"item")</f>
        <v/>
      </c>
      <c r="D320">
        <f>IFERROR(__xludf.DUMMYFUNCTION("""COMPUTED_VALUE"""),"00004")</f>
        <v/>
      </c>
      <c r="E320">
        <f>IFERROR(__xludf.DUMMYFUNCTION("""COMPUTED_VALUE"""),"item_glo_00004")</f>
        <v/>
      </c>
      <c r="F320">
        <f>IFERROR(__xludf.DUMMYFUNCTION("""COMPUTED_VALUE"""),"item_glo_00004")</f>
        <v/>
      </c>
      <c r="G320">
        <f>IFERROR(__xludf.DUMMYFUNCTION("""COMPUTED_VALUE"""),"item_icon_item_glo_00004")</f>
        <v/>
      </c>
      <c r="H320">
        <f>IFERROR(__xludf.DUMMYFUNCTION("""COMPUTED_VALUE"""),"いいジャン祭メダル【黄】")</f>
        <v/>
      </c>
      <c r="I320">
        <f>IFERROR(__xludf.DUMMYFUNCTION("""COMPUTED_VALUE"""),"R")</f>
        <v/>
      </c>
      <c r="J320">
        <f>IFERROR(__xludf.DUMMYFUNCTION("""COMPUTED_VALUE"""),9.99999999E8)</f>
        <v/>
      </c>
      <c r="K320">
        <f>IFERROR(__xludf.DUMMYFUNCTION("""COMPUTED_VALUE"""),9.99999999E8)</f>
        <v/>
      </c>
      <c r="L320">
        <f>IFERROR(__xludf.DUMMYFUNCTION("""COMPUTED_VALUE"""),"交換所で使用するメダル")</f>
        <v/>
      </c>
      <c r="N320">
        <f>IFERROR(__xludf.DUMMYFUNCTION("""COMPUTED_VALUE"""),"2026-01-01 00:00:00")</f>
        <v/>
      </c>
    </row>
    <row r="321">
      <c r="A321">
        <f>IFERROR(__xludf.DUMMYFUNCTION("""COMPUTED_VALUE"""),"kim")</f>
        <v/>
      </c>
      <c r="B321">
        <f>IFERROR(__xludf.DUMMYFUNCTION("""COMPUTED_VALUE"""),"君のことが大大大大大好きな100人の彼女")</f>
        <v/>
      </c>
      <c r="C321">
        <f>IFERROR(__xludf.DUMMYFUNCTION("""COMPUTED_VALUE"""),"item")</f>
        <v/>
      </c>
      <c r="D321">
        <f>IFERROR(__xludf.DUMMYFUNCTION("""COMPUTED_VALUE"""),"00001")</f>
        <v/>
      </c>
      <c r="E321">
        <f>IFERROR(__xludf.DUMMYFUNCTION("""COMPUTED_VALUE"""),"item_kim_00001")</f>
        <v/>
      </c>
      <c r="F321">
        <f>IFERROR(__xludf.DUMMYFUNCTION("""COMPUTED_VALUE"""),"item_kim_00001")</f>
        <v/>
      </c>
      <c r="G321">
        <f>IFERROR(__xludf.DUMMYFUNCTION("""COMPUTED_VALUE"""),"item_icon_item_kim_00001")</f>
        <v/>
      </c>
      <c r="H321">
        <f>IFERROR(__xludf.DUMMYFUNCTION("""COMPUTED_VALUE"""),"打ち消しの薬")</f>
        <v/>
      </c>
      <c r="I321">
        <f>IFERROR(__xludf.DUMMYFUNCTION("""COMPUTED_VALUE"""),"R")</f>
        <v/>
      </c>
      <c r="J321">
        <f>IFERROR(__xludf.DUMMYFUNCTION("""COMPUTED_VALUE"""),9.99999999E8)</f>
        <v/>
      </c>
      <c r="K321">
        <f>IFERROR(__xludf.DUMMYFUNCTION("""COMPUTED_VALUE"""),9.99999999E8)</f>
        <v/>
      </c>
      <c r="L321">
        <f>IFERROR(__xludf.DUMMYFUNCTION("""COMPUTED_VALUE"""),"君のことが大大大大大好きな100人の彼女交換所で使用するアイテム")</f>
        <v/>
      </c>
      <c r="M321">
        <f>IFERROR(__xludf.DUMMYFUNCTION("""COMPUTED_VALUE"""),"BOXガシャへ変更のため、不使用")</f>
        <v/>
      </c>
      <c r="N321">
        <f>IFERROR(__xludf.DUMMYFUNCTION("""COMPUTED_VALUE"""),"不使用")</f>
        <v/>
      </c>
    </row>
    <row r="322">
      <c r="A322">
        <f>IFERROR(__xludf.DUMMYFUNCTION("""COMPUTED_VALUE"""),"hut")</f>
        <v/>
      </c>
      <c r="B322">
        <f>IFERROR(__xludf.DUMMYFUNCTION("""COMPUTED_VALUE"""),"ふつうの軽音部")</f>
        <v/>
      </c>
      <c r="C322">
        <f>IFERROR(__xludf.DUMMYFUNCTION("""COMPUTED_VALUE"""),"item")</f>
        <v/>
      </c>
      <c r="D322">
        <f>IFERROR(__xludf.DUMMYFUNCTION("""COMPUTED_VALUE"""),"00001")</f>
        <v/>
      </c>
      <c r="E322">
        <f>IFERROR(__xludf.DUMMYFUNCTION("""COMPUTED_VALUE"""),"item_hut_00001")</f>
        <v/>
      </c>
      <c r="F322">
        <f>IFERROR(__xludf.DUMMYFUNCTION("""COMPUTED_VALUE"""),"item_hut_00001")</f>
        <v/>
      </c>
      <c r="G322">
        <f>IFERROR(__xludf.DUMMYFUNCTION("""COMPUTED_VALUE"""),"item_icon_item_hut_00001")</f>
        <v/>
      </c>
      <c r="H322">
        <f>IFERROR(__xludf.DUMMYFUNCTION("""COMPUTED_VALUE"""),"ギターピック")</f>
        <v/>
      </c>
      <c r="I322">
        <f>IFERROR(__xludf.DUMMYFUNCTION("""COMPUTED_VALUE"""),"R")</f>
        <v/>
      </c>
      <c r="J322">
        <f>IFERROR(__xludf.DUMMYFUNCTION("""COMPUTED_VALUE"""),9.99999999E8)</f>
        <v/>
      </c>
      <c r="K322">
        <f>IFERROR(__xludf.DUMMYFUNCTION("""COMPUTED_VALUE"""),9.99999999E8)</f>
        <v/>
      </c>
      <c r="L322">
        <f>IFERROR(__xludf.DUMMYFUNCTION("""COMPUTED_VALUE"""),"いいジャン祭交換所で使用するアイテム")</f>
        <v/>
      </c>
      <c r="N322">
        <f>IFERROR(__xludf.DUMMYFUNCTION("""COMPUTED_VALUE"""),"2026-03-02 15:00:00")</f>
        <v/>
      </c>
    </row>
    <row r="323">
      <c r="A323">
        <f>IFERROR(__xludf.DUMMYFUNCTION("""COMPUTED_VALUE"""),"aya")</f>
        <v/>
      </c>
      <c r="B323">
        <f>IFERROR(__xludf.DUMMYFUNCTION("""COMPUTED_VALUE"""),"あやかしトライアングル")</f>
        <v/>
      </c>
      <c r="C323">
        <f>IFERROR(__xludf.DUMMYFUNCTION("""COMPUTED_VALUE"""),"item")</f>
        <v/>
      </c>
      <c r="D323">
        <f>IFERROR(__xludf.DUMMYFUNCTION("""COMPUTED_VALUE"""),"00001")</f>
        <v/>
      </c>
      <c r="E323">
        <f>IFERROR(__xludf.DUMMYFUNCTION("""COMPUTED_VALUE"""),"item_aya_00001")</f>
        <v/>
      </c>
      <c r="F323">
        <f>IFERROR(__xludf.DUMMYFUNCTION("""COMPUTED_VALUE"""),"item_aya_00001")</f>
        <v/>
      </c>
      <c r="G323">
        <f>IFERROR(__xludf.DUMMYFUNCTION("""COMPUTED_VALUE"""),"item_icon_item_aya_00001")</f>
        <v/>
      </c>
      <c r="H323">
        <f>IFERROR(__xludf.DUMMYFUNCTION("""COMPUTED_VALUE"""),"風車")</f>
        <v/>
      </c>
      <c r="I323">
        <f>IFERROR(__xludf.DUMMYFUNCTION("""COMPUTED_VALUE"""),"R")</f>
        <v/>
      </c>
      <c r="J323">
        <f>IFERROR(__xludf.DUMMYFUNCTION("""COMPUTED_VALUE"""),9.99999999E8)</f>
        <v/>
      </c>
      <c r="K323">
        <f>IFERROR(__xludf.DUMMYFUNCTION("""COMPUTED_VALUE"""),9.99999999E8)</f>
        <v/>
      </c>
      <c r="L323">
        <f>IFERROR(__xludf.DUMMYFUNCTION("""COMPUTED_VALUE"""),"いいジャン祭交換所で使用するアイテム")</f>
        <v/>
      </c>
      <c r="N323">
        <f>IFERROR(__xludf.DUMMYFUNCTION("""COMPUTED_VALUE"""),"2026-04-17 15:00:00")</f>
        <v/>
      </c>
    </row>
    <row r="324">
      <c r="B324">
        <f>IFERROR(__xludf.DUMMYFUNCTION("""COMPUTED_VALUE"""),"error")</f>
        <v/>
      </c>
      <c r="C324">
        <f>IFERROR(__xludf.DUMMYFUNCTION("""COMPUTED_VALUE"""),"item")</f>
        <v/>
      </c>
      <c r="D324">
        <f>IFERROR(__xludf.DUMMYFUNCTION("""COMPUTED_VALUE"""),"00005")</f>
        <v/>
      </c>
      <c r="E324">
        <f>IFERROR(__xludf.DUMMYFUNCTION("""COMPUTED_VALUE"""),"item__00005")</f>
        <v/>
      </c>
      <c r="F324">
        <f>IFERROR(__xludf.DUMMYFUNCTION("""COMPUTED_VALUE"""),"item__00005")</f>
        <v/>
      </c>
      <c r="G324">
        <f>IFERROR(__xludf.DUMMYFUNCTION("""COMPUTED_VALUE"""),"item_icon_item__00005")</f>
        <v/>
      </c>
      <c r="I324">
        <f>IFERROR(__xludf.DUMMYFUNCTION("""COMPUTED_VALUE"""),"R")</f>
        <v/>
      </c>
      <c r="J324">
        <f>IFERROR(__xludf.DUMMYFUNCTION("""COMPUTED_VALUE"""),9.99999999E8)</f>
        <v/>
      </c>
      <c r="K324">
        <f>IFERROR(__xludf.DUMMYFUNCTION("""COMPUTED_VALUE"""),9.99999999E8)</f>
        <v/>
      </c>
      <c r="L324">
        <f>IFERROR(__xludf.DUMMYFUNCTION("""COMPUTED_VALUE"""),"交換所で使用するメダル")</f>
        <v/>
      </c>
      <c r="N324">
        <f>IFERROR(__xludf.DUMMYFUNCTION("""COMPUTED_VALUE"""),"2026-05-01 15:00:00")</f>
        <v/>
      </c>
    </row>
    <row r="326">
      <c r="A326">
        <f>IFERROR(__xludf.DUMMYFUNCTION("""COMPUTED_VALUE"""),"▼原画（アイコン用のIDとして発行）")</f>
        <v/>
      </c>
    </row>
    <row r="327">
      <c r="A327">
        <f>IFERROR(__xludf.DUMMYFUNCTION("""COMPUTED_VALUE"""),"glo")</f>
        <v/>
      </c>
      <c r="B327">
        <f>IFERROR(__xludf.DUMMYFUNCTION("""COMPUTED_VALUE"""),"GLOW")</f>
        <v/>
      </c>
      <c r="C327">
        <f>IFERROR(__xludf.DUMMYFUNCTION("""COMPUTED_VALUE"""),"item")</f>
        <v/>
      </c>
      <c r="D327">
        <f>IFERROR(__xludf.DUMMYFUNCTION("""COMPUTED_VALUE"""),"90000")</f>
        <v/>
      </c>
      <c r="E327">
        <f>IFERROR(__xludf.DUMMYFUNCTION("""COMPUTED_VALUE"""),"item_glo_90000")</f>
        <v/>
      </c>
      <c r="F327">
        <f>IFERROR(__xludf.DUMMYFUNCTION("""COMPUTED_VALUE"""),"item_glo_90000")</f>
        <v/>
      </c>
      <c r="G327">
        <f>IFERROR(__xludf.DUMMYFUNCTION("""COMPUTED_VALUE"""),"item_icon_item_glo_90000")</f>
        <v/>
      </c>
      <c r="H327">
        <f>IFERROR(__xludf.DUMMYFUNCTION("""COMPUTED_VALUE"""),"原画")</f>
        <v/>
      </c>
      <c r="I327">
        <f>IFERROR(__xludf.DUMMYFUNCTION("""COMPUTED_VALUE"""),"UR")</f>
        <v/>
      </c>
      <c r="J327">
        <f>IFERROR(__xludf.DUMMYFUNCTION("""COMPUTED_VALUE"""),"　1")</f>
        <v/>
      </c>
      <c r="K327">
        <f>IFERROR(__xludf.DUMMYFUNCTION("""COMPUTED_VALUE"""),1.0)</f>
        <v/>
      </c>
      <c r="M327">
        <f>IFERROR(__xludf.DUMMYFUNCTION("""COMPUTED_VALUE"""),"原画そのものを報酬に置いたときに共通で表示する際のアイコン")</f>
        <v/>
      </c>
    </row>
    <row r="329">
      <c r="A329">
        <f>IFERROR(__xludf.DUMMYFUNCTION("""COMPUTED_VALUE"""),"▼ランクマッチ専用アイテム")</f>
        <v/>
      </c>
    </row>
    <row r="330">
      <c r="A330">
        <f>IFERROR(__xludf.DUMMYFUNCTION("""COMPUTED_VALUE"""),"glo")</f>
        <v/>
      </c>
      <c r="B330">
        <f>IFERROR(__xludf.DUMMYFUNCTION("""COMPUTED_VALUE"""),"GLOW")</f>
        <v/>
      </c>
      <c r="C330">
        <f>IFERROR(__xludf.DUMMYFUNCTION("""COMPUTED_VALUE"""),"entry_item")</f>
        <v/>
      </c>
      <c r="D330">
        <f>IFERROR(__xludf.DUMMYFUNCTION("""COMPUTED_VALUE"""),"00001")</f>
        <v/>
      </c>
      <c r="E330">
        <f>IFERROR(__xludf.DUMMYFUNCTION("""COMPUTED_VALUE"""),"entry_item_glo_00001")</f>
        <v/>
      </c>
      <c r="F330">
        <f>IFERROR(__xludf.DUMMYFUNCTION("""COMPUTED_VALUE"""),"entry_item_glo_00001")</f>
        <v/>
      </c>
      <c r="G330">
        <f>IFERROR(__xludf.DUMMYFUNCTION("""COMPUTED_VALUE"""),"item_icon_entry_item_glo_00001")</f>
        <v/>
      </c>
      <c r="H330">
        <f>IFERROR(__xludf.DUMMYFUNCTION("""COMPUTED_VALUE"""),"ランクマッチチケット")</f>
        <v/>
      </c>
      <c r="I330">
        <f>IFERROR(__xludf.DUMMYFUNCTION("""COMPUTED_VALUE"""),"UR")</f>
        <v/>
      </c>
      <c r="J330">
        <f>IFERROR(__xludf.DUMMYFUNCTION("""COMPUTED_VALUE"""),9.99999999E8)</f>
        <v/>
      </c>
      <c r="K330">
        <f>IFERROR(__xludf.DUMMYFUNCTION("""COMPUTED_VALUE"""),9.99999999E8)</f>
        <v/>
      </c>
      <c r="L330">
        <f>IFERROR(__xludf.DUMMYFUNCTION("""COMPUTED_VALUE"""),"ランクマッチに挑戦するためのアイテム")</f>
        <v/>
      </c>
      <c r="M330">
        <f>IFERROR(__xludf.DUMMYFUNCTION("""COMPUTED_VALUE"""),"ランクマッチの挑戦回数を回復する")</f>
        <v/>
      </c>
      <c r="N330">
        <f>IFERROR(__xludf.DUMMYFUNCTION("""COMPUTED_VALUE"""),"2024-01-01 00:00:00")</f>
        <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M736"/>
  <sheetViews>
    <sheetView workbookViewId="0">
      <selection activeCell="A1" sqref="A1"/>
    </sheetView>
  </sheetViews>
  <sheetFormatPr baseColWidth="8" defaultRowHeight="15"/>
  <sheetData>
    <row r="1">
      <c r="A1">
        <f>IFERROR(__xludf.DUMMYFUNCTION("IMPORTRANGE(""https://docs.google.com/spreadsheets/d/1oJmkDK37Qizzdaxn4KCwh1BMwdNWuHCx3AGH8BC9yu0/edit?gid=0#gid=0"",""クエスト!A1:N1000"")"),"作品ID/イベント専用作品ID
※イベント、降臨バトルの場合は、作品ID末尾が過去に開催したものと同一の数字にならないように注意する
例えば既に「1」を使用していたら次は必ず連番で「2」を使用すること")</f>
        <v/>
      </c>
      <c r="B1">
        <f>IFERROR(__xludf.DUMMYFUNCTION("""COMPUTED_VALUE"""),"作品名")</f>
        <v/>
      </c>
      <c r="C1">
        <f>IFERROR(__xludf.DUMMYFUNCTION("""COMPUTED_VALUE"""),"クエスト難易度
or
種別")</f>
        <v/>
      </c>
      <c r="D1">
        <f>IFERROR(__xludf.DUMMYFUNCTION("""COMPUTED_VALUE"""),"クエストタイプ")</f>
        <v/>
      </c>
      <c r="E1">
        <f>IFERROR(__xludf.DUMMYFUNCTION("""COMPUTED_VALUE"""),"クエストカテゴリー")</f>
        <v/>
      </c>
      <c r="F1">
        <f>IFERROR(__xludf.DUMMYFUNCTION("""COMPUTED_VALUE"""),"クエスト_id")</f>
        <v/>
      </c>
      <c r="G1">
        <f>IFERROR(__xludf.DUMMYFUNCTION("""COMPUTED_VALUE"""),"クエスト名")</f>
        <v/>
      </c>
      <c r="H1">
        <f>IFERROR(__xludf.DUMMYFUNCTION("""COMPUTED_VALUE"""),"ステージ_id")</f>
        <v/>
      </c>
      <c r="I1">
        <f>IFERROR(__xludf.DUMMYFUNCTION("""COMPUTED_VALUE"""),"stage_id
※降臨バトルは不要")</f>
        <v/>
      </c>
      <c r="J1">
        <f>IFERROR(__xludf.DUMMYFUNCTION("""COMPUTED_VALUE"""),"ステージアイコン画像ID
※イベントや降臨バトルは不要")</f>
        <v/>
      </c>
      <c r="K1">
        <f>IFERROR(__xludf.DUMMYFUNCTION("""COMPUTED_VALUE"""),"quest_thumbnail_asset
メインクエスト毎の画像
及び
イベントクエスト毎の画像
※降臨バトルは不要")</f>
        <v/>
      </c>
      <c r="L1">
        <f>IFERROR(__xludf.DUMMYFUNCTION("""COMPUTED_VALUE"""),"リリースキー")</f>
        <v/>
      </c>
      <c r="M1">
        <f>IFERROR(__xludf.DUMMYFUNCTION("""COMPUTED_VALUE"""),"備考")</f>
        <v/>
      </c>
    </row>
    <row r="2">
      <c r="A2">
        <f>IFERROR(__xludf.DUMMYFUNCTION("""COMPUTED_VALUE"""),"▼メインクエスト（ノーマル）")</f>
        <v/>
      </c>
    </row>
    <row r="4">
      <c r="A4">
        <f>IFERROR(__xludf.DUMMYFUNCTION("""COMPUTED_VALUE"""),"spy")</f>
        <v/>
      </c>
      <c r="B4">
        <f>IFERROR(__xludf.DUMMYFUNCTION("""COMPUTED_VALUE"""),"SPY×FAMILY")</f>
        <v/>
      </c>
      <c r="C4">
        <f>IFERROR(__xludf.DUMMYFUNCTION("""COMPUTED_VALUE"""),"normal")</f>
        <v/>
      </c>
      <c r="D4">
        <f>IFERROR(__xludf.DUMMYFUNCTION("""COMPUTED_VALUE"""),"main")</f>
        <v/>
      </c>
      <c r="E4">
        <f>IFERROR(__xludf.DUMMYFUNCTION("""COMPUTED_VALUE"""),"メインクエスト")</f>
        <v/>
      </c>
      <c r="F4">
        <f>IFERROR(__xludf.DUMMYFUNCTION("""COMPUTED_VALUE"""),"quest_main_spy_normal_1")</f>
        <v/>
      </c>
      <c r="G4">
        <f>IFERROR(__xludf.DUMMYFUNCTION("""COMPUTED_VALUE"""),"1.SPY FAMILY")</f>
        <v/>
      </c>
      <c r="H4">
        <f>IFERROR(__xludf.DUMMYFUNCTION("""COMPUTED_VALUE"""),"01")</f>
        <v/>
      </c>
      <c r="I4">
        <f>IFERROR(__xludf.DUMMYFUNCTION("""COMPUTED_VALUE"""),"normal_spy_00001")</f>
        <v/>
      </c>
      <c r="J4">
        <f>IFERROR(__xludf.DUMMYFUNCTION("""COMPUTED_VALUE"""),"stage_icon_spy_normal_01")</f>
        <v/>
      </c>
      <c r="K4">
        <f>IFERROR(__xludf.DUMMYFUNCTION("""COMPUTED_VALUE"""),"quest_image_spy_1")</f>
        <v/>
      </c>
    </row>
    <row r="5">
      <c r="A5">
        <f>IFERROR(__xludf.DUMMYFUNCTION("""COMPUTED_VALUE"""),"spy")</f>
        <v/>
      </c>
      <c r="B5">
        <f>IFERROR(__xludf.DUMMYFUNCTION("""COMPUTED_VALUE"""),"SPY×FAMILY")</f>
        <v/>
      </c>
      <c r="C5">
        <f>IFERROR(__xludf.DUMMYFUNCTION("""COMPUTED_VALUE"""),"normal")</f>
        <v/>
      </c>
      <c r="D5">
        <f>IFERROR(__xludf.DUMMYFUNCTION("""COMPUTED_VALUE"""),"main")</f>
        <v/>
      </c>
      <c r="E5">
        <f>IFERROR(__xludf.DUMMYFUNCTION("""COMPUTED_VALUE"""),"メインクエスト")</f>
        <v/>
      </c>
      <c r="F5">
        <f>IFERROR(__xludf.DUMMYFUNCTION("""COMPUTED_VALUE"""),"quest_main_spy_normal_1")</f>
        <v/>
      </c>
      <c r="G5">
        <f>IFERROR(__xludf.DUMMYFUNCTION("""COMPUTED_VALUE"""),"1.SPY FAMILY")</f>
        <v/>
      </c>
      <c r="H5">
        <f>IFERROR(__xludf.DUMMYFUNCTION("""COMPUTED_VALUE"""),"02")</f>
        <v/>
      </c>
      <c r="I5">
        <f>IFERROR(__xludf.DUMMYFUNCTION("""COMPUTED_VALUE"""),"normal_spy_00002")</f>
        <v/>
      </c>
      <c r="J5">
        <f>IFERROR(__xludf.DUMMYFUNCTION("""COMPUTED_VALUE"""),"stage_icon_spy_normal_02")</f>
        <v/>
      </c>
    </row>
    <row r="6">
      <c r="A6">
        <f>IFERROR(__xludf.DUMMYFUNCTION("""COMPUTED_VALUE"""),"spy")</f>
        <v/>
      </c>
      <c r="B6">
        <f>IFERROR(__xludf.DUMMYFUNCTION("""COMPUTED_VALUE"""),"SPY×FAMILY")</f>
        <v/>
      </c>
      <c r="C6">
        <f>IFERROR(__xludf.DUMMYFUNCTION("""COMPUTED_VALUE"""),"normal")</f>
        <v/>
      </c>
      <c r="D6">
        <f>IFERROR(__xludf.DUMMYFUNCTION("""COMPUTED_VALUE"""),"main")</f>
        <v/>
      </c>
      <c r="E6">
        <f>IFERROR(__xludf.DUMMYFUNCTION("""COMPUTED_VALUE"""),"メインクエスト")</f>
        <v/>
      </c>
      <c r="F6">
        <f>IFERROR(__xludf.DUMMYFUNCTION("""COMPUTED_VALUE"""),"quest_main_spy_normal_1")</f>
        <v/>
      </c>
      <c r="G6">
        <f>IFERROR(__xludf.DUMMYFUNCTION("""COMPUTED_VALUE"""),"1.SPY FAMILY")</f>
        <v/>
      </c>
      <c r="H6">
        <f>IFERROR(__xludf.DUMMYFUNCTION("""COMPUTED_VALUE"""),"03")</f>
        <v/>
      </c>
      <c r="I6">
        <f>IFERROR(__xludf.DUMMYFUNCTION("""COMPUTED_VALUE"""),"normal_spy_00003")</f>
        <v/>
      </c>
      <c r="J6">
        <f>IFERROR(__xludf.DUMMYFUNCTION("""COMPUTED_VALUE"""),"stage_icon_spy_normal_03")</f>
        <v/>
      </c>
    </row>
    <row r="7">
      <c r="A7">
        <f>IFERROR(__xludf.DUMMYFUNCTION("""COMPUTED_VALUE"""),"spy")</f>
        <v/>
      </c>
      <c r="B7">
        <f>IFERROR(__xludf.DUMMYFUNCTION("""COMPUTED_VALUE"""),"SPY×FAMILY")</f>
        <v/>
      </c>
      <c r="C7">
        <f>IFERROR(__xludf.DUMMYFUNCTION("""COMPUTED_VALUE"""),"normal")</f>
        <v/>
      </c>
      <c r="D7">
        <f>IFERROR(__xludf.DUMMYFUNCTION("""COMPUTED_VALUE"""),"main")</f>
        <v/>
      </c>
      <c r="E7">
        <f>IFERROR(__xludf.DUMMYFUNCTION("""COMPUTED_VALUE"""),"メインクエスト")</f>
        <v/>
      </c>
      <c r="F7">
        <f>IFERROR(__xludf.DUMMYFUNCTION("""COMPUTED_VALUE"""),"quest_main_spy_normal_1")</f>
        <v/>
      </c>
      <c r="G7">
        <f>IFERROR(__xludf.DUMMYFUNCTION("""COMPUTED_VALUE"""),"1.SPY FAMILY")</f>
        <v/>
      </c>
      <c r="H7">
        <f>IFERROR(__xludf.DUMMYFUNCTION("""COMPUTED_VALUE"""),"04")</f>
        <v/>
      </c>
      <c r="I7">
        <f>IFERROR(__xludf.DUMMYFUNCTION("""COMPUTED_VALUE"""),"normal_spy_00004")</f>
        <v/>
      </c>
      <c r="J7">
        <f>IFERROR(__xludf.DUMMYFUNCTION("""COMPUTED_VALUE"""),"stage_icon_spy_normal_04")</f>
        <v/>
      </c>
    </row>
    <row r="8">
      <c r="A8">
        <f>IFERROR(__xludf.DUMMYFUNCTION("""COMPUTED_VALUE"""),"spy")</f>
        <v/>
      </c>
      <c r="B8">
        <f>IFERROR(__xludf.DUMMYFUNCTION("""COMPUTED_VALUE"""),"SPY×FAMILY")</f>
        <v/>
      </c>
      <c r="C8">
        <f>IFERROR(__xludf.DUMMYFUNCTION("""COMPUTED_VALUE"""),"normal")</f>
        <v/>
      </c>
      <c r="D8">
        <f>IFERROR(__xludf.DUMMYFUNCTION("""COMPUTED_VALUE"""),"main")</f>
        <v/>
      </c>
      <c r="E8">
        <f>IFERROR(__xludf.DUMMYFUNCTION("""COMPUTED_VALUE"""),"メインクエスト")</f>
        <v/>
      </c>
      <c r="F8">
        <f>IFERROR(__xludf.DUMMYFUNCTION("""COMPUTED_VALUE"""),"quest_main_spy_normal_1")</f>
        <v/>
      </c>
      <c r="G8">
        <f>IFERROR(__xludf.DUMMYFUNCTION("""COMPUTED_VALUE"""),"1.SPY FAMILY")</f>
        <v/>
      </c>
      <c r="H8">
        <f>IFERROR(__xludf.DUMMYFUNCTION("""COMPUTED_VALUE"""),"05")</f>
        <v/>
      </c>
      <c r="I8">
        <f>IFERROR(__xludf.DUMMYFUNCTION("""COMPUTED_VALUE"""),"normal_spy_00005")</f>
        <v/>
      </c>
      <c r="J8">
        <f>IFERROR(__xludf.DUMMYFUNCTION("""COMPUTED_VALUE"""),"stage_icon_spy_normal_05")</f>
        <v/>
      </c>
    </row>
    <row r="9">
      <c r="A9">
        <f>IFERROR(__xludf.DUMMYFUNCTION("""COMPUTED_VALUE"""),"spy")</f>
        <v/>
      </c>
      <c r="B9">
        <f>IFERROR(__xludf.DUMMYFUNCTION("""COMPUTED_VALUE"""),"SPY×FAMILY")</f>
        <v/>
      </c>
      <c r="C9">
        <f>IFERROR(__xludf.DUMMYFUNCTION("""COMPUTED_VALUE"""),"normal")</f>
        <v/>
      </c>
      <c r="D9">
        <f>IFERROR(__xludf.DUMMYFUNCTION("""COMPUTED_VALUE"""),"main")</f>
        <v/>
      </c>
      <c r="E9">
        <f>IFERROR(__xludf.DUMMYFUNCTION("""COMPUTED_VALUE"""),"メインクエスト")</f>
        <v/>
      </c>
      <c r="F9">
        <f>IFERROR(__xludf.DUMMYFUNCTION("""COMPUTED_VALUE"""),"quest_main_spy_normal_1")</f>
        <v/>
      </c>
      <c r="G9">
        <f>IFERROR(__xludf.DUMMYFUNCTION("""COMPUTED_VALUE"""),"1.SPY FAMILY")</f>
        <v/>
      </c>
      <c r="H9">
        <f>IFERROR(__xludf.DUMMYFUNCTION("""COMPUTED_VALUE"""),"06")</f>
        <v/>
      </c>
      <c r="I9">
        <f>IFERROR(__xludf.DUMMYFUNCTION("""COMPUTED_VALUE"""),"normal_spy_00006")</f>
        <v/>
      </c>
      <c r="J9">
        <f>IFERROR(__xludf.DUMMYFUNCTION("""COMPUTED_VALUE"""),"stage_icon_spy_normal_06")</f>
        <v/>
      </c>
    </row>
    <row r="11">
      <c r="A11">
        <f>IFERROR(__xludf.DUMMYFUNCTION("""COMPUTED_VALUE"""),"gom")</f>
        <v/>
      </c>
      <c r="B11">
        <f>IFERROR(__xludf.DUMMYFUNCTION("""COMPUTED_VALUE"""),"姫様“拷問”の時間です")</f>
        <v/>
      </c>
      <c r="C11">
        <f>IFERROR(__xludf.DUMMYFUNCTION("""COMPUTED_VALUE"""),"normal")</f>
        <v/>
      </c>
      <c r="D11">
        <f>IFERROR(__xludf.DUMMYFUNCTION("""COMPUTED_VALUE"""),"main")</f>
        <v/>
      </c>
      <c r="E11">
        <f>IFERROR(__xludf.DUMMYFUNCTION("""COMPUTED_VALUE"""),"メインクエスト")</f>
        <v/>
      </c>
      <c r="F11">
        <f>IFERROR(__xludf.DUMMYFUNCTION("""COMPUTED_VALUE"""),"quest_main_gom_normal_2")</f>
        <v/>
      </c>
      <c r="G11">
        <f>IFERROR(__xludf.DUMMYFUNCTION("""COMPUTED_VALUE"""),"2.姫様“拷問”の時間です")</f>
        <v/>
      </c>
      <c r="H11">
        <f>IFERROR(__xludf.DUMMYFUNCTION("""COMPUTED_VALUE"""),"01")</f>
        <v/>
      </c>
      <c r="I11">
        <f>IFERROR(__xludf.DUMMYFUNCTION("""COMPUTED_VALUE"""),"normal_gom_00001")</f>
        <v/>
      </c>
      <c r="J11">
        <f>IFERROR(__xludf.DUMMYFUNCTION("""COMPUTED_VALUE"""),"stage_icon_gom_normal_01")</f>
        <v/>
      </c>
      <c r="K11">
        <f>IFERROR(__xludf.DUMMYFUNCTION("""COMPUTED_VALUE"""),"quest_image_gom_1")</f>
        <v/>
      </c>
    </row>
    <row r="12">
      <c r="A12">
        <f>IFERROR(__xludf.DUMMYFUNCTION("""COMPUTED_VALUE"""),"gom")</f>
        <v/>
      </c>
      <c r="B12">
        <f>IFERROR(__xludf.DUMMYFUNCTION("""COMPUTED_VALUE"""),"姫様“拷問”の時間です")</f>
        <v/>
      </c>
      <c r="C12">
        <f>IFERROR(__xludf.DUMMYFUNCTION("""COMPUTED_VALUE"""),"normal")</f>
        <v/>
      </c>
      <c r="D12">
        <f>IFERROR(__xludf.DUMMYFUNCTION("""COMPUTED_VALUE"""),"main")</f>
        <v/>
      </c>
      <c r="E12">
        <f>IFERROR(__xludf.DUMMYFUNCTION("""COMPUTED_VALUE"""),"メインクエスト")</f>
        <v/>
      </c>
      <c r="F12">
        <f>IFERROR(__xludf.DUMMYFUNCTION("""COMPUTED_VALUE"""),"quest_main_gom_normal_2")</f>
        <v/>
      </c>
      <c r="G12">
        <f>IFERROR(__xludf.DUMMYFUNCTION("""COMPUTED_VALUE"""),"2.姫様“拷問”の時間です")</f>
        <v/>
      </c>
      <c r="H12">
        <f>IFERROR(__xludf.DUMMYFUNCTION("""COMPUTED_VALUE"""),"02")</f>
        <v/>
      </c>
      <c r="I12">
        <f>IFERROR(__xludf.DUMMYFUNCTION("""COMPUTED_VALUE"""),"normal_gom_00002")</f>
        <v/>
      </c>
      <c r="J12">
        <f>IFERROR(__xludf.DUMMYFUNCTION("""COMPUTED_VALUE"""),"stage_icon_gom_normal_02")</f>
        <v/>
      </c>
    </row>
    <row r="13">
      <c r="A13">
        <f>IFERROR(__xludf.DUMMYFUNCTION("""COMPUTED_VALUE"""),"gom")</f>
        <v/>
      </c>
      <c r="B13">
        <f>IFERROR(__xludf.DUMMYFUNCTION("""COMPUTED_VALUE"""),"姫様“拷問”の時間です")</f>
        <v/>
      </c>
      <c r="C13">
        <f>IFERROR(__xludf.DUMMYFUNCTION("""COMPUTED_VALUE"""),"normal")</f>
        <v/>
      </c>
      <c r="D13">
        <f>IFERROR(__xludf.DUMMYFUNCTION("""COMPUTED_VALUE"""),"main")</f>
        <v/>
      </c>
      <c r="E13">
        <f>IFERROR(__xludf.DUMMYFUNCTION("""COMPUTED_VALUE"""),"メインクエスト")</f>
        <v/>
      </c>
      <c r="F13">
        <f>IFERROR(__xludf.DUMMYFUNCTION("""COMPUTED_VALUE"""),"quest_main_gom_normal_2")</f>
        <v/>
      </c>
      <c r="G13">
        <f>IFERROR(__xludf.DUMMYFUNCTION("""COMPUTED_VALUE"""),"2.姫様“拷問”の時間です")</f>
        <v/>
      </c>
      <c r="H13">
        <f>IFERROR(__xludf.DUMMYFUNCTION("""COMPUTED_VALUE"""),"03")</f>
        <v/>
      </c>
      <c r="I13">
        <f>IFERROR(__xludf.DUMMYFUNCTION("""COMPUTED_VALUE"""),"normal_gom_00003")</f>
        <v/>
      </c>
      <c r="J13">
        <f>IFERROR(__xludf.DUMMYFUNCTION("""COMPUTED_VALUE"""),"stage_icon_gom_normal_03")</f>
        <v/>
      </c>
    </row>
    <row r="14">
      <c r="A14">
        <f>IFERROR(__xludf.DUMMYFUNCTION("""COMPUTED_VALUE"""),"gom")</f>
        <v/>
      </c>
      <c r="B14">
        <f>IFERROR(__xludf.DUMMYFUNCTION("""COMPUTED_VALUE"""),"姫様“拷問”の時間です")</f>
        <v/>
      </c>
      <c r="C14">
        <f>IFERROR(__xludf.DUMMYFUNCTION("""COMPUTED_VALUE"""),"normal")</f>
        <v/>
      </c>
      <c r="D14">
        <f>IFERROR(__xludf.DUMMYFUNCTION("""COMPUTED_VALUE"""),"main")</f>
        <v/>
      </c>
      <c r="E14">
        <f>IFERROR(__xludf.DUMMYFUNCTION("""COMPUTED_VALUE"""),"メインクエスト")</f>
        <v/>
      </c>
      <c r="F14">
        <f>IFERROR(__xludf.DUMMYFUNCTION("""COMPUTED_VALUE"""),"quest_main_gom_normal_2")</f>
        <v/>
      </c>
      <c r="G14">
        <f>IFERROR(__xludf.DUMMYFUNCTION("""COMPUTED_VALUE"""),"2.姫様“拷問”の時間です")</f>
        <v/>
      </c>
      <c r="H14">
        <f>IFERROR(__xludf.DUMMYFUNCTION("""COMPUTED_VALUE"""),"04")</f>
        <v/>
      </c>
      <c r="I14">
        <f>IFERROR(__xludf.DUMMYFUNCTION("""COMPUTED_VALUE"""),"normal_gom_00004")</f>
        <v/>
      </c>
      <c r="J14">
        <f>IFERROR(__xludf.DUMMYFUNCTION("""COMPUTED_VALUE"""),"stage_icon_gom_normal_04")</f>
        <v/>
      </c>
    </row>
    <row r="15">
      <c r="A15">
        <f>IFERROR(__xludf.DUMMYFUNCTION("""COMPUTED_VALUE"""),"gom")</f>
        <v/>
      </c>
      <c r="B15">
        <f>IFERROR(__xludf.DUMMYFUNCTION("""COMPUTED_VALUE"""),"姫様“拷問”の時間です")</f>
        <v/>
      </c>
      <c r="C15">
        <f>IFERROR(__xludf.DUMMYFUNCTION("""COMPUTED_VALUE"""),"normal")</f>
        <v/>
      </c>
      <c r="D15">
        <f>IFERROR(__xludf.DUMMYFUNCTION("""COMPUTED_VALUE"""),"main")</f>
        <v/>
      </c>
      <c r="E15">
        <f>IFERROR(__xludf.DUMMYFUNCTION("""COMPUTED_VALUE"""),"メインクエスト")</f>
        <v/>
      </c>
      <c r="F15">
        <f>IFERROR(__xludf.DUMMYFUNCTION("""COMPUTED_VALUE"""),"quest_main_gom_normal_2")</f>
        <v/>
      </c>
      <c r="G15">
        <f>IFERROR(__xludf.DUMMYFUNCTION("""COMPUTED_VALUE"""),"2.姫様“拷問”の時間です")</f>
        <v/>
      </c>
      <c r="H15">
        <f>IFERROR(__xludf.DUMMYFUNCTION("""COMPUTED_VALUE"""),"05")</f>
        <v/>
      </c>
      <c r="I15">
        <f>IFERROR(__xludf.DUMMYFUNCTION("""COMPUTED_VALUE"""),"normal_gom_00005")</f>
        <v/>
      </c>
      <c r="J15">
        <f>IFERROR(__xludf.DUMMYFUNCTION("""COMPUTED_VALUE"""),"stage_icon_gom_normal_05")</f>
        <v/>
      </c>
    </row>
    <row r="16">
      <c r="A16">
        <f>IFERROR(__xludf.DUMMYFUNCTION("""COMPUTED_VALUE"""),"gom")</f>
        <v/>
      </c>
      <c r="B16">
        <f>IFERROR(__xludf.DUMMYFUNCTION("""COMPUTED_VALUE"""),"姫様“拷問”の時間です")</f>
        <v/>
      </c>
      <c r="C16">
        <f>IFERROR(__xludf.DUMMYFUNCTION("""COMPUTED_VALUE"""),"normal")</f>
        <v/>
      </c>
      <c r="D16">
        <f>IFERROR(__xludf.DUMMYFUNCTION("""COMPUTED_VALUE"""),"main")</f>
        <v/>
      </c>
      <c r="E16">
        <f>IFERROR(__xludf.DUMMYFUNCTION("""COMPUTED_VALUE"""),"メインクエスト")</f>
        <v/>
      </c>
      <c r="F16">
        <f>IFERROR(__xludf.DUMMYFUNCTION("""COMPUTED_VALUE"""),"quest_main_gom_normal_2")</f>
        <v/>
      </c>
      <c r="G16">
        <f>IFERROR(__xludf.DUMMYFUNCTION("""COMPUTED_VALUE"""),"2.姫様“拷問”の時間です")</f>
        <v/>
      </c>
      <c r="H16">
        <f>IFERROR(__xludf.DUMMYFUNCTION("""COMPUTED_VALUE"""),"06")</f>
        <v/>
      </c>
      <c r="I16">
        <f>IFERROR(__xludf.DUMMYFUNCTION("""COMPUTED_VALUE"""),"normal_gom_00006")</f>
        <v/>
      </c>
      <c r="J16">
        <f>IFERROR(__xludf.DUMMYFUNCTION("""COMPUTED_VALUE"""),"stage_icon_gom_normal_06")</f>
        <v/>
      </c>
    </row>
    <row r="18">
      <c r="A18">
        <f>IFERROR(__xludf.DUMMYFUNCTION("""COMPUTED_VALUE"""),"aka")</f>
        <v/>
      </c>
      <c r="B18">
        <f>IFERROR(__xludf.DUMMYFUNCTION("""COMPUTED_VALUE"""),"ラーメン赤猫")</f>
        <v/>
      </c>
      <c r="C18">
        <f>IFERROR(__xludf.DUMMYFUNCTION("""COMPUTED_VALUE"""),"normal")</f>
        <v/>
      </c>
      <c r="D18">
        <f>IFERROR(__xludf.DUMMYFUNCTION("""COMPUTED_VALUE"""),"main")</f>
        <v/>
      </c>
      <c r="E18">
        <f>IFERROR(__xludf.DUMMYFUNCTION("""COMPUTED_VALUE"""),"メインクエスト")</f>
        <v/>
      </c>
      <c r="F18">
        <f>IFERROR(__xludf.DUMMYFUNCTION("""COMPUTED_VALUE"""),"quest_main_aka_normal_3")</f>
        <v/>
      </c>
      <c r="G18">
        <f>IFERROR(__xludf.DUMMYFUNCTION("""COMPUTED_VALUE"""),"3.ラーメン赤猫")</f>
        <v/>
      </c>
      <c r="H18">
        <f>IFERROR(__xludf.DUMMYFUNCTION("""COMPUTED_VALUE"""),"01")</f>
        <v/>
      </c>
      <c r="I18">
        <f>IFERROR(__xludf.DUMMYFUNCTION("""COMPUTED_VALUE"""),"normal_aka_00001")</f>
        <v/>
      </c>
      <c r="J18">
        <f>IFERROR(__xludf.DUMMYFUNCTION("""COMPUTED_VALUE"""),"stage_icon_aka_normal_01")</f>
        <v/>
      </c>
      <c r="K18">
        <f>IFERROR(__xludf.DUMMYFUNCTION("""COMPUTED_VALUE"""),"quest_image_aka_1")</f>
        <v/>
      </c>
    </row>
    <row r="19">
      <c r="A19">
        <f>IFERROR(__xludf.DUMMYFUNCTION("""COMPUTED_VALUE"""),"aka")</f>
        <v/>
      </c>
      <c r="B19">
        <f>IFERROR(__xludf.DUMMYFUNCTION("""COMPUTED_VALUE"""),"ラーメン赤猫")</f>
        <v/>
      </c>
      <c r="C19">
        <f>IFERROR(__xludf.DUMMYFUNCTION("""COMPUTED_VALUE"""),"normal")</f>
        <v/>
      </c>
      <c r="D19">
        <f>IFERROR(__xludf.DUMMYFUNCTION("""COMPUTED_VALUE"""),"main")</f>
        <v/>
      </c>
      <c r="E19">
        <f>IFERROR(__xludf.DUMMYFUNCTION("""COMPUTED_VALUE"""),"メインクエスト")</f>
        <v/>
      </c>
      <c r="F19">
        <f>IFERROR(__xludf.DUMMYFUNCTION("""COMPUTED_VALUE"""),"quest_main_aka_normal_3")</f>
        <v/>
      </c>
      <c r="G19">
        <f>IFERROR(__xludf.DUMMYFUNCTION("""COMPUTED_VALUE"""),"3.ラーメン赤猫")</f>
        <v/>
      </c>
      <c r="H19">
        <f>IFERROR(__xludf.DUMMYFUNCTION("""COMPUTED_VALUE"""),"02")</f>
        <v/>
      </c>
      <c r="I19">
        <f>IFERROR(__xludf.DUMMYFUNCTION("""COMPUTED_VALUE"""),"normal_aka_00002")</f>
        <v/>
      </c>
      <c r="J19">
        <f>IFERROR(__xludf.DUMMYFUNCTION("""COMPUTED_VALUE"""),"stage_icon_aka_normal_02")</f>
        <v/>
      </c>
    </row>
    <row r="20">
      <c r="A20">
        <f>IFERROR(__xludf.DUMMYFUNCTION("""COMPUTED_VALUE"""),"aka")</f>
        <v/>
      </c>
      <c r="B20">
        <f>IFERROR(__xludf.DUMMYFUNCTION("""COMPUTED_VALUE"""),"ラーメン赤猫")</f>
        <v/>
      </c>
      <c r="C20">
        <f>IFERROR(__xludf.DUMMYFUNCTION("""COMPUTED_VALUE"""),"normal")</f>
        <v/>
      </c>
      <c r="D20">
        <f>IFERROR(__xludf.DUMMYFUNCTION("""COMPUTED_VALUE"""),"main")</f>
        <v/>
      </c>
      <c r="E20">
        <f>IFERROR(__xludf.DUMMYFUNCTION("""COMPUTED_VALUE"""),"メインクエスト")</f>
        <v/>
      </c>
      <c r="F20">
        <f>IFERROR(__xludf.DUMMYFUNCTION("""COMPUTED_VALUE"""),"quest_main_aka_normal_3")</f>
        <v/>
      </c>
      <c r="G20">
        <f>IFERROR(__xludf.DUMMYFUNCTION("""COMPUTED_VALUE"""),"3.ラーメン赤猫")</f>
        <v/>
      </c>
      <c r="H20">
        <f>IFERROR(__xludf.DUMMYFUNCTION("""COMPUTED_VALUE"""),"03")</f>
        <v/>
      </c>
      <c r="I20">
        <f>IFERROR(__xludf.DUMMYFUNCTION("""COMPUTED_VALUE"""),"normal_aka_00003")</f>
        <v/>
      </c>
      <c r="J20">
        <f>IFERROR(__xludf.DUMMYFUNCTION("""COMPUTED_VALUE"""),"stage_icon_aka_normal_03")</f>
        <v/>
      </c>
    </row>
    <row r="22">
      <c r="A22">
        <f>IFERROR(__xludf.DUMMYFUNCTION("""COMPUTED_VALUE"""),"glo1")</f>
        <v/>
      </c>
      <c r="B22">
        <f>IFERROR(__xludf.DUMMYFUNCTION("""COMPUTED_VALUE"""),"GLOW")</f>
        <v/>
      </c>
      <c r="C22">
        <f>IFERROR(__xludf.DUMMYFUNCTION("""COMPUTED_VALUE"""),"normal")</f>
        <v/>
      </c>
      <c r="D22">
        <f>IFERROR(__xludf.DUMMYFUNCTION("""COMPUTED_VALUE"""),"main")</f>
        <v/>
      </c>
      <c r="E22">
        <f>IFERROR(__xludf.DUMMYFUNCTION("""COMPUTED_VALUE"""),"メインクエスト")</f>
        <v/>
      </c>
      <c r="F22">
        <f>IFERROR(__xludf.DUMMYFUNCTION("""COMPUTED_VALUE"""),"quest_main_glo1_normal_4")</f>
        <v/>
      </c>
      <c r="G22">
        <f>IFERROR(__xludf.DUMMYFUNCTION("""COMPUTED_VALUE"""),"4.リミックスクエスト Vol.1")</f>
        <v/>
      </c>
      <c r="H22">
        <f>IFERROR(__xludf.DUMMYFUNCTION("""COMPUTED_VALUE"""),"01")</f>
        <v/>
      </c>
      <c r="I22">
        <f>IFERROR(__xludf.DUMMYFUNCTION("""COMPUTED_VALUE"""),"normal_glo1_00001")</f>
        <v/>
      </c>
      <c r="J22">
        <f>IFERROR(__xludf.DUMMYFUNCTION("""COMPUTED_VALUE"""),"stage_icon_glo1_normal_01")</f>
        <v/>
      </c>
      <c r="K22">
        <f>IFERROR(__xludf.DUMMYFUNCTION("""COMPUTED_VALUE"""),"quest_image_glo1_1")</f>
        <v/>
      </c>
    </row>
    <row r="23">
      <c r="A23">
        <f>IFERROR(__xludf.DUMMYFUNCTION("""COMPUTED_VALUE"""),"glo1")</f>
        <v/>
      </c>
      <c r="B23">
        <f>IFERROR(__xludf.DUMMYFUNCTION("""COMPUTED_VALUE"""),"GLOW")</f>
        <v/>
      </c>
      <c r="C23">
        <f>IFERROR(__xludf.DUMMYFUNCTION("""COMPUTED_VALUE"""),"normal")</f>
        <v/>
      </c>
      <c r="D23">
        <f>IFERROR(__xludf.DUMMYFUNCTION("""COMPUTED_VALUE"""),"main")</f>
        <v/>
      </c>
      <c r="E23">
        <f>IFERROR(__xludf.DUMMYFUNCTION("""COMPUTED_VALUE"""),"メインクエスト")</f>
        <v/>
      </c>
      <c r="F23">
        <f>IFERROR(__xludf.DUMMYFUNCTION("""COMPUTED_VALUE"""),"quest_main_glo1_normal_4")</f>
        <v/>
      </c>
      <c r="G23">
        <f>IFERROR(__xludf.DUMMYFUNCTION("""COMPUTED_VALUE"""),"4.リミックスクエスト Vol.1")</f>
        <v/>
      </c>
      <c r="H23">
        <f>IFERROR(__xludf.DUMMYFUNCTION("""COMPUTED_VALUE"""),"02")</f>
        <v/>
      </c>
      <c r="I23">
        <f>IFERROR(__xludf.DUMMYFUNCTION("""COMPUTED_VALUE"""),"normal_glo1_00002")</f>
        <v/>
      </c>
      <c r="J23">
        <f>IFERROR(__xludf.DUMMYFUNCTION("""COMPUTED_VALUE"""),"stage_icon_glo1_normal_02")</f>
        <v/>
      </c>
    </row>
    <row r="24">
      <c r="A24">
        <f>IFERROR(__xludf.DUMMYFUNCTION("""COMPUTED_VALUE"""),"glo1")</f>
        <v/>
      </c>
      <c r="B24">
        <f>IFERROR(__xludf.DUMMYFUNCTION("""COMPUTED_VALUE"""),"GLOW")</f>
        <v/>
      </c>
      <c r="C24">
        <f>IFERROR(__xludf.DUMMYFUNCTION("""COMPUTED_VALUE"""),"normal")</f>
        <v/>
      </c>
      <c r="D24">
        <f>IFERROR(__xludf.DUMMYFUNCTION("""COMPUTED_VALUE"""),"main")</f>
        <v/>
      </c>
      <c r="E24">
        <f>IFERROR(__xludf.DUMMYFUNCTION("""COMPUTED_VALUE"""),"メインクエスト")</f>
        <v/>
      </c>
      <c r="F24">
        <f>IFERROR(__xludf.DUMMYFUNCTION("""COMPUTED_VALUE"""),"quest_main_glo1_normal_4")</f>
        <v/>
      </c>
      <c r="G24">
        <f>IFERROR(__xludf.DUMMYFUNCTION("""COMPUTED_VALUE"""),"4.リミックスクエスト Vol.1")</f>
        <v/>
      </c>
      <c r="H24">
        <f>IFERROR(__xludf.DUMMYFUNCTION("""COMPUTED_VALUE"""),"03")</f>
        <v/>
      </c>
      <c r="I24">
        <f>IFERROR(__xludf.DUMMYFUNCTION("""COMPUTED_VALUE"""),"normal_glo1_00003")</f>
        <v/>
      </c>
      <c r="J24">
        <f>IFERROR(__xludf.DUMMYFUNCTION("""COMPUTED_VALUE"""),"stage_icon_glo1_normal_03")</f>
        <v/>
      </c>
    </row>
    <row r="25">
      <c r="A25">
        <f>IFERROR(__xludf.DUMMYFUNCTION("""COMPUTED_VALUE"""),"glo1")</f>
        <v/>
      </c>
      <c r="B25">
        <f>IFERROR(__xludf.DUMMYFUNCTION("""COMPUTED_VALUE"""),"GLOW")</f>
        <v/>
      </c>
      <c r="C25">
        <f>IFERROR(__xludf.DUMMYFUNCTION("""COMPUTED_VALUE"""),"normal")</f>
        <v/>
      </c>
      <c r="D25">
        <f>IFERROR(__xludf.DUMMYFUNCTION("""COMPUTED_VALUE"""),"main")</f>
        <v/>
      </c>
      <c r="E25">
        <f>IFERROR(__xludf.DUMMYFUNCTION("""COMPUTED_VALUE"""),"メインクエスト")</f>
        <v/>
      </c>
      <c r="F25">
        <f>IFERROR(__xludf.DUMMYFUNCTION("""COMPUTED_VALUE"""),"quest_main_glo1_normal_4")</f>
        <v/>
      </c>
      <c r="G25">
        <f>IFERROR(__xludf.DUMMYFUNCTION("""COMPUTED_VALUE"""),"4.リミックスクエスト Vol.1")</f>
        <v/>
      </c>
      <c r="H25">
        <f>IFERROR(__xludf.DUMMYFUNCTION("""COMPUTED_VALUE"""),"04")</f>
        <v/>
      </c>
      <c r="I25">
        <f>IFERROR(__xludf.DUMMYFUNCTION("""COMPUTED_VALUE"""),"normal_glo1_00004")</f>
        <v/>
      </c>
      <c r="J25">
        <f>IFERROR(__xludf.DUMMYFUNCTION("""COMPUTED_VALUE"""),"stage_icon_glo1_normal_04")</f>
        <v/>
      </c>
    </row>
    <row r="26">
      <c r="A26">
        <f>IFERROR(__xludf.DUMMYFUNCTION("""COMPUTED_VALUE"""),"glo1")</f>
        <v/>
      </c>
      <c r="B26">
        <f>IFERROR(__xludf.DUMMYFUNCTION("""COMPUTED_VALUE"""),"GLOW")</f>
        <v/>
      </c>
      <c r="C26">
        <f>IFERROR(__xludf.DUMMYFUNCTION("""COMPUTED_VALUE"""),"normal")</f>
        <v/>
      </c>
      <c r="D26">
        <f>IFERROR(__xludf.DUMMYFUNCTION("""COMPUTED_VALUE"""),"main")</f>
        <v/>
      </c>
      <c r="E26">
        <f>IFERROR(__xludf.DUMMYFUNCTION("""COMPUTED_VALUE"""),"メインクエスト")</f>
        <v/>
      </c>
      <c r="F26">
        <f>IFERROR(__xludf.DUMMYFUNCTION("""COMPUTED_VALUE"""),"quest_main_glo1_normal_4")</f>
        <v/>
      </c>
      <c r="G26">
        <f>IFERROR(__xludf.DUMMYFUNCTION("""COMPUTED_VALUE"""),"4.リミックスクエスト Vol.1")</f>
        <v/>
      </c>
      <c r="H26">
        <f>IFERROR(__xludf.DUMMYFUNCTION("""COMPUTED_VALUE"""),"05")</f>
        <v/>
      </c>
      <c r="I26">
        <f>IFERROR(__xludf.DUMMYFUNCTION("""COMPUTED_VALUE"""),"normal_glo1_00005")</f>
        <v/>
      </c>
      <c r="J26">
        <f>IFERROR(__xludf.DUMMYFUNCTION("""COMPUTED_VALUE"""),"stage_icon_glo1_normal_05")</f>
        <v/>
      </c>
    </row>
    <row r="27">
      <c r="A27">
        <f>IFERROR(__xludf.DUMMYFUNCTION("""COMPUTED_VALUE"""),"glo1")</f>
        <v/>
      </c>
      <c r="B27">
        <f>IFERROR(__xludf.DUMMYFUNCTION("""COMPUTED_VALUE"""),"GLOW")</f>
        <v/>
      </c>
      <c r="C27">
        <f>IFERROR(__xludf.DUMMYFUNCTION("""COMPUTED_VALUE"""),"normal")</f>
        <v/>
      </c>
      <c r="D27">
        <f>IFERROR(__xludf.DUMMYFUNCTION("""COMPUTED_VALUE"""),"main")</f>
        <v/>
      </c>
      <c r="E27">
        <f>IFERROR(__xludf.DUMMYFUNCTION("""COMPUTED_VALUE"""),"メインクエスト")</f>
        <v/>
      </c>
      <c r="F27">
        <f>IFERROR(__xludf.DUMMYFUNCTION("""COMPUTED_VALUE"""),"quest_main_glo1_normal_4")</f>
        <v/>
      </c>
      <c r="G27">
        <f>IFERROR(__xludf.DUMMYFUNCTION("""COMPUTED_VALUE"""),"4.リミックスクエスト Vol.1")</f>
        <v/>
      </c>
      <c r="H27">
        <f>IFERROR(__xludf.DUMMYFUNCTION("""COMPUTED_VALUE"""),"06")</f>
        <v/>
      </c>
      <c r="I27">
        <f>IFERROR(__xludf.DUMMYFUNCTION("""COMPUTED_VALUE"""),"normal_glo1_00006")</f>
        <v/>
      </c>
      <c r="J27">
        <f>IFERROR(__xludf.DUMMYFUNCTION("""COMPUTED_VALUE"""),"stage_icon_glo1_normal_06")</f>
        <v/>
      </c>
    </row>
    <row r="29">
      <c r="A29">
        <f>IFERROR(__xludf.DUMMYFUNCTION("""COMPUTED_VALUE"""),"dan")</f>
        <v/>
      </c>
      <c r="B29">
        <f>IFERROR(__xludf.DUMMYFUNCTION("""COMPUTED_VALUE"""),"ダンダダン")</f>
        <v/>
      </c>
      <c r="C29">
        <f>IFERROR(__xludf.DUMMYFUNCTION("""COMPUTED_VALUE"""),"normal")</f>
        <v/>
      </c>
      <c r="D29">
        <f>IFERROR(__xludf.DUMMYFUNCTION("""COMPUTED_VALUE"""),"main")</f>
        <v/>
      </c>
      <c r="E29">
        <f>IFERROR(__xludf.DUMMYFUNCTION("""COMPUTED_VALUE"""),"メインクエスト")</f>
        <v/>
      </c>
      <c r="F29">
        <f>IFERROR(__xludf.DUMMYFUNCTION("""COMPUTED_VALUE"""),"quest_main_dan_normal_5")</f>
        <v/>
      </c>
      <c r="G29">
        <f>IFERROR(__xludf.DUMMYFUNCTION("""COMPUTED_VALUE"""),"5.ダンダダン")</f>
        <v/>
      </c>
      <c r="H29">
        <f>IFERROR(__xludf.DUMMYFUNCTION("""COMPUTED_VALUE"""),"01")</f>
        <v/>
      </c>
      <c r="I29">
        <f>IFERROR(__xludf.DUMMYFUNCTION("""COMPUTED_VALUE"""),"normal_dan_00001")</f>
        <v/>
      </c>
      <c r="J29">
        <f>IFERROR(__xludf.DUMMYFUNCTION("""COMPUTED_VALUE"""),"stage_icon_dan_normal_01")</f>
        <v/>
      </c>
      <c r="K29">
        <f>IFERROR(__xludf.DUMMYFUNCTION("""COMPUTED_VALUE"""),"quest_image_dan_1")</f>
        <v/>
      </c>
    </row>
    <row r="30">
      <c r="A30">
        <f>IFERROR(__xludf.DUMMYFUNCTION("""COMPUTED_VALUE"""),"dan")</f>
        <v/>
      </c>
      <c r="B30">
        <f>IFERROR(__xludf.DUMMYFUNCTION("""COMPUTED_VALUE"""),"ダンダダン")</f>
        <v/>
      </c>
      <c r="C30">
        <f>IFERROR(__xludf.DUMMYFUNCTION("""COMPUTED_VALUE"""),"normal")</f>
        <v/>
      </c>
      <c r="D30">
        <f>IFERROR(__xludf.DUMMYFUNCTION("""COMPUTED_VALUE"""),"main")</f>
        <v/>
      </c>
      <c r="E30">
        <f>IFERROR(__xludf.DUMMYFUNCTION("""COMPUTED_VALUE"""),"メインクエスト")</f>
        <v/>
      </c>
      <c r="F30">
        <f>IFERROR(__xludf.DUMMYFUNCTION("""COMPUTED_VALUE"""),"quest_main_dan_normal_5")</f>
        <v/>
      </c>
      <c r="G30">
        <f>IFERROR(__xludf.DUMMYFUNCTION("""COMPUTED_VALUE"""),"5.ダンダダン")</f>
        <v/>
      </c>
      <c r="H30">
        <f>IFERROR(__xludf.DUMMYFUNCTION("""COMPUTED_VALUE"""),"02")</f>
        <v/>
      </c>
      <c r="I30">
        <f>IFERROR(__xludf.DUMMYFUNCTION("""COMPUTED_VALUE"""),"normal_dan_00002")</f>
        <v/>
      </c>
      <c r="J30">
        <f>IFERROR(__xludf.DUMMYFUNCTION("""COMPUTED_VALUE"""),"stage_icon_dan_normal_02")</f>
        <v/>
      </c>
    </row>
    <row r="31">
      <c r="A31">
        <f>IFERROR(__xludf.DUMMYFUNCTION("""COMPUTED_VALUE"""),"dan")</f>
        <v/>
      </c>
      <c r="B31">
        <f>IFERROR(__xludf.DUMMYFUNCTION("""COMPUTED_VALUE"""),"ダンダダン")</f>
        <v/>
      </c>
      <c r="C31">
        <f>IFERROR(__xludf.DUMMYFUNCTION("""COMPUTED_VALUE"""),"normal")</f>
        <v/>
      </c>
      <c r="D31">
        <f>IFERROR(__xludf.DUMMYFUNCTION("""COMPUTED_VALUE"""),"main")</f>
        <v/>
      </c>
      <c r="E31">
        <f>IFERROR(__xludf.DUMMYFUNCTION("""COMPUTED_VALUE"""),"メインクエスト")</f>
        <v/>
      </c>
      <c r="F31">
        <f>IFERROR(__xludf.DUMMYFUNCTION("""COMPUTED_VALUE"""),"quest_main_dan_normal_5")</f>
        <v/>
      </c>
      <c r="G31">
        <f>IFERROR(__xludf.DUMMYFUNCTION("""COMPUTED_VALUE"""),"5.ダンダダン")</f>
        <v/>
      </c>
      <c r="H31">
        <f>IFERROR(__xludf.DUMMYFUNCTION("""COMPUTED_VALUE"""),"03")</f>
        <v/>
      </c>
      <c r="I31">
        <f>IFERROR(__xludf.DUMMYFUNCTION("""COMPUTED_VALUE"""),"normal_dan_00003")</f>
        <v/>
      </c>
      <c r="J31">
        <f>IFERROR(__xludf.DUMMYFUNCTION("""COMPUTED_VALUE"""),"stage_icon_dan_normal_03")</f>
        <v/>
      </c>
    </row>
    <row r="32">
      <c r="A32">
        <f>IFERROR(__xludf.DUMMYFUNCTION("""COMPUTED_VALUE"""),"dan")</f>
        <v/>
      </c>
      <c r="B32">
        <f>IFERROR(__xludf.DUMMYFUNCTION("""COMPUTED_VALUE"""),"ダンダダン")</f>
        <v/>
      </c>
      <c r="C32">
        <f>IFERROR(__xludf.DUMMYFUNCTION("""COMPUTED_VALUE"""),"normal")</f>
        <v/>
      </c>
      <c r="D32">
        <f>IFERROR(__xludf.DUMMYFUNCTION("""COMPUTED_VALUE"""),"main")</f>
        <v/>
      </c>
      <c r="E32">
        <f>IFERROR(__xludf.DUMMYFUNCTION("""COMPUTED_VALUE"""),"メインクエスト")</f>
        <v/>
      </c>
      <c r="F32">
        <f>IFERROR(__xludf.DUMMYFUNCTION("""COMPUTED_VALUE"""),"quest_main_dan_normal_5")</f>
        <v/>
      </c>
      <c r="G32">
        <f>IFERROR(__xludf.DUMMYFUNCTION("""COMPUTED_VALUE"""),"5.ダンダダン")</f>
        <v/>
      </c>
      <c r="H32">
        <f>IFERROR(__xludf.DUMMYFUNCTION("""COMPUTED_VALUE"""),"04")</f>
        <v/>
      </c>
      <c r="I32">
        <f>IFERROR(__xludf.DUMMYFUNCTION("""COMPUTED_VALUE"""),"normal_dan_00004")</f>
        <v/>
      </c>
      <c r="J32">
        <f>IFERROR(__xludf.DUMMYFUNCTION("""COMPUTED_VALUE"""),"stage_icon_dan_normal_04")</f>
        <v/>
      </c>
    </row>
    <row r="33">
      <c r="A33">
        <f>IFERROR(__xludf.DUMMYFUNCTION("""COMPUTED_VALUE"""),"dan")</f>
        <v/>
      </c>
      <c r="B33">
        <f>IFERROR(__xludf.DUMMYFUNCTION("""COMPUTED_VALUE"""),"ダンダダン")</f>
        <v/>
      </c>
      <c r="C33">
        <f>IFERROR(__xludf.DUMMYFUNCTION("""COMPUTED_VALUE"""),"normal")</f>
        <v/>
      </c>
      <c r="D33">
        <f>IFERROR(__xludf.DUMMYFUNCTION("""COMPUTED_VALUE"""),"main")</f>
        <v/>
      </c>
      <c r="E33">
        <f>IFERROR(__xludf.DUMMYFUNCTION("""COMPUTED_VALUE"""),"メインクエスト")</f>
        <v/>
      </c>
      <c r="F33">
        <f>IFERROR(__xludf.DUMMYFUNCTION("""COMPUTED_VALUE"""),"quest_main_dan_normal_5")</f>
        <v/>
      </c>
      <c r="G33">
        <f>IFERROR(__xludf.DUMMYFUNCTION("""COMPUTED_VALUE"""),"5.ダンダダン")</f>
        <v/>
      </c>
      <c r="H33">
        <f>IFERROR(__xludf.DUMMYFUNCTION("""COMPUTED_VALUE"""),"05")</f>
        <v/>
      </c>
      <c r="I33">
        <f>IFERROR(__xludf.DUMMYFUNCTION("""COMPUTED_VALUE"""),"normal_dan_00005")</f>
        <v/>
      </c>
      <c r="J33">
        <f>IFERROR(__xludf.DUMMYFUNCTION("""COMPUTED_VALUE"""),"stage_icon_dan_normal_05")</f>
        <v/>
      </c>
    </row>
    <row r="34">
      <c r="A34">
        <f>IFERROR(__xludf.DUMMYFUNCTION("""COMPUTED_VALUE"""),"dan")</f>
        <v/>
      </c>
      <c r="B34">
        <f>IFERROR(__xludf.DUMMYFUNCTION("""COMPUTED_VALUE"""),"ダンダダン")</f>
        <v/>
      </c>
      <c r="C34">
        <f>IFERROR(__xludf.DUMMYFUNCTION("""COMPUTED_VALUE"""),"normal")</f>
        <v/>
      </c>
      <c r="D34">
        <f>IFERROR(__xludf.DUMMYFUNCTION("""COMPUTED_VALUE"""),"main")</f>
        <v/>
      </c>
      <c r="E34">
        <f>IFERROR(__xludf.DUMMYFUNCTION("""COMPUTED_VALUE"""),"メインクエスト")</f>
        <v/>
      </c>
      <c r="F34">
        <f>IFERROR(__xludf.DUMMYFUNCTION("""COMPUTED_VALUE"""),"quest_main_dan_normal_5")</f>
        <v/>
      </c>
      <c r="G34">
        <f>IFERROR(__xludf.DUMMYFUNCTION("""COMPUTED_VALUE"""),"5.ダンダダン")</f>
        <v/>
      </c>
      <c r="H34">
        <f>IFERROR(__xludf.DUMMYFUNCTION("""COMPUTED_VALUE"""),"06")</f>
        <v/>
      </c>
      <c r="I34">
        <f>IFERROR(__xludf.DUMMYFUNCTION("""COMPUTED_VALUE"""),"normal_dan_00006")</f>
        <v/>
      </c>
      <c r="J34">
        <f>IFERROR(__xludf.DUMMYFUNCTION("""COMPUTED_VALUE"""),"stage_icon_dan_normal_06")</f>
        <v/>
      </c>
    </row>
    <row r="36">
      <c r="A36">
        <f>IFERROR(__xludf.DUMMYFUNCTION("""COMPUTED_VALUE"""),"jig")</f>
        <v/>
      </c>
      <c r="B36">
        <f>IFERROR(__xludf.DUMMYFUNCTION("""COMPUTED_VALUE"""),"地獄楽")</f>
        <v/>
      </c>
      <c r="C36">
        <f>IFERROR(__xludf.DUMMYFUNCTION("""COMPUTED_VALUE"""),"normal")</f>
        <v/>
      </c>
      <c r="D36">
        <f>IFERROR(__xludf.DUMMYFUNCTION("""COMPUTED_VALUE"""),"main")</f>
        <v/>
      </c>
      <c r="E36">
        <f>IFERROR(__xludf.DUMMYFUNCTION("""COMPUTED_VALUE"""),"メインクエスト")</f>
        <v/>
      </c>
      <c r="F36">
        <f>IFERROR(__xludf.DUMMYFUNCTION("""COMPUTED_VALUE"""),"quest_main_jig_normal_6")</f>
        <v/>
      </c>
      <c r="G36">
        <f>IFERROR(__xludf.DUMMYFUNCTION("""COMPUTED_VALUE"""),"6.地獄楽")</f>
        <v/>
      </c>
      <c r="H36">
        <f>IFERROR(__xludf.DUMMYFUNCTION("""COMPUTED_VALUE"""),"01")</f>
        <v/>
      </c>
      <c r="I36">
        <f>IFERROR(__xludf.DUMMYFUNCTION("""COMPUTED_VALUE"""),"normal_jig_00001")</f>
        <v/>
      </c>
      <c r="J36">
        <f>IFERROR(__xludf.DUMMYFUNCTION("""COMPUTED_VALUE"""),"stage_icon_jig_normal_01")</f>
        <v/>
      </c>
      <c r="K36">
        <f>IFERROR(__xludf.DUMMYFUNCTION("""COMPUTED_VALUE"""),"quest_image_jig_1")</f>
        <v/>
      </c>
    </row>
    <row r="37">
      <c r="A37">
        <f>IFERROR(__xludf.DUMMYFUNCTION("""COMPUTED_VALUE"""),"jig")</f>
        <v/>
      </c>
      <c r="B37">
        <f>IFERROR(__xludf.DUMMYFUNCTION("""COMPUTED_VALUE"""),"地獄楽")</f>
        <v/>
      </c>
      <c r="C37">
        <f>IFERROR(__xludf.DUMMYFUNCTION("""COMPUTED_VALUE"""),"normal")</f>
        <v/>
      </c>
      <c r="D37">
        <f>IFERROR(__xludf.DUMMYFUNCTION("""COMPUTED_VALUE"""),"main")</f>
        <v/>
      </c>
      <c r="E37">
        <f>IFERROR(__xludf.DUMMYFUNCTION("""COMPUTED_VALUE"""),"メインクエスト")</f>
        <v/>
      </c>
      <c r="F37">
        <f>IFERROR(__xludf.DUMMYFUNCTION("""COMPUTED_VALUE"""),"quest_main_jig_normal_6")</f>
        <v/>
      </c>
      <c r="G37">
        <f>IFERROR(__xludf.DUMMYFUNCTION("""COMPUTED_VALUE"""),"6.地獄楽")</f>
        <v/>
      </c>
      <c r="H37">
        <f>IFERROR(__xludf.DUMMYFUNCTION("""COMPUTED_VALUE"""),"02")</f>
        <v/>
      </c>
      <c r="I37">
        <f>IFERROR(__xludf.DUMMYFUNCTION("""COMPUTED_VALUE"""),"normal_jig_00002")</f>
        <v/>
      </c>
      <c r="J37">
        <f>IFERROR(__xludf.DUMMYFUNCTION("""COMPUTED_VALUE"""),"stage_icon_jig_normal_02")</f>
        <v/>
      </c>
    </row>
    <row r="38">
      <c r="A38">
        <f>IFERROR(__xludf.DUMMYFUNCTION("""COMPUTED_VALUE"""),"jig")</f>
        <v/>
      </c>
      <c r="B38">
        <f>IFERROR(__xludf.DUMMYFUNCTION("""COMPUTED_VALUE"""),"地獄楽")</f>
        <v/>
      </c>
      <c r="C38">
        <f>IFERROR(__xludf.DUMMYFUNCTION("""COMPUTED_VALUE"""),"normal")</f>
        <v/>
      </c>
      <c r="D38">
        <f>IFERROR(__xludf.DUMMYFUNCTION("""COMPUTED_VALUE"""),"main")</f>
        <v/>
      </c>
      <c r="E38">
        <f>IFERROR(__xludf.DUMMYFUNCTION("""COMPUTED_VALUE"""),"メインクエスト")</f>
        <v/>
      </c>
      <c r="F38">
        <f>IFERROR(__xludf.DUMMYFUNCTION("""COMPUTED_VALUE"""),"quest_main_jig_normal_6")</f>
        <v/>
      </c>
      <c r="G38">
        <f>IFERROR(__xludf.DUMMYFUNCTION("""COMPUTED_VALUE"""),"6.地獄楽")</f>
        <v/>
      </c>
      <c r="H38">
        <f>IFERROR(__xludf.DUMMYFUNCTION("""COMPUTED_VALUE"""),"03")</f>
        <v/>
      </c>
      <c r="I38">
        <f>IFERROR(__xludf.DUMMYFUNCTION("""COMPUTED_VALUE"""),"normal_jig_00003")</f>
        <v/>
      </c>
      <c r="J38">
        <f>IFERROR(__xludf.DUMMYFUNCTION("""COMPUTED_VALUE"""),"stage_icon_jig_normal_03")</f>
        <v/>
      </c>
    </row>
    <row r="39">
      <c r="A39">
        <f>IFERROR(__xludf.DUMMYFUNCTION("""COMPUTED_VALUE"""),"jig")</f>
        <v/>
      </c>
      <c r="B39">
        <f>IFERROR(__xludf.DUMMYFUNCTION("""COMPUTED_VALUE"""),"地獄楽")</f>
        <v/>
      </c>
      <c r="C39">
        <f>IFERROR(__xludf.DUMMYFUNCTION("""COMPUTED_VALUE"""),"normal")</f>
        <v/>
      </c>
      <c r="D39">
        <f>IFERROR(__xludf.DUMMYFUNCTION("""COMPUTED_VALUE"""),"main")</f>
        <v/>
      </c>
      <c r="E39">
        <f>IFERROR(__xludf.DUMMYFUNCTION("""COMPUTED_VALUE"""),"メインクエスト")</f>
        <v/>
      </c>
      <c r="F39">
        <f>IFERROR(__xludf.DUMMYFUNCTION("""COMPUTED_VALUE"""),"quest_main_jig_normal_6")</f>
        <v/>
      </c>
      <c r="G39">
        <f>IFERROR(__xludf.DUMMYFUNCTION("""COMPUTED_VALUE"""),"6.地獄楽")</f>
        <v/>
      </c>
      <c r="H39">
        <f>IFERROR(__xludf.DUMMYFUNCTION("""COMPUTED_VALUE"""),"04")</f>
        <v/>
      </c>
      <c r="I39">
        <f>IFERROR(__xludf.DUMMYFUNCTION("""COMPUTED_VALUE"""),"normal_jig_00004")</f>
        <v/>
      </c>
      <c r="J39">
        <f>IFERROR(__xludf.DUMMYFUNCTION("""COMPUTED_VALUE"""),"stage_icon_jig_normal_04")</f>
        <v/>
      </c>
    </row>
    <row r="40">
      <c r="A40">
        <f>IFERROR(__xludf.DUMMYFUNCTION("""COMPUTED_VALUE"""),"jig")</f>
        <v/>
      </c>
      <c r="B40">
        <f>IFERROR(__xludf.DUMMYFUNCTION("""COMPUTED_VALUE"""),"地獄楽")</f>
        <v/>
      </c>
      <c r="C40">
        <f>IFERROR(__xludf.DUMMYFUNCTION("""COMPUTED_VALUE"""),"normal")</f>
        <v/>
      </c>
      <c r="D40">
        <f>IFERROR(__xludf.DUMMYFUNCTION("""COMPUTED_VALUE"""),"main")</f>
        <v/>
      </c>
      <c r="E40">
        <f>IFERROR(__xludf.DUMMYFUNCTION("""COMPUTED_VALUE"""),"メインクエスト")</f>
        <v/>
      </c>
      <c r="F40">
        <f>IFERROR(__xludf.DUMMYFUNCTION("""COMPUTED_VALUE"""),"quest_main_jig_normal_6")</f>
        <v/>
      </c>
      <c r="G40">
        <f>IFERROR(__xludf.DUMMYFUNCTION("""COMPUTED_VALUE"""),"6.地獄楽")</f>
        <v/>
      </c>
      <c r="H40">
        <f>IFERROR(__xludf.DUMMYFUNCTION("""COMPUTED_VALUE"""),"05")</f>
        <v/>
      </c>
      <c r="I40">
        <f>IFERROR(__xludf.DUMMYFUNCTION("""COMPUTED_VALUE"""),"normal_jig_00005")</f>
        <v/>
      </c>
      <c r="J40">
        <f>IFERROR(__xludf.DUMMYFUNCTION("""COMPUTED_VALUE"""),"stage_icon_jig_normal_05")</f>
        <v/>
      </c>
    </row>
    <row r="41">
      <c r="A41">
        <f>IFERROR(__xludf.DUMMYFUNCTION("""COMPUTED_VALUE"""),"jig")</f>
        <v/>
      </c>
      <c r="B41">
        <f>IFERROR(__xludf.DUMMYFUNCTION("""COMPUTED_VALUE"""),"地獄楽")</f>
        <v/>
      </c>
      <c r="C41">
        <f>IFERROR(__xludf.DUMMYFUNCTION("""COMPUTED_VALUE"""),"normal")</f>
        <v/>
      </c>
      <c r="D41">
        <f>IFERROR(__xludf.DUMMYFUNCTION("""COMPUTED_VALUE"""),"main")</f>
        <v/>
      </c>
      <c r="E41">
        <f>IFERROR(__xludf.DUMMYFUNCTION("""COMPUTED_VALUE"""),"メインクエスト")</f>
        <v/>
      </c>
      <c r="F41">
        <f>IFERROR(__xludf.DUMMYFUNCTION("""COMPUTED_VALUE"""),"quest_main_jig_normal_6")</f>
        <v/>
      </c>
      <c r="G41">
        <f>IFERROR(__xludf.DUMMYFUNCTION("""COMPUTED_VALUE"""),"6.地獄楽")</f>
        <v/>
      </c>
      <c r="H41">
        <f>IFERROR(__xludf.DUMMYFUNCTION("""COMPUTED_VALUE"""),"06")</f>
        <v/>
      </c>
      <c r="I41">
        <f>IFERROR(__xludf.DUMMYFUNCTION("""COMPUTED_VALUE"""),"normal_jig_00006")</f>
        <v/>
      </c>
      <c r="J41">
        <f>IFERROR(__xludf.DUMMYFUNCTION("""COMPUTED_VALUE"""),"stage_icon_jig_normal_06")</f>
        <v/>
      </c>
    </row>
    <row r="43">
      <c r="A43">
        <f>IFERROR(__xludf.DUMMYFUNCTION("""COMPUTED_VALUE"""),"tak")</f>
        <v/>
      </c>
      <c r="B43">
        <f>IFERROR(__xludf.DUMMYFUNCTION("""COMPUTED_VALUE"""),"タコピーの原罪")</f>
        <v/>
      </c>
      <c r="C43">
        <f>IFERROR(__xludf.DUMMYFUNCTION("""COMPUTED_VALUE"""),"normal")</f>
        <v/>
      </c>
      <c r="D43">
        <f>IFERROR(__xludf.DUMMYFUNCTION("""COMPUTED_VALUE"""),"main")</f>
        <v/>
      </c>
      <c r="E43">
        <f>IFERROR(__xludf.DUMMYFUNCTION("""COMPUTED_VALUE"""),"メインクエスト")</f>
        <v/>
      </c>
      <c r="F43">
        <f>IFERROR(__xludf.DUMMYFUNCTION("""COMPUTED_VALUE"""),"quest_main_tak_normal_7")</f>
        <v/>
      </c>
      <c r="G43">
        <f>IFERROR(__xludf.DUMMYFUNCTION("""COMPUTED_VALUE"""),"7.タコピーの原罪")</f>
        <v/>
      </c>
      <c r="H43">
        <f>IFERROR(__xludf.DUMMYFUNCTION("""COMPUTED_VALUE"""),"01")</f>
        <v/>
      </c>
      <c r="I43">
        <f>IFERROR(__xludf.DUMMYFUNCTION("""COMPUTED_VALUE"""),"normal_tak_00001")</f>
        <v/>
      </c>
      <c r="J43">
        <f>IFERROR(__xludf.DUMMYFUNCTION("""COMPUTED_VALUE"""),"stage_icon_tak_normal_01")</f>
        <v/>
      </c>
      <c r="K43">
        <f>IFERROR(__xludf.DUMMYFUNCTION("""COMPUTED_VALUE"""),"quest_image_tak_1")</f>
        <v/>
      </c>
    </row>
    <row r="44">
      <c r="A44">
        <f>IFERROR(__xludf.DUMMYFUNCTION("""COMPUTED_VALUE"""),"tak")</f>
        <v/>
      </c>
      <c r="B44">
        <f>IFERROR(__xludf.DUMMYFUNCTION("""COMPUTED_VALUE"""),"タコピーの原罪")</f>
        <v/>
      </c>
      <c r="C44">
        <f>IFERROR(__xludf.DUMMYFUNCTION("""COMPUTED_VALUE"""),"normal")</f>
        <v/>
      </c>
      <c r="D44">
        <f>IFERROR(__xludf.DUMMYFUNCTION("""COMPUTED_VALUE"""),"main")</f>
        <v/>
      </c>
      <c r="E44">
        <f>IFERROR(__xludf.DUMMYFUNCTION("""COMPUTED_VALUE"""),"メインクエスト")</f>
        <v/>
      </c>
      <c r="F44">
        <f>IFERROR(__xludf.DUMMYFUNCTION("""COMPUTED_VALUE"""),"quest_main_tak_normal_7")</f>
        <v/>
      </c>
      <c r="G44">
        <f>IFERROR(__xludf.DUMMYFUNCTION("""COMPUTED_VALUE"""),"7.タコピーの原罪")</f>
        <v/>
      </c>
      <c r="H44">
        <f>IFERROR(__xludf.DUMMYFUNCTION("""COMPUTED_VALUE"""),"02")</f>
        <v/>
      </c>
      <c r="I44">
        <f>IFERROR(__xludf.DUMMYFUNCTION("""COMPUTED_VALUE"""),"normal_tak_00002")</f>
        <v/>
      </c>
      <c r="J44">
        <f>IFERROR(__xludf.DUMMYFUNCTION("""COMPUTED_VALUE"""),"stage_icon_tak_normal_02")</f>
        <v/>
      </c>
    </row>
    <row r="45">
      <c r="A45">
        <f>IFERROR(__xludf.DUMMYFUNCTION("""COMPUTED_VALUE"""),"tak")</f>
        <v/>
      </c>
      <c r="B45">
        <f>IFERROR(__xludf.DUMMYFUNCTION("""COMPUTED_VALUE"""),"タコピーの原罪")</f>
        <v/>
      </c>
      <c r="C45">
        <f>IFERROR(__xludf.DUMMYFUNCTION("""COMPUTED_VALUE"""),"normal")</f>
        <v/>
      </c>
      <c r="D45">
        <f>IFERROR(__xludf.DUMMYFUNCTION("""COMPUTED_VALUE"""),"main")</f>
        <v/>
      </c>
      <c r="E45">
        <f>IFERROR(__xludf.DUMMYFUNCTION("""COMPUTED_VALUE"""),"メインクエスト")</f>
        <v/>
      </c>
      <c r="F45">
        <f>IFERROR(__xludf.DUMMYFUNCTION("""COMPUTED_VALUE"""),"quest_main_tak_normal_7")</f>
        <v/>
      </c>
      <c r="G45">
        <f>IFERROR(__xludf.DUMMYFUNCTION("""COMPUTED_VALUE"""),"7.タコピーの原罪")</f>
        <v/>
      </c>
      <c r="H45">
        <f>IFERROR(__xludf.DUMMYFUNCTION("""COMPUTED_VALUE"""),"03")</f>
        <v/>
      </c>
      <c r="I45">
        <f>IFERROR(__xludf.DUMMYFUNCTION("""COMPUTED_VALUE"""),"normal_tak_00003")</f>
        <v/>
      </c>
      <c r="J45">
        <f>IFERROR(__xludf.DUMMYFUNCTION("""COMPUTED_VALUE"""),"stage_icon_tak_normal_03")</f>
        <v/>
      </c>
    </row>
    <row r="47">
      <c r="A47">
        <f>IFERROR(__xludf.DUMMYFUNCTION("""COMPUTED_VALUE"""),"glo2")</f>
        <v/>
      </c>
      <c r="B47">
        <f>IFERROR(__xludf.DUMMYFUNCTION("""COMPUTED_VALUE"""),"GLOW")</f>
        <v/>
      </c>
      <c r="C47">
        <f>IFERROR(__xludf.DUMMYFUNCTION("""COMPUTED_VALUE"""),"normal")</f>
        <v/>
      </c>
      <c r="D47">
        <f>IFERROR(__xludf.DUMMYFUNCTION("""COMPUTED_VALUE"""),"main")</f>
        <v/>
      </c>
      <c r="E47">
        <f>IFERROR(__xludf.DUMMYFUNCTION("""COMPUTED_VALUE"""),"メインクエスト")</f>
        <v/>
      </c>
      <c r="F47">
        <f>IFERROR(__xludf.DUMMYFUNCTION("""COMPUTED_VALUE"""),"quest_main_glo2_normal_8")</f>
        <v/>
      </c>
      <c r="G47">
        <f>IFERROR(__xludf.DUMMYFUNCTION("""COMPUTED_VALUE"""),"8.リミックスクエスト Vol.2")</f>
        <v/>
      </c>
      <c r="H47">
        <f>IFERROR(__xludf.DUMMYFUNCTION("""COMPUTED_VALUE"""),"01")</f>
        <v/>
      </c>
      <c r="I47">
        <f>IFERROR(__xludf.DUMMYFUNCTION("""COMPUTED_VALUE"""),"normal_glo2_00001")</f>
        <v/>
      </c>
      <c r="J47">
        <f>IFERROR(__xludf.DUMMYFUNCTION("""COMPUTED_VALUE"""),"stage_icon_glo2_normal_01")</f>
        <v/>
      </c>
      <c r="K47">
        <f>IFERROR(__xludf.DUMMYFUNCTION("""COMPUTED_VALUE"""),"quest_image_glo2_1")</f>
        <v/>
      </c>
    </row>
    <row r="48">
      <c r="A48">
        <f>IFERROR(__xludf.DUMMYFUNCTION("""COMPUTED_VALUE"""),"glo2")</f>
        <v/>
      </c>
      <c r="B48">
        <f>IFERROR(__xludf.DUMMYFUNCTION("""COMPUTED_VALUE"""),"GLOW")</f>
        <v/>
      </c>
      <c r="C48">
        <f>IFERROR(__xludf.DUMMYFUNCTION("""COMPUTED_VALUE"""),"normal")</f>
        <v/>
      </c>
      <c r="D48">
        <f>IFERROR(__xludf.DUMMYFUNCTION("""COMPUTED_VALUE"""),"main")</f>
        <v/>
      </c>
      <c r="E48">
        <f>IFERROR(__xludf.DUMMYFUNCTION("""COMPUTED_VALUE"""),"メインクエスト")</f>
        <v/>
      </c>
      <c r="F48">
        <f>IFERROR(__xludf.DUMMYFUNCTION("""COMPUTED_VALUE"""),"quest_main_glo2_normal_8")</f>
        <v/>
      </c>
      <c r="G48">
        <f>IFERROR(__xludf.DUMMYFUNCTION("""COMPUTED_VALUE"""),"8.リミックスクエスト Vol.2")</f>
        <v/>
      </c>
      <c r="H48">
        <f>IFERROR(__xludf.DUMMYFUNCTION("""COMPUTED_VALUE"""),"02")</f>
        <v/>
      </c>
      <c r="I48">
        <f>IFERROR(__xludf.DUMMYFUNCTION("""COMPUTED_VALUE"""),"normal_glo2_00002")</f>
        <v/>
      </c>
      <c r="J48">
        <f>IFERROR(__xludf.DUMMYFUNCTION("""COMPUTED_VALUE"""),"stage_icon_glo2_normal_02")</f>
        <v/>
      </c>
    </row>
    <row r="49">
      <c r="A49">
        <f>IFERROR(__xludf.DUMMYFUNCTION("""COMPUTED_VALUE"""),"glo2")</f>
        <v/>
      </c>
      <c r="B49">
        <f>IFERROR(__xludf.DUMMYFUNCTION("""COMPUTED_VALUE"""),"GLOW")</f>
        <v/>
      </c>
      <c r="C49">
        <f>IFERROR(__xludf.DUMMYFUNCTION("""COMPUTED_VALUE"""),"normal")</f>
        <v/>
      </c>
      <c r="D49">
        <f>IFERROR(__xludf.DUMMYFUNCTION("""COMPUTED_VALUE"""),"main")</f>
        <v/>
      </c>
      <c r="E49">
        <f>IFERROR(__xludf.DUMMYFUNCTION("""COMPUTED_VALUE"""),"メインクエスト")</f>
        <v/>
      </c>
      <c r="F49">
        <f>IFERROR(__xludf.DUMMYFUNCTION("""COMPUTED_VALUE"""),"quest_main_glo2_normal_8")</f>
        <v/>
      </c>
      <c r="G49">
        <f>IFERROR(__xludf.DUMMYFUNCTION("""COMPUTED_VALUE"""),"8.リミックスクエスト Vol.2")</f>
        <v/>
      </c>
      <c r="H49">
        <f>IFERROR(__xludf.DUMMYFUNCTION("""COMPUTED_VALUE"""),"03")</f>
        <v/>
      </c>
      <c r="I49">
        <f>IFERROR(__xludf.DUMMYFUNCTION("""COMPUTED_VALUE"""),"normal_glo2_00003")</f>
        <v/>
      </c>
      <c r="J49">
        <f>IFERROR(__xludf.DUMMYFUNCTION("""COMPUTED_VALUE"""),"stage_icon_glo2_normal_03")</f>
        <v/>
      </c>
    </row>
    <row r="50">
      <c r="A50">
        <f>IFERROR(__xludf.DUMMYFUNCTION("""COMPUTED_VALUE"""),"glo2")</f>
        <v/>
      </c>
      <c r="B50">
        <f>IFERROR(__xludf.DUMMYFUNCTION("""COMPUTED_VALUE"""),"GLOW")</f>
        <v/>
      </c>
      <c r="C50">
        <f>IFERROR(__xludf.DUMMYFUNCTION("""COMPUTED_VALUE"""),"normal")</f>
        <v/>
      </c>
      <c r="D50">
        <f>IFERROR(__xludf.DUMMYFUNCTION("""COMPUTED_VALUE"""),"main")</f>
        <v/>
      </c>
      <c r="E50">
        <f>IFERROR(__xludf.DUMMYFUNCTION("""COMPUTED_VALUE"""),"メインクエスト")</f>
        <v/>
      </c>
      <c r="F50">
        <f>IFERROR(__xludf.DUMMYFUNCTION("""COMPUTED_VALUE"""),"quest_main_glo2_normal_8")</f>
        <v/>
      </c>
      <c r="G50">
        <f>IFERROR(__xludf.DUMMYFUNCTION("""COMPUTED_VALUE"""),"8.リミックスクエスト Vol.2")</f>
        <v/>
      </c>
      <c r="H50">
        <f>IFERROR(__xludf.DUMMYFUNCTION("""COMPUTED_VALUE"""),"04")</f>
        <v/>
      </c>
      <c r="I50">
        <f>IFERROR(__xludf.DUMMYFUNCTION("""COMPUTED_VALUE"""),"normal_glo2_00004")</f>
        <v/>
      </c>
      <c r="J50">
        <f>IFERROR(__xludf.DUMMYFUNCTION("""COMPUTED_VALUE"""),"stage_icon_glo2_normal_04")</f>
        <v/>
      </c>
    </row>
    <row r="51">
      <c r="A51">
        <f>IFERROR(__xludf.DUMMYFUNCTION("""COMPUTED_VALUE"""),"glo2")</f>
        <v/>
      </c>
      <c r="B51">
        <f>IFERROR(__xludf.DUMMYFUNCTION("""COMPUTED_VALUE"""),"GLOW")</f>
        <v/>
      </c>
      <c r="C51">
        <f>IFERROR(__xludf.DUMMYFUNCTION("""COMPUTED_VALUE"""),"normal")</f>
        <v/>
      </c>
      <c r="D51">
        <f>IFERROR(__xludf.DUMMYFUNCTION("""COMPUTED_VALUE"""),"main")</f>
        <v/>
      </c>
      <c r="E51">
        <f>IFERROR(__xludf.DUMMYFUNCTION("""COMPUTED_VALUE"""),"メインクエスト")</f>
        <v/>
      </c>
      <c r="F51">
        <f>IFERROR(__xludf.DUMMYFUNCTION("""COMPUTED_VALUE"""),"quest_main_glo2_normal_8")</f>
        <v/>
      </c>
      <c r="G51">
        <f>IFERROR(__xludf.DUMMYFUNCTION("""COMPUTED_VALUE"""),"8.リミックスクエスト Vol.2")</f>
        <v/>
      </c>
      <c r="H51">
        <f>IFERROR(__xludf.DUMMYFUNCTION("""COMPUTED_VALUE"""),"05")</f>
        <v/>
      </c>
      <c r="I51">
        <f>IFERROR(__xludf.DUMMYFUNCTION("""COMPUTED_VALUE"""),"normal_glo2_00005")</f>
        <v/>
      </c>
      <c r="J51">
        <f>IFERROR(__xludf.DUMMYFUNCTION("""COMPUTED_VALUE"""),"stage_icon_glo2_normal_05")</f>
        <v/>
      </c>
    </row>
    <row r="52">
      <c r="A52">
        <f>IFERROR(__xludf.DUMMYFUNCTION("""COMPUTED_VALUE"""),"glo2")</f>
        <v/>
      </c>
      <c r="B52">
        <f>IFERROR(__xludf.DUMMYFUNCTION("""COMPUTED_VALUE"""),"GLOW")</f>
        <v/>
      </c>
      <c r="C52">
        <f>IFERROR(__xludf.DUMMYFUNCTION("""COMPUTED_VALUE"""),"normal")</f>
        <v/>
      </c>
      <c r="D52">
        <f>IFERROR(__xludf.DUMMYFUNCTION("""COMPUTED_VALUE"""),"main")</f>
        <v/>
      </c>
      <c r="E52">
        <f>IFERROR(__xludf.DUMMYFUNCTION("""COMPUTED_VALUE"""),"メインクエスト")</f>
        <v/>
      </c>
      <c r="F52">
        <f>IFERROR(__xludf.DUMMYFUNCTION("""COMPUTED_VALUE"""),"quest_main_glo2_normal_8")</f>
        <v/>
      </c>
      <c r="G52">
        <f>IFERROR(__xludf.DUMMYFUNCTION("""COMPUTED_VALUE"""),"8.リミックスクエスト Vol.2")</f>
        <v/>
      </c>
      <c r="H52">
        <f>IFERROR(__xludf.DUMMYFUNCTION("""COMPUTED_VALUE"""),"06")</f>
        <v/>
      </c>
      <c r="I52">
        <f>IFERROR(__xludf.DUMMYFUNCTION("""COMPUTED_VALUE"""),"normal_glo2_00006")</f>
        <v/>
      </c>
      <c r="J52">
        <f>IFERROR(__xludf.DUMMYFUNCTION("""COMPUTED_VALUE"""),"stage_icon_glo2_normal_06")</f>
        <v/>
      </c>
    </row>
    <row r="54">
      <c r="A54">
        <f>IFERROR(__xludf.DUMMYFUNCTION("""COMPUTED_VALUE"""),"chi")</f>
        <v/>
      </c>
      <c r="B54">
        <f>IFERROR(__xludf.DUMMYFUNCTION("""COMPUTED_VALUE"""),"チェンソーマン")</f>
        <v/>
      </c>
      <c r="C54">
        <f>IFERROR(__xludf.DUMMYFUNCTION("""COMPUTED_VALUE"""),"normal")</f>
        <v/>
      </c>
      <c r="D54">
        <f>IFERROR(__xludf.DUMMYFUNCTION("""COMPUTED_VALUE"""),"main")</f>
        <v/>
      </c>
      <c r="E54">
        <f>IFERROR(__xludf.DUMMYFUNCTION("""COMPUTED_VALUE"""),"メインクエスト")</f>
        <v/>
      </c>
      <c r="F54">
        <f>IFERROR(__xludf.DUMMYFUNCTION("""COMPUTED_VALUE"""),"quest_main_chi_normal_9")</f>
        <v/>
      </c>
      <c r="G54">
        <f>IFERROR(__xludf.DUMMYFUNCTION("""COMPUTED_VALUE"""),"9.チェンソーマン")</f>
        <v/>
      </c>
      <c r="H54">
        <f>IFERROR(__xludf.DUMMYFUNCTION("""COMPUTED_VALUE"""),"01")</f>
        <v/>
      </c>
      <c r="I54">
        <f>IFERROR(__xludf.DUMMYFUNCTION("""COMPUTED_VALUE"""),"normal_chi_00001")</f>
        <v/>
      </c>
      <c r="J54">
        <f>IFERROR(__xludf.DUMMYFUNCTION("""COMPUTED_VALUE"""),"stage_icon_chi_normal_01")</f>
        <v/>
      </c>
      <c r="K54">
        <f>IFERROR(__xludf.DUMMYFUNCTION("""COMPUTED_VALUE"""),"quest_image_chi_1")</f>
        <v/>
      </c>
    </row>
    <row r="55">
      <c r="A55">
        <f>IFERROR(__xludf.DUMMYFUNCTION("""COMPUTED_VALUE"""),"chi")</f>
        <v/>
      </c>
      <c r="B55">
        <f>IFERROR(__xludf.DUMMYFUNCTION("""COMPUTED_VALUE"""),"チェンソーマン")</f>
        <v/>
      </c>
      <c r="C55">
        <f>IFERROR(__xludf.DUMMYFUNCTION("""COMPUTED_VALUE"""),"normal")</f>
        <v/>
      </c>
      <c r="D55">
        <f>IFERROR(__xludf.DUMMYFUNCTION("""COMPUTED_VALUE"""),"main")</f>
        <v/>
      </c>
      <c r="E55">
        <f>IFERROR(__xludf.DUMMYFUNCTION("""COMPUTED_VALUE"""),"メインクエスト")</f>
        <v/>
      </c>
      <c r="F55">
        <f>IFERROR(__xludf.DUMMYFUNCTION("""COMPUTED_VALUE"""),"quest_main_chi_normal_9")</f>
        <v/>
      </c>
      <c r="G55">
        <f>IFERROR(__xludf.DUMMYFUNCTION("""COMPUTED_VALUE"""),"9.チェンソーマン")</f>
        <v/>
      </c>
      <c r="H55">
        <f>IFERROR(__xludf.DUMMYFUNCTION("""COMPUTED_VALUE"""),"02")</f>
        <v/>
      </c>
      <c r="I55">
        <f>IFERROR(__xludf.DUMMYFUNCTION("""COMPUTED_VALUE"""),"normal_chi_00002")</f>
        <v/>
      </c>
      <c r="J55">
        <f>IFERROR(__xludf.DUMMYFUNCTION("""COMPUTED_VALUE"""),"stage_icon_chi_normal_02")</f>
        <v/>
      </c>
    </row>
    <row r="56">
      <c r="A56">
        <f>IFERROR(__xludf.DUMMYFUNCTION("""COMPUTED_VALUE"""),"chi")</f>
        <v/>
      </c>
      <c r="B56">
        <f>IFERROR(__xludf.DUMMYFUNCTION("""COMPUTED_VALUE"""),"チェンソーマン")</f>
        <v/>
      </c>
      <c r="C56">
        <f>IFERROR(__xludf.DUMMYFUNCTION("""COMPUTED_VALUE"""),"normal")</f>
        <v/>
      </c>
      <c r="D56">
        <f>IFERROR(__xludf.DUMMYFUNCTION("""COMPUTED_VALUE"""),"main")</f>
        <v/>
      </c>
      <c r="E56">
        <f>IFERROR(__xludf.DUMMYFUNCTION("""COMPUTED_VALUE"""),"メインクエスト")</f>
        <v/>
      </c>
      <c r="F56">
        <f>IFERROR(__xludf.DUMMYFUNCTION("""COMPUTED_VALUE"""),"quest_main_chi_normal_9")</f>
        <v/>
      </c>
      <c r="G56">
        <f>IFERROR(__xludf.DUMMYFUNCTION("""COMPUTED_VALUE"""),"9.チェンソーマン")</f>
        <v/>
      </c>
      <c r="H56">
        <f>IFERROR(__xludf.DUMMYFUNCTION("""COMPUTED_VALUE"""),"03")</f>
        <v/>
      </c>
      <c r="I56">
        <f>IFERROR(__xludf.DUMMYFUNCTION("""COMPUTED_VALUE"""),"normal_chi_00003")</f>
        <v/>
      </c>
      <c r="J56">
        <f>IFERROR(__xludf.DUMMYFUNCTION("""COMPUTED_VALUE"""),"stage_icon_chi_normal_03")</f>
        <v/>
      </c>
    </row>
    <row r="57">
      <c r="A57">
        <f>IFERROR(__xludf.DUMMYFUNCTION("""COMPUTED_VALUE"""),"chi")</f>
        <v/>
      </c>
      <c r="B57">
        <f>IFERROR(__xludf.DUMMYFUNCTION("""COMPUTED_VALUE"""),"チェンソーマン")</f>
        <v/>
      </c>
      <c r="C57">
        <f>IFERROR(__xludf.DUMMYFUNCTION("""COMPUTED_VALUE"""),"normal")</f>
        <v/>
      </c>
      <c r="D57">
        <f>IFERROR(__xludf.DUMMYFUNCTION("""COMPUTED_VALUE"""),"main")</f>
        <v/>
      </c>
      <c r="E57">
        <f>IFERROR(__xludf.DUMMYFUNCTION("""COMPUTED_VALUE"""),"メインクエスト")</f>
        <v/>
      </c>
      <c r="F57">
        <f>IFERROR(__xludf.DUMMYFUNCTION("""COMPUTED_VALUE"""),"quest_main_chi_normal_9")</f>
        <v/>
      </c>
      <c r="G57">
        <f>IFERROR(__xludf.DUMMYFUNCTION("""COMPUTED_VALUE"""),"9.チェンソーマン")</f>
        <v/>
      </c>
      <c r="H57">
        <f>IFERROR(__xludf.DUMMYFUNCTION("""COMPUTED_VALUE"""),"04")</f>
        <v/>
      </c>
      <c r="I57">
        <f>IFERROR(__xludf.DUMMYFUNCTION("""COMPUTED_VALUE"""),"normal_chi_00004")</f>
        <v/>
      </c>
      <c r="J57">
        <f>IFERROR(__xludf.DUMMYFUNCTION("""COMPUTED_VALUE"""),"stage_icon_chi_normal_04")</f>
        <v/>
      </c>
    </row>
    <row r="58">
      <c r="A58">
        <f>IFERROR(__xludf.DUMMYFUNCTION("""COMPUTED_VALUE"""),"chi")</f>
        <v/>
      </c>
      <c r="B58">
        <f>IFERROR(__xludf.DUMMYFUNCTION("""COMPUTED_VALUE"""),"チェンソーマン")</f>
        <v/>
      </c>
      <c r="C58">
        <f>IFERROR(__xludf.DUMMYFUNCTION("""COMPUTED_VALUE"""),"normal")</f>
        <v/>
      </c>
      <c r="D58">
        <f>IFERROR(__xludf.DUMMYFUNCTION("""COMPUTED_VALUE"""),"main")</f>
        <v/>
      </c>
      <c r="E58">
        <f>IFERROR(__xludf.DUMMYFUNCTION("""COMPUTED_VALUE"""),"メインクエスト")</f>
        <v/>
      </c>
      <c r="F58">
        <f>IFERROR(__xludf.DUMMYFUNCTION("""COMPUTED_VALUE"""),"quest_main_chi_normal_9")</f>
        <v/>
      </c>
      <c r="G58">
        <f>IFERROR(__xludf.DUMMYFUNCTION("""COMPUTED_VALUE"""),"9.チェンソーマン")</f>
        <v/>
      </c>
      <c r="H58">
        <f>IFERROR(__xludf.DUMMYFUNCTION("""COMPUTED_VALUE"""),"05")</f>
        <v/>
      </c>
      <c r="I58">
        <f>IFERROR(__xludf.DUMMYFUNCTION("""COMPUTED_VALUE"""),"normal_chi_00005")</f>
        <v/>
      </c>
      <c r="J58">
        <f>IFERROR(__xludf.DUMMYFUNCTION("""COMPUTED_VALUE"""),"stage_icon_chi_normal_05")</f>
        <v/>
      </c>
    </row>
    <row r="59">
      <c r="A59">
        <f>IFERROR(__xludf.DUMMYFUNCTION("""COMPUTED_VALUE"""),"chi")</f>
        <v/>
      </c>
      <c r="B59">
        <f>IFERROR(__xludf.DUMMYFUNCTION("""COMPUTED_VALUE"""),"チェンソーマン")</f>
        <v/>
      </c>
      <c r="C59">
        <f>IFERROR(__xludf.DUMMYFUNCTION("""COMPUTED_VALUE"""),"normal")</f>
        <v/>
      </c>
      <c r="D59">
        <f>IFERROR(__xludf.DUMMYFUNCTION("""COMPUTED_VALUE"""),"main")</f>
        <v/>
      </c>
      <c r="E59">
        <f>IFERROR(__xludf.DUMMYFUNCTION("""COMPUTED_VALUE"""),"メインクエスト")</f>
        <v/>
      </c>
      <c r="F59">
        <f>IFERROR(__xludf.DUMMYFUNCTION("""COMPUTED_VALUE"""),"quest_main_chi_normal_9")</f>
        <v/>
      </c>
      <c r="G59">
        <f>IFERROR(__xludf.DUMMYFUNCTION("""COMPUTED_VALUE"""),"9.チェンソーマン")</f>
        <v/>
      </c>
      <c r="H59">
        <f>IFERROR(__xludf.DUMMYFUNCTION("""COMPUTED_VALUE"""),"06")</f>
        <v/>
      </c>
      <c r="I59">
        <f>IFERROR(__xludf.DUMMYFUNCTION("""COMPUTED_VALUE"""),"normal_chi_00006")</f>
        <v/>
      </c>
      <c r="J59">
        <f>IFERROR(__xludf.DUMMYFUNCTION("""COMPUTED_VALUE"""),"stage_icon_chi_normal_06")</f>
        <v/>
      </c>
    </row>
    <row r="61">
      <c r="A61">
        <f>IFERROR(__xludf.DUMMYFUNCTION("""COMPUTED_VALUE"""),"sur")</f>
        <v/>
      </c>
      <c r="B61">
        <f>IFERROR(__xludf.DUMMYFUNCTION("""COMPUTED_VALUE"""),"魔都精兵のスレイブ")</f>
        <v/>
      </c>
      <c r="C61">
        <f>IFERROR(__xludf.DUMMYFUNCTION("""COMPUTED_VALUE"""),"normal")</f>
        <v/>
      </c>
      <c r="D61">
        <f>IFERROR(__xludf.DUMMYFUNCTION("""COMPUTED_VALUE"""),"main")</f>
        <v/>
      </c>
      <c r="E61">
        <f>IFERROR(__xludf.DUMMYFUNCTION("""COMPUTED_VALUE"""),"メインクエスト")</f>
        <v/>
      </c>
      <c r="F61">
        <f>IFERROR(__xludf.DUMMYFUNCTION("""COMPUTED_VALUE"""),"quest_main_sur_normal_10")</f>
        <v/>
      </c>
      <c r="G61">
        <f>IFERROR(__xludf.DUMMYFUNCTION("""COMPUTED_VALUE"""),"10.魔都精兵のスレイブ")</f>
        <v/>
      </c>
      <c r="H61">
        <f>IFERROR(__xludf.DUMMYFUNCTION("""COMPUTED_VALUE"""),"01")</f>
        <v/>
      </c>
      <c r="I61">
        <f>IFERROR(__xludf.DUMMYFUNCTION("""COMPUTED_VALUE"""),"normal_sur_00001")</f>
        <v/>
      </c>
      <c r="J61">
        <f>IFERROR(__xludf.DUMMYFUNCTION("""COMPUTED_VALUE"""),"stage_icon_sur_normal_01")</f>
        <v/>
      </c>
      <c r="K61">
        <f>IFERROR(__xludf.DUMMYFUNCTION("""COMPUTED_VALUE"""),"quest_image_sur_1")</f>
        <v/>
      </c>
    </row>
    <row r="62">
      <c r="A62">
        <f>IFERROR(__xludf.DUMMYFUNCTION("""COMPUTED_VALUE"""),"sur")</f>
        <v/>
      </c>
      <c r="B62">
        <f>IFERROR(__xludf.DUMMYFUNCTION("""COMPUTED_VALUE"""),"魔都精兵のスレイブ")</f>
        <v/>
      </c>
      <c r="C62">
        <f>IFERROR(__xludf.DUMMYFUNCTION("""COMPUTED_VALUE"""),"normal")</f>
        <v/>
      </c>
      <c r="D62">
        <f>IFERROR(__xludf.DUMMYFUNCTION("""COMPUTED_VALUE"""),"main")</f>
        <v/>
      </c>
      <c r="E62">
        <f>IFERROR(__xludf.DUMMYFUNCTION("""COMPUTED_VALUE"""),"メインクエスト")</f>
        <v/>
      </c>
      <c r="F62">
        <f>IFERROR(__xludf.DUMMYFUNCTION("""COMPUTED_VALUE"""),"quest_main_sur_normal_10")</f>
        <v/>
      </c>
      <c r="G62">
        <f>IFERROR(__xludf.DUMMYFUNCTION("""COMPUTED_VALUE"""),"10.魔都精兵のスレイブ")</f>
        <v/>
      </c>
      <c r="H62">
        <f>IFERROR(__xludf.DUMMYFUNCTION("""COMPUTED_VALUE"""),"02")</f>
        <v/>
      </c>
      <c r="I62">
        <f>IFERROR(__xludf.DUMMYFUNCTION("""COMPUTED_VALUE"""),"normal_sur_00002")</f>
        <v/>
      </c>
      <c r="J62">
        <f>IFERROR(__xludf.DUMMYFUNCTION("""COMPUTED_VALUE"""),"stage_icon_sur_normal_02")</f>
        <v/>
      </c>
    </row>
    <row r="63">
      <c r="A63">
        <f>IFERROR(__xludf.DUMMYFUNCTION("""COMPUTED_VALUE"""),"sur")</f>
        <v/>
      </c>
      <c r="B63">
        <f>IFERROR(__xludf.DUMMYFUNCTION("""COMPUTED_VALUE"""),"魔都精兵のスレイブ")</f>
        <v/>
      </c>
      <c r="C63">
        <f>IFERROR(__xludf.DUMMYFUNCTION("""COMPUTED_VALUE"""),"normal")</f>
        <v/>
      </c>
      <c r="D63">
        <f>IFERROR(__xludf.DUMMYFUNCTION("""COMPUTED_VALUE"""),"main")</f>
        <v/>
      </c>
      <c r="E63">
        <f>IFERROR(__xludf.DUMMYFUNCTION("""COMPUTED_VALUE"""),"メインクエスト")</f>
        <v/>
      </c>
      <c r="F63">
        <f>IFERROR(__xludf.DUMMYFUNCTION("""COMPUTED_VALUE"""),"quest_main_sur_normal_10")</f>
        <v/>
      </c>
      <c r="G63">
        <f>IFERROR(__xludf.DUMMYFUNCTION("""COMPUTED_VALUE"""),"10.魔都精兵のスレイブ")</f>
        <v/>
      </c>
      <c r="H63">
        <f>IFERROR(__xludf.DUMMYFUNCTION("""COMPUTED_VALUE"""),"03")</f>
        <v/>
      </c>
      <c r="I63">
        <f>IFERROR(__xludf.DUMMYFUNCTION("""COMPUTED_VALUE"""),"normal_sur_00003")</f>
        <v/>
      </c>
      <c r="J63">
        <f>IFERROR(__xludf.DUMMYFUNCTION("""COMPUTED_VALUE"""),"stage_icon_sur_normal_03")</f>
        <v/>
      </c>
    </row>
    <row r="64">
      <c r="A64">
        <f>IFERROR(__xludf.DUMMYFUNCTION("""COMPUTED_VALUE"""),"sur")</f>
        <v/>
      </c>
      <c r="B64">
        <f>IFERROR(__xludf.DUMMYFUNCTION("""COMPUTED_VALUE"""),"魔都精兵のスレイブ")</f>
        <v/>
      </c>
      <c r="C64">
        <f>IFERROR(__xludf.DUMMYFUNCTION("""COMPUTED_VALUE"""),"normal")</f>
        <v/>
      </c>
      <c r="D64">
        <f>IFERROR(__xludf.DUMMYFUNCTION("""COMPUTED_VALUE"""),"main")</f>
        <v/>
      </c>
      <c r="E64">
        <f>IFERROR(__xludf.DUMMYFUNCTION("""COMPUTED_VALUE"""),"メインクエスト")</f>
        <v/>
      </c>
      <c r="F64">
        <f>IFERROR(__xludf.DUMMYFUNCTION("""COMPUTED_VALUE"""),"quest_main_sur_normal_10")</f>
        <v/>
      </c>
      <c r="G64">
        <f>IFERROR(__xludf.DUMMYFUNCTION("""COMPUTED_VALUE"""),"10.魔都精兵のスレイブ")</f>
        <v/>
      </c>
      <c r="H64">
        <f>IFERROR(__xludf.DUMMYFUNCTION("""COMPUTED_VALUE"""),"04")</f>
        <v/>
      </c>
      <c r="I64">
        <f>IFERROR(__xludf.DUMMYFUNCTION("""COMPUTED_VALUE"""),"normal_sur_00004")</f>
        <v/>
      </c>
      <c r="J64">
        <f>IFERROR(__xludf.DUMMYFUNCTION("""COMPUTED_VALUE"""),"stage_icon_sur_normal_04")</f>
        <v/>
      </c>
    </row>
    <row r="65">
      <c r="A65">
        <f>IFERROR(__xludf.DUMMYFUNCTION("""COMPUTED_VALUE"""),"sur")</f>
        <v/>
      </c>
      <c r="B65">
        <f>IFERROR(__xludf.DUMMYFUNCTION("""COMPUTED_VALUE"""),"魔都精兵のスレイブ")</f>
        <v/>
      </c>
      <c r="C65">
        <f>IFERROR(__xludf.DUMMYFUNCTION("""COMPUTED_VALUE"""),"normal")</f>
        <v/>
      </c>
      <c r="D65">
        <f>IFERROR(__xludf.DUMMYFUNCTION("""COMPUTED_VALUE"""),"main")</f>
        <v/>
      </c>
      <c r="E65">
        <f>IFERROR(__xludf.DUMMYFUNCTION("""COMPUTED_VALUE"""),"メインクエスト")</f>
        <v/>
      </c>
      <c r="F65">
        <f>IFERROR(__xludf.DUMMYFUNCTION("""COMPUTED_VALUE"""),"quest_main_sur_normal_10")</f>
        <v/>
      </c>
      <c r="G65">
        <f>IFERROR(__xludf.DUMMYFUNCTION("""COMPUTED_VALUE"""),"10.魔都精兵のスレイブ")</f>
        <v/>
      </c>
      <c r="H65">
        <f>IFERROR(__xludf.DUMMYFUNCTION("""COMPUTED_VALUE"""),"05")</f>
        <v/>
      </c>
      <c r="I65">
        <f>IFERROR(__xludf.DUMMYFUNCTION("""COMPUTED_VALUE"""),"normal_sur_00005")</f>
        <v/>
      </c>
      <c r="J65">
        <f>IFERROR(__xludf.DUMMYFUNCTION("""COMPUTED_VALUE"""),"stage_icon_sur_normal_05")</f>
        <v/>
      </c>
    </row>
    <row r="66">
      <c r="A66">
        <f>IFERROR(__xludf.DUMMYFUNCTION("""COMPUTED_VALUE"""),"sur")</f>
        <v/>
      </c>
      <c r="B66">
        <f>IFERROR(__xludf.DUMMYFUNCTION("""COMPUTED_VALUE"""),"魔都精兵のスレイブ")</f>
        <v/>
      </c>
      <c r="C66">
        <f>IFERROR(__xludf.DUMMYFUNCTION("""COMPUTED_VALUE"""),"normal")</f>
        <v/>
      </c>
      <c r="D66">
        <f>IFERROR(__xludf.DUMMYFUNCTION("""COMPUTED_VALUE"""),"main")</f>
        <v/>
      </c>
      <c r="E66">
        <f>IFERROR(__xludf.DUMMYFUNCTION("""COMPUTED_VALUE"""),"メインクエスト")</f>
        <v/>
      </c>
      <c r="F66">
        <f>IFERROR(__xludf.DUMMYFUNCTION("""COMPUTED_VALUE"""),"quest_main_sur_normal_10")</f>
        <v/>
      </c>
      <c r="G66">
        <f>IFERROR(__xludf.DUMMYFUNCTION("""COMPUTED_VALUE"""),"10.魔都精兵のスレイブ")</f>
        <v/>
      </c>
      <c r="H66">
        <f>IFERROR(__xludf.DUMMYFUNCTION("""COMPUTED_VALUE"""),"06")</f>
        <v/>
      </c>
      <c r="I66">
        <f>IFERROR(__xludf.DUMMYFUNCTION("""COMPUTED_VALUE"""),"normal_sur_00006")</f>
        <v/>
      </c>
      <c r="J66">
        <f>IFERROR(__xludf.DUMMYFUNCTION("""COMPUTED_VALUE"""),"stage_icon_sur_normal_06")</f>
        <v/>
      </c>
    </row>
    <row r="68">
      <c r="A68">
        <f>IFERROR(__xludf.DUMMYFUNCTION("""COMPUTED_VALUE"""),"rik")</f>
        <v/>
      </c>
      <c r="B68">
        <f>IFERROR(__xludf.DUMMYFUNCTION("""COMPUTED_VALUE"""),"トマトイプーのリコピン")</f>
        <v/>
      </c>
      <c r="C68">
        <f>IFERROR(__xludf.DUMMYFUNCTION("""COMPUTED_VALUE"""),"normal")</f>
        <v/>
      </c>
      <c r="D68">
        <f>IFERROR(__xludf.DUMMYFUNCTION("""COMPUTED_VALUE"""),"main")</f>
        <v/>
      </c>
      <c r="E68">
        <f>IFERROR(__xludf.DUMMYFUNCTION("""COMPUTED_VALUE"""),"メインクエスト")</f>
        <v/>
      </c>
      <c r="F68">
        <f>IFERROR(__xludf.DUMMYFUNCTION("""COMPUTED_VALUE"""),"quest_main_rik_normal_11")</f>
        <v/>
      </c>
      <c r="G68">
        <f>IFERROR(__xludf.DUMMYFUNCTION("""COMPUTED_VALUE"""),"11.トマトイプーのリコピン")</f>
        <v/>
      </c>
      <c r="H68">
        <f>IFERROR(__xludf.DUMMYFUNCTION("""COMPUTED_VALUE"""),"01")</f>
        <v/>
      </c>
      <c r="I68">
        <f>IFERROR(__xludf.DUMMYFUNCTION("""COMPUTED_VALUE"""),"normal_rik_00001")</f>
        <v/>
      </c>
      <c r="J68">
        <f>IFERROR(__xludf.DUMMYFUNCTION("""COMPUTED_VALUE"""),"stage_icon_rik_normal_01")</f>
        <v/>
      </c>
      <c r="K68">
        <f>IFERROR(__xludf.DUMMYFUNCTION("""COMPUTED_VALUE"""),"quest_image_rik_1")</f>
        <v/>
      </c>
    </row>
    <row r="69">
      <c r="A69">
        <f>IFERROR(__xludf.DUMMYFUNCTION("""COMPUTED_VALUE"""),"rik")</f>
        <v/>
      </c>
      <c r="B69">
        <f>IFERROR(__xludf.DUMMYFUNCTION("""COMPUTED_VALUE"""),"トマトイプーのリコピン")</f>
        <v/>
      </c>
      <c r="C69">
        <f>IFERROR(__xludf.DUMMYFUNCTION("""COMPUTED_VALUE"""),"normal")</f>
        <v/>
      </c>
      <c r="D69">
        <f>IFERROR(__xludf.DUMMYFUNCTION("""COMPUTED_VALUE"""),"main")</f>
        <v/>
      </c>
      <c r="E69">
        <f>IFERROR(__xludf.DUMMYFUNCTION("""COMPUTED_VALUE"""),"メインクエスト")</f>
        <v/>
      </c>
      <c r="F69">
        <f>IFERROR(__xludf.DUMMYFUNCTION("""COMPUTED_VALUE"""),"quest_main_rik_normal_11")</f>
        <v/>
      </c>
      <c r="G69">
        <f>IFERROR(__xludf.DUMMYFUNCTION("""COMPUTED_VALUE"""),"11.トマトイプーのリコピン")</f>
        <v/>
      </c>
      <c r="H69">
        <f>IFERROR(__xludf.DUMMYFUNCTION("""COMPUTED_VALUE"""),"02")</f>
        <v/>
      </c>
      <c r="I69">
        <f>IFERROR(__xludf.DUMMYFUNCTION("""COMPUTED_VALUE"""),"normal_rik_00002")</f>
        <v/>
      </c>
      <c r="J69">
        <f>IFERROR(__xludf.DUMMYFUNCTION("""COMPUTED_VALUE"""),"stage_icon_rik_normal_02")</f>
        <v/>
      </c>
    </row>
    <row r="70">
      <c r="A70">
        <f>IFERROR(__xludf.DUMMYFUNCTION("""COMPUTED_VALUE"""),"rik")</f>
        <v/>
      </c>
      <c r="B70">
        <f>IFERROR(__xludf.DUMMYFUNCTION("""COMPUTED_VALUE"""),"トマトイプーのリコピン")</f>
        <v/>
      </c>
      <c r="C70">
        <f>IFERROR(__xludf.DUMMYFUNCTION("""COMPUTED_VALUE"""),"normal")</f>
        <v/>
      </c>
      <c r="D70">
        <f>IFERROR(__xludf.DUMMYFUNCTION("""COMPUTED_VALUE"""),"main")</f>
        <v/>
      </c>
      <c r="E70">
        <f>IFERROR(__xludf.DUMMYFUNCTION("""COMPUTED_VALUE"""),"メインクエスト")</f>
        <v/>
      </c>
      <c r="F70">
        <f>IFERROR(__xludf.DUMMYFUNCTION("""COMPUTED_VALUE"""),"quest_main_rik_normal_11")</f>
        <v/>
      </c>
      <c r="G70">
        <f>IFERROR(__xludf.DUMMYFUNCTION("""COMPUTED_VALUE"""),"11.トマトイプーのリコピン")</f>
        <v/>
      </c>
      <c r="H70">
        <f>IFERROR(__xludf.DUMMYFUNCTION("""COMPUTED_VALUE"""),"03")</f>
        <v/>
      </c>
      <c r="I70">
        <f>IFERROR(__xludf.DUMMYFUNCTION("""COMPUTED_VALUE"""),"normal_rik_00003")</f>
        <v/>
      </c>
      <c r="J70">
        <f>IFERROR(__xludf.DUMMYFUNCTION("""COMPUTED_VALUE"""),"stage_icon_rik_normal_03")</f>
        <v/>
      </c>
    </row>
    <row r="72">
      <c r="A72">
        <f>IFERROR(__xludf.DUMMYFUNCTION("""COMPUTED_VALUE"""),"glo3")</f>
        <v/>
      </c>
      <c r="B72">
        <f>IFERROR(__xludf.DUMMYFUNCTION("""COMPUTED_VALUE"""),"GLOW")</f>
        <v/>
      </c>
      <c r="C72">
        <f>IFERROR(__xludf.DUMMYFUNCTION("""COMPUTED_VALUE"""),"normal")</f>
        <v/>
      </c>
      <c r="D72">
        <f>IFERROR(__xludf.DUMMYFUNCTION("""COMPUTED_VALUE"""),"main")</f>
        <v/>
      </c>
      <c r="E72">
        <f>IFERROR(__xludf.DUMMYFUNCTION("""COMPUTED_VALUE"""),"メインクエスト")</f>
        <v/>
      </c>
      <c r="F72">
        <f>IFERROR(__xludf.DUMMYFUNCTION("""COMPUTED_VALUE"""),"quest_main_glo3_normal_12")</f>
        <v/>
      </c>
      <c r="G72">
        <f>IFERROR(__xludf.DUMMYFUNCTION("""COMPUTED_VALUE"""),"12.リミックスクエスト Vol.3")</f>
        <v/>
      </c>
      <c r="H72">
        <f>IFERROR(__xludf.DUMMYFUNCTION("""COMPUTED_VALUE"""),"01")</f>
        <v/>
      </c>
      <c r="I72">
        <f>IFERROR(__xludf.DUMMYFUNCTION("""COMPUTED_VALUE"""),"normal_glo3_00001")</f>
        <v/>
      </c>
      <c r="J72">
        <f>IFERROR(__xludf.DUMMYFUNCTION("""COMPUTED_VALUE"""),"stage_icon_glo3_normal_01")</f>
        <v/>
      </c>
      <c r="K72">
        <f>IFERROR(__xludf.DUMMYFUNCTION("""COMPUTED_VALUE"""),"quest_image_glo3_1")</f>
        <v/>
      </c>
    </row>
    <row r="73">
      <c r="A73">
        <f>IFERROR(__xludf.DUMMYFUNCTION("""COMPUTED_VALUE"""),"glo3")</f>
        <v/>
      </c>
      <c r="B73">
        <f>IFERROR(__xludf.DUMMYFUNCTION("""COMPUTED_VALUE"""),"GLOW")</f>
        <v/>
      </c>
      <c r="C73">
        <f>IFERROR(__xludf.DUMMYFUNCTION("""COMPUTED_VALUE"""),"normal")</f>
        <v/>
      </c>
      <c r="D73">
        <f>IFERROR(__xludf.DUMMYFUNCTION("""COMPUTED_VALUE"""),"main")</f>
        <v/>
      </c>
      <c r="E73">
        <f>IFERROR(__xludf.DUMMYFUNCTION("""COMPUTED_VALUE"""),"メインクエスト")</f>
        <v/>
      </c>
      <c r="F73">
        <f>IFERROR(__xludf.DUMMYFUNCTION("""COMPUTED_VALUE"""),"quest_main_glo3_normal_12")</f>
        <v/>
      </c>
      <c r="G73">
        <f>IFERROR(__xludf.DUMMYFUNCTION("""COMPUTED_VALUE"""),"12.リミックスクエスト Vol.3")</f>
        <v/>
      </c>
      <c r="H73">
        <f>IFERROR(__xludf.DUMMYFUNCTION("""COMPUTED_VALUE"""),"02")</f>
        <v/>
      </c>
      <c r="I73">
        <f>IFERROR(__xludf.DUMMYFUNCTION("""COMPUTED_VALUE"""),"normal_glo3_00002")</f>
        <v/>
      </c>
      <c r="J73">
        <f>IFERROR(__xludf.DUMMYFUNCTION("""COMPUTED_VALUE"""),"stage_icon_glo3_normal_02")</f>
        <v/>
      </c>
    </row>
    <row r="74">
      <c r="A74">
        <f>IFERROR(__xludf.DUMMYFUNCTION("""COMPUTED_VALUE"""),"glo3")</f>
        <v/>
      </c>
      <c r="B74">
        <f>IFERROR(__xludf.DUMMYFUNCTION("""COMPUTED_VALUE"""),"GLOW")</f>
        <v/>
      </c>
      <c r="C74">
        <f>IFERROR(__xludf.DUMMYFUNCTION("""COMPUTED_VALUE"""),"normal")</f>
        <v/>
      </c>
      <c r="D74">
        <f>IFERROR(__xludf.DUMMYFUNCTION("""COMPUTED_VALUE"""),"main")</f>
        <v/>
      </c>
      <c r="E74">
        <f>IFERROR(__xludf.DUMMYFUNCTION("""COMPUTED_VALUE"""),"メインクエスト")</f>
        <v/>
      </c>
      <c r="F74">
        <f>IFERROR(__xludf.DUMMYFUNCTION("""COMPUTED_VALUE"""),"quest_main_glo3_normal_12")</f>
        <v/>
      </c>
      <c r="G74">
        <f>IFERROR(__xludf.DUMMYFUNCTION("""COMPUTED_VALUE"""),"12.リミックスクエスト Vol.3")</f>
        <v/>
      </c>
      <c r="H74">
        <f>IFERROR(__xludf.DUMMYFUNCTION("""COMPUTED_VALUE"""),"03")</f>
        <v/>
      </c>
      <c r="I74">
        <f>IFERROR(__xludf.DUMMYFUNCTION("""COMPUTED_VALUE"""),"normal_glo3_00003")</f>
        <v/>
      </c>
      <c r="J74">
        <f>IFERROR(__xludf.DUMMYFUNCTION("""COMPUTED_VALUE"""),"stage_icon_glo3_normal_03")</f>
        <v/>
      </c>
    </row>
    <row r="75">
      <c r="A75">
        <f>IFERROR(__xludf.DUMMYFUNCTION("""COMPUTED_VALUE"""),"glo3")</f>
        <v/>
      </c>
      <c r="B75">
        <f>IFERROR(__xludf.DUMMYFUNCTION("""COMPUTED_VALUE"""),"GLOW")</f>
        <v/>
      </c>
      <c r="C75">
        <f>IFERROR(__xludf.DUMMYFUNCTION("""COMPUTED_VALUE"""),"normal")</f>
        <v/>
      </c>
      <c r="D75">
        <f>IFERROR(__xludf.DUMMYFUNCTION("""COMPUTED_VALUE"""),"main")</f>
        <v/>
      </c>
      <c r="E75">
        <f>IFERROR(__xludf.DUMMYFUNCTION("""COMPUTED_VALUE"""),"メインクエスト")</f>
        <v/>
      </c>
      <c r="F75">
        <f>IFERROR(__xludf.DUMMYFUNCTION("""COMPUTED_VALUE"""),"quest_main_glo3_normal_12")</f>
        <v/>
      </c>
      <c r="G75">
        <f>IFERROR(__xludf.DUMMYFUNCTION("""COMPUTED_VALUE"""),"12.リミックスクエスト Vol.3")</f>
        <v/>
      </c>
      <c r="H75">
        <f>IFERROR(__xludf.DUMMYFUNCTION("""COMPUTED_VALUE"""),"04")</f>
        <v/>
      </c>
      <c r="I75">
        <f>IFERROR(__xludf.DUMMYFUNCTION("""COMPUTED_VALUE"""),"normal_glo3_00004")</f>
        <v/>
      </c>
      <c r="J75">
        <f>IFERROR(__xludf.DUMMYFUNCTION("""COMPUTED_VALUE"""),"stage_icon_glo3_normal_04")</f>
        <v/>
      </c>
    </row>
    <row r="76">
      <c r="A76">
        <f>IFERROR(__xludf.DUMMYFUNCTION("""COMPUTED_VALUE"""),"glo3")</f>
        <v/>
      </c>
      <c r="B76">
        <f>IFERROR(__xludf.DUMMYFUNCTION("""COMPUTED_VALUE"""),"GLOW")</f>
        <v/>
      </c>
      <c r="C76">
        <f>IFERROR(__xludf.DUMMYFUNCTION("""COMPUTED_VALUE"""),"normal")</f>
        <v/>
      </c>
      <c r="D76">
        <f>IFERROR(__xludf.DUMMYFUNCTION("""COMPUTED_VALUE"""),"main")</f>
        <v/>
      </c>
      <c r="E76">
        <f>IFERROR(__xludf.DUMMYFUNCTION("""COMPUTED_VALUE"""),"メインクエスト")</f>
        <v/>
      </c>
      <c r="F76">
        <f>IFERROR(__xludf.DUMMYFUNCTION("""COMPUTED_VALUE"""),"quest_main_glo3_normal_12")</f>
        <v/>
      </c>
      <c r="G76">
        <f>IFERROR(__xludf.DUMMYFUNCTION("""COMPUTED_VALUE"""),"12.リミックスクエスト Vol.3")</f>
        <v/>
      </c>
      <c r="H76">
        <f>IFERROR(__xludf.DUMMYFUNCTION("""COMPUTED_VALUE"""),"05")</f>
        <v/>
      </c>
      <c r="I76">
        <f>IFERROR(__xludf.DUMMYFUNCTION("""COMPUTED_VALUE"""),"normal_glo3_00005")</f>
        <v/>
      </c>
      <c r="J76">
        <f>IFERROR(__xludf.DUMMYFUNCTION("""COMPUTED_VALUE"""),"stage_icon_glo3_normal_05")</f>
        <v/>
      </c>
    </row>
    <row r="77">
      <c r="A77">
        <f>IFERROR(__xludf.DUMMYFUNCTION("""COMPUTED_VALUE"""),"glo3")</f>
        <v/>
      </c>
      <c r="B77">
        <f>IFERROR(__xludf.DUMMYFUNCTION("""COMPUTED_VALUE"""),"GLOW")</f>
        <v/>
      </c>
      <c r="C77">
        <f>IFERROR(__xludf.DUMMYFUNCTION("""COMPUTED_VALUE"""),"normal")</f>
        <v/>
      </c>
      <c r="D77">
        <f>IFERROR(__xludf.DUMMYFUNCTION("""COMPUTED_VALUE"""),"main")</f>
        <v/>
      </c>
      <c r="E77">
        <f>IFERROR(__xludf.DUMMYFUNCTION("""COMPUTED_VALUE"""),"メインクエスト")</f>
        <v/>
      </c>
      <c r="F77">
        <f>IFERROR(__xludf.DUMMYFUNCTION("""COMPUTED_VALUE"""),"quest_main_glo3_normal_12")</f>
        <v/>
      </c>
      <c r="G77">
        <f>IFERROR(__xludf.DUMMYFUNCTION("""COMPUTED_VALUE"""),"12.リミックスクエスト Vol.3")</f>
        <v/>
      </c>
      <c r="H77">
        <f>IFERROR(__xludf.DUMMYFUNCTION("""COMPUTED_VALUE"""),"06")</f>
        <v/>
      </c>
      <c r="I77">
        <f>IFERROR(__xludf.DUMMYFUNCTION("""COMPUTED_VALUE"""),"normal_glo3_00006")</f>
        <v/>
      </c>
      <c r="J77">
        <f>IFERROR(__xludf.DUMMYFUNCTION("""COMPUTED_VALUE"""),"stage_icon_glo3_normal_06")</f>
        <v/>
      </c>
    </row>
    <row r="79">
      <c r="A79">
        <f>IFERROR(__xludf.DUMMYFUNCTION("""COMPUTED_VALUE"""),"mag")</f>
        <v/>
      </c>
      <c r="B79">
        <f>IFERROR(__xludf.DUMMYFUNCTION("""COMPUTED_VALUE"""),"株式会社マジルミエ")</f>
        <v/>
      </c>
      <c r="C79">
        <f>IFERROR(__xludf.DUMMYFUNCTION("""COMPUTED_VALUE"""),"normal")</f>
        <v/>
      </c>
      <c r="D79">
        <f>IFERROR(__xludf.DUMMYFUNCTION("""COMPUTED_VALUE"""),"main")</f>
        <v/>
      </c>
      <c r="E79">
        <f>IFERROR(__xludf.DUMMYFUNCTION("""COMPUTED_VALUE"""),"メインクエスト")</f>
        <v/>
      </c>
      <c r="F79">
        <f>IFERROR(__xludf.DUMMYFUNCTION("""COMPUTED_VALUE"""),"quest_main_mag_normal_13")</f>
        <v/>
      </c>
      <c r="G79">
        <f>IFERROR(__xludf.DUMMYFUNCTION("""COMPUTED_VALUE"""),"13.株式会社マジルミエ")</f>
        <v/>
      </c>
      <c r="H79">
        <f>IFERROR(__xludf.DUMMYFUNCTION("""COMPUTED_VALUE"""),"01")</f>
        <v/>
      </c>
      <c r="I79">
        <f>IFERROR(__xludf.DUMMYFUNCTION("""COMPUTED_VALUE"""),"normal_mag_00001")</f>
        <v/>
      </c>
      <c r="J79">
        <f>IFERROR(__xludf.DUMMYFUNCTION("""COMPUTED_VALUE"""),"stage_icon_mag_normal_01")</f>
        <v/>
      </c>
      <c r="K79">
        <f>IFERROR(__xludf.DUMMYFUNCTION("""COMPUTED_VALUE"""),"quest_image_mag_1")</f>
        <v/>
      </c>
    </row>
    <row r="80">
      <c r="A80">
        <f>IFERROR(__xludf.DUMMYFUNCTION("""COMPUTED_VALUE"""),"mag")</f>
        <v/>
      </c>
      <c r="B80">
        <f>IFERROR(__xludf.DUMMYFUNCTION("""COMPUTED_VALUE"""),"株式会社マジルミエ")</f>
        <v/>
      </c>
      <c r="C80">
        <f>IFERROR(__xludf.DUMMYFUNCTION("""COMPUTED_VALUE"""),"normal")</f>
        <v/>
      </c>
      <c r="D80">
        <f>IFERROR(__xludf.DUMMYFUNCTION("""COMPUTED_VALUE"""),"main")</f>
        <v/>
      </c>
      <c r="E80">
        <f>IFERROR(__xludf.DUMMYFUNCTION("""COMPUTED_VALUE"""),"メインクエスト")</f>
        <v/>
      </c>
      <c r="F80">
        <f>IFERROR(__xludf.DUMMYFUNCTION("""COMPUTED_VALUE"""),"quest_main_mag_normal_13")</f>
        <v/>
      </c>
      <c r="G80">
        <f>IFERROR(__xludf.DUMMYFUNCTION("""COMPUTED_VALUE"""),"13.株式会社マジルミエ")</f>
        <v/>
      </c>
      <c r="H80">
        <f>IFERROR(__xludf.DUMMYFUNCTION("""COMPUTED_VALUE"""),"02")</f>
        <v/>
      </c>
      <c r="I80">
        <f>IFERROR(__xludf.DUMMYFUNCTION("""COMPUTED_VALUE"""),"normal_mag_00002")</f>
        <v/>
      </c>
      <c r="J80">
        <f>IFERROR(__xludf.DUMMYFUNCTION("""COMPUTED_VALUE"""),"stage_icon_mag_normal_02")</f>
        <v/>
      </c>
    </row>
    <row r="81">
      <c r="A81">
        <f>IFERROR(__xludf.DUMMYFUNCTION("""COMPUTED_VALUE"""),"mag")</f>
        <v/>
      </c>
      <c r="B81">
        <f>IFERROR(__xludf.DUMMYFUNCTION("""COMPUTED_VALUE"""),"株式会社マジルミエ")</f>
        <v/>
      </c>
      <c r="C81">
        <f>IFERROR(__xludf.DUMMYFUNCTION("""COMPUTED_VALUE"""),"normal")</f>
        <v/>
      </c>
      <c r="D81">
        <f>IFERROR(__xludf.DUMMYFUNCTION("""COMPUTED_VALUE"""),"main")</f>
        <v/>
      </c>
      <c r="E81">
        <f>IFERROR(__xludf.DUMMYFUNCTION("""COMPUTED_VALUE"""),"メインクエスト")</f>
        <v/>
      </c>
      <c r="F81">
        <f>IFERROR(__xludf.DUMMYFUNCTION("""COMPUTED_VALUE"""),"quest_main_mag_normal_13")</f>
        <v/>
      </c>
      <c r="G81">
        <f>IFERROR(__xludf.DUMMYFUNCTION("""COMPUTED_VALUE"""),"13.株式会社マジルミエ")</f>
        <v/>
      </c>
      <c r="H81">
        <f>IFERROR(__xludf.DUMMYFUNCTION("""COMPUTED_VALUE"""),"03")</f>
        <v/>
      </c>
      <c r="I81">
        <f>IFERROR(__xludf.DUMMYFUNCTION("""COMPUTED_VALUE"""),"normal_mag_00003")</f>
        <v/>
      </c>
      <c r="J81">
        <f>IFERROR(__xludf.DUMMYFUNCTION("""COMPUTED_VALUE"""),"stage_icon_mag_normal_03")</f>
        <v/>
      </c>
    </row>
    <row r="82">
      <c r="A82">
        <f>IFERROR(__xludf.DUMMYFUNCTION("""COMPUTED_VALUE"""),"mag")</f>
        <v/>
      </c>
      <c r="B82">
        <f>IFERROR(__xludf.DUMMYFUNCTION("""COMPUTED_VALUE"""),"株式会社マジルミエ")</f>
        <v/>
      </c>
      <c r="C82">
        <f>IFERROR(__xludf.DUMMYFUNCTION("""COMPUTED_VALUE"""),"normal")</f>
        <v/>
      </c>
      <c r="D82">
        <f>IFERROR(__xludf.DUMMYFUNCTION("""COMPUTED_VALUE"""),"main")</f>
        <v/>
      </c>
      <c r="E82">
        <f>IFERROR(__xludf.DUMMYFUNCTION("""COMPUTED_VALUE"""),"メインクエスト")</f>
        <v/>
      </c>
      <c r="F82">
        <f>IFERROR(__xludf.DUMMYFUNCTION("""COMPUTED_VALUE"""),"quest_main_mag_normal_13")</f>
        <v/>
      </c>
      <c r="G82">
        <f>IFERROR(__xludf.DUMMYFUNCTION("""COMPUTED_VALUE"""),"13.株式会社マジルミエ")</f>
        <v/>
      </c>
      <c r="H82">
        <f>IFERROR(__xludf.DUMMYFUNCTION("""COMPUTED_VALUE"""),"04")</f>
        <v/>
      </c>
      <c r="I82">
        <f>IFERROR(__xludf.DUMMYFUNCTION("""COMPUTED_VALUE"""),"normal_mag_00004")</f>
        <v/>
      </c>
      <c r="J82">
        <f>IFERROR(__xludf.DUMMYFUNCTION("""COMPUTED_VALUE"""),"stage_icon_mag_normal_04")</f>
        <v/>
      </c>
    </row>
    <row r="83">
      <c r="A83">
        <f>IFERROR(__xludf.DUMMYFUNCTION("""COMPUTED_VALUE"""),"mag")</f>
        <v/>
      </c>
      <c r="B83">
        <f>IFERROR(__xludf.DUMMYFUNCTION("""COMPUTED_VALUE"""),"株式会社マジルミエ")</f>
        <v/>
      </c>
      <c r="C83">
        <f>IFERROR(__xludf.DUMMYFUNCTION("""COMPUTED_VALUE"""),"normal")</f>
        <v/>
      </c>
      <c r="D83">
        <f>IFERROR(__xludf.DUMMYFUNCTION("""COMPUTED_VALUE"""),"main")</f>
        <v/>
      </c>
      <c r="E83">
        <f>IFERROR(__xludf.DUMMYFUNCTION("""COMPUTED_VALUE"""),"メインクエスト")</f>
        <v/>
      </c>
      <c r="F83">
        <f>IFERROR(__xludf.DUMMYFUNCTION("""COMPUTED_VALUE"""),"quest_main_mag_normal_13")</f>
        <v/>
      </c>
      <c r="G83">
        <f>IFERROR(__xludf.DUMMYFUNCTION("""COMPUTED_VALUE"""),"13.株式会社マジルミエ")</f>
        <v/>
      </c>
      <c r="H83">
        <f>IFERROR(__xludf.DUMMYFUNCTION("""COMPUTED_VALUE"""),"05")</f>
        <v/>
      </c>
      <c r="I83">
        <f>IFERROR(__xludf.DUMMYFUNCTION("""COMPUTED_VALUE"""),"normal_mag_00005")</f>
        <v/>
      </c>
      <c r="J83">
        <f>IFERROR(__xludf.DUMMYFUNCTION("""COMPUTED_VALUE"""),"stage_icon_mag_normal_05")</f>
        <v/>
      </c>
    </row>
    <row r="84">
      <c r="A84">
        <f>IFERROR(__xludf.DUMMYFUNCTION("""COMPUTED_VALUE"""),"mag")</f>
        <v/>
      </c>
      <c r="B84">
        <f>IFERROR(__xludf.DUMMYFUNCTION("""COMPUTED_VALUE"""),"株式会社マジルミエ")</f>
        <v/>
      </c>
      <c r="C84">
        <f>IFERROR(__xludf.DUMMYFUNCTION("""COMPUTED_VALUE"""),"normal")</f>
        <v/>
      </c>
      <c r="D84">
        <f>IFERROR(__xludf.DUMMYFUNCTION("""COMPUTED_VALUE"""),"main")</f>
        <v/>
      </c>
      <c r="E84">
        <f>IFERROR(__xludf.DUMMYFUNCTION("""COMPUTED_VALUE"""),"メインクエスト")</f>
        <v/>
      </c>
      <c r="F84">
        <f>IFERROR(__xludf.DUMMYFUNCTION("""COMPUTED_VALUE"""),"quest_main_mag_normal_13")</f>
        <v/>
      </c>
      <c r="G84">
        <f>IFERROR(__xludf.DUMMYFUNCTION("""COMPUTED_VALUE"""),"13.株式会社マジルミエ")</f>
        <v/>
      </c>
      <c r="H84">
        <f>IFERROR(__xludf.DUMMYFUNCTION("""COMPUTED_VALUE"""),"06")</f>
        <v/>
      </c>
      <c r="I84">
        <f>IFERROR(__xludf.DUMMYFUNCTION("""COMPUTED_VALUE"""),"normal_mag_00006")</f>
        <v/>
      </c>
      <c r="J84">
        <f>IFERROR(__xludf.DUMMYFUNCTION("""COMPUTED_VALUE"""),"stage_icon_mag_normal_06")</f>
        <v/>
      </c>
    </row>
    <row r="86">
      <c r="A86">
        <f>IFERROR(__xludf.DUMMYFUNCTION("""COMPUTED_VALUE"""),"sum")</f>
        <v/>
      </c>
      <c r="B86">
        <f>IFERROR(__xludf.DUMMYFUNCTION("""COMPUTED_VALUE"""),"サマータイムレンダ")</f>
        <v/>
      </c>
      <c r="C86">
        <f>IFERROR(__xludf.DUMMYFUNCTION("""COMPUTED_VALUE"""),"normal")</f>
        <v/>
      </c>
      <c r="D86">
        <f>IFERROR(__xludf.DUMMYFUNCTION("""COMPUTED_VALUE"""),"main")</f>
        <v/>
      </c>
      <c r="E86">
        <f>IFERROR(__xludf.DUMMYFUNCTION("""COMPUTED_VALUE"""),"メインクエスト")</f>
        <v/>
      </c>
      <c r="F86">
        <f>IFERROR(__xludf.DUMMYFUNCTION("""COMPUTED_VALUE"""),"quest_main_sum_normal_14")</f>
        <v/>
      </c>
      <c r="G86">
        <f>IFERROR(__xludf.DUMMYFUNCTION("""COMPUTED_VALUE"""),"14.サマータイムレンダ")</f>
        <v/>
      </c>
      <c r="H86">
        <f>IFERROR(__xludf.DUMMYFUNCTION("""COMPUTED_VALUE"""),"01")</f>
        <v/>
      </c>
      <c r="I86">
        <f>IFERROR(__xludf.DUMMYFUNCTION("""COMPUTED_VALUE"""),"normal_sum_00001")</f>
        <v/>
      </c>
      <c r="J86">
        <f>IFERROR(__xludf.DUMMYFUNCTION("""COMPUTED_VALUE"""),"stage_icon_sum_normal_01")</f>
        <v/>
      </c>
      <c r="K86">
        <f>IFERROR(__xludf.DUMMYFUNCTION("""COMPUTED_VALUE"""),"quest_image_sum_1")</f>
        <v/>
      </c>
    </row>
    <row r="87">
      <c r="A87">
        <f>IFERROR(__xludf.DUMMYFUNCTION("""COMPUTED_VALUE"""),"sum")</f>
        <v/>
      </c>
      <c r="B87">
        <f>IFERROR(__xludf.DUMMYFUNCTION("""COMPUTED_VALUE"""),"サマータイムレンダ")</f>
        <v/>
      </c>
      <c r="C87">
        <f>IFERROR(__xludf.DUMMYFUNCTION("""COMPUTED_VALUE"""),"normal")</f>
        <v/>
      </c>
      <c r="D87">
        <f>IFERROR(__xludf.DUMMYFUNCTION("""COMPUTED_VALUE"""),"main")</f>
        <v/>
      </c>
      <c r="E87">
        <f>IFERROR(__xludf.DUMMYFUNCTION("""COMPUTED_VALUE"""),"メインクエスト")</f>
        <v/>
      </c>
      <c r="F87">
        <f>IFERROR(__xludf.DUMMYFUNCTION("""COMPUTED_VALUE"""),"quest_main_sum_normal_14")</f>
        <v/>
      </c>
      <c r="G87">
        <f>IFERROR(__xludf.DUMMYFUNCTION("""COMPUTED_VALUE"""),"14.サマータイムレンダ")</f>
        <v/>
      </c>
      <c r="H87">
        <f>IFERROR(__xludf.DUMMYFUNCTION("""COMPUTED_VALUE"""),"02")</f>
        <v/>
      </c>
      <c r="I87">
        <f>IFERROR(__xludf.DUMMYFUNCTION("""COMPUTED_VALUE"""),"normal_sum_00002")</f>
        <v/>
      </c>
      <c r="J87">
        <f>IFERROR(__xludf.DUMMYFUNCTION("""COMPUTED_VALUE"""),"stage_icon_sum_normal_02")</f>
        <v/>
      </c>
    </row>
    <row r="88">
      <c r="A88">
        <f>IFERROR(__xludf.DUMMYFUNCTION("""COMPUTED_VALUE"""),"sum")</f>
        <v/>
      </c>
      <c r="B88">
        <f>IFERROR(__xludf.DUMMYFUNCTION("""COMPUTED_VALUE"""),"サマータイムレンダ")</f>
        <v/>
      </c>
      <c r="C88">
        <f>IFERROR(__xludf.DUMMYFUNCTION("""COMPUTED_VALUE"""),"normal")</f>
        <v/>
      </c>
      <c r="D88">
        <f>IFERROR(__xludf.DUMMYFUNCTION("""COMPUTED_VALUE"""),"main")</f>
        <v/>
      </c>
      <c r="E88">
        <f>IFERROR(__xludf.DUMMYFUNCTION("""COMPUTED_VALUE"""),"メインクエスト")</f>
        <v/>
      </c>
      <c r="F88">
        <f>IFERROR(__xludf.DUMMYFUNCTION("""COMPUTED_VALUE"""),"quest_main_sum_normal_14")</f>
        <v/>
      </c>
      <c r="G88">
        <f>IFERROR(__xludf.DUMMYFUNCTION("""COMPUTED_VALUE"""),"14.サマータイムレンダ")</f>
        <v/>
      </c>
      <c r="H88">
        <f>IFERROR(__xludf.DUMMYFUNCTION("""COMPUTED_VALUE"""),"03")</f>
        <v/>
      </c>
      <c r="I88">
        <f>IFERROR(__xludf.DUMMYFUNCTION("""COMPUTED_VALUE"""),"normal_sum_00003")</f>
        <v/>
      </c>
      <c r="J88">
        <f>IFERROR(__xludf.DUMMYFUNCTION("""COMPUTED_VALUE"""),"stage_icon_sum_normal_03")</f>
        <v/>
      </c>
    </row>
    <row r="89">
      <c r="A89">
        <f>IFERROR(__xludf.DUMMYFUNCTION("""COMPUTED_VALUE"""),"sum")</f>
        <v/>
      </c>
      <c r="B89">
        <f>IFERROR(__xludf.DUMMYFUNCTION("""COMPUTED_VALUE"""),"サマータイムレンダ")</f>
        <v/>
      </c>
      <c r="C89">
        <f>IFERROR(__xludf.DUMMYFUNCTION("""COMPUTED_VALUE"""),"normal")</f>
        <v/>
      </c>
      <c r="D89">
        <f>IFERROR(__xludf.DUMMYFUNCTION("""COMPUTED_VALUE"""),"main")</f>
        <v/>
      </c>
      <c r="E89">
        <f>IFERROR(__xludf.DUMMYFUNCTION("""COMPUTED_VALUE"""),"メインクエスト")</f>
        <v/>
      </c>
      <c r="F89">
        <f>IFERROR(__xludf.DUMMYFUNCTION("""COMPUTED_VALUE"""),"quest_main_sum_normal_14")</f>
        <v/>
      </c>
      <c r="G89">
        <f>IFERROR(__xludf.DUMMYFUNCTION("""COMPUTED_VALUE"""),"14.サマータイムレンダ")</f>
        <v/>
      </c>
      <c r="H89">
        <f>IFERROR(__xludf.DUMMYFUNCTION("""COMPUTED_VALUE"""),"04")</f>
        <v/>
      </c>
      <c r="I89">
        <f>IFERROR(__xludf.DUMMYFUNCTION("""COMPUTED_VALUE"""),"normal_sum_00004")</f>
        <v/>
      </c>
      <c r="J89">
        <f>IFERROR(__xludf.DUMMYFUNCTION("""COMPUTED_VALUE"""),"stage_icon_sum_normal_04")</f>
        <v/>
      </c>
    </row>
    <row r="90">
      <c r="A90">
        <f>IFERROR(__xludf.DUMMYFUNCTION("""COMPUTED_VALUE"""),"sum")</f>
        <v/>
      </c>
      <c r="B90">
        <f>IFERROR(__xludf.DUMMYFUNCTION("""COMPUTED_VALUE"""),"サマータイムレンダ")</f>
        <v/>
      </c>
      <c r="C90">
        <f>IFERROR(__xludf.DUMMYFUNCTION("""COMPUTED_VALUE"""),"normal")</f>
        <v/>
      </c>
      <c r="D90">
        <f>IFERROR(__xludf.DUMMYFUNCTION("""COMPUTED_VALUE"""),"main")</f>
        <v/>
      </c>
      <c r="E90">
        <f>IFERROR(__xludf.DUMMYFUNCTION("""COMPUTED_VALUE"""),"メインクエスト")</f>
        <v/>
      </c>
      <c r="F90">
        <f>IFERROR(__xludf.DUMMYFUNCTION("""COMPUTED_VALUE"""),"quest_main_sum_normal_14")</f>
        <v/>
      </c>
      <c r="G90">
        <f>IFERROR(__xludf.DUMMYFUNCTION("""COMPUTED_VALUE"""),"14.サマータイムレンダ")</f>
        <v/>
      </c>
      <c r="H90">
        <f>IFERROR(__xludf.DUMMYFUNCTION("""COMPUTED_VALUE"""),"05")</f>
        <v/>
      </c>
      <c r="I90">
        <f>IFERROR(__xludf.DUMMYFUNCTION("""COMPUTED_VALUE"""),"normal_sum_00005")</f>
        <v/>
      </c>
      <c r="J90">
        <f>IFERROR(__xludf.DUMMYFUNCTION("""COMPUTED_VALUE"""),"stage_icon_sum_normal_05")</f>
        <v/>
      </c>
    </row>
    <row r="91">
      <c r="A91">
        <f>IFERROR(__xludf.DUMMYFUNCTION("""COMPUTED_VALUE"""),"sum")</f>
        <v/>
      </c>
      <c r="B91">
        <f>IFERROR(__xludf.DUMMYFUNCTION("""COMPUTED_VALUE"""),"サマータイムレンダ")</f>
        <v/>
      </c>
      <c r="C91">
        <f>IFERROR(__xludf.DUMMYFUNCTION("""COMPUTED_VALUE"""),"normal")</f>
        <v/>
      </c>
      <c r="D91">
        <f>IFERROR(__xludf.DUMMYFUNCTION("""COMPUTED_VALUE"""),"main")</f>
        <v/>
      </c>
      <c r="E91">
        <f>IFERROR(__xludf.DUMMYFUNCTION("""COMPUTED_VALUE"""),"メインクエスト")</f>
        <v/>
      </c>
      <c r="F91">
        <f>IFERROR(__xludf.DUMMYFUNCTION("""COMPUTED_VALUE"""),"quest_main_sum_normal_14")</f>
        <v/>
      </c>
      <c r="G91">
        <f>IFERROR(__xludf.DUMMYFUNCTION("""COMPUTED_VALUE"""),"14.サマータイムレンダ")</f>
        <v/>
      </c>
      <c r="H91">
        <f>IFERROR(__xludf.DUMMYFUNCTION("""COMPUTED_VALUE"""),"06")</f>
        <v/>
      </c>
      <c r="I91">
        <f>IFERROR(__xludf.DUMMYFUNCTION("""COMPUTED_VALUE"""),"normal_sum_00006")</f>
        <v/>
      </c>
      <c r="J91">
        <f>IFERROR(__xludf.DUMMYFUNCTION("""COMPUTED_VALUE"""),"stage_icon_sum_normal_06")</f>
        <v/>
      </c>
    </row>
    <row r="93">
      <c r="A93">
        <f>IFERROR(__xludf.DUMMYFUNCTION("""COMPUTED_VALUE"""),"kai")</f>
        <v/>
      </c>
      <c r="B93">
        <f>IFERROR(__xludf.DUMMYFUNCTION("""COMPUTED_VALUE"""),"怪獣８号")</f>
        <v/>
      </c>
      <c r="C93">
        <f>IFERROR(__xludf.DUMMYFUNCTION("""COMPUTED_VALUE"""),"normal")</f>
        <v/>
      </c>
      <c r="D93">
        <f>IFERROR(__xludf.DUMMYFUNCTION("""COMPUTED_VALUE"""),"main")</f>
        <v/>
      </c>
      <c r="E93">
        <f>IFERROR(__xludf.DUMMYFUNCTION("""COMPUTED_VALUE"""),"メインクエスト")</f>
        <v/>
      </c>
      <c r="F93">
        <f>IFERROR(__xludf.DUMMYFUNCTION("""COMPUTED_VALUE"""),"quest_main_kai_normal_15")</f>
        <v/>
      </c>
      <c r="G93">
        <f>IFERROR(__xludf.DUMMYFUNCTION("""COMPUTED_VALUE"""),"15.怪獣８号")</f>
        <v/>
      </c>
      <c r="H93">
        <f>IFERROR(__xludf.DUMMYFUNCTION("""COMPUTED_VALUE"""),"01")</f>
        <v/>
      </c>
      <c r="I93">
        <f>IFERROR(__xludf.DUMMYFUNCTION("""COMPUTED_VALUE"""),"normal_kai_00001")</f>
        <v/>
      </c>
      <c r="J93">
        <f>IFERROR(__xludf.DUMMYFUNCTION("""COMPUTED_VALUE"""),"stage_icon_kai_normal_01")</f>
        <v/>
      </c>
      <c r="K93">
        <f>IFERROR(__xludf.DUMMYFUNCTION("""COMPUTED_VALUE"""),"quest_image_kai_1")</f>
        <v/>
      </c>
    </row>
    <row r="94">
      <c r="A94">
        <f>IFERROR(__xludf.DUMMYFUNCTION("""COMPUTED_VALUE"""),"kai")</f>
        <v/>
      </c>
      <c r="B94">
        <f>IFERROR(__xludf.DUMMYFUNCTION("""COMPUTED_VALUE"""),"怪獣８号")</f>
        <v/>
      </c>
      <c r="C94">
        <f>IFERROR(__xludf.DUMMYFUNCTION("""COMPUTED_VALUE"""),"normal")</f>
        <v/>
      </c>
      <c r="D94">
        <f>IFERROR(__xludf.DUMMYFUNCTION("""COMPUTED_VALUE"""),"main")</f>
        <v/>
      </c>
      <c r="E94">
        <f>IFERROR(__xludf.DUMMYFUNCTION("""COMPUTED_VALUE"""),"メインクエスト")</f>
        <v/>
      </c>
      <c r="F94">
        <f>IFERROR(__xludf.DUMMYFUNCTION("""COMPUTED_VALUE"""),"quest_main_kai_normal_15")</f>
        <v/>
      </c>
      <c r="G94">
        <f>IFERROR(__xludf.DUMMYFUNCTION("""COMPUTED_VALUE"""),"15.怪獣８号")</f>
        <v/>
      </c>
      <c r="H94">
        <f>IFERROR(__xludf.DUMMYFUNCTION("""COMPUTED_VALUE"""),"02")</f>
        <v/>
      </c>
      <c r="I94">
        <f>IFERROR(__xludf.DUMMYFUNCTION("""COMPUTED_VALUE"""),"normal_kai_00002")</f>
        <v/>
      </c>
      <c r="J94">
        <f>IFERROR(__xludf.DUMMYFUNCTION("""COMPUTED_VALUE"""),"stage_icon_kai_normal_02")</f>
        <v/>
      </c>
    </row>
    <row r="95">
      <c r="A95">
        <f>IFERROR(__xludf.DUMMYFUNCTION("""COMPUTED_VALUE"""),"kai")</f>
        <v/>
      </c>
      <c r="B95">
        <f>IFERROR(__xludf.DUMMYFUNCTION("""COMPUTED_VALUE"""),"怪獣８号")</f>
        <v/>
      </c>
      <c r="C95">
        <f>IFERROR(__xludf.DUMMYFUNCTION("""COMPUTED_VALUE"""),"normal")</f>
        <v/>
      </c>
      <c r="D95">
        <f>IFERROR(__xludf.DUMMYFUNCTION("""COMPUTED_VALUE"""),"main")</f>
        <v/>
      </c>
      <c r="E95">
        <f>IFERROR(__xludf.DUMMYFUNCTION("""COMPUTED_VALUE"""),"メインクエスト")</f>
        <v/>
      </c>
      <c r="F95">
        <f>IFERROR(__xludf.DUMMYFUNCTION("""COMPUTED_VALUE"""),"quest_main_kai_normal_15")</f>
        <v/>
      </c>
      <c r="G95">
        <f>IFERROR(__xludf.DUMMYFUNCTION("""COMPUTED_VALUE"""),"15.怪獣８号")</f>
        <v/>
      </c>
      <c r="H95">
        <f>IFERROR(__xludf.DUMMYFUNCTION("""COMPUTED_VALUE"""),"03")</f>
        <v/>
      </c>
      <c r="I95">
        <f>IFERROR(__xludf.DUMMYFUNCTION("""COMPUTED_VALUE"""),"normal_kai_00003")</f>
        <v/>
      </c>
      <c r="J95">
        <f>IFERROR(__xludf.DUMMYFUNCTION("""COMPUTED_VALUE"""),"stage_icon_kai_normal_03")</f>
        <v/>
      </c>
    </row>
    <row r="96">
      <c r="A96">
        <f>IFERROR(__xludf.DUMMYFUNCTION("""COMPUTED_VALUE"""),"kai")</f>
        <v/>
      </c>
      <c r="B96">
        <f>IFERROR(__xludf.DUMMYFUNCTION("""COMPUTED_VALUE"""),"怪獣８号")</f>
        <v/>
      </c>
      <c r="C96">
        <f>IFERROR(__xludf.DUMMYFUNCTION("""COMPUTED_VALUE"""),"normal")</f>
        <v/>
      </c>
      <c r="D96">
        <f>IFERROR(__xludf.DUMMYFUNCTION("""COMPUTED_VALUE"""),"main")</f>
        <v/>
      </c>
      <c r="E96">
        <f>IFERROR(__xludf.DUMMYFUNCTION("""COMPUTED_VALUE"""),"メインクエスト")</f>
        <v/>
      </c>
      <c r="F96">
        <f>IFERROR(__xludf.DUMMYFUNCTION("""COMPUTED_VALUE"""),"quest_main_kai_normal_15")</f>
        <v/>
      </c>
      <c r="G96">
        <f>IFERROR(__xludf.DUMMYFUNCTION("""COMPUTED_VALUE"""),"15.怪獣８号")</f>
        <v/>
      </c>
      <c r="H96">
        <f>IFERROR(__xludf.DUMMYFUNCTION("""COMPUTED_VALUE"""),"04")</f>
        <v/>
      </c>
      <c r="I96">
        <f>IFERROR(__xludf.DUMMYFUNCTION("""COMPUTED_VALUE"""),"normal_kai_00004")</f>
        <v/>
      </c>
      <c r="J96">
        <f>IFERROR(__xludf.DUMMYFUNCTION("""COMPUTED_VALUE"""),"stage_icon_kai_normal_04")</f>
        <v/>
      </c>
    </row>
    <row r="97">
      <c r="A97">
        <f>IFERROR(__xludf.DUMMYFUNCTION("""COMPUTED_VALUE"""),"kai")</f>
        <v/>
      </c>
      <c r="B97">
        <f>IFERROR(__xludf.DUMMYFUNCTION("""COMPUTED_VALUE"""),"怪獣８号")</f>
        <v/>
      </c>
      <c r="C97">
        <f>IFERROR(__xludf.DUMMYFUNCTION("""COMPUTED_VALUE"""),"normal")</f>
        <v/>
      </c>
      <c r="D97">
        <f>IFERROR(__xludf.DUMMYFUNCTION("""COMPUTED_VALUE"""),"main")</f>
        <v/>
      </c>
      <c r="E97">
        <f>IFERROR(__xludf.DUMMYFUNCTION("""COMPUTED_VALUE"""),"メインクエスト")</f>
        <v/>
      </c>
      <c r="F97">
        <f>IFERROR(__xludf.DUMMYFUNCTION("""COMPUTED_VALUE"""),"quest_main_kai_normal_15")</f>
        <v/>
      </c>
      <c r="G97">
        <f>IFERROR(__xludf.DUMMYFUNCTION("""COMPUTED_VALUE"""),"15.怪獣８号")</f>
        <v/>
      </c>
      <c r="H97">
        <f>IFERROR(__xludf.DUMMYFUNCTION("""COMPUTED_VALUE"""),"05")</f>
        <v/>
      </c>
      <c r="I97">
        <f>IFERROR(__xludf.DUMMYFUNCTION("""COMPUTED_VALUE"""),"normal_kai_00005")</f>
        <v/>
      </c>
      <c r="J97">
        <f>IFERROR(__xludf.DUMMYFUNCTION("""COMPUTED_VALUE"""),"stage_icon_kai_normal_05")</f>
        <v/>
      </c>
    </row>
    <row r="98">
      <c r="A98">
        <f>IFERROR(__xludf.DUMMYFUNCTION("""COMPUTED_VALUE"""),"kai")</f>
        <v/>
      </c>
      <c r="B98">
        <f>IFERROR(__xludf.DUMMYFUNCTION("""COMPUTED_VALUE"""),"怪獣８号")</f>
        <v/>
      </c>
      <c r="C98">
        <f>IFERROR(__xludf.DUMMYFUNCTION("""COMPUTED_VALUE"""),"normal")</f>
        <v/>
      </c>
      <c r="D98">
        <f>IFERROR(__xludf.DUMMYFUNCTION("""COMPUTED_VALUE"""),"main")</f>
        <v/>
      </c>
      <c r="E98">
        <f>IFERROR(__xludf.DUMMYFUNCTION("""COMPUTED_VALUE"""),"メインクエスト")</f>
        <v/>
      </c>
      <c r="F98">
        <f>IFERROR(__xludf.DUMMYFUNCTION("""COMPUTED_VALUE"""),"quest_main_kai_normal_15")</f>
        <v/>
      </c>
      <c r="G98">
        <f>IFERROR(__xludf.DUMMYFUNCTION("""COMPUTED_VALUE"""),"15.怪獣８号")</f>
        <v/>
      </c>
      <c r="H98">
        <f>IFERROR(__xludf.DUMMYFUNCTION("""COMPUTED_VALUE"""),"06")</f>
        <v/>
      </c>
      <c r="I98">
        <f>IFERROR(__xludf.DUMMYFUNCTION("""COMPUTED_VALUE"""),"normal_kai_00006")</f>
        <v/>
      </c>
      <c r="J98">
        <f>IFERROR(__xludf.DUMMYFUNCTION("""COMPUTED_VALUE"""),"stage_icon_kai_normal_06")</f>
        <v/>
      </c>
    </row>
    <row r="100">
      <c r="A100">
        <f>IFERROR(__xludf.DUMMYFUNCTION("""COMPUTED_VALUE"""),"glo4")</f>
        <v/>
      </c>
      <c r="B100">
        <f>IFERROR(__xludf.DUMMYFUNCTION("""COMPUTED_VALUE"""),"GLOW")</f>
        <v/>
      </c>
      <c r="C100">
        <f>IFERROR(__xludf.DUMMYFUNCTION("""COMPUTED_VALUE"""),"normal")</f>
        <v/>
      </c>
      <c r="D100">
        <f>IFERROR(__xludf.DUMMYFUNCTION("""COMPUTED_VALUE"""),"main")</f>
        <v/>
      </c>
      <c r="E100">
        <f>IFERROR(__xludf.DUMMYFUNCTION("""COMPUTED_VALUE"""),"メインクエスト")</f>
        <v/>
      </c>
      <c r="F100">
        <f>IFERROR(__xludf.DUMMYFUNCTION("""COMPUTED_VALUE"""),"quest_main_glo4_normal_16")</f>
        <v/>
      </c>
      <c r="G100">
        <f>IFERROR(__xludf.DUMMYFUNCTION("""COMPUTED_VALUE"""),"16.リミックスクエスト Vol.4")</f>
        <v/>
      </c>
      <c r="H100">
        <f>IFERROR(__xludf.DUMMYFUNCTION("""COMPUTED_VALUE"""),"01")</f>
        <v/>
      </c>
      <c r="I100">
        <f>IFERROR(__xludf.DUMMYFUNCTION("""COMPUTED_VALUE"""),"normal_glo4_00001")</f>
        <v/>
      </c>
      <c r="J100">
        <f>IFERROR(__xludf.DUMMYFUNCTION("""COMPUTED_VALUE"""),"stage_icon_glo4_normal_01")</f>
        <v/>
      </c>
      <c r="K100">
        <f>IFERROR(__xludf.DUMMYFUNCTION("""COMPUTED_VALUE"""),"quest_image_glo4_1")</f>
        <v/>
      </c>
    </row>
    <row r="101">
      <c r="A101">
        <f>IFERROR(__xludf.DUMMYFUNCTION("""COMPUTED_VALUE"""),"glo4")</f>
        <v/>
      </c>
      <c r="B101">
        <f>IFERROR(__xludf.DUMMYFUNCTION("""COMPUTED_VALUE"""),"GLOW")</f>
        <v/>
      </c>
      <c r="C101">
        <f>IFERROR(__xludf.DUMMYFUNCTION("""COMPUTED_VALUE"""),"normal")</f>
        <v/>
      </c>
      <c r="D101">
        <f>IFERROR(__xludf.DUMMYFUNCTION("""COMPUTED_VALUE"""),"main")</f>
        <v/>
      </c>
      <c r="E101">
        <f>IFERROR(__xludf.DUMMYFUNCTION("""COMPUTED_VALUE"""),"メインクエスト")</f>
        <v/>
      </c>
      <c r="F101">
        <f>IFERROR(__xludf.DUMMYFUNCTION("""COMPUTED_VALUE"""),"quest_main_glo4_normal_16")</f>
        <v/>
      </c>
      <c r="G101">
        <f>IFERROR(__xludf.DUMMYFUNCTION("""COMPUTED_VALUE"""),"16.リミックスクエスト Vol.4")</f>
        <v/>
      </c>
      <c r="H101">
        <f>IFERROR(__xludf.DUMMYFUNCTION("""COMPUTED_VALUE"""),"02")</f>
        <v/>
      </c>
      <c r="I101">
        <f>IFERROR(__xludf.DUMMYFUNCTION("""COMPUTED_VALUE"""),"normal_glo4_00002")</f>
        <v/>
      </c>
      <c r="J101">
        <f>IFERROR(__xludf.DUMMYFUNCTION("""COMPUTED_VALUE"""),"stage_icon_glo4_normal_02")</f>
        <v/>
      </c>
    </row>
    <row r="102">
      <c r="A102">
        <f>IFERROR(__xludf.DUMMYFUNCTION("""COMPUTED_VALUE"""),"glo4")</f>
        <v/>
      </c>
      <c r="B102">
        <f>IFERROR(__xludf.DUMMYFUNCTION("""COMPUTED_VALUE"""),"GLOW")</f>
        <v/>
      </c>
      <c r="C102">
        <f>IFERROR(__xludf.DUMMYFUNCTION("""COMPUTED_VALUE"""),"normal")</f>
        <v/>
      </c>
      <c r="D102">
        <f>IFERROR(__xludf.DUMMYFUNCTION("""COMPUTED_VALUE"""),"main")</f>
        <v/>
      </c>
      <c r="E102">
        <f>IFERROR(__xludf.DUMMYFUNCTION("""COMPUTED_VALUE"""),"メインクエスト")</f>
        <v/>
      </c>
      <c r="F102">
        <f>IFERROR(__xludf.DUMMYFUNCTION("""COMPUTED_VALUE"""),"quest_main_glo4_normal_16")</f>
        <v/>
      </c>
      <c r="G102">
        <f>IFERROR(__xludf.DUMMYFUNCTION("""COMPUTED_VALUE"""),"16.リミックスクエスト Vol.4")</f>
        <v/>
      </c>
      <c r="H102">
        <f>IFERROR(__xludf.DUMMYFUNCTION("""COMPUTED_VALUE"""),"03")</f>
        <v/>
      </c>
      <c r="I102">
        <f>IFERROR(__xludf.DUMMYFUNCTION("""COMPUTED_VALUE"""),"normal_glo4_00003")</f>
        <v/>
      </c>
      <c r="J102">
        <f>IFERROR(__xludf.DUMMYFUNCTION("""COMPUTED_VALUE"""),"stage_icon_glo4_normal_03")</f>
        <v/>
      </c>
    </row>
    <row r="103">
      <c r="A103">
        <f>IFERROR(__xludf.DUMMYFUNCTION("""COMPUTED_VALUE"""),"glo4")</f>
        <v/>
      </c>
      <c r="B103">
        <f>IFERROR(__xludf.DUMMYFUNCTION("""COMPUTED_VALUE"""),"GLOW")</f>
        <v/>
      </c>
      <c r="C103">
        <f>IFERROR(__xludf.DUMMYFUNCTION("""COMPUTED_VALUE"""),"normal")</f>
        <v/>
      </c>
      <c r="D103">
        <f>IFERROR(__xludf.DUMMYFUNCTION("""COMPUTED_VALUE"""),"main")</f>
        <v/>
      </c>
      <c r="E103">
        <f>IFERROR(__xludf.DUMMYFUNCTION("""COMPUTED_VALUE"""),"メインクエスト")</f>
        <v/>
      </c>
      <c r="F103">
        <f>IFERROR(__xludf.DUMMYFUNCTION("""COMPUTED_VALUE"""),"quest_main_glo4_normal_16")</f>
        <v/>
      </c>
      <c r="G103">
        <f>IFERROR(__xludf.DUMMYFUNCTION("""COMPUTED_VALUE"""),"16.リミックスクエスト Vol.4")</f>
        <v/>
      </c>
      <c r="H103">
        <f>IFERROR(__xludf.DUMMYFUNCTION("""COMPUTED_VALUE"""),"04")</f>
        <v/>
      </c>
      <c r="I103">
        <f>IFERROR(__xludf.DUMMYFUNCTION("""COMPUTED_VALUE"""),"normal_glo4_00004")</f>
        <v/>
      </c>
      <c r="J103">
        <f>IFERROR(__xludf.DUMMYFUNCTION("""COMPUTED_VALUE"""),"stage_icon_glo4_normal_04")</f>
        <v/>
      </c>
    </row>
    <row r="104">
      <c r="A104">
        <f>IFERROR(__xludf.DUMMYFUNCTION("""COMPUTED_VALUE"""),"glo4")</f>
        <v/>
      </c>
      <c r="B104">
        <f>IFERROR(__xludf.DUMMYFUNCTION("""COMPUTED_VALUE"""),"GLOW")</f>
        <v/>
      </c>
      <c r="C104">
        <f>IFERROR(__xludf.DUMMYFUNCTION("""COMPUTED_VALUE"""),"normal")</f>
        <v/>
      </c>
      <c r="D104">
        <f>IFERROR(__xludf.DUMMYFUNCTION("""COMPUTED_VALUE"""),"main")</f>
        <v/>
      </c>
      <c r="E104">
        <f>IFERROR(__xludf.DUMMYFUNCTION("""COMPUTED_VALUE"""),"メインクエスト")</f>
        <v/>
      </c>
      <c r="F104">
        <f>IFERROR(__xludf.DUMMYFUNCTION("""COMPUTED_VALUE"""),"quest_main_glo4_normal_16")</f>
        <v/>
      </c>
      <c r="G104">
        <f>IFERROR(__xludf.DUMMYFUNCTION("""COMPUTED_VALUE"""),"16.リミックスクエスト Vol.4")</f>
        <v/>
      </c>
      <c r="H104">
        <f>IFERROR(__xludf.DUMMYFUNCTION("""COMPUTED_VALUE"""),"05")</f>
        <v/>
      </c>
      <c r="I104">
        <f>IFERROR(__xludf.DUMMYFUNCTION("""COMPUTED_VALUE"""),"normal_glo4_00005")</f>
        <v/>
      </c>
      <c r="J104">
        <f>IFERROR(__xludf.DUMMYFUNCTION("""COMPUTED_VALUE"""),"stage_icon_glo4_normal_05")</f>
        <v/>
      </c>
    </row>
    <row r="105">
      <c r="A105">
        <f>IFERROR(__xludf.DUMMYFUNCTION("""COMPUTED_VALUE"""),"glo4")</f>
        <v/>
      </c>
      <c r="B105">
        <f>IFERROR(__xludf.DUMMYFUNCTION("""COMPUTED_VALUE"""),"GLOW")</f>
        <v/>
      </c>
      <c r="C105">
        <f>IFERROR(__xludf.DUMMYFUNCTION("""COMPUTED_VALUE"""),"normal")</f>
        <v/>
      </c>
      <c r="D105">
        <f>IFERROR(__xludf.DUMMYFUNCTION("""COMPUTED_VALUE"""),"main")</f>
        <v/>
      </c>
      <c r="E105">
        <f>IFERROR(__xludf.DUMMYFUNCTION("""COMPUTED_VALUE"""),"メインクエスト")</f>
        <v/>
      </c>
      <c r="F105">
        <f>IFERROR(__xludf.DUMMYFUNCTION("""COMPUTED_VALUE"""),"quest_main_glo4_normal_16")</f>
        <v/>
      </c>
      <c r="G105">
        <f>IFERROR(__xludf.DUMMYFUNCTION("""COMPUTED_VALUE"""),"16.リミックスクエスト Vol.4")</f>
        <v/>
      </c>
      <c r="H105">
        <f>IFERROR(__xludf.DUMMYFUNCTION("""COMPUTED_VALUE"""),"06")</f>
        <v/>
      </c>
      <c r="I105">
        <f>IFERROR(__xludf.DUMMYFUNCTION("""COMPUTED_VALUE"""),"normal_glo4_00006")</f>
        <v/>
      </c>
      <c r="J105">
        <f>IFERROR(__xludf.DUMMYFUNCTION("""COMPUTED_VALUE"""),"stage_icon_glo4_normal_06")</f>
        <v/>
      </c>
    </row>
    <row r="107">
      <c r="A107">
        <f>IFERROR(__xludf.DUMMYFUNCTION("""COMPUTED_VALUE"""),"osh")</f>
        <v/>
      </c>
      <c r="B107">
        <f>IFERROR(__xludf.DUMMYFUNCTION("""COMPUTED_VALUE"""),"【推しの子】")</f>
        <v/>
      </c>
      <c r="C107">
        <f>IFERROR(__xludf.DUMMYFUNCTION("""COMPUTED_VALUE"""),"normal")</f>
        <v/>
      </c>
      <c r="D107">
        <f>IFERROR(__xludf.DUMMYFUNCTION("""COMPUTED_VALUE"""),"main")</f>
        <v/>
      </c>
      <c r="E107">
        <f>IFERROR(__xludf.DUMMYFUNCTION("""COMPUTED_VALUE"""),"メインクエスト")</f>
        <v/>
      </c>
      <c r="F107">
        <f>IFERROR(__xludf.DUMMYFUNCTION("""COMPUTED_VALUE"""),"quest_main_osh_normal_17")</f>
        <v/>
      </c>
      <c r="G107">
        <f>IFERROR(__xludf.DUMMYFUNCTION("""COMPUTED_VALUE"""),"17.【推しの子】")</f>
        <v/>
      </c>
      <c r="H107">
        <f>IFERROR(__xludf.DUMMYFUNCTION("""COMPUTED_VALUE"""),"01")</f>
        <v/>
      </c>
      <c r="I107">
        <f>IFERROR(__xludf.DUMMYFUNCTION("""COMPUTED_VALUE"""),"normal_osh_00001")</f>
        <v/>
      </c>
      <c r="J107">
        <f>IFERROR(__xludf.DUMMYFUNCTION("""COMPUTED_VALUE"""),"stage_icon_osh_normal_01")</f>
        <v/>
      </c>
      <c r="K107">
        <f>IFERROR(__xludf.DUMMYFUNCTION("""COMPUTED_VALUE"""),"quest_image_osh_1")</f>
        <v/>
      </c>
    </row>
    <row r="108">
      <c r="A108">
        <f>IFERROR(__xludf.DUMMYFUNCTION("""COMPUTED_VALUE"""),"osh")</f>
        <v/>
      </c>
      <c r="B108">
        <f>IFERROR(__xludf.DUMMYFUNCTION("""COMPUTED_VALUE"""),"【推しの子】")</f>
        <v/>
      </c>
      <c r="C108">
        <f>IFERROR(__xludf.DUMMYFUNCTION("""COMPUTED_VALUE"""),"normal")</f>
        <v/>
      </c>
      <c r="D108">
        <f>IFERROR(__xludf.DUMMYFUNCTION("""COMPUTED_VALUE"""),"main")</f>
        <v/>
      </c>
      <c r="E108">
        <f>IFERROR(__xludf.DUMMYFUNCTION("""COMPUTED_VALUE"""),"メインクエスト")</f>
        <v/>
      </c>
      <c r="F108">
        <f>IFERROR(__xludf.DUMMYFUNCTION("""COMPUTED_VALUE"""),"quest_main_osh_normal_17")</f>
        <v/>
      </c>
      <c r="G108">
        <f>IFERROR(__xludf.DUMMYFUNCTION("""COMPUTED_VALUE"""),"17.【推しの子】")</f>
        <v/>
      </c>
      <c r="H108">
        <f>IFERROR(__xludf.DUMMYFUNCTION("""COMPUTED_VALUE"""),"02")</f>
        <v/>
      </c>
      <c r="I108">
        <f>IFERROR(__xludf.DUMMYFUNCTION("""COMPUTED_VALUE"""),"normal_osh_00002")</f>
        <v/>
      </c>
      <c r="J108">
        <f>IFERROR(__xludf.DUMMYFUNCTION("""COMPUTED_VALUE"""),"stage_icon_osh_normal_02")</f>
        <v/>
      </c>
    </row>
    <row r="109">
      <c r="A109">
        <f>IFERROR(__xludf.DUMMYFUNCTION("""COMPUTED_VALUE"""),"osh")</f>
        <v/>
      </c>
      <c r="B109">
        <f>IFERROR(__xludf.DUMMYFUNCTION("""COMPUTED_VALUE"""),"【推しの子】")</f>
        <v/>
      </c>
      <c r="C109">
        <f>IFERROR(__xludf.DUMMYFUNCTION("""COMPUTED_VALUE"""),"normal")</f>
        <v/>
      </c>
      <c r="D109">
        <f>IFERROR(__xludf.DUMMYFUNCTION("""COMPUTED_VALUE"""),"main")</f>
        <v/>
      </c>
      <c r="E109">
        <f>IFERROR(__xludf.DUMMYFUNCTION("""COMPUTED_VALUE"""),"メインクエスト")</f>
        <v/>
      </c>
      <c r="F109">
        <f>IFERROR(__xludf.DUMMYFUNCTION("""COMPUTED_VALUE"""),"quest_main_osh_normal_17")</f>
        <v/>
      </c>
      <c r="G109">
        <f>IFERROR(__xludf.DUMMYFUNCTION("""COMPUTED_VALUE"""),"17.【推しの子】")</f>
        <v/>
      </c>
      <c r="H109">
        <f>IFERROR(__xludf.DUMMYFUNCTION("""COMPUTED_VALUE"""),"03")</f>
        <v/>
      </c>
      <c r="I109">
        <f>IFERROR(__xludf.DUMMYFUNCTION("""COMPUTED_VALUE"""),"normal_osh_00003")</f>
        <v/>
      </c>
      <c r="J109">
        <f>IFERROR(__xludf.DUMMYFUNCTION("""COMPUTED_VALUE"""),"stage_icon_osh_normal_03")</f>
        <v/>
      </c>
    </row>
    <row r="111">
      <c r="A111">
        <f>IFERROR(__xludf.DUMMYFUNCTION("""COMPUTED_VALUE"""),"you")</f>
        <v/>
      </c>
      <c r="B111">
        <f>IFERROR(__xludf.DUMMYFUNCTION("""COMPUTED_VALUE"""),"幼稚園WARS")</f>
        <v/>
      </c>
      <c r="C111">
        <f>IFERROR(__xludf.DUMMYFUNCTION("""COMPUTED_VALUE"""),"normal")</f>
        <v/>
      </c>
      <c r="D111">
        <f>IFERROR(__xludf.DUMMYFUNCTION("""COMPUTED_VALUE"""),"main")</f>
        <v/>
      </c>
      <c r="E111">
        <f>IFERROR(__xludf.DUMMYFUNCTION("""COMPUTED_VALUE"""),"メインクエスト")</f>
        <v/>
      </c>
      <c r="F111">
        <f>IFERROR(__xludf.DUMMYFUNCTION("""COMPUTED_VALUE"""),"quest_main_you_normal_18")</f>
        <v/>
      </c>
      <c r="G111">
        <f>IFERROR(__xludf.DUMMYFUNCTION("""COMPUTED_VALUE"""),"18.幼稚園WARS")</f>
        <v/>
      </c>
      <c r="H111">
        <f>IFERROR(__xludf.DUMMYFUNCTION("""COMPUTED_VALUE"""),"01")</f>
        <v/>
      </c>
      <c r="I111">
        <f>IFERROR(__xludf.DUMMYFUNCTION("""COMPUTED_VALUE"""),"normal_you_00001")</f>
        <v/>
      </c>
      <c r="J111">
        <f>IFERROR(__xludf.DUMMYFUNCTION("""COMPUTED_VALUE"""),"stage_icon_you_normal_01")</f>
        <v/>
      </c>
      <c r="K111">
        <f>IFERROR(__xludf.DUMMYFUNCTION("""COMPUTED_VALUE"""),"quest_image_you_1")</f>
        <v/>
      </c>
    </row>
    <row r="112">
      <c r="A112">
        <f>IFERROR(__xludf.DUMMYFUNCTION("""COMPUTED_VALUE"""),"you")</f>
        <v/>
      </c>
      <c r="B112">
        <f>IFERROR(__xludf.DUMMYFUNCTION("""COMPUTED_VALUE"""),"幼稚園WARS")</f>
        <v/>
      </c>
      <c r="C112">
        <f>IFERROR(__xludf.DUMMYFUNCTION("""COMPUTED_VALUE"""),"normal")</f>
        <v/>
      </c>
      <c r="D112">
        <f>IFERROR(__xludf.DUMMYFUNCTION("""COMPUTED_VALUE"""),"main")</f>
        <v/>
      </c>
      <c r="E112">
        <f>IFERROR(__xludf.DUMMYFUNCTION("""COMPUTED_VALUE"""),"メインクエスト")</f>
        <v/>
      </c>
      <c r="F112">
        <f>IFERROR(__xludf.DUMMYFUNCTION("""COMPUTED_VALUE"""),"quest_main_you_normal_18")</f>
        <v/>
      </c>
      <c r="G112">
        <f>IFERROR(__xludf.DUMMYFUNCTION("""COMPUTED_VALUE"""),"18.幼稚園WARS")</f>
        <v/>
      </c>
      <c r="H112">
        <f>IFERROR(__xludf.DUMMYFUNCTION("""COMPUTED_VALUE"""),"02")</f>
        <v/>
      </c>
      <c r="I112">
        <f>IFERROR(__xludf.DUMMYFUNCTION("""COMPUTED_VALUE"""),"normal_you_00002")</f>
        <v/>
      </c>
      <c r="J112">
        <f>IFERROR(__xludf.DUMMYFUNCTION("""COMPUTED_VALUE"""),"stage_icon_you_normal_02")</f>
        <v/>
      </c>
    </row>
    <row r="113">
      <c r="A113">
        <f>IFERROR(__xludf.DUMMYFUNCTION("""COMPUTED_VALUE"""),"you")</f>
        <v/>
      </c>
      <c r="B113">
        <f>IFERROR(__xludf.DUMMYFUNCTION("""COMPUTED_VALUE"""),"幼稚園WARS")</f>
        <v/>
      </c>
      <c r="C113">
        <f>IFERROR(__xludf.DUMMYFUNCTION("""COMPUTED_VALUE"""),"normal")</f>
        <v/>
      </c>
      <c r="D113">
        <f>IFERROR(__xludf.DUMMYFUNCTION("""COMPUTED_VALUE"""),"main")</f>
        <v/>
      </c>
      <c r="E113">
        <f>IFERROR(__xludf.DUMMYFUNCTION("""COMPUTED_VALUE"""),"メインクエスト")</f>
        <v/>
      </c>
      <c r="F113">
        <f>IFERROR(__xludf.DUMMYFUNCTION("""COMPUTED_VALUE"""),"quest_main_you_normal_18")</f>
        <v/>
      </c>
      <c r="G113">
        <f>IFERROR(__xludf.DUMMYFUNCTION("""COMPUTED_VALUE"""),"18.幼稚園WARS")</f>
        <v/>
      </c>
      <c r="H113">
        <f>IFERROR(__xludf.DUMMYFUNCTION("""COMPUTED_VALUE"""),"03")</f>
        <v/>
      </c>
      <c r="I113">
        <f>IFERROR(__xludf.DUMMYFUNCTION("""COMPUTED_VALUE"""),"normal_you_00003")</f>
        <v/>
      </c>
      <c r="J113">
        <f>IFERROR(__xludf.DUMMYFUNCTION("""COMPUTED_VALUE"""),"stage_icon_you_normal_03")</f>
        <v/>
      </c>
    </row>
    <row r="115">
      <c r="A115">
        <f>IFERROR(__xludf.DUMMYFUNCTION("""COMPUTED_VALUE"""),"aya")</f>
        <v/>
      </c>
      <c r="B115">
        <f>IFERROR(__xludf.DUMMYFUNCTION("""COMPUTED_VALUE"""),"あやかしトライアングル")</f>
        <v/>
      </c>
      <c r="C115">
        <f>IFERROR(__xludf.DUMMYFUNCTION("""COMPUTED_VALUE"""),"normal")</f>
        <v/>
      </c>
      <c r="D115">
        <f>IFERROR(__xludf.DUMMYFUNCTION("""COMPUTED_VALUE"""),"main")</f>
        <v/>
      </c>
      <c r="E115">
        <f>IFERROR(__xludf.DUMMYFUNCTION("""COMPUTED_VALUE"""),"メインクエスト")</f>
        <v/>
      </c>
      <c r="F115">
        <f>IFERROR(__xludf.DUMMYFUNCTION("""COMPUTED_VALUE"""),"quest_main_aya_normal_19")</f>
        <v/>
      </c>
      <c r="G115">
        <f>IFERROR(__xludf.DUMMYFUNCTION("""COMPUTED_VALUE"""),"19.あやかしトライアングル")</f>
        <v/>
      </c>
      <c r="H115">
        <f>IFERROR(__xludf.DUMMYFUNCTION("""COMPUTED_VALUE"""),"01")</f>
        <v/>
      </c>
      <c r="I115">
        <f>IFERROR(__xludf.DUMMYFUNCTION("""COMPUTED_VALUE"""),"normal_aya_00001")</f>
        <v/>
      </c>
      <c r="J115">
        <f>IFERROR(__xludf.DUMMYFUNCTION("""COMPUTED_VALUE"""),"stage_icon_aya_normal_01")</f>
        <v/>
      </c>
      <c r="K115">
        <f>IFERROR(__xludf.DUMMYFUNCTION("""COMPUTED_VALUE"""),"quest_image_aya_1")</f>
        <v/>
      </c>
    </row>
    <row r="116">
      <c r="A116">
        <f>IFERROR(__xludf.DUMMYFUNCTION("""COMPUTED_VALUE"""),"aya")</f>
        <v/>
      </c>
      <c r="B116">
        <f>IFERROR(__xludf.DUMMYFUNCTION("""COMPUTED_VALUE"""),"あやかしトライアングル")</f>
        <v/>
      </c>
      <c r="C116">
        <f>IFERROR(__xludf.DUMMYFUNCTION("""COMPUTED_VALUE"""),"normal")</f>
        <v/>
      </c>
      <c r="D116">
        <f>IFERROR(__xludf.DUMMYFUNCTION("""COMPUTED_VALUE"""),"main")</f>
        <v/>
      </c>
      <c r="E116">
        <f>IFERROR(__xludf.DUMMYFUNCTION("""COMPUTED_VALUE"""),"メインクエスト")</f>
        <v/>
      </c>
      <c r="F116">
        <f>IFERROR(__xludf.DUMMYFUNCTION("""COMPUTED_VALUE"""),"quest_main_aya_normal_19")</f>
        <v/>
      </c>
      <c r="G116">
        <f>IFERROR(__xludf.DUMMYFUNCTION("""COMPUTED_VALUE"""),"19.あやかしトライアングル")</f>
        <v/>
      </c>
      <c r="H116">
        <f>IFERROR(__xludf.DUMMYFUNCTION("""COMPUTED_VALUE"""),"02")</f>
        <v/>
      </c>
      <c r="I116">
        <f>IFERROR(__xludf.DUMMYFUNCTION("""COMPUTED_VALUE"""),"normal_aya_00002")</f>
        <v/>
      </c>
      <c r="J116">
        <f>IFERROR(__xludf.DUMMYFUNCTION("""COMPUTED_VALUE"""),"stage_icon_aya_normal_02")</f>
        <v/>
      </c>
    </row>
    <row r="117">
      <c r="A117">
        <f>IFERROR(__xludf.DUMMYFUNCTION("""COMPUTED_VALUE"""),"aya")</f>
        <v/>
      </c>
      <c r="B117">
        <f>IFERROR(__xludf.DUMMYFUNCTION("""COMPUTED_VALUE"""),"あやかしトライアングル")</f>
        <v/>
      </c>
      <c r="C117">
        <f>IFERROR(__xludf.DUMMYFUNCTION("""COMPUTED_VALUE"""),"normal")</f>
        <v/>
      </c>
      <c r="D117">
        <f>IFERROR(__xludf.DUMMYFUNCTION("""COMPUTED_VALUE"""),"main")</f>
        <v/>
      </c>
      <c r="E117">
        <f>IFERROR(__xludf.DUMMYFUNCTION("""COMPUTED_VALUE"""),"メインクエスト")</f>
        <v/>
      </c>
      <c r="F117">
        <f>IFERROR(__xludf.DUMMYFUNCTION("""COMPUTED_VALUE"""),"quest_main_aya_normal_19")</f>
        <v/>
      </c>
      <c r="G117">
        <f>IFERROR(__xludf.DUMMYFUNCTION("""COMPUTED_VALUE"""),"19.あやかしトライアングル")</f>
        <v/>
      </c>
      <c r="H117">
        <f>IFERROR(__xludf.DUMMYFUNCTION("""COMPUTED_VALUE"""),"03")</f>
        <v/>
      </c>
      <c r="I117">
        <f>IFERROR(__xludf.DUMMYFUNCTION("""COMPUTED_VALUE"""),"normal_aya_00003")</f>
        <v/>
      </c>
      <c r="J117">
        <f>IFERROR(__xludf.DUMMYFUNCTION("""COMPUTED_VALUE"""),"stage_icon_aya_normal_03")</f>
        <v/>
      </c>
    </row>
    <row r="119">
      <c r="A119">
        <f>IFERROR(__xludf.DUMMYFUNCTION("""COMPUTED_VALUE"""),"mar")</f>
        <v/>
      </c>
      <c r="B119">
        <f>IFERROR(__xludf.DUMMYFUNCTION("""COMPUTED_VALUE"""),"マリッジトキシン")</f>
        <v/>
      </c>
      <c r="C119">
        <f>IFERROR(__xludf.DUMMYFUNCTION("""COMPUTED_VALUE"""),"normal")</f>
        <v/>
      </c>
      <c r="D119">
        <f>IFERROR(__xludf.DUMMYFUNCTION("""COMPUTED_VALUE"""),"main")</f>
        <v/>
      </c>
      <c r="E119">
        <f>IFERROR(__xludf.DUMMYFUNCTION("""COMPUTED_VALUE"""),"メインクエスト")</f>
        <v/>
      </c>
      <c r="F119">
        <f>IFERROR(__xludf.DUMMYFUNCTION("""COMPUTED_VALUE"""),"quest_main_mar_normal_20")</f>
        <v/>
      </c>
      <c r="G119">
        <f>IFERROR(__xludf.DUMMYFUNCTION("""COMPUTED_VALUE"""),"20.マリッジトキシン")</f>
        <v/>
      </c>
      <c r="H119">
        <f>IFERROR(__xludf.DUMMYFUNCTION("""COMPUTED_VALUE"""),"01")</f>
        <v/>
      </c>
      <c r="I119">
        <f>IFERROR(__xludf.DUMMYFUNCTION("""COMPUTED_VALUE"""),"normal_mar_00001")</f>
        <v/>
      </c>
      <c r="J119">
        <f>IFERROR(__xludf.DUMMYFUNCTION("""COMPUTED_VALUE"""),"stage_icon_mar_normal_01")</f>
        <v/>
      </c>
      <c r="K119">
        <f>IFERROR(__xludf.DUMMYFUNCTION("""COMPUTED_VALUE"""),"quest_image_mar_1")</f>
        <v/>
      </c>
    </row>
    <row r="120">
      <c r="A120">
        <f>IFERROR(__xludf.DUMMYFUNCTION("""COMPUTED_VALUE"""),"mar")</f>
        <v/>
      </c>
      <c r="B120">
        <f>IFERROR(__xludf.DUMMYFUNCTION("""COMPUTED_VALUE"""),"マリッジトキシン")</f>
        <v/>
      </c>
      <c r="C120">
        <f>IFERROR(__xludf.DUMMYFUNCTION("""COMPUTED_VALUE"""),"normal")</f>
        <v/>
      </c>
      <c r="D120">
        <f>IFERROR(__xludf.DUMMYFUNCTION("""COMPUTED_VALUE"""),"main")</f>
        <v/>
      </c>
      <c r="E120">
        <f>IFERROR(__xludf.DUMMYFUNCTION("""COMPUTED_VALUE"""),"メインクエスト")</f>
        <v/>
      </c>
      <c r="F120">
        <f>IFERROR(__xludf.DUMMYFUNCTION("""COMPUTED_VALUE"""),"quest_main_mar_normal_20")</f>
        <v/>
      </c>
      <c r="G120">
        <f>IFERROR(__xludf.DUMMYFUNCTION("""COMPUTED_VALUE"""),"20.マリッジトキシン")</f>
        <v/>
      </c>
      <c r="H120">
        <f>IFERROR(__xludf.DUMMYFUNCTION("""COMPUTED_VALUE"""),"02")</f>
        <v/>
      </c>
      <c r="I120">
        <f>IFERROR(__xludf.DUMMYFUNCTION("""COMPUTED_VALUE"""),"normal_mar_00002")</f>
        <v/>
      </c>
      <c r="J120">
        <f>IFERROR(__xludf.DUMMYFUNCTION("""COMPUTED_VALUE"""),"stage_icon_mar_normal_02")</f>
        <v/>
      </c>
    </row>
    <row r="121">
      <c r="A121">
        <f>IFERROR(__xludf.DUMMYFUNCTION("""COMPUTED_VALUE"""),"mar")</f>
        <v/>
      </c>
      <c r="B121">
        <f>IFERROR(__xludf.DUMMYFUNCTION("""COMPUTED_VALUE"""),"マリッジトキシン")</f>
        <v/>
      </c>
      <c r="C121">
        <f>IFERROR(__xludf.DUMMYFUNCTION("""COMPUTED_VALUE"""),"normal")</f>
        <v/>
      </c>
      <c r="D121">
        <f>IFERROR(__xludf.DUMMYFUNCTION("""COMPUTED_VALUE"""),"main")</f>
        <v/>
      </c>
      <c r="E121">
        <f>IFERROR(__xludf.DUMMYFUNCTION("""COMPUTED_VALUE"""),"メインクエスト")</f>
        <v/>
      </c>
      <c r="F121">
        <f>IFERROR(__xludf.DUMMYFUNCTION("""COMPUTED_VALUE"""),"quest_main_mar_normal_20")</f>
        <v/>
      </c>
      <c r="G121">
        <f>IFERROR(__xludf.DUMMYFUNCTION("""COMPUTED_VALUE"""),"20.マリッジトキシン")</f>
        <v/>
      </c>
      <c r="H121">
        <f>IFERROR(__xludf.DUMMYFUNCTION("""COMPUTED_VALUE"""),"03")</f>
        <v/>
      </c>
      <c r="I121">
        <f>IFERROR(__xludf.DUMMYFUNCTION("""COMPUTED_VALUE"""),"normal_mar_00003")</f>
        <v/>
      </c>
      <c r="J121">
        <f>IFERROR(__xludf.DUMMYFUNCTION("""COMPUTED_VALUE"""),"stage_icon_mar_normal_03")</f>
        <v/>
      </c>
    </row>
    <row r="129">
      <c r="A129">
        <f>IFERROR(__xludf.DUMMYFUNCTION("""COMPUTED_VALUE"""),"▼メインクエスト（ハード）")</f>
        <v/>
      </c>
    </row>
    <row r="131">
      <c r="A131">
        <f>IFERROR(__xludf.DUMMYFUNCTION("""COMPUTED_VALUE"""),"spy")</f>
        <v/>
      </c>
      <c r="B131">
        <f>IFERROR(__xludf.DUMMYFUNCTION("""COMPUTED_VALUE"""),"SPY×FAMILY")</f>
        <v/>
      </c>
      <c r="C131">
        <f>IFERROR(__xludf.DUMMYFUNCTION("""COMPUTED_VALUE"""),"hard")</f>
        <v/>
      </c>
      <c r="D131">
        <f>IFERROR(__xludf.DUMMYFUNCTION("""COMPUTED_VALUE"""),"main")</f>
        <v/>
      </c>
      <c r="E131">
        <f>IFERROR(__xludf.DUMMYFUNCTION("""COMPUTED_VALUE"""),"メインクエスト")</f>
        <v/>
      </c>
      <c r="F131">
        <f>IFERROR(__xludf.DUMMYFUNCTION("""COMPUTED_VALUE"""),"quest_main_spy_hard_1")</f>
        <v/>
      </c>
      <c r="G131">
        <f>IFERROR(__xludf.DUMMYFUNCTION("""COMPUTED_VALUE"""),"1.SPY FAMILY")</f>
        <v/>
      </c>
      <c r="H131">
        <f>IFERROR(__xludf.DUMMYFUNCTION("""COMPUTED_VALUE"""),"01")</f>
        <v/>
      </c>
      <c r="I131">
        <f>IFERROR(__xludf.DUMMYFUNCTION("""COMPUTED_VALUE"""),"hard_spy_00001")</f>
        <v/>
      </c>
      <c r="J131">
        <f>IFERROR(__xludf.DUMMYFUNCTION("""COMPUTED_VALUE"""),"stage_icon_spy_hard_01")</f>
        <v/>
      </c>
    </row>
    <row r="132">
      <c r="A132">
        <f>IFERROR(__xludf.DUMMYFUNCTION("""COMPUTED_VALUE"""),"spy")</f>
        <v/>
      </c>
      <c r="B132">
        <f>IFERROR(__xludf.DUMMYFUNCTION("""COMPUTED_VALUE"""),"SPY×FAMILY")</f>
        <v/>
      </c>
      <c r="C132">
        <f>IFERROR(__xludf.DUMMYFUNCTION("""COMPUTED_VALUE"""),"hard")</f>
        <v/>
      </c>
      <c r="D132">
        <f>IFERROR(__xludf.DUMMYFUNCTION("""COMPUTED_VALUE"""),"main")</f>
        <v/>
      </c>
      <c r="E132">
        <f>IFERROR(__xludf.DUMMYFUNCTION("""COMPUTED_VALUE"""),"メインクエスト")</f>
        <v/>
      </c>
      <c r="F132">
        <f>IFERROR(__xludf.DUMMYFUNCTION("""COMPUTED_VALUE"""),"quest_main_spy_hard_1")</f>
        <v/>
      </c>
      <c r="G132">
        <f>IFERROR(__xludf.DUMMYFUNCTION("""COMPUTED_VALUE"""),"1.SPY FAMILY")</f>
        <v/>
      </c>
      <c r="H132">
        <f>IFERROR(__xludf.DUMMYFUNCTION("""COMPUTED_VALUE"""),"02")</f>
        <v/>
      </c>
      <c r="I132">
        <f>IFERROR(__xludf.DUMMYFUNCTION("""COMPUTED_VALUE"""),"hard_spy_00002")</f>
        <v/>
      </c>
      <c r="J132">
        <f>IFERROR(__xludf.DUMMYFUNCTION("""COMPUTED_VALUE"""),"stage_icon_spy_hard_02")</f>
        <v/>
      </c>
    </row>
    <row r="133">
      <c r="A133">
        <f>IFERROR(__xludf.DUMMYFUNCTION("""COMPUTED_VALUE"""),"spy")</f>
        <v/>
      </c>
      <c r="B133">
        <f>IFERROR(__xludf.DUMMYFUNCTION("""COMPUTED_VALUE"""),"SPY×FAMILY")</f>
        <v/>
      </c>
      <c r="C133">
        <f>IFERROR(__xludf.DUMMYFUNCTION("""COMPUTED_VALUE"""),"hard")</f>
        <v/>
      </c>
      <c r="D133">
        <f>IFERROR(__xludf.DUMMYFUNCTION("""COMPUTED_VALUE"""),"main")</f>
        <v/>
      </c>
      <c r="E133">
        <f>IFERROR(__xludf.DUMMYFUNCTION("""COMPUTED_VALUE"""),"メインクエスト")</f>
        <v/>
      </c>
      <c r="F133">
        <f>IFERROR(__xludf.DUMMYFUNCTION("""COMPUTED_VALUE"""),"quest_main_spy_hard_1")</f>
        <v/>
      </c>
      <c r="G133">
        <f>IFERROR(__xludf.DUMMYFUNCTION("""COMPUTED_VALUE"""),"1.SPY FAMILY")</f>
        <v/>
      </c>
      <c r="H133">
        <f>IFERROR(__xludf.DUMMYFUNCTION("""COMPUTED_VALUE"""),"03")</f>
        <v/>
      </c>
      <c r="I133">
        <f>IFERROR(__xludf.DUMMYFUNCTION("""COMPUTED_VALUE"""),"hard_spy_00003")</f>
        <v/>
      </c>
      <c r="J133">
        <f>IFERROR(__xludf.DUMMYFUNCTION("""COMPUTED_VALUE"""),"stage_icon_spy_hard_03")</f>
        <v/>
      </c>
    </row>
    <row r="134">
      <c r="A134">
        <f>IFERROR(__xludf.DUMMYFUNCTION("""COMPUTED_VALUE"""),"spy")</f>
        <v/>
      </c>
      <c r="B134">
        <f>IFERROR(__xludf.DUMMYFUNCTION("""COMPUTED_VALUE"""),"SPY×FAMILY")</f>
        <v/>
      </c>
      <c r="C134">
        <f>IFERROR(__xludf.DUMMYFUNCTION("""COMPUTED_VALUE"""),"hard")</f>
        <v/>
      </c>
      <c r="D134">
        <f>IFERROR(__xludf.DUMMYFUNCTION("""COMPUTED_VALUE"""),"main")</f>
        <v/>
      </c>
      <c r="E134">
        <f>IFERROR(__xludf.DUMMYFUNCTION("""COMPUTED_VALUE"""),"メインクエスト")</f>
        <v/>
      </c>
      <c r="F134">
        <f>IFERROR(__xludf.DUMMYFUNCTION("""COMPUTED_VALUE"""),"quest_main_spy_hard_1")</f>
        <v/>
      </c>
      <c r="G134">
        <f>IFERROR(__xludf.DUMMYFUNCTION("""COMPUTED_VALUE"""),"1.SPY FAMILY")</f>
        <v/>
      </c>
      <c r="H134">
        <f>IFERROR(__xludf.DUMMYFUNCTION("""COMPUTED_VALUE"""),"04")</f>
        <v/>
      </c>
      <c r="I134">
        <f>IFERROR(__xludf.DUMMYFUNCTION("""COMPUTED_VALUE"""),"hard_spy_00004")</f>
        <v/>
      </c>
      <c r="J134">
        <f>IFERROR(__xludf.DUMMYFUNCTION("""COMPUTED_VALUE"""),"stage_icon_spy_hard_04")</f>
        <v/>
      </c>
    </row>
    <row r="135">
      <c r="A135">
        <f>IFERROR(__xludf.DUMMYFUNCTION("""COMPUTED_VALUE"""),"spy")</f>
        <v/>
      </c>
      <c r="B135">
        <f>IFERROR(__xludf.DUMMYFUNCTION("""COMPUTED_VALUE"""),"SPY×FAMILY")</f>
        <v/>
      </c>
      <c r="C135">
        <f>IFERROR(__xludf.DUMMYFUNCTION("""COMPUTED_VALUE"""),"hard")</f>
        <v/>
      </c>
      <c r="D135">
        <f>IFERROR(__xludf.DUMMYFUNCTION("""COMPUTED_VALUE"""),"main")</f>
        <v/>
      </c>
      <c r="E135">
        <f>IFERROR(__xludf.DUMMYFUNCTION("""COMPUTED_VALUE"""),"メインクエスト")</f>
        <v/>
      </c>
      <c r="F135">
        <f>IFERROR(__xludf.DUMMYFUNCTION("""COMPUTED_VALUE"""),"quest_main_spy_hard_1")</f>
        <v/>
      </c>
      <c r="G135">
        <f>IFERROR(__xludf.DUMMYFUNCTION("""COMPUTED_VALUE"""),"1.SPY FAMILY")</f>
        <v/>
      </c>
      <c r="H135">
        <f>IFERROR(__xludf.DUMMYFUNCTION("""COMPUTED_VALUE"""),"05")</f>
        <v/>
      </c>
      <c r="I135">
        <f>IFERROR(__xludf.DUMMYFUNCTION("""COMPUTED_VALUE"""),"hard_spy_00005")</f>
        <v/>
      </c>
      <c r="J135">
        <f>IFERROR(__xludf.DUMMYFUNCTION("""COMPUTED_VALUE"""),"stage_icon_spy_hard_05")</f>
        <v/>
      </c>
    </row>
    <row r="136">
      <c r="A136">
        <f>IFERROR(__xludf.DUMMYFUNCTION("""COMPUTED_VALUE"""),"spy")</f>
        <v/>
      </c>
      <c r="B136">
        <f>IFERROR(__xludf.DUMMYFUNCTION("""COMPUTED_VALUE"""),"SPY×FAMILY")</f>
        <v/>
      </c>
      <c r="C136">
        <f>IFERROR(__xludf.DUMMYFUNCTION("""COMPUTED_VALUE"""),"hard")</f>
        <v/>
      </c>
      <c r="D136">
        <f>IFERROR(__xludf.DUMMYFUNCTION("""COMPUTED_VALUE"""),"main")</f>
        <v/>
      </c>
      <c r="E136">
        <f>IFERROR(__xludf.DUMMYFUNCTION("""COMPUTED_VALUE"""),"メインクエスト")</f>
        <v/>
      </c>
      <c r="F136">
        <f>IFERROR(__xludf.DUMMYFUNCTION("""COMPUTED_VALUE"""),"quest_main_spy_hard_1")</f>
        <v/>
      </c>
      <c r="G136">
        <f>IFERROR(__xludf.DUMMYFUNCTION("""COMPUTED_VALUE"""),"1.SPY FAMILY")</f>
        <v/>
      </c>
      <c r="H136">
        <f>IFERROR(__xludf.DUMMYFUNCTION("""COMPUTED_VALUE"""),"06")</f>
        <v/>
      </c>
      <c r="I136">
        <f>IFERROR(__xludf.DUMMYFUNCTION("""COMPUTED_VALUE"""),"hard_spy_00006")</f>
        <v/>
      </c>
      <c r="J136">
        <f>IFERROR(__xludf.DUMMYFUNCTION("""COMPUTED_VALUE"""),"stage_icon_spy_hard_06")</f>
        <v/>
      </c>
    </row>
    <row r="138">
      <c r="A138">
        <f>IFERROR(__xludf.DUMMYFUNCTION("""COMPUTED_VALUE"""),"gom")</f>
        <v/>
      </c>
      <c r="B138">
        <f>IFERROR(__xludf.DUMMYFUNCTION("""COMPUTED_VALUE"""),"姫様“拷問”の時間です")</f>
        <v/>
      </c>
      <c r="C138">
        <f>IFERROR(__xludf.DUMMYFUNCTION("""COMPUTED_VALUE"""),"hard")</f>
        <v/>
      </c>
      <c r="D138">
        <f>IFERROR(__xludf.DUMMYFUNCTION("""COMPUTED_VALUE"""),"main")</f>
        <v/>
      </c>
      <c r="E138">
        <f>IFERROR(__xludf.DUMMYFUNCTION("""COMPUTED_VALUE"""),"メインクエスト")</f>
        <v/>
      </c>
      <c r="F138">
        <f>IFERROR(__xludf.DUMMYFUNCTION("""COMPUTED_VALUE"""),"quest_main_gom_hard_2")</f>
        <v/>
      </c>
      <c r="G138">
        <f>IFERROR(__xludf.DUMMYFUNCTION("""COMPUTED_VALUE"""),"2.姫様“拷問”の時間です")</f>
        <v/>
      </c>
      <c r="H138">
        <f>IFERROR(__xludf.DUMMYFUNCTION("""COMPUTED_VALUE"""),"01")</f>
        <v/>
      </c>
      <c r="I138">
        <f>IFERROR(__xludf.DUMMYFUNCTION("""COMPUTED_VALUE"""),"hard_gom_00001")</f>
        <v/>
      </c>
      <c r="J138">
        <f>IFERROR(__xludf.DUMMYFUNCTION("""COMPUTED_VALUE"""),"stage_icon_gom_hard_01")</f>
        <v/>
      </c>
    </row>
    <row r="139">
      <c r="A139">
        <f>IFERROR(__xludf.DUMMYFUNCTION("""COMPUTED_VALUE"""),"gom")</f>
        <v/>
      </c>
      <c r="B139">
        <f>IFERROR(__xludf.DUMMYFUNCTION("""COMPUTED_VALUE"""),"姫様“拷問”の時間です")</f>
        <v/>
      </c>
      <c r="C139">
        <f>IFERROR(__xludf.DUMMYFUNCTION("""COMPUTED_VALUE"""),"hard")</f>
        <v/>
      </c>
      <c r="D139">
        <f>IFERROR(__xludf.DUMMYFUNCTION("""COMPUTED_VALUE"""),"main")</f>
        <v/>
      </c>
      <c r="E139">
        <f>IFERROR(__xludf.DUMMYFUNCTION("""COMPUTED_VALUE"""),"メインクエスト")</f>
        <v/>
      </c>
      <c r="F139">
        <f>IFERROR(__xludf.DUMMYFUNCTION("""COMPUTED_VALUE"""),"quest_main_gom_hard_2")</f>
        <v/>
      </c>
      <c r="G139">
        <f>IFERROR(__xludf.DUMMYFUNCTION("""COMPUTED_VALUE"""),"2.姫様“拷問”の時間です")</f>
        <v/>
      </c>
      <c r="H139">
        <f>IFERROR(__xludf.DUMMYFUNCTION("""COMPUTED_VALUE"""),"02")</f>
        <v/>
      </c>
      <c r="I139">
        <f>IFERROR(__xludf.DUMMYFUNCTION("""COMPUTED_VALUE"""),"hard_gom_00002")</f>
        <v/>
      </c>
      <c r="J139">
        <f>IFERROR(__xludf.DUMMYFUNCTION("""COMPUTED_VALUE"""),"stage_icon_gom_hard_02")</f>
        <v/>
      </c>
    </row>
    <row r="140">
      <c r="A140">
        <f>IFERROR(__xludf.DUMMYFUNCTION("""COMPUTED_VALUE"""),"gom")</f>
        <v/>
      </c>
      <c r="B140">
        <f>IFERROR(__xludf.DUMMYFUNCTION("""COMPUTED_VALUE"""),"姫様“拷問”の時間です")</f>
        <v/>
      </c>
      <c r="C140">
        <f>IFERROR(__xludf.DUMMYFUNCTION("""COMPUTED_VALUE"""),"hard")</f>
        <v/>
      </c>
      <c r="D140">
        <f>IFERROR(__xludf.DUMMYFUNCTION("""COMPUTED_VALUE"""),"main")</f>
        <v/>
      </c>
      <c r="E140">
        <f>IFERROR(__xludf.DUMMYFUNCTION("""COMPUTED_VALUE"""),"メインクエスト")</f>
        <v/>
      </c>
      <c r="F140">
        <f>IFERROR(__xludf.DUMMYFUNCTION("""COMPUTED_VALUE"""),"quest_main_gom_hard_2")</f>
        <v/>
      </c>
      <c r="G140">
        <f>IFERROR(__xludf.DUMMYFUNCTION("""COMPUTED_VALUE"""),"2.姫様“拷問”の時間です")</f>
        <v/>
      </c>
      <c r="H140">
        <f>IFERROR(__xludf.DUMMYFUNCTION("""COMPUTED_VALUE"""),"03")</f>
        <v/>
      </c>
      <c r="I140">
        <f>IFERROR(__xludf.DUMMYFUNCTION("""COMPUTED_VALUE"""),"hard_gom_00003")</f>
        <v/>
      </c>
      <c r="J140">
        <f>IFERROR(__xludf.DUMMYFUNCTION("""COMPUTED_VALUE"""),"stage_icon_gom_hard_03")</f>
        <v/>
      </c>
    </row>
    <row r="141">
      <c r="A141">
        <f>IFERROR(__xludf.DUMMYFUNCTION("""COMPUTED_VALUE"""),"gom")</f>
        <v/>
      </c>
      <c r="B141">
        <f>IFERROR(__xludf.DUMMYFUNCTION("""COMPUTED_VALUE"""),"姫様“拷問”の時間です")</f>
        <v/>
      </c>
      <c r="C141">
        <f>IFERROR(__xludf.DUMMYFUNCTION("""COMPUTED_VALUE"""),"hard")</f>
        <v/>
      </c>
      <c r="D141">
        <f>IFERROR(__xludf.DUMMYFUNCTION("""COMPUTED_VALUE"""),"main")</f>
        <v/>
      </c>
      <c r="E141">
        <f>IFERROR(__xludf.DUMMYFUNCTION("""COMPUTED_VALUE"""),"メインクエスト")</f>
        <v/>
      </c>
      <c r="F141">
        <f>IFERROR(__xludf.DUMMYFUNCTION("""COMPUTED_VALUE"""),"quest_main_gom_hard_2")</f>
        <v/>
      </c>
      <c r="G141">
        <f>IFERROR(__xludf.DUMMYFUNCTION("""COMPUTED_VALUE"""),"2.姫様“拷問”の時間です")</f>
        <v/>
      </c>
      <c r="H141">
        <f>IFERROR(__xludf.DUMMYFUNCTION("""COMPUTED_VALUE"""),"04")</f>
        <v/>
      </c>
      <c r="I141">
        <f>IFERROR(__xludf.DUMMYFUNCTION("""COMPUTED_VALUE"""),"hard_gom_00004")</f>
        <v/>
      </c>
      <c r="J141">
        <f>IFERROR(__xludf.DUMMYFUNCTION("""COMPUTED_VALUE"""),"stage_icon_gom_hard_04")</f>
        <v/>
      </c>
    </row>
    <row r="142">
      <c r="A142">
        <f>IFERROR(__xludf.DUMMYFUNCTION("""COMPUTED_VALUE"""),"gom")</f>
        <v/>
      </c>
      <c r="B142">
        <f>IFERROR(__xludf.DUMMYFUNCTION("""COMPUTED_VALUE"""),"姫様“拷問”の時間です")</f>
        <v/>
      </c>
      <c r="C142">
        <f>IFERROR(__xludf.DUMMYFUNCTION("""COMPUTED_VALUE"""),"hard")</f>
        <v/>
      </c>
      <c r="D142">
        <f>IFERROR(__xludf.DUMMYFUNCTION("""COMPUTED_VALUE"""),"main")</f>
        <v/>
      </c>
      <c r="E142">
        <f>IFERROR(__xludf.DUMMYFUNCTION("""COMPUTED_VALUE"""),"メインクエスト")</f>
        <v/>
      </c>
      <c r="F142">
        <f>IFERROR(__xludf.DUMMYFUNCTION("""COMPUTED_VALUE"""),"quest_main_gom_hard_2")</f>
        <v/>
      </c>
      <c r="G142">
        <f>IFERROR(__xludf.DUMMYFUNCTION("""COMPUTED_VALUE"""),"2.姫様“拷問”の時間です")</f>
        <v/>
      </c>
      <c r="H142">
        <f>IFERROR(__xludf.DUMMYFUNCTION("""COMPUTED_VALUE"""),"05")</f>
        <v/>
      </c>
      <c r="I142">
        <f>IFERROR(__xludf.DUMMYFUNCTION("""COMPUTED_VALUE"""),"hard_gom_00005")</f>
        <v/>
      </c>
      <c r="J142">
        <f>IFERROR(__xludf.DUMMYFUNCTION("""COMPUTED_VALUE"""),"stage_icon_gom_hard_05")</f>
        <v/>
      </c>
    </row>
    <row r="143">
      <c r="A143">
        <f>IFERROR(__xludf.DUMMYFUNCTION("""COMPUTED_VALUE"""),"gom")</f>
        <v/>
      </c>
      <c r="B143">
        <f>IFERROR(__xludf.DUMMYFUNCTION("""COMPUTED_VALUE"""),"姫様“拷問”の時間です")</f>
        <v/>
      </c>
      <c r="C143">
        <f>IFERROR(__xludf.DUMMYFUNCTION("""COMPUTED_VALUE"""),"hard")</f>
        <v/>
      </c>
      <c r="D143">
        <f>IFERROR(__xludf.DUMMYFUNCTION("""COMPUTED_VALUE"""),"main")</f>
        <v/>
      </c>
      <c r="E143">
        <f>IFERROR(__xludf.DUMMYFUNCTION("""COMPUTED_VALUE"""),"メインクエスト")</f>
        <v/>
      </c>
      <c r="F143">
        <f>IFERROR(__xludf.DUMMYFUNCTION("""COMPUTED_VALUE"""),"quest_main_gom_hard_2")</f>
        <v/>
      </c>
      <c r="G143">
        <f>IFERROR(__xludf.DUMMYFUNCTION("""COMPUTED_VALUE"""),"2.姫様“拷問”の時間です")</f>
        <v/>
      </c>
      <c r="H143">
        <f>IFERROR(__xludf.DUMMYFUNCTION("""COMPUTED_VALUE"""),"06")</f>
        <v/>
      </c>
      <c r="I143">
        <f>IFERROR(__xludf.DUMMYFUNCTION("""COMPUTED_VALUE"""),"hard_gom_00006")</f>
        <v/>
      </c>
      <c r="J143">
        <f>IFERROR(__xludf.DUMMYFUNCTION("""COMPUTED_VALUE"""),"stage_icon_gom_hard_06")</f>
        <v/>
      </c>
    </row>
    <row r="145">
      <c r="A145">
        <f>IFERROR(__xludf.DUMMYFUNCTION("""COMPUTED_VALUE"""),"aka")</f>
        <v/>
      </c>
      <c r="B145">
        <f>IFERROR(__xludf.DUMMYFUNCTION("""COMPUTED_VALUE"""),"ラーメン赤猫")</f>
        <v/>
      </c>
      <c r="C145">
        <f>IFERROR(__xludf.DUMMYFUNCTION("""COMPUTED_VALUE"""),"hard")</f>
        <v/>
      </c>
      <c r="D145">
        <f>IFERROR(__xludf.DUMMYFUNCTION("""COMPUTED_VALUE"""),"main")</f>
        <v/>
      </c>
      <c r="E145">
        <f>IFERROR(__xludf.DUMMYFUNCTION("""COMPUTED_VALUE"""),"メインクエスト")</f>
        <v/>
      </c>
      <c r="F145">
        <f>IFERROR(__xludf.DUMMYFUNCTION("""COMPUTED_VALUE"""),"quest_main_aka_hard_3")</f>
        <v/>
      </c>
      <c r="G145">
        <f>IFERROR(__xludf.DUMMYFUNCTION("""COMPUTED_VALUE"""),"3.ラーメン赤猫")</f>
        <v/>
      </c>
      <c r="H145">
        <f>IFERROR(__xludf.DUMMYFUNCTION("""COMPUTED_VALUE"""),"01")</f>
        <v/>
      </c>
      <c r="I145">
        <f>IFERROR(__xludf.DUMMYFUNCTION("""COMPUTED_VALUE"""),"hard_aka_00001")</f>
        <v/>
      </c>
      <c r="J145">
        <f>IFERROR(__xludf.DUMMYFUNCTION("""COMPUTED_VALUE"""),"stage_icon_aka_hard_01")</f>
        <v/>
      </c>
    </row>
    <row r="146">
      <c r="A146">
        <f>IFERROR(__xludf.DUMMYFUNCTION("""COMPUTED_VALUE"""),"aka")</f>
        <v/>
      </c>
      <c r="B146">
        <f>IFERROR(__xludf.DUMMYFUNCTION("""COMPUTED_VALUE"""),"ラーメン赤猫")</f>
        <v/>
      </c>
      <c r="C146">
        <f>IFERROR(__xludf.DUMMYFUNCTION("""COMPUTED_VALUE"""),"hard")</f>
        <v/>
      </c>
      <c r="D146">
        <f>IFERROR(__xludf.DUMMYFUNCTION("""COMPUTED_VALUE"""),"main")</f>
        <v/>
      </c>
      <c r="E146">
        <f>IFERROR(__xludf.DUMMYFUNCTION("""COMPUTED_VALUE"""),"メインクエスト")</f>
        <v/>
      </c>
      <c r="F146">
        <f>IFERROR(__xludf.DUMMYFUNCTION("""COMPUTED_VALUE"""),"quest_main_aka_hard_3")</f>
        <v/>
      </c>
      <c r="G146">
        <f>IFERROR(__xludf.DUMMYFUNCTION("""COMPUTED_VALUE"""),"3.ラーメン赤猫")</f>
        <v/>
      </c>
      <c r="H146">
        <f>IFERROR(__xludf.DUMMYFUNCTION("""COMPUTED_VALUE"""),"02")</f>
        <v/>
      </c>
      <c r="I146">
        <f>IFERROR(__xludf.DUMMYFUNCTION("""COMPUTED_VALUE"""),"hard_aka_00002")</f>
        <v/>
      </c>
      <c r="J146">
        <f>IFERROR(__xludf.DUMMYFUNCTION("""COMPUTED_VALUE"""),"stage_icon_aka_hard_02")</f>
        <v/>
      </c>
    </row>
    <row r="147">
      <c r="A147">
        <f>IFERROR(__xludf.DUMMYFUNCTION("""COMPUTED_VALUE"""),"aka")</f>
        <v/>
      </c>
      <c r="B147">
        <f>IFERROR(__xludf.DUMMYFUNCTION("""COMPUTED_VALUE"""),"ラーメン赤猫")</f>
        <v/>
      </c>
      <c r="C147">
        <f>IFERROR(__xludf.DUMMYFUNCTION("""COMPUTED_VALUE"""),"hard")</f>
        <v/>
      </c>
      <c r="D147">
        <f>IFERROR(__xludf.DUMMYFUNCTION("""COMPUTED_VALUE"""),"main")</f>
        <v/>
      </c>
      <c r="E147">
        <f>IFERROR(__xludf.DUMMYFUNCTION("""COMPUTED_VALUE"""),"メインクエスト")</f>
        <v/>
      </c>
      <c r="F147">
        <f>IFERROR(__xludf.DUMMYFUNCTION("""COMPUTED_VALUE"""),"quest_main_aka_hard_3")</f>
        <v/>
      </c>
      <c r="G147">
        <f>IFERROR(__xludf.DUMMYFUNCTION("""COMPUTED_VALUE"""),"3.ラーメン赤猫")</f>
        <v/>
      </c>
      <c r="H147">
        <f>IFERROR(__xludf.DUMMYFUNCTION("""COMPUTED_VALUE"""),"03")</f>
        <v/>
      </c>
      <c r="I147">
        <f>IFERROR(__xludf.DUMMYFUNCTION("""COMPUTED_VALUE"""),"hard_aka_00003")</f>
        <v/>
      </c>
      <c r="J147">
        <f>IFERROR(__xludf.DUMMYFUNCTION("""COMPUTED_VALUE"""),"stage_icon_aka_hard_03")</f>
        <v/>
      </c>
    </row>
    <row r="149">
      <c r="A149">
        <f>IFERROR(__xludf.DUMMYFUNCTION("""COMPUTED_VALUE"""),"glo1")</f>
        <v/>
      </c>
      <c r="B149">
        <f>IFERROR(__xludf.DUMMYFUNCTION("""COMPUTED_VALUE"""),"GLOW")</f>
        <v/>
      </c>
      <c r="C149">
        <f>IFERROR(__xludf.DUMMYFUNCTION("""COMPUTED_VALUE"""),"hard")</f>
        <v/>
      </c>
      <c r="D149">
        <f>IFERROR(__xludf.DUMMYFUNCTION("""COMPUTED_VALUE"""),"main")</f>
        <v/>
      </c>
      <c r="E149">
        <f>IFERROR(__xludf.DUMMYFUNCTION("""COMPUTED_VALUE"""),"メインクエスト")</f>
        <v/>
      </c>
      <c r="F149">
        <f>IFERROR(__xludf.DUMMYFUNCTION("""COMPUTED_VALUE"""),"quest_main_glo1_hard_4")</f>
        <v/>
      </c>
      <c r="G149">
        <f>IFERROR(__xludf.DUMMYFUNCTION("""COMPUTED_VALUE"""),"4.リミックスクエスト Vol.1")</f>
        <v/>
      </c>
      <c r="H149">
        <f>IFERROR(__xludf.DUMMYFUNCTION("""COMPUTED_VALUE"""),"01")</f>
        <v/>
      </c>
      <c r="I149">
        <f>IFERROR(__xludf.DUMMYFUNCTION("""COMPUTED_VALUE"""),"hard_glo1_00001")</f>
        <v/>
      </c>
      <c r="J149">
        <f>IFERROR(__xludf.DUMMYFUNCTION("""COMPUTED_VALUE"""),"stage_icon_glo1_hard_01")</f>
        <v/>
      </c>
    </row>
    <row r="150">
      <c r="A150">
        <f>IFERROR(__xludf.DUMMYFUNCTION("""COMPUTED_VALUE"""),"glo1")</f>
        <v/>
      </c>
      <c r="B150">
        <f>IFERROR(__xludf.DUMMYFUNCTION("""COMPUTED_VALUE"""),"GLOW")</f>
        <v/>
      </c>
      <c r="C150">
        <f>IFERROR(__xludf.DUMMYFUNCTION("""COMPUTED_VALUE"""),"hard")</f>
        <v/>
      </c>
      <c r="D150">
        <f>IFERROR(__xludf.DUMMYFUNCTION("""COMPUTED_VALUE"""),"main")</f>
        <v/>
      </c>
      <c r="E150">
        <f>IFERROR(__xludf.DUMMYFUNCTION("""COMPUTED_VALUE"""),"メインクエスト")</f>
        <v/>
      </c>
      <c r="F150">
        <f>IFERROR(__xludf.DUMMYFUNCTION("""COMPUTED_VALUE"""),"quest_main_glo1_hard_4")</f>
        <v/>
      </c>
      <c r="G150">
        <f>IFERROR(__xludf.DUMMYFUNCTION("""COMPUTED_VALUE"""),"4.リミックスクエスト Vol.1")</f>
        <v/>
      </c>
      <c r="H150">
        <f>IFERROR(__xludf.DUMMYFUNCTION("""COMPUTED_VALUE"""),"02")</f>
        <v/>
      </c>
      <c r="I150">
        <f>IFERROR(__xludf.DUMMYFUNCTION("""COMPUTED_VALUE"""),"hard_glo1_00002")</f>
        <v/>
      </c>
      <c r="J150">
        <f>IFERROR(__xludf.DUMMYFUNCTION("""COMPUTED_VALUE"""),"stage_icon_glo1_hard_02")</f>
        <v/>
      </c>
    </row>
    <row r="151">
      <c r="A151">
        <f>IFERROR(__xludf.DUMMYFUNCTION("""COMPUTED_VALUE"""),"glo1")</f>
        <v/>
      </c>
      <c r="B151">
        <f>IFERROR(__xludf.DUMMYFUNCTION("""COMPUTED_VALUE"""),"GLOW")</f>
        <v/>
      </c>
      <c r="C151">
        <f>IFERROR(__xludf.DUMMYFUNCTION("""COMPUTED_VALUE"""),"hard")</f>
        <v/>
      </c>
      <c r="D151">
        <f>IFERROR(__xludf.DUMMYFUNCTION("""COMPUTED_VALUE"""),"main")</f>
        <v/>
      </c>
      <c r="E151">
        <f>IFERROR(__xludf.DUMMYFUNCTION("""COMPUTED_VALUE"""),"メインクエスト")</f>
        <v/>
      </c>
      <c r="F151">
        <f>IFERROR(__xludf.DUMMYFUNCTION("""COMPUTED_VALUE"""),"quest_main_glo1_hard_4")</f>
        <v/>
      </c>
      <c r="G151">
        <f>IFERROR(__xludf.DUMMYFUNCTION("""COMPUTED_VALUE"""),"4.リミックスクエスト Vol.1")</f>
        <v/>
      </c>
      <c r="H151">
        <f>IFERROR(__xludf.DUMMYFUNCTION("""COMPUTED_VALUE"""),"03")</f>
        <v/>
      </c>
      <c r="I151">
        <f>IFERROR(__xludf.DUMMYFUNCTION("""COMPUTED_VALUE"""),"hard_glo1_00003")</f>
        <v/>
      </c>
      <c r="J151">
        <f>IFERROR(__xludf.DUMMYFUNCTION("""COMPUTED_VALUE"""),"stage_icon_glo1_hard_03")</f>
        <v/>
      </c>
    </row>
    <row r="152">
      <c r="A152">
        <f>IFERROR(__xludf.DUMMYFUNCTION("""COMPUTED_VALUE"""),"glo1")</f>
        <v/>
      </c>
      <c r="B152">
        <f>IFERROR(__xludf.DUMMYFUNCTION("""COMPUTED_VALUE"""),"GLOW")</f>
        <v/>
      </c>
      <c r="C152">
        <f>IFERROR(__xludf.DUMMYFUNCTION("""COMPUTED_VALUE"""),"hard")</f>
        <v/>
      </c>
      <c r="D152">
        <f>IFERROR(__xludf.DUMMYFUNCTION("""COMPUTED_VALUE"""),"main")</f>
        <v/>
      </c>
      <c r="E152">
        <f>IFERROR(__xludf.DUMMYFUNCTION("""COMPUTED_VALUE"""),"メインクエスト")</f>
        <v/>
      </c>
      <c r="F152">
        <f>IFERROR(__xludf.DUMMYFUNCTION("""COMPUTED_VALUE"""),"quest_main_glo1_hard_4")</f>
        <v/>
      </c>
      <c r="G152">
        <f>IFERROR(__xludf.DUMMYFUNCTION("""COMPUTED_VALUE"""),"4.リミックスクエスト Vol.1")</f>
        <v/>
      </c>
      <c r="H152">
        <f>IFERROR(__xludf.DUMMYFUNCTION("""COMPUTED_VALUE"""),"04")</f>
        <v/>
      </c>
      <c r="I152">
        <f>IFERROR(__xludf.DUMMYFUNCTION("""COMPUTED_VALUE"""),"hard_glo1_00004")</f>
        <v/>
      </c>
      <c r="J152">
        <f>IFERROR(__xludf.DUMMYFUNCTION("""COMPUTED_VALUE"""),"stage_icon_glo1_hard_04")</f>
        <v/>
      </c>
    </row>
    <row r="153">
      <c r="A153">
        <f>IFERROR(__xludf.DUMMYFUNCTION("""COMPUTED_VALUE"""),"glo1")</f>
        <v/>
      </c>
      <c r="B153">
        <f>IFERROR(__xludf.DUMMYFUNCTION("""COMPUTED_VALUE"""),"GLOW")</f>
        <v/>
      </c>
      <c r="C153">
        <f>IFERROR(__xludf.DUMMYFUNCTION("""COMPUTED_VALUE"""),"hard")</f>
        <v/>
      </c>
      <c r="D153">
        <f>IFERROR(__xludf.DUMMYFUNCTION("""COMPUTED_VALUE"""),"main")</f>
        <v/>
      </c>
      <c r="E153">
        <f>IFERROR(__xludf.DUMMYFUNCTION("""COMPUTED_VALUE"""),"メインクエスト")</f>
        <v/>
      </c>
      <c r="F153">
        <f>IFERROR(__xludf.DUMMYFUNCTION("""COMPUTED_VALUE"""),"quest_main_glo1_hard_4")</f>
        <v/>
      </c>
      <c r="G153">
        <f>IFERROR(__xludf.DUMMYFUNCTION("""COMPUTED_VALUE"""),"4.リミックスクエスト Vol.1")</f>
        <v/>
      </c>
      <c r="H153">
        <f>IFERROR(__xludf.DUMMYFUNCTION("""COMPUTED_VALUE"""),"05")</f>
        <v/>
      </c>
      <c r="I153">
        <f>IFERROR(__xludf.DUMMYFUNCTION("""COMPUTED_VALUE"""),"hard_glo1_00005")</f>
        <v/>
      </c>
      <c r="J153">
        <f>IFERROR(__xludf.DUMMYFUNCTION("""COMPUTED_VALUE"""),"stage_icon_glo1_hard_05")</f>
        <v/>
      </c>
    </row>
    <row r="154">
      <c r="A154">
        <f>IFERROR(__xludf.DUMMYFUNCTION("""COMPUTED_VALUE"""),"glo1")</f>
        <v/>
      </c>
      <c r="B154">
        <f>IFERROR(__xludf.DUMMYFUNCTION("""COMPUTED_VALUE"""),"GLOW")</f>
        <v/>
      </c>
      <c r="C154">
        <f>IFERROR(__xludf.DUMMYFUNCTION("""COMPUTED_VALUE"""),"hard")</f>
        <v/>
      </c>
      <c r="D154">
        <f>IFERROR(__xludf.DUMMYFUNCTION("""COMPUTED_VALUE"""),"main")</f>
        <v/>
      </c>
      <c r="E154">
        <f>IFERROR(__xludf.DUMMYFUNCTION("""COMPUTED_VALUE"""),"メインクエスト")</f>
        <v/>
      </c>
      <c r="F154">
        <f>IFERROR(__xludf.DUMMYFUNCTION("""COMPUTED_VALUE"""),"quest_main_glo1_hard_4")</f>
        <v/>
      </c>
      <c r="G154">
        <f>IFERROR(__xludf.DUMMYFUNCTION("""COMPUTED_VALUE"""),"4.リミックスクエスト Vol.1")</f>
        <v/>
      </c>
      <c r="H154">
        <f>IFERROR(__xludf.DUMMYFUNCTION("""COMPUTED_VALUE"""),"06")</f>
        <v/>
      </c>
      <c r="I154">
        <f>IFERROR(__xludf.DUMMYFUNCTION("""COMPUTED_VALUE"""),"hard_glo1_00006")</f>
        <v/>
      </c>
      <c r="J154">
        <f>IFERROR(__xludf.DUMMYFUNCTION("""COMPUTED_VALUE"""),"stage_icon_glo1_hard_06")</f>
        <v/>
      </c>
    </row>
    <row r="156">
      <c r="A156">
        <f>IFERROR(__xludf.DUMMYFUNCTION("""COMPUTED_VALUE"""),"dan")</f>
        <v/>
      </c>
      <c r="B156">
        <f>IFERROR(__xludf.DUMMYFUNCTION("""COMPUTED_VALUE"""),"ダンダダン")</f>
        <v/>
      </c>
      <c r="C156">
        <f>IFERROR(__xludf.DUMMYFUNCTION("""COMPUTED_VALUE"""),"hard")</f>
        <v/>
      </c>
      <c r="D156">
        <f>IFERROR(__xludf.DUMMYFUNCTION("""COMPUTED_VALUE"""),"main")</f>
        <v/>
      </c>
      <c r="E156">
        <f>IFERROR(__xludf.DUMMYFUNCTION("""COMPUTED_VALUE"""),"メインクエスト")</f>
        <v/>
      </c>
      <c r="F156">
        <f>IFERROR(__xludf.DUMMYFUNCTION("""COMPUTED_VALUE"""),"quest_main_dan_hard_5")</f>
        <v/>
      </c>
      <c r="G156">
        <f>IFERROR(__xludf.DUMMYFUNCTION("""COMPUTED_VALUE"""),"5.ダンダダン")</f>
        <v/>
      </c>
      <c r="H156">
        <f>IFERROR(__xludf.DUMMYFUNCTION("""COMPUTED_VALUE"""),"01")</f>
        <v/>
      </c>
      <c r="I156">
        <f>IFERROR(__xludf.DUMMYFUNCTION("""COMPUTED_VALUE"""),"hard_dan_00001")</f>
        <v/>
      </c>
      <c r="J156">
        <f>IFERROR(__xludf.DUMMYFUNCTION("""COMPUTED_VALUE"""),"stage_icon_dan_hard_01")</f>
        <v/>
      </c>
    </row>
    <row r="157">
      <c r="A157">
        <f>IFERROR(__xludf.DUMMYFUNCTION("""COMPUTED_VALUE"""),"dan")</f>
        <v/>
      </c>
      <c r="B157">
        <f>IFERROR(__xludf.DUMMYFUNCTION("""COMPUTED_VALUE"""),"ダンダダン")</f>
        <v/>
      </c>
      <c r="C157">
        <f>IFERROR(__xludf.DUMMYFUNCTION("""COMPUTED_VALUE"""),"hard")</f>
        <v/>
      </c>
      <c r="D157">
        <f>IFERROR(__xludf.DUMMYFUNCTION("""COMPUTED_VALUE"""),"main")</f>
        <v/>
      </c>
      <c r="E157">
        <f>IFERROR(__xludf.DUMMYFUNCTION("""COMPUTED_VALUE"""),"メインクエスト")</f>
        <v/>
      </c>
      <c r="F157">
        <f>IFERROR(__xludf.DUMMYFUNCTION("""COMPUTED_VALUE"""),"quest_main_dan_hard_5")</f>
        <v/>
      </c>
      <c r="G157">
        <f>IFERROR(__xludf.DUMMYFUNCTION("""COMPUTED_VALUE"""),"5.ダンダダン")</f>
        <v/>
      </c>
      <c r="H157">
        <f>IFERROR(__xludf.DUMMYFUNCTION("""COMPUTED_VALUE"""),"02")</f>
        <v/>
      </c>
      <c r="I157">
        <f>IFERROR(__xludf.DUMMYFUNCTION("""COMPUTED_VALUE"""),"hard_dan_00002")</f>
        <v/>
      </c>
      <c r="J157">
        <f>IFERROR(__xludf.DUMMYFUNCTION("""COMPUTED_VALUE"""),"stage_icon_dan_hard_02")</f>
        <v/>
      </c>
    </row>
    <row r="158">
      <c r="A158">
        <f>IFERROR(__xludf.DUMMYFUNCTION("""COMPUTED_VALUE"""),"dan")</f>
        <v/>
      </c>
      <c r="B158">
        <f>IFERROR(__xludf.DUMMYFUNCTION("""COMPUTED_VALUE"""),"ダンダダン")</f>
        <v/>
      </c>
      <c r="C158">
        <f>IFERROR(__xludf.DUMMYFUNCTION("""COMPUTED_VALUE"""),"hard")</f>
        <v/>
      </c>
      <c r="D158">
        <f>IFERROR(__xludf.DUMMYFUNCTION("""COMPUTED_VALUE"""),"main")</f>
        <v/>
      </c>
      <c r="E158">
        <f>IFERROR(__xludf.DUMMYFUNCTION("""COMPUTED_VALUE"""),"メインクエスト")</f>
        <v/>
      </c>
      <c r="F158">
        <f>IFERROR(__xludf.DUMMYFUNCTION("""COMPUTED_VALUE"""),"quest_main_dan_hard_5")</f>
        <v/>
      </c>
      <c r="G158">
        <f>IFERROR(__xludf.DUMMYFUNCTION("""COMPUTED_VALUE"""),"5.ダンダダン")</f>
        <v/>
      </c>
      <c r="H158">
        <f>IFERROR(__xludf.DUMMYFUNCTION("""COMPUTED_VALUE"""),"03")</f>
        <v/>
      </c>
      <c r="I158">
        <f>IFERROR(__xludf.DUMMYFUNCTION("""COMPUTED_VALUE"""),"hard_dan_00003")</f>
        <v/>
      </c>
      <c r="J158">
        <f>IFERROR(__xludf.DUMMYFUNCTION("""COMPUTED_VALUE"""),"stage_icon_dan_hard_03")</f>
        <v/>
      </c>
    </row>
    <row r="159">
      <c r="A159">
        <f>IFERROR(__xludf.DUMMYFUNCTION("""COMPUTED_VALUE"""),"dan")</f>
        <v/>
      </c>
      <c r="B159">
        <f>IFERROR(__xludf.DUMMYFUNCTION("""COMPUTED_VALUE"""),"ダンダダン")</f>
        <v/>
      </c>
      <c r="C159">
        <f>IFERROR(__xludf.DUMMYFUNCTION("""COMPUTED_VALUE"""),"hard")</f>
        <v/>
      </c>
      <c r="D159">
        <f>IFERROR(__xludf.DUMMYFUNCTION("""COMPUTED_VALUE"""),"main")</f>
        <v/>
      </c>
      <c r="E159">
        <f>IFERROR(__xludf.DUMMYFUNCTION("""COMPUTED_VALUE"""),"メインクエスト")</f>
        <v/>
      </c>
      <c r="F159">
        <f>IFERROR(__xludf.DUMMYFUNCTION("""COMPUTED_VALUE"""),"quest_main_dan_hard_5")</f>
        <v/>
      </c>
      <c r="G159">
        <f>IFERROR(__xludf.DUMMYFUNCTION("""COMPUTED_VALUE"""),"5.ダンダダン")</f>
        <v/>
      </c>
      <c r="H159">
        <f>IFERROR(__xludf.DUMMYFUNCTION("""COMPUTED_VALUE"""),"04")</f>
        <v/>
      </c>
      <c r="I159">
        <f>IFERROR(__xludf.DUMMYFUNCTION("""COMPUTED_VALUE"""),"hard_dan_00004")</f>
        <v/>
      </c>
      <c r="J159">
        <f>IFERROR(__xludf.DUMMYFUNCTION("""COMPUTED_VALUE"""),"stage_icon_dan_hard_04")</f>
        <v/>
      </c>
    </row>
    <row r="160">
      <c r="A160">
        <f>IFERROR(__xludf.DUMMYFUNCTION("""COMPUTED_VALUE"""),"dan")</f>
        <v/>
      </c>
      <c r="B160">
        <f>IFERROR(__xludf.DUMMYFUNCTION("""COMPUTED_VALUE"""),"ダンダダン")</f>
        <v/>
      </c>
      <c r="C160">
        <f>IFERROR(__xludf.DUMMYFUNCTION("""COMPUTED_VALUE"""),"hard")</f>
        <v/>
      </c>
      <c r="D160">
        <f>IFERROR(__xludf.DUMMYFUNCTION("""COMPUTED_VALUE"""),"main")</f>
        <v/>
      </c>
      <c r="E160">
        <f>IFERROR(__xludf.DUMMYFUNCTION("""COMPUTED_VALUE"""),"メインクエスト")</f>
        <v/>
      </c>
      <c r="F160">
        <f>IFERROR(__xludf.DUMMYFUNCTION("""COMPUTED_VALUE"""),"quest_main_dan_hard_5")</f>
        <v/>
      </c>
      <c r="G160">
        <f>IFERROR(__xludf.DUMMYFUNCTION("""COMPUTED_VALUE"""),"5.ダンダダン")</f>
        <v/>
      </c>
      <c r="H160">
        <f>IFERROR(__xludf.DUMMYFUNCTION("""COMPUTED_VALUE"""),"05")</f>
        <v/>
      </c>
      <c r="I160">
        <f>IFERROR(__xludf.DUMMYFUNCTION("""COMPUTED_VALUE"""),"hard_dan_00005")</f>
        <v/>
      </c>
      <c r="J160">
        <f>IFERROR(__xludf.DUMMYFUNCTION("""COMPUTED_VALUE"""),"stage_icon_dan_hard_05")</f>
        <v/>
      </c>
    </row>
    <row r="161">
      <c r="A161">
        <f>IFERROR(__xludf.DUMMYFUNCTION("""COMPUTED_VALUE"""),"dan")</f>
        <v/>
      </c>
      <c r="B161">
        <f>IFERROR(__xludf.DUMMYFUNCTION("""COMPUTED_VALUE"""),"ダンダダン")</f>
        <v/>
      </c>
      <c r="C161">
        <f>IFERROR(__xludf.DUMMYFUNCTION("""COMPUTED_VALUE"""),"hard")</f>
        <v/>
      </c>
      <c r="D161">
        <f>IFERROR(__xludf.DUMMYFUNCTION("""COMPUTED_VALUE"""),"main")</f>
        <v/>
      </c>
      <c r="E161">
        <f>IFERROR(__xludf.DUMMYFUNCTION("""COMPUTED_VALUE"""),"メインクエスト")</f>
        <v/>
      </c>
      <c r="F161">
        <f>IFERROR(__xludf.DUMMYFUNCTION("""COMPUTED_VALUE"""),"quest_main_dan_hard_5")</f>
        <v/>
      </c>
      <c r="G161">
        <f>IFERROR(__xludf.DUMMYFUNCTION("""COMPUTED_VALUE"""),"5.ダンダダン")</f>
        <v/>
      </c>
      <c r="H161">
        <f>IFERROR(__xludf.DUMMYFUNCTION("""COMPUTED_VALUE"""),"06")</f>
        <v/>
      </c>
      <c r="I161">
        <f>IFERROR(__xludf.DUMMYFUNCTION("""COMPUTED_VALUE"""),"hard_dan_00006")</f>
        <v/>
      </c>
      <c r="J161">
        <f>IFERROR(__xludf.DUMMYFUNCTION("""COMPUTED_VALUE"""),"stage_icon_dan_hard_06")</f>
        <v/>
      </c>
    </row>
    <row r="163">
      <c r="A163">
        <f>IFERROR(__xludf.DUMMYFUNCTION("""COMPUTED_VALUE"""),"jig")</f>
        <v/>
      </c>
      <c r="B163">
        <f>IFERROR(__xludf.DUMMYFUNCTION("""COMPUTED_VALUE"""),"地獄楽")</f>
        <v/>
      </c>
      <c r="C163">
        <f>IFERROR(__xludf.DUMMYFUNCTION("""COMPUTED_VALUE"""),"hard")</f>
        <v/>
      </c>
      <c r="D163">
        <f>IFERROR(__xludf.DUMMYFUNCTION("""COMPUTED_VALUE"""),"main")</f>
        <v/>
      </c>
      <c r="E163">
        <f>IFERROR(__xludf.DUMMYFUNCTION("""COMPUTED_VALUE"""),"メインクエスト")</f>
        <v/>
      </c>
      <c r="F163">
        <f>IFERROR(__xludf.DUMMYFUNCTION("""COMPUTED_VALUE"""),"quest_main_jig_hard_6")</f>
        <v/>
      </c>
      <c r="G163">
        <f>IFERROR(__xludf.DUMMYFUNCTION("""COMPUTED_VALUE"""),"6.地獄楽")</f>
        <v/>
      </c>
      <c r="H163">
        <f>IFERROR(__xludf.DUMMYFUNCTION("""COMPUTED_VALUE"""),"01")</f>
        <v/>
      </c>
      <c r="I163">
        <f>IFERROR(__xludf.DUMMYFUNCTION("""COMPUTED_VALUE"""),"hard_jig_00001")</f>
        <v/>
      </c>
      <c r="J163">
        <f>IFERROR(__xludf.DUMMYFUNCTION("""COMPUTED_VALUE"""),"stage_icon_jig_hard_01")</f>
        <v/>
      </c>
    </row>
    <row r="164">
      <c r="A164">
        <f>IFERROR(__xludf.DUMMYFUNCTION("""COMPUTED_VALUE"""),"jig")</f>
        <v/>
      </c>
      <c r="B164">
        <f>IFERROR(__xludf.DUMMYFUNCTION("""COMPUTED_VALUE"""),"地獄楽")</f>
        <v/>
      </c>
      <c r="C164">
        <f>IFERROR(__xludf.DUMMYFUNCTION("""COMPUTED_VALUE"""),"hard")</f>
        <v/>
      </c>
      <c r="D164">
        <f>IFERROR(__xludf.DUMMYFUNCTION("""COMPUTED_VALUE"""),"main")</f>
        <v/>
      </c>
      <c r="E164">
        <f>IFERROR(__xludf.DUMMYFUNCTION("""COMPUTED_VALUE"""),"メインクエスト")</f>
        <v/>
      </c>
      <c r="F164">
        <f>IFERROR(__xludf.DUMMYFUNCTION("""COMPUTED_VALUE"""),"quest_main_jig_hard_6")</f>
        <v/>
      </c>
      <c r="G164">
        <f>IFERROR(__xludf.DUMMYFUNCTION("""COMPUTED_VALUE"""),"6.地獄楽")</f>
        <v/>
      </c>
      <c r="H164">
        <f>IFERROR(__xludf.DUMMYFUNCTION("""COMPUTED_VALUE"""),"02")</f>
        <v/>
      </c>
      <c r="I164">
        <f>IFERROR(__xludf.DUMMYFUNCTION("""COMPUTED_VALUE"""),"hard_jig_00002")</f>
        <v/>
      </c>
      <c r="J164">
        <f>IFERROR(__xludf.DUMMYFUNCTION("""COMPUTED_VALUE"""),"stage_icon_jig_hard_02")</f>
        <v/>
      </c>
    </row>
    <row r="165">
      <c r="A165">
        <f>IFERROR(__xludf.DUMMYFUNCTION("""COMPUTED_VALUE"""),"jig")</f>
        <v/>
      </c>
      <c r="B165">
        <f>IFERROR(__xludf.DUMMYFUNCTION("""COMPUTED_VALUE"""),"地獄楽")</f>
        <v/>
      </c>
      <c r="C165">
        <f>IFERROR(__xludf.DUMMYFUNCTION("""COMPUTED_VALUE"""),"hard")</f>
        <v/>
      </c>
      <c r="D165">
        <f>IFERROR(__xludf.DUMMYFUNCTION("""COMPUTED_VALUE"""),"main")</f>
        <v/>
      </c>
      <c r="E165">
        <f>IFERROR(__xludf.DUMMYFUNCTION("""COMPUTED_VALUE"""),"メインクエスト")</f>
        <v/>
      </c>
      <c r="F165">
        <f>IFERROR(__xludf.DUMMYFUNCTION("""COMPUTED_VALUE"""),"quest_main_jig_hard_6")</f>
        <v/>
      </c>
      <c r="G165">
        <f>IFERROR(__xludf.DUMMYFUNCTION("""COMPUTED_VALUE"""),"6.地獄楽")</f>
        <v/>
      </c>
      <c r="H165">
        <f>IFERROR(__xludf.DUMMYFUNCTION("""COMPUTED_VALUE"""),"03")</f>
        <v/>
      </c>
      <c r="I165">
        <f>IFERROR(__xludf.DUMMYFUNCTION("""COMPUTED_VALUE"""),"hard_jig_00003")</f>
        <v/>
      </c>
      <c r="J165">
        <f>IFERROR(__xludf.DUMMYFUNCTION("""COMPUTED_VALUE"""),"stage_icon_jig_hard_03")</f>
        <v/>
      </c>
    </row>
    <row r="166">
      <c r="A166">
        <f>IFERROR(__xludf.DUMMYFUNCTION("""COMPUTED_VALUE"""),"jig")</f>
        <v/>
      </c>
      <c r="B166">
        <f>IFERROR(__xludf.DUMMYFUNCTION("""COMPUTED_VALUE"""),"地獄楽")</f>
        <v/>
      </c>
      <c r="C166">
        <f>IFERROR(__xludf.DUMMYFUNCTION("""COMPUTED_VALUE"""),"hard")</f>
        <v/>
      </c>
      <c r="D166">
        <f>IFERROR(__xludf.DUMMYFUNCTION("""COMPUTED_VALUE"""),"main")</f>
        <v/>
      </c>
      <c r="E166">
        <f>IFERROR(__xludf.DUMMYFUNCTION("""COMPUTED_VALUE"""),"メインクエスト")</f>
        <v/>
      </c>
      <c r="F166">
        <f>IFERROR(__xludf.DUMMYFUNCTION("""COMPUTED_VALUE"""),"quest_main_jig_hard_6")</f>
        <v/>
      </c>
      <c r="G166">
        <f>IFERROR(__xludf.DUMMYFUNCTION("""COMPUTED_VALUE"""),"6.地獄楽")</f>
        <v/>
      </c>
      <c r="H166">
        <f>IFERROR(__xludf.DUMMYFUNCTION("""COMPUTED_VALUE"""),"04")</f>
        <v/>
      </c>
      <c r="I166">
        <f>IFERROR(__xludf.DUMMYFUNCTION("""COMPUTED_VALUE"""),"hard_jig_00004")</f>
        <v/>
      </c>
      <c r="J166">
        <f>IFERROR(__xludf.DUMMYFUNCTION("""COMPUTED_VALUE"""),"stage_icon_jig_hard_04")</f>
        <v/>
      </c>
    </row>
    <row r="167">
      <c r="A167">
        <f>IFERROR(__xludf.DUMMYFUNCTION("""COMPUTED_VALUE"""),"jig")</f>
        <v/>
      </c>
      <c r="B167">
        <f>IFERROR(__xludf.DUMMYFUNCTION("""COMPUTED_VALUE"""),"地獄楽")</f>
        <v/>
      </c>
      <c r="C167">
        <f>IFERROR(__xludf.DUMMYFUNCTION("""COMPUTED_VALUE"""),"hard")</f>
        <v/>
      </c>
      <c r="D167">
        <f>IFERROR(__xludf.DUMMYFUNCTION("""COMPUTED_VALUE"""),"main")</f>
        <v/>
      </c>
      <c r="E167">
        <f>IFERROR(__xludf.DUMMYFUNCTION("""COMPUTED_VALUE"""),"メインクエスト")</f>
        <v/>
      </c>
      <c r="F167">
        <f>IFERROR(__xludf.DUMMYFUNCTION("""COMPUTED_VALUE"""),"quest_main_jig_hard_6")</f>
        <v/>
      </c>
      <c r="G167">
        <f>IFERROR(__xludf.DUMMYFUNCTION("""COMPUTED_VALUE"""),"6.地獄楽")</f>
        <v/>
      </c>
      <c r="H167">
        <f>IFERROR(__xludf.DUMMYFUNCTION("""COMPUTED_VALUE"""),"05")</f>
        <v/>
      </c>
      <c r="I167">
        <f>IFERROR(__xludf.DUMMYFUNCTION("""COMPUTED_VALUE"""),"hard_jig_00005")</f>
        <v/>
      </c>
      <c r="J167">
        <f>IFERROR(__xludf.DUMMYFUNCTION("""COMPUTED_VALUE"""),"stage_icon_jig_hard_05")</f>
        <v/>
      </c>
    </row>
    <row r="168">
      <c r="A168">
        <f>IFERROR(__xludf.DUMMYFUNCTION("""COMPUTED_VALUE"""),"jig")</f>
        <v/>
      </c>
      <c r="B168">
        <f>IFERROR(__xludf.DUMMYFUNCTION("""COMPUTED_VALUE"""),"地獄楽")</f>
        <v/>
      </c>
      <c r="C168">
        <f>IFERROR(__xludf.DUMMYFUNCTION("""COMPUTED_VALUE"""),"hard")</f>
        <v/>
      </c>
      <c r="D168">
        <f>IFERROR(__xludf.DUMMYFUNCTION("""COMPUTED_VALUE"""),"main")</f>
        <v/>
      </c>
      <c r="E168">
        <f>IFERROR(__xludf.DUMMYFUNCTION("""COMPUTED_VALUE"""),"メインクエスト")</f>
        <v/>
      </c>
      <c r="F168">
        <f>IFERROR(__xludf.DUMMYFUNCTION("""COMPUTED_VALUE"""),"quest_main_jig_hard_6")</f>
        <v/>
      </c>
      <c r="G168">
        <f>IFERROR(__xludf.DUMMYFUNCTION("""COMPUTED_VALUE"""),"6.地獄楽")</f>
        <v/>
      </c>
      <c r="H168">
        <f>IFERROR(__xludf.DUMMYFUNCTION("""COMPUTED_VALUE"""),"06")</f>
        <v/>
      </c>
      <c r="I168">
        <f>IFERROR(__xludf.DUMMYFUNCTION("""COMPUTED_VALUE"""),"hard_jig_00006")</f>
        <v/>
      </c>
      <c r="J168">
        <f>IFERROR(__xludf.DUMMYFUNCTION("""COMPUTED_VALUE"""),"stage_icon_jig_hard_06")</f>
        <v/>
      </c>
    </row>
    <row r="170">
      <c r="A170">
        <f>IFERROR(__xludf.DUMMYFUNCTION("""COMPUTED_VALUE"""),"tak")</f>
        <v/>
      </c>
      <c r="B170">
        <f>IFERROR(__xludf.DUMMYFUNCTION("""COMPUTED_VALUE"""),"タコピーの原罪")</f>
        <v/>
      </c>
      <c r="C170">
        <f>IFERROR(__xludf.DUMMYFUNCTION("""COMPUTED_VALUE"""),"hard")</f>
        <v/>
      </c>
      <c r="D170">
        <f>IFERROR(__xludf.DUMMYFUNCTION("""COMPUTED_VALUE"""),"main")</f>
        <v/>
      </c>
      <c r="E170">
        <f>IFERROR(__xludf.DUMMYFUNCTION("""COMPUTED_VALUE"""),"メインクエスト")</f>
        <v/>
      </c>
      <c r="F170">
        <f>IFERROR(__xludf.DUMMYFUNCTION("""COMPUTED_VALUE"""),"quest_main_tak_hard_7")</f>
        <v/>
      </c>
      <c r="G170">
        <f>IFERROR(__xludf.DUMMYFUNCTION("""COMPUTED_VALUE"""),"7.タコピーの原罪")</f>
        <v/>
      </c>
      <c r="H170">
        <f>IFERROR(__xludf.DUMMYFUNCTION("""COMPUTED_VALUE"""),"01")</f>
        <v/>
      </c>
      <c r="I170">
        <f>IFERROR(__xludf.DUMMYFUNCTION("""COMPUTED_VALUE"""),"hard_tak_00001")</f>
        <v/>
      </c>
      <c r="J170">
        <f>IFERROR(__xludf.DUMMYFUNCTION("""COMPUTED_VALUE"""),"stage_icon_tak_hard_01")</f>
        <v/>
      </c>
    </row>
    <row r="171">
      <c r="A171">
        <f>IFERROR(__xludf.DUMMYFUNCTION("""COMPUTED_VALUE"""),"tak")</f>
        <v/>
      </c>
      <c r="B171">
        <f>IFERROR(__xludf.DUMMYFUNCTION("""COMPUTED_VALUE"""),"タコピーの原罪")</f>
        <v/>
      </c>
      <c r="C171">
        <f>IFERROR(__xludf.DUMMYFUNCTION("""COMPUTED_VALUE"""),"hard")</f>
        <v/>
      </c>
      <c r="D171">
        <f>IFERROR(__xludf.DUMMYFUNCTION("""COMPUTED_VALUE"""),"main")</f>
        <v/>
      </c>
      <c r="E171">
        <f>IFERROR(__xludf.DUMMYFUNCTION("""COMPUTED_VALUE"""),"メインクエスト")</f>
        <v/>
      </c>
      <c r="F171">
        <f>IFERROR(__xludf.DUMMYFUNCTION("""COMPUTED_VALUE"""),"quest_main_tak_hard_7")</f>
        <v/>
      </c>
      <c r="G171">
        <f>IFERROR(__xludf.DUMMYFUNCTION("""COMPUTED_VALUE"""),"7.タコピーの原罪")</f>
        <v/>
      </c>
      <c r="H171">
        <f>IFERROR(__xludf.DUMMYFUNCTION("""COMPUTED_VALUE"""),"02")</f>
        <v/>
      </c>
      <c r="I171">
        <f>IFERROR(__xludf.DUMMYFUNCTION("""COMPUTED_VALUE"""),"hard_tak_00002")</f>
        <v/>
      </c>
      <c r="J171">
        <f>IFERROR(__xludf.DUMMYFUNCTION("""COMPUTED_VALUE"""),"stage_icon_tak_hard_02")</f>
        <v/>
      </c>
    </row>
    <row r="172">
      <c r="A172">
        <f>IFERROR(__xludf.DUMMYFUNCTION("""COMPUTED_VALUE"""),"tak")</f>
        <v/>
      </c>
      <c r="B172">
        <f>IFERROR(__xludf.DUMMYFUNCTION("""COMPUTED_VALUE"""),"タコピーの原罪")</f>
        <v/>
      </c>
      <c r="C172">
        <f>IFERROR(__xludf.DUMMYFUNCTION("""COMPUTED_VALUE"""),"hard")</f>
        <v/>
      </c>
      <c r="D172">
        <f>IFERROR(__xludf.DUMMYFUNCTION("""COMPUTED_VALUE"""),"main")</f>
        <v/>
      </c>
      <c r="E172">
        <f>IFERROR(__xludf.DUMMYFUNCTION("""COMPUTED_VALUE"""),"メインクエスト")</f>
        <v/>
      </c>
      <c r="F172">
        <f>IFERROR(__xludf.DUMMYFUNCTION("""COMPUTED_VALUE"""),"quest_main_tak_hard_7")</f>
        <v/>
      </c>
      <c r="G172">
        <f>IFERROR(__xludf.DUMMYFUNCTION("""COMPUTED_VALUE"""),"7.タコピーの原罪")</f>
        <v/>
      </c>
      <c r="H172">
        <f>IFERROR(__xludf.DUMMYFUNCTION("""COMPUTED_VALUE"""),"03")</f>
        <v/>
      </c>
      <c r="I172">
        <f>IFERROR(__xludf.DUMMYFUNCTION("""COMPUTED_VALUE"""),"hard_tak_00003")</f>
        <v/>
      </c>
      <c r="J172">
        <f>IFERROR(__xludf.DUMMYFUNCTION("""COMPUTED_VALUE"""),"stage_icon_tak_hard_03")</f>
        <v/>
      </c>
    </row>
    <row r="174">
      <c r="A174">
        <f>IFERROR(__xludf.DUMMYFUNCTION("""COMPUTED_VALUE"""),"glo2")</f>
        <v/>
      </c>
      <c r="B174">
        <f>IFERROR(__xludf.DUMMYFUNCTION("""COMPUTED_VALUE"""),"GLOW")</f>
        <v/>
      </c>
      <c r="C174">
        <f>IFERROR(__xludf.DUMMYFUNCTION("""COMPUTED_VALUE"""),"hard")</f>
        <v/>
      </c>
      <c r="D174">
        <f>IFERROR(__xludf.DUMMYFUNCTION("""COMPUTED_VALUE"""),"main")</f>
        <v/>
      </c>
      <c r="E174">
        <f>IFERROR(__xludf.DUMMYFUNCTION("""COMPUTED_VALUE"""),"メインクエスト")</f>
        <v/>
      </c>
      <c r="F174">
        <f>IFERROR(__xludf.DUMMYFUNCTION("""COMPUTED_VALUE"""),"quest_main_glo2_hard_8")</f>
        <v/>
      </c>
      <c r="G174">
        <f>IFERROR(__xludf.DUMMYFUNCTION("""COMPUTED_VALUE"""),"8.リミックスクエスト Vol.2")</f>
        <v/>
      </c>
      <c r="H174">
        <f>IFERROR(__xludf.DUMMYFUNCTION("""COMPUTED_VALUE"""),"01")</f>
        <v/>
      </c>
      <c r="I174">
        <f>IFERROR(__xludf.DUMMYFUNCTION("""COMPUTED_VALUE"""),"hard_glo2_00001")</f>
        <v/>
      </c>
      <c r="J174">
        <f>IFERROR(__xludf.DUMMYFUNCTION("""COMPUTED_VALUE"""),"stage_icon_glo2_hard_01")</f>
        <v/>
      </c>
    </row>
    <row r="175">
      <c r="A175">
        <f>IFERROR(__xludf.DUMMYFUNCTION("""COMPUTED_VALUE"""),"glo2")</f>
        <v/>
      </c>
      <c r="B175">
        <f>IFERROR(__xludf.DUMMYFUNCTION("""COMPUTED_VALUE"""),"GLOW")</f>
        <v/>
      </c>
      <c r="C175">
        <f>IFERROR(__xludf.DUMMYFUNCTION("""COMPUTED_VALUE"""),"hard")</f>
        <v/>
      </c>
      <c r="D175">
        <f>IFERROR(__xludf.DUMMYFUNCTION("""COMPUTED_VALUE"""),"main")</f>
        <v/>
      </c>
      <c r="E175">
        <f>IFERROR(__xludf.DUMMYFUNCTION("""COMPUTED_VALUE"""),"メインクエスト")</f>
        <v/>
      </c>
      <c r="F175">
        <f>IFERROR(__xludf.DUMMYFUNCTION("""COMPUTED_VALUE"""),"quest_main_glo2_hard_8")</f>
        <v/>
      </c>
      <c r="G175">
        <f>IFERROR(__xludf.DUMMYFUNCTION("""COMPUTED_VALUE"""),"8.リミックスクエスト Vol.2")</f>
        <v/>
      </c>
      <c r="H175">
        <f>IFERROR(__xludf.DUMMYFUNCTION("""COMPUTED_VALUE"""),"02")</f>
        <v/>
      </c>
      <c r="I175">
        <f>IFERROR(__xludf.DUMMYFUNCTION("""COMPUTED_VALUE"""),"hard_glo2_00002")</f>
        <v/>
      </c>
      <c r="J175">
        <f>IFERROR(__xludf.DUMMYFUNCTION("""COMPUTED_VALUE"""),"stage_icon_glo2_hard_02")</f>
        <v/>
      </c>
    </row>
    <row r="176">
      <c r="A176">
        <f>IFERROR(__xludf.DUMMYFUNCTION("""COMPUTED_VALUE"""),"glo2")</f>
        <v/>
      </c>
      <c r="B176">
        <f>IFERROR(__xludf.DUMMYFUNCTION("""COMPUTED_VALUE"""),"GLOW")</f>
        <v/>
      </c>
      <c r="C176">
        <f>IFERROR(__xludf.DUMMYFUNCTION("""COMPUTED_VALUE"""),"hard")</f>
        <v/>
      </c>
      <c r="D176">
        <f>IFERROR(__xludf.DUMMYFUNCTION("""COMPUTED_VALUE"""),"main")</f>
        <v/>
      </c>
      <c r="E176">
        <f>IFERROR(__xludf.DUMMYFUNCTION("""COMPUTED_VALUE"""),"メインクエスト")</f>
        <v/>
      </c>
      <c r="F176">
        <f>IFERROR(__xludf.DUMMYFUNCTION("""COMPUTED_VALUE"""),"quest_main_glo2_hard_8")</f>
        <v/>
      </c>
      <c r="G176">
        <f>IFERROR(__xludf.DUMMYFUNCTION("""COMPUTED_VALUE"""),"8.リミックスクエスト Vol.2")</f>
        <v/>
      </c>
      <c r="H176">
        <f>IFERROR(__xludf.DUMMYFUNCTION("""COMPUTED_VALUE"""),"03")</f>
        <v/>
      </c>
      <c r="I176">
        <f>IFERROR(__xludf.DUMMYFUNCTION("""COMPUTED_VALUE"""),"hard_glo2_00003")</f>
        <v/>
      </c>
      <c r="J176">
        <f>IFERROR(__xludf.DUMMYFUNCTION("""COMPUTED_VALUE"""),"stage_icon_glo2_hard_03")</f>
        <v/>
      </c>
    </row>
    <row r="177">
      <c r="A177">
        <f>IFERROR(__xludf.DUMMYFUNCTION("""COMPUTED_VALUE"""),"glo2")</f>
        <v/>
      </c>
      <c r="B177">
        <f>IFERROR(__xludf.DUMMYFUNCTION("""COMPUTED_VALUE"""),"GLOW")</f>
        <v/>
      </c>
      <c r="C177">
        <f>IFERROR(__xludf.DUMMYFUNCTION("""COMPUTED_VALUE"""),"hard")</f>
        <v/>
      </c>
      <c r="D177">
        <f>IFERROR(__xludf.DUMMYFUNCTION("""COMPUTED_VALUE"""),"main")</f>
        <v/>
      </c>
      <c r="E177">
        <f>IFERROR(__xludf.DUMMYFUNCTION("""COMPUTED_VALUE"""),"メインクエスト")</f>
        <v/>
      </c>
      <c r="F177">
        <f>IFERROR(__xludf.DUMMYFUNCTION("""COMPUTED_VALUE"""),"quest_main_glo2_hard_8")</f>
        <v/>
      </c>
      <c r="G177">
        <f>IFERROR(__xludf.DUMMYFUNCTION("""COMPUTED_VALUE"""),"8.リミックスクエスト Vol.2")</f>
        <v/>
      </c>
      <c r="H177">
        <f>IFERROR(__xludf.DUMMYFUNCTION("""COMPUTED_VALUE"""),"04")</f>
        <v/>
      </c>
      <c r="I177">
        <f>IFERROR(__xludf.DUMMYFUNCTION("""COMPUTED_VALUE"""),"hard_glo2_00004")</f>
        <v/>
      </c>
      <c r="J177">
        <f>IFERROR(__xludf.DUMMYFUNCTION("""COMPUTED_VALUE"""),"stage_icon_glo2_hard_04")</f>
        <v/>
      </c>
    </row>
    <row r="178">
      <c r="A178">
        <f>IFERROR(__xludf.DUMMYFUNCTION("""COMPUTED_VALUE"""),"glo2")</f>
        <v/>
      </c>
      <c r="B178">
        <f>IFERROR(__xludf.DUMMYFUNCTION("""COMPUTED_VALUE"""),"GLOW")</f>
        <v/>
      </c>
      <c r="C178">
        <f>IFERROR(__xludf.DUMMYFUNCTION("""COMPUTED_VALUE"""),"hard")</f>
        <v/>
      </c>
      <c r="D178">
        <f>IFERROR(__xludf.DUMMYFUNCTION("""COMPUTED_VALUE"""),"main")</f>
        <v/>
      </c>
      <c r="E178">
        <f>IFERROR(__xludf.DUMMYFUNCTION("""COMPUTED_VALUE"""),"メインクエスト")</f>
        <v/>
      </c>
      <c r="F178">
        <f>IFERROR(__xludf.DUMMYFUNCTION("""COMPUTED_VALUE"""),"quest_main_glo2_hard_8")</f>
        <v/>
      </c>
      <c r="G178">
        <f>IFERROR(__xludf.DUMMYFUNCTION("""COMPUTED_VALUE"""),"8.リミックスクエスト Vol.2")</f>
        <v/>
      </c>
      <c r="H178">
        <f>IFERROR(__xludf.DUMMYFUNCTION("""COMPUTED_VALUE"""),"05")</f>
        <v/>
      </c>
      <c r="I178">
        <f>IFERROR(__xludf.DUMMYFUNCTION("""COMPUTED_VALUE"""),"hard_glo2_00005")</f>
        <v/>
      </c>
      <c r="J178">
        <f>IFERROR(__xludf.DUMMYFUNCTION("""COMPUTED_VALUE"""),"stage_icon_glo2_hard_05")</f>
        <v/>
      </c>
    </row>
    <row r="179">
      <c r="A179">
        <f>IFERROR(__xludf.DUMMYFUNCTION("""COMPUTED_VALUE"""),"glo2")</f>
        <v/>
      </c>
      <c r="B179">
        <f>IFERROR(__xludf.DUMMYFUNCTION("""COMPUTED_VALUE"""),"GLOW")</f>
        <v/>
      </c>
      <c r="C179">
        <f>IFERROR(__xludf.DUMMYFUNCTION("""COMPUTED_VALUE"""),"hard")</f>
        <v/>
      </c>
      <c r="D179">
        <f>IFERROR(__xludf.DUMMYFUNCTION("""COMPUTED_VALUE"""),"main")</f>
        <v/>
      </c>
      <c r="E179">
        <f>IFERROR(__xludf.DUMMYFUNCTION("""COMPUTED_VALUE"""),"メインクエスト")</f>
        <v/>
      </c>
      <c r="F179">
        <f>IFERROR(__xludf.DUMMYFUNCTION("""COMPUTED_VALUE"""),"quest_main_glo2_hard_8")</f>
        <v/>
      </c>
      <c r="G179">
        <f>IFERROR(__xludf.DUMMYFUNCTION("""COMPUTED_VALUE"""),"8.リミックスクエスト Vol.2")</f>
        <v/>
      </c>
      <c r="H179">
        <f>IFERROR(__xludf.DUMMYFUNCTION("""COMPUTED_VALUE"""),"06")</f>
        <v/>
      </c>
      <c r="I179">
        <f>IFERROR(__xludf.DUMMYFUNCTION("""COMPUTED_VALUE"""),"hard_glo2_00006")</f>
        <v/>
      </c>
      <c r="J179">
        <f>IFERROR(__xludf.DUMMYFUNCTION("""COMPUTED_VALUE"""),"stage_icon_glo2_hard_06")</f>
        <v/>
      </c>
    </row>
    <row r="181">
      <c r="A181">
        <f>IFERROR(__xludf.DUMMYFUNCTION("""COMPUTED_VALUE"""),"chi")</f>
        <v/>
      </c>
      <c r="B181">
        <f>IFERROR(__xludf.DUMMYFUNCTION("""COMPUTED_VALUE"""),"チェンソーマン")</f>
        <v/>
      </c>
      <c r="C181">
        <f>IFERROR(__xludf.DUMMYFUNCTION("""COMPUTED_VALUE"""),"hard")</f>
        <v/>
      </c>
      <c r="D181">
        <f>IFERROR(__xludf.DUMMYFUNCTION("""COMPUTED_VALUE"""),"main")</f>
        <v/>
      </c>
      <c r="E181">
        <f>IFERROR(__xludf.DUMMYFUNCTION("""COMPUTED_VALUE"""),"メインクエスト")</f>
        <v/>
      </c>
      <c r="F181">
        <f>IFERROR(__xludf.DUMMYFUNCTION("""COMPUTED_VALUE"""),"quest_main_chi_hard_9")</f>
        <v/>
      </c>
      <c r="G181">
        <f>IFERROR(__xludf.DUMMYFUNCTION("""COMPUTED_VALUE"""),"9.チェンソーマン")</f>
        <v/>
      </c>
      <c r="H181">
        <f>IFERROR(__xludf.DUMMYFUNCTION("""COMPUTED_VALUE"""),"01")</f>
        <v/>
      </c>
      <c r="I181">
        <f>IFERROR(__xludf.DUMMYFUNCTION("""COMPUTED_VALUE"""),"hard_chi_00001")</f>
        <v/>
      </c>
      <c r="J181">
        <f>IFERROR(__xludf.DUMMYFUNCTION("""COMPUTED_VALUE"""),"stage_icon_chi_hard_01")</f>
        <v/>
      </c>
    </row>
    <row r="182">
      <c r="A182">
        <f>IFERROR(__xludf.DUMMYFUNCTION("""COMPUTED_VALUE"""),"chi")</f>
        <v/>
      </c>
      <c r="B182">
        <f>IFERROR(__xludf.DUMMYFUNCTION("""COMPUTED_VALUE"""),"チェンソーマン")</f>
        <v/>
      </c>
      <c r="C182">
        <f>IFERROR(__xludf.DUMMYFUNCTION("""COMPUTED_VALUE"""),"hard")</f>
        <v/>
      </c>
      <c r="D182">
        <f>IFERROR(__xludf.DUMMYFUNCTION("""COMPUTED_VALUE"""),"main")</f>
        <v/>
      </c>
      <c r="E182">
        <f>IFERROR(__xludf.DUMMYFUNCTION("""COMPUTED_VALUE"""),"メインクエスト")</f>
        <v/>
      </c>
      <c r="F182">
        <f>IFERROR(__xludf.DUMMYFUNCTION("""COMPUTED_VALUE"""),"quest_main_chi_hard_9")</f>
        <v/>
      </c>
      <c r="G182">
        <f>IFERROR(__xludf.DUMMYFUNCTION("""COMPUTED_VALUE"""),"9.チェンソーマン")</f>
        <v/>
      </c>
      <c r="H182">
        <f>IFERROR(__xludf.DUMMYFUNCTION("""COMPUTED_VALUE"""),"02")</f>
        <v/>
      </c>
      <c r="I182">
        <f>IFERROR(__xludf.DUMMYFUNCTION("""COMPUTED_VALUE"""),"hard_chi_00002")</f>
        <v/>
      </c>
      <c r="J182">
        <f>IFERROR(__xludf.DUMMYFUNCTION("""COMPUTED_VALUE"""),"stage_icon_chi_hard_02")</f>
        <v/>
      </c>
    </row>
    <row r="183">
      <c r="A183">
        <f>IFERROR(__xludf.DUMMYFUNCTION("""COMPUTED_VALUE"""),"chi")</f>
        <v/>
      </c>
      <c r="B183">
        <f>IFERROR(__xludf.DUMMYFUNCTION("""COMPUTED_VALUE"""),"チェンソーマン")</f>
        <v/>
      </c>
      <c r="C183">
        <f>IFERROR(__xludf.DUMMYFUNCTION("""COMPUTED_VALUE"""),"hard")</f>
        <v/>
      </c>
      <c r="D183">
        <f>IFERROR(__xludf.DUMMYFUNCTION("""COMPUTED_VALUE"""),"main")</f>
        <v/>
      </c>
      <c r="E183">
        <f>IFERROR(__xludf.DUMMYFUNCTION("""COMPUTED_VALUE"""),"メインクエスト")</f>
        <v/>
      </c>
      <c r="F183">
        <f>IFERROR(__xludf.DUMMYFUNCTION("""COMPUTED_VALUE"""),"quest_main_chi_hard_9")</f>
        <v/>
      </c>
      <c r="G183">
        <f>IFERROR(__xludf.DUMMYFUNCTION("""COMPUTED_VALUE"""),"9.チェンソーマン")</f>
        <v/>
      </c>
      <c r="H183">
        <f>IFERROR(__xludf.DUMMYFUNCTION("""COMPUTED_VALUE"""),"03")</f>
        <v/>
      </c>
      <c r="I183">
        <f>IFERROR(__xludf.DUMMYFUNCTION("""COMPUTED_VALUE"""),"hard_chi_00003")</f>
        <v/>
      </c>
      <c r="J183">
        <f>IFERROR(__xludf.DUMMYFUNCTION("""COMPUTED_VALUE"""),"stage_icon_chi_hard_03")</f>
        <v/>
      </c>
    </row>
    <row r="184">
      <c r="A184">
        <f>IFERROR(__xludf.DUMMYFUNCTION("""COMPUTED_VALUE"""),"chi")</f>
        <v/>
      </c>
      <c r="B184">
        <f>IFERROR(__xludf.DUMMYFUNCTION("""COMPUTED_VALUE"""),"チェンソーマン")</f>
        <v/>
      </c>
      <c r="C184">
        <f>IFERROR(__xludf.DUMMYFUNCTION("""COMPUTED_VALUE"""),"hard")</f>
        <v/>
      </c>
      <c r="D184">
        <f>IFERROR(__xludf.DUMMYFUNCTION("""COMPUTED_VALUE"""),"main")</f>
        <v/>
      </c>
      <c r="E184">
        <f>IFERROR(__xludf.DUMMYFUNCTION("""COMPUTED_VALUE"""),"メインクエスト")</f>
        <v/>
      </c>
      <c r="F184">
        <f>IFERROR(__xludf.DUMMYFUNCTION("""COMPUTED_VALUE"""),"quest_main_chi_hard_9")</f>
        <v/>
      </c>
      <c r="G184">
        <f>IFERROR(__xludf.DUMMYFUNCTION("""COMPUTED_VALUE"""),"9.チェンソーマン")</f>
        <v/>
      </c>
      <c r="H184">
        <f>IFERROR(__xludf.DUMMYFUNCTION("""COMPUTED_VALUE"""),"04")</f>
        <v/>
      </c>
      <c r="I184">
        <f>IFERROR(__xludf.DUMMYFUNCTION("""COMPUTED_VALUE"""),"hard_chi_00004")</f>
        <v/>
      </c>
      <c r="J184">
        <f>IFERROR(__xludf.DUMMYFUNCTION("""COMPUTED_VALUE"""),"stage_icon_chi_hard_04")</f>
        <v/>
      </c>
    </row>
    <row r="185">
      <c r="A185">
        <f>IFERROR(__xludf.DUMMYFUNCTION("""COMPUTED_VALUE"""),"chi")</f>
        <v/>
      </c>
      <c r="B185">
        <f>IFERROR(__xludf.DUMMYFUNCTION("""COMPUTED_VALUE"""),"チェンソーマン")</f>
        <v/>
      </c>
      <c r="C185">
        <f>IFERROR(__xludf.DUMMYFUNCTION("""COMPUTED_VALUE"""),"hard")</f>
        <v/>
      </c>
      <c r="D185">
        <f>IFERROR(__xludf.DUMMYFUNCTION("""COMPUTED_VALUE"""),"main")</f>
        <v/>
      </c>
      <c r="E185">
        <f>IFERROR(__xludf.DUMMYFUNCTION("""COMPUTED_VALUE"""),"メインクエスト")</f>
        <v/>
      </c>
      <c r="F185">
        <f>IFERROR(__xludf.DUMMYFUNCTION("""COMPUTED_VALUE"""),"quest_main_chi_hard_9")</f>
        <v/>
      </c>
      <c r="G185">
        <f>IFERROR(__xludf.DUMMYFUNCTION("""COMPUTED_VALUE"""),"9.チェンソーマン")</f>
        <v/>
      </c>
      <c r="H185">
        <f>IFERROR(__xludf.DUMMYFUNCTION("""COMPUTED_VALUE"""),"05")</f>
        <v/>
      </c>
      <c r="I185">
        <f>IFERROR(__xludf.DUMMYFUNCTION("""COMPUTED_VALUE"""),"hard_chi_00005")</f>
        <v/>
      </c>
      <c r="J185">
        <f>IFERROR(__xludf.DUMMYFUNCTION("""COMPUTED_VALUE"""),"stage_icon_chi_hard_05")</f>
        <v/>
      </c>
    </row>
    <row r="186">
      <c r="A186">
        <f>IFERROR(__xludf.DUMMYFUNCTION("""COMPUTED_VALUE"""),"chi")</f>
        <v/>
      </c>
      <c r="B186">
        <f>IFERROR(__xludf.DUMMYFUNCTION("""COMPUTED_VALUE"""),"チェンソーマン")</f>
        <v/>
      </c>
      <c r="C186">
        <f>IFERROR(__xludf.DUMMYFUNCTION("""COMPUTED_VALUE"""),"hard")</f>
        <v/>
      </c>
      <c r="D186">
        <f>IFERROR(__xludf.DUMMYFUNCTION("""COMPUTED_VALUE"""),"main")</f>
        <v/>
      </c>
      <c r="E186">
        <f>IFERROR(__xludf.DUMMYFUNCTION("""COMPUTED_VALUE"""),"メインクエスト")</f>
        <v/>
      </c>
      <c r="F186">
        <f>IFERROR(__xludf.DUMMYFUNCTION("""COMPUTED_VALUE"""),"quest_main_chi_hard_9")</f>
        <v/>
      </c>
      <c r="G186">
        <f>IFERROR(__xludf.DUMMYFUNCTION("""COMPUTED_VALUE"""),"9.チェンソーマン")</f>
        <v/>
      </c>
      <c r="H186">
        <f>IFERROR(__xludf.DUMMYFUNCTION("""COMPUTED_VALUE"""),"06")</f>
        <v/>
      </c>
      <c r="I186">
        <f>IFERROR(__xludf.DUMMYFUNCTION("""COMPUTED_VALUE"""),"hard_chi_00006")</f>
        <v/>
      </c>
      <c r="J186">
        <f>IFERROR(__xludf.DUMMYFUNCTION("""COMPUTED_VALUE"""),"stage_icon_chi_hard_06")</f>
        <v/>
      </c>
    </row>
    <row r="188">
      <c r="A188">
        <f>IFERROR(__xludf.DUMMYFUNCTION("""COMPUTED_VALUE"""),"sur")</f>
        <v/>
      </c>
      <c r="B188">
        <f>IFERROR(__xludf.DUMMYFUNCTION("""COMPUTED_VALUE"""),"魔都精兵のスレイブ")</f>
        <v/>
      </c>
      <c r="C188">
        <f>IFERROR(__xludf.DUMMYFUNCTION("""COMPUTED_VALUE"""),"hard")</f>
        <v/>
      </c>
      <c r="D188">
        <f>IFERROR(__xludf.DUMMYFUNCTION("""COMPUTED_VALUE"""),"main")</f>
        <v/>
      </c>
      <c r="E188">
        <f>IFERROR(__xludf.DUMMYFUNCTION("""COMPUTED_VALUE"""),"メインクエスト")</f>
        <v/>
      </c>
      <c r="F188">
        <f>IFERROR(__xludf.DUMMYFUNCTION("""COMPUTED_VALUE"""),"quest_main_sur_hard_10")</f>
        <v/>
      </c>
      <c r="G188">
        <f>IFERROR(__xludf.DUMMYFUNCTION("""COMPUTED_VALUE"""),"10.魔都精兵のスレイブ")</f>
        <v/>
      </c>
      <c r="H188">
        <f>IFERROR(__xludf.DUMMYFUNCTION("""COMPUTED_VALUE"""),"01")</f>
        <v/>
      </c>
      <c r="I188">
        <f>IFERROR(__xludf.DUMMYFUNCTION("""COMPUTED_VALUE"""),"hard_sur_00001")</f>
        <v/>
      </c>
      <c r="J188">
        <f>IFERROR(__xludf.DUMMYFUNCTION("""COMPUTED_VALUE"""),"stage_icon_sur_hard_01")</f>
        <v/>
      </c>
    </row>
    <row r="189">
      <c r="A189">
        <f>IFERROR(__xludf.DUMMYFUNCTION("""COMPUTED_VALUE"""),"sur")</f>
        <v/>
      </c>
      <c r="B189">
        <f>IFERROR(__xludf.DUMMYFUNCTION("""COMPUTED_VALUE"""),"魔都精兵のスレイブ")</f>
        <v/>
      </c>
      <c r="C189">
        <f>IFERROR(__xludf.DUMMYFUNCTION("""COMPUTED_VALUE"""),"hard")</f>
        <v/>
      </c>
      <c r="D189">
        <f>IFERROR(__xludf.DUMMYFUNCTION("""COMPUTED_VALUE"""),"main")</f>
        <v/>
      </c>
      <c r="E189">
        <f>IFERROR(__xludf.DUMMYFUNCTION("""COMPUTED_VALUE"""),"メインクエスト")</f>
        <v/>
      </c>
      <c r="F189">
        <f>IFERROR(__xludf.DUMMYFUNCTION("""COMPUTED_VALUE"""),"quest_main_sur_hard_10")</f>
        <v/>
      </c>
      <c r="G189">
        <f>IFERROR(__xludf.DUMMYFUNCTION("""COMPUTED_VALUE"""),"10.魔都精兵のスレイブ")</f>
        <v/>
      </c>
      <c r="H189">
        <f>IFERROR(__xludf.DUMMYFUNCTION("""COMPUTED_VALUE"""),"02")</f>
        <v/>
      </c>
      <c r="I189">
        <f>IFERROR(__xludf.DUMMYFUNCTION("""COMPUTED_VALUE"""),"hard_sur_00002")</f>
        <v/>
      </c>
      <c r="J189">
        <f>IFERROR(__xludf.DUMMYFUNCTION("""COMPUTED_VALUE"""),"stage_icon_sur_hard_02")</f>
        <v/>
      </c>
    </row>
    <row r="190">
      <c r="A190">
        <f>IFERROR(__xludf.DUMMYFUNCTION("""COMPUTED_VALUE"""),"sur")</f>
        <v/>
      </c>
      <c r="B190">
        <f>IFERROR(__xludf.DUMMYFUNCTION("""COMPUTED_VALUE"""),"魔都精兵のスレイブ")</f>
        <v/>
      </c>
      <c r="C190">
        <f>IFERROR(__xludf.DUMMYFUNCTION("""COMPUTED_VALUE"""),"hard")</f>
        <v/>
      </c>
      <c r="D190">
        <f>IFERROR(__xludf.DUMMYFUNCTION("""COMPUTED_VALUE"""),"main")</f>
        <v/>
      </c>
      <c r="E190">
        <f>IFERROR(__xludf.DUMMYFUNCTION("""COMPUTED_VALUE"""),"メインクエスト")</f>
        <v/>
      </c>
      <c r="F190">
        <f>IFERROR(__xludf.DUMMYFUNCTION("""COMPUTED_VALUE"""),"quest_main_sur_hard_10")</f>
        <v/>
      </c>
      <c r="G190">
        <f>IFERROR(__xludf.DUMMYFUNCTION("""COMPUTED_VALUE"""),"10.魔都精兵のスレイブ")</f>
        <v/>
      </c>
      <c r="H190">
        <f>IFERROR(__xludf.DUMMYFUNCTION("""COMPUTED_VALUE"""),"03")</f>
        <v/>
      </c>
      <c r="I190">
        <f>IFERROR(__xludf.DUMMYFUNCTION("""COMPUTED_VALUE"""),"hard_sur_00003")</f>
        <v/>
      </c>
      <c r="J190">
        <f>IFERROR(__xludf.DUMMYFUNCTION("""COMPUTED_VALUE"""),"stage_icon_sur_hard_03")</f>
        <v/>
      </c>
    </row>
    <row r="191">
      <c r="A191">
        <f>IFERROR(__xludf.DUMMYFUNCTION("""COMPUTED_VALUE"""),"sur")</f>
        <v/>
      </c>
      <c r="B191">
        <f>IFERROR(__xludf.DUMMYFUNCTION("""COMPUTED_VALUE"""),"魔都精兵のスレイブ")</f>
        <v/>
      </c>
      <c r="C191">
        <f>IFERROR(__xludf.DUMMYFUNCTION("""COMPUTED_VALUE"""),"hard")</f>
        <v/>
      </c>
      <c r="D191">
        <f>IFERROR(__xludf.DUMMYFUNCTION("""COMPUTED_VALUE"""),"main")</f>
        <v/>
      </c>
      <c r="E191">
        <f>IFERROR(__xludf.DUMMYFUNCTION("""COMPUTED_VALUE"""),"メインクエスト")</f>
        <v/>
      </c>
      <c r="F191">
        <f>IFERROR(__xludf.DUMMYFUNCTION("""COMPUTED_VALUE"""),"quest_main_sur_hard_10")</f>
        <v/>
      </c>
      <c r="G191">
        <f>IFERROR(__xludf.DUMMYFUNCTION("""COMPUTED_VALUE"""),"10.魔都精兵のスレイブ")</f>
        <v/>
      </c>
      <c r="H191">
        <f>IFERROR(__xludf.DUMMYFUNCTION("""COMPUTED_VALUE"""),"04")</f>
        <v/>
      </c>
      <c r="I191">
        <f>IFERROR(__xludf.DUMMYFUNCTION("""COMPUTED_VALUE"""),"hard_sur_00004")</f>
        <v/>
      </c>
      <c r="J191">
        <f>IFERROR(__xludf.DUMMYFUNCTION("""COMPUTED_VALUE"""),"stage_icon_sur_hard_04")</f>
        <v/>
      </c>
    </row>
    <row r="192">
      <c r="A192">
        <f>IFERROR(__xludf.DUMMYFUNCTION("""COMPUTED_VALUE"""),"sur")</f>
        <v/>
      </c>
      <c r="B192">
        <f>IFERROR(__xludf.DUMMYFUNCTION("""COMPUTED_VALUE"""),"魔都精兵のスレイブ")</f>
        <v/>
      </c>
      <c r="C192">
        <f>IFERROR(__xludf.DUMMYFUNCTION("""COMPUTED_VALUE"""),"hard")</f>
        <v/>
      </c>
      <c r="D192">
        <f>IFERROR(__xludf.DUMMYFUNCTION("""COMPUTED_VALUE"""),"main")</f>
        <v/>
      </c>
      <c r="E192">
        <f>IFERROR(__xludf.DUMMYFUNCTION("""COMPUTED_VALUE"""),"メインクエスト")</f>
        <v/>
      </c>
      <c r="F192">
        <f>IFERROR(__xludf.DUMMYFUNCTION("""COMPUTED_VALUE"""),"quest_main_sur_hard_10")</f>
        <v/>
      </c>
      <c r="G192">
        <f>IFERROR(__xludf.DUMMYFUNCTION("""COMPUTED_VALUE"""),"10.魔都精兵のスレイブ")</f>
        <v/>
      </c>
      <c r="H192">
        <f>IFERROR(__xludf.DUMMYFUNCTION("""COMPUTED_VALUE"""),"05")</f>
        <v/>
      </c>
      <c r="I192">
        <f>IFERROR(__xludf.DUMMYFUNCTION("""COMPUTED_VALUE"""),"hard_sur_00005")</f>
        <v/>
      </c>
      <c r="J192">
        <f>IFERROR(__xludf.DUMMYFUNCTION("""COMPUTED_VALUE"""),"stage_icon_sur_hard_05")</f>
        <v/>
      </c>
    </row>
    <row r="193">
      <c r="A193">
        <f>IFERROR(__xludf.DUMMYFUNCTION("""COMPUTED_VALUE"""),"sur")</f>
        <v/>
      </c>
      <c r="B193">
        <f>IFERROR(__xludf.DUMMYFUNCTION("""COMPUTED_VALUE"""),"魔都精兵のスレイブ")</f>
        <v/>
      </c>
      <c r="C193">
        <f>IFERROR(__xludf.DUMMYFUNCTION("""COMPUTED_VALUE"""),"hard")</f>
        <v/>
      </c>
      <c r="D193">
        <f>IFERROR(__xludf.DUMMYFUNCTION("""COMPUTED_VALUE"""),"main")</f>
        <v/>
      </c>
      <c r="E193">
        <f>IFERROR(__xludf.DUMMYFUNCTION("""COMPUTED_VALUE"""),"メインクエスト")</f>
        <v/>
      </c>
      <c r="F193">
        <f>IFERROR(__xludf.DUMMYFUNCTION("""COMPUTED_VALUE"""),"quest_main_sur_hard_10")</f>
        <v/>
      </c>
      <c r="G193">
        <f>IFERROR(__xludf.DUMMYFUNCTION("""COMPUTED_VALUE"""),"10.魔都精兵のスレイブ")</f>
        <v/>
      </c>
      <c r="H193">
        <f>IFERROR(__xludf.DUMMYFUNCTION("""COMPUTED_VALUE"""),"06")</f>
        <v/>
      </c>
      <c r="I193">
        <f>IFERROR(__xludf.DUMMYFUNCTION("""COMPUTED_VALUE"""),"hard_sur_00006")</f>
        <v/>
      </c>
      <c r="J193">
        <f>IFERROR(__xludf.DUMMYFUNCTION("""COMPUTED_VALUE"""),"stage_icon_sur_hard_06")</f>
        <v/>
      </c>
    </row>
    <row r="195">
      <c r="A195">
        <f>IFERROR(__xludf.DUMMYFUNCTION("""COMPUTED_VALUE"""),"rik")</f>
        <v/>
      </c>
      <c r="B195">
        <f>IFERROR(__xludf.DUMMYFUNCTION("""COMPUTED_VALUE"""),"トマトイプーのリコピン")</f>
        <v/>
      </c>
      <c r="C195">
        <f>IFERROR(__xludf.DUMMYFUNCTION("""COMPUTED_VALUE"""),"hard")</f>
        <v/>
      </c>
      <c r="D195">
        <f>IFERROR(__xludf.DUMMYFUNCTION("""COMPUTED_VALUE"""),"main")</f>
        <v/>
      </c>
      <c r="E195">
        <f>IFERROR(__xludf.DUMMYFUNCTION("""COMPUTED_VALUE"""),"メインクエスト")</f>
        <v/>
      </c>
      <c r="F195">
        <f>IFERROR(__xludf.DUMMYFUNCTION("""COMPUTED_VALUE"""),"quest_main_rik_hard_11")</f>
        <v/>
      </c>
      <c r="G195">
        <f>IFERROR(__xludf.DUMMYFUNCTION("""COMPUTED_VALUE"""),"11.トマトイプーのリコピン")</f>
        <v/>
      </c>
      <c r="H195">
        <f>IFERROR(__xludf.DUMMYFUNCTION("""COMPUTED_VALUE"""),"01")</f>
        <v/>
      </c>
      <c r="I195">
        <f>IFERROR(__xludf.DUMMYFUNCTION("""COMPUTED_VALUE"""),"hard_rik_00001")</f>
        <v/>
      </c>
      <c r="J195">
        <f>IFERROR(__xludf.DUMMYFUNCTION("""COMPUTED_VALUE"""),"stage_icon_rik_hard_01")</f>
        <v/>
      </c>
    </row>
    <row r="196">
      <c r="A196">
        <f>IFERROR(__xludf.DUMMYFUNCTION("""COMPUTED_VALUE"""),"rik")</f>
        <v/>
      </c>
      <c r="B196">
        <f>IFERROR(__xludf.DUMMYFUNCTION("""COMPUTED_VALUE"""),"トマトイプーのリコピン")</f>
        <v/>
      </c>
      <c r="C196">
        <f>IFERROR(__xludf.DUMMYFUNCTION("""COMPUTED_VALUE"""),"hard")</f>
        <v/>
      </c>
      <c r="D196">
        <f>IFERROR(__xludf.DUMMYFUNCTION("""COMPUTED_VALUE"""),"main")</f>
        <v/>
      </c>
      <c r="E196">
        <f>IFERROR(__xludf.DUMMYFUNCTION("""COMPUTED_VALUE"""),"メインクエスト")</f>
        <v/>
      </c>
      <c r="F196">
        <f>IFERROR(__xludf.DUMMYFUNCTION("""COMPUTED_VALUE"""),"quest_main_rik_hard_11")</f>
        <v/>
      </c>
      <c r="G196">
        <f>IFERROR(__xludf.DUMMYFUNCTION("""COMPUTED_VALUE"""),"11.トマトイプーのリコピン")</f>
        <v/>
      </c>
      <c r="H196">
        <f>IFERROR(__xludf.DUMMYFUNCTION("""COMPUTED_VALUE"""),"02")</f>
        <v/>
      </c>
      <c r="I196">
        <f>IFERROR(__xludf.DUMMYFUNCTION("""COMPUTED_VALUE"""),"hard_rik_00002")</f>
        <v/>
      </c>
      <c r="J196">
        <f>IFERROR(__xludf.DUMMYFUNCTION("""COMPUTED_VALUE"""),"stage_icon_rik_hard_02")</f>
        <v/>
      </c>
    </row>
    <row r="197">
      <c r="A197">
        <f>IFERROR(__xludf.DUMMYFUNCTION("""COMPUTED_VALUE"""),"rik")</f>
        <v/>
      </c>
      <c r="B197">
        <f>IFERROR(__xludf.DUMMYFUNCTION("""COMPUTED_VALUE"""),"トマトイプーのリコピン")</f>
        <v/>
      </c>
      <c r="C197">
        <f>IFERROR(__xludf.DUMMYFUNCTION("""COMPUTED_VALUE"""),"hard")</f>
        <v/>
      </c>
      <c r="D197">
        <f>IFERROR(__xludf.DUMMYFUNCTION("""COMPUTED_VALUE"""),"main")</f>
        <v/>
      </c>
      <c r="E197">
        <f>IFERROR(__xludf.DUMMYFUNCTION("""COMPUTED_VALUE"""),"メインクエスト")</f>
        <v/>
      </c>
      <c r="F197">
        <f>IFERROR(__xludf.DUMMYFUNCTION("""COMPUTED_VALUE"""),"quest_main_rik_hard_11")</f>
        <v/>
      </c>
      <c r="G197">
        <f>IFERROR(__xludf.DUMMYFUNCTION("""COMPUTED_VALUE"""),"11.トマトイプーのリコピン")</f>
        <v/>
      </c>
      <c r="H197">
        <f>IFERROR(__xludf.DUMMYFUNCTION("""COMPUTED_VALUE"""),"03")</f>
        <v/>
      </c>
      <c r="I197">
        <f>IFERROR(__xludf.DUMMYFUNCTION("""COMPUTED_VALUE"""),"hard_rik_00003")</f>
        <v/>
      </c>
      <c r="J197">
        <f>IFERROR(__xludf.DUMMYFUNCTION("""COMPUTED_VALUE"""),"stage_icon_rik_hard_03")</f>
        <v/>
      </c>
    </row>
    <row r="199">
      <c r="A199">
        <f>IFERROR(__xludf.DUMMYFUNCTION("""COMPUTED_VALUE"""),"glo3")</f>
        <v/>
      </c>
      <c r="B199">
        <f>IFERROR(__xludf.DUMMYFUNCTION("""COMPUTED_VALUE"""),"GLOW")</f>
        <v/>
      </c>
      <c r="C199">
        <f>IFERROR(__xludf.DUMMYFUNCTION("""COMPUTED_VALUE"""),"hard")</f>
        <v/>
      </c>
      <c r="D199">
        <f>IFERROR(__xludf.DUMMYFUNCTION("""COMPUTED_VALUE"""),"main")</f>
        <v/>
      </c>
      <c r="E199">
        <f>IFERROR(__xludf.DUMMYFUNCTION("""COMPUTED_VALUE"""),"メインクエスト")</f>
        <v/>
      </c>
      <c r="F199">
        <f>IFERROR(__xludf.DUMMYFUNCTION("""COMPUTED_VALUE"""),"quest_main_glo3_hard_12")</f>
        <v/>
      </c>
      <c r="G199">
        <f>IFERROR(__xludf.DUMMYFUNCTION("""COMPUTED_VALUE"""),"12.リミックスクエスト Vol.3")</f>
        <v/>
      </c>
      <c r="H199">
        <f>IFERROR(__xludf.DUMMYFUNCTION("""COMPUTED_VALUE"""),"01")</f>
        <v/>
      </c>
      <c r="I199">
        <f>IFERROR(__xludf.DUMMYFUNCTION("""COMPUTED_VALUE"""),"hard_glo3_00001")</f>
        <v/>
      </c>
      <c r="J199">
        <f>IFERROR(__xludf.DUMMYFUNCTION("""COMPUTED_VALUE"""),"stage_icon_glo3_hard_01")</f>
        <v/>
      </c>
    </row>
    <row r="200">
      <c r="A200">
        <f>IFERROR(__xludf.DUMMYFUNCTION("""COMPUTED_VALUE"""),"glo3")</f>
        <v/>
      </c>
      <c r="B200">
        <f>IFERROR(__xludf.DUMMYFUNCTION("""COMPUTED_VALUE"""),"GLOW")</f>
        <v/>
      </c>
      <c r="C200">
        <f>IFERROR(__xludf.DUMMYFUNCTION("""COMPUTED_VALUE"""),"hard")</f>
        <v/>
      </c>
      <c r="D200">
        <f>IFERROR(__xludf.DUMMYFUNCTION("""COMPUTED_VALUE"""),"main")</f>
        <v/>
      </c>
      <c r="E200">
        <f>IFERROR(__xludf.DUMMYFUNCTION("""COMPUTED_VALUE"""),"メインクエスト")</f>
        <v/>
      </c>
      <c r="F200">
        <f>IFERROR(__xludf.DUMMYFUNCTION("""COMPUTED_VALUE"""),"quest_main_glo3_hard_12")</f>
        <v/>
      </c>
      <c r="G200">
        <f>IFERROR(__xludf.DUMMYFUNCTION("""COMPUTED_VALUE"""),"12.リミックスクエスト Vol.3")</f>
        <v/>
      </c>
      <c r="H200">
        <f>IFERROR(__xludf.DUMMYFUNCTION("""COMPUTED_VALUE"""),"02")</f>
        <v/>
      </c>
      <c r="I200">
        <f>IFERROR(__xludf.DUMMYFUNCTION("""COMPUTED_VALUE"""),"hard_glo3_00002")</f>
        <v/>
      </c>
      <c r="J200">
        <f>IFERROR(__xludf.DUMMYFUNCTION("""COMPUTED_VALUE"""),"stage_icon_glo3_hard_02")</f>
        <v/>
      </c>
    </row>
    <row r="201">
      <c r="A201">
        <f>IFERROR(__xludf.DUMMYFUNCTION("""COMPUTED_VALUE"""),"glo3")</f>
        <v/>
      </c>
      <c r="B201">
        <f>IFERROR(__xludf.DUMMYFUNCTION("""COMPUTED_VALUE"""),"GLOW")</f>
        <v/>
      </c>
      <c r="C201">
        <f>IFERROR(__xludf.DUMMYFUNCTION("""COMPUTED_VALUE"""),"hard")</f>
        <v/>
      </c>
      <c r="D201">
        <f>IFERROR(__xludf.DUMMYFUNCTION("""COMPUTED_VALUE"""),"main")</f>
        <v/>
      </c>
      <c r="E201">
        <f>IFERROR(__xludf.DUMMYFUNCTION("""COMPUTED_VALUE"""),"メインクエスト")</f>
        <v/>
      </c>
      <c r="F201">
        <f>IFERROR(__xludf.DUMMYFUNCTION("""COMPUTED_VALUE"""),"quest_main_glo3_hard_12")</f>
        <v/>
      </c>
      <c r="G201">
        <f>IFERROR(__xludf.DUMMYFUNCTION("""COMPUTED_VALUE"""),"12.リミックスクエスト Vol.3")</f>
        <v/>
      </c>
      <c r="H201">
        <f>IFERROR(__xludf.DUMMYFUNCTION("""COMPUTED_VALUE"""),"03")</f>
        <v/>
      </c>
      <c r="I201">
        <f>IFERROR(__xludf.DUMMYFUNCTION("""COMPUTED_VALUE"""),"hard_glo3_00003")</f>
        <v/>
      </c>
      <c r="J201">
        <f>IFERROR(__xludf.DUMMYFUNCTION("""COMPUTED_VALUE"""),"stage_icon_glo3_hard_03")</f>
        <v/>
      </c>
    </row>
    <row r="202">
      <c r="A202">
        <f>IFERROR(__xludf.DUMMYFUNCTION("""COMPUTED_VALUE"""),"glo3")</f>
        <v/>
      </c>
      <c r="B202">
        <f>IFERROR(__xludf.DUMMYFUNCTION("""COMPUTED_VALUE"""),"GLOW")</f>
        <v/>
      </c>
      <c r="C202">
        <f>IFERROR(__xludf.DUMMYFUNCTION("""COMPUTED_VALUE"""),"hard")</f>
        <v/>
      </c>
      <c r="D202">
        <f>IFERROR(__xludf.DUMMYFUNCTION("""COMPUTED_VALUE"""),"main")</f>
        <v/>
      </c>
      <c r="E202">
        <f>IFERROR(__xludf.DUMMYFUNCTION("""COMPUTED_VALUE"""),"メインクエスト")</f>
        <v/>
      </c>
      <c r="F202">
        <f>IFERROR(__xludf.DUMMYFUNCTION("""COMPUTED_VALUE"""),"quest_main_glo3_hard_12")</f>
        <v/>
      </c>
      <c r="G202">
        <f>IFERROR(__xludf.DUMMYFUNCTION("""COMPUTED_VALUE"""),"12.リミックスクエスト Vol.3")</f>
        <v/>
      </c>
      <c r="H202">
        <f>IFERROR(__xludf.DUMMYFUNCTION("""COMPUTED_VALUE"""),"04")</f>
        <v/>
      </c>
      <c r="I202">
        <f>IFERROR(__xludf.DUMMYFUNCTION("""COMPUTED_VALUE"""),"hard_glo3_00004")</f>
        <v/>
      </c>
      <c r="J202">
        <f>IFERROR(__xludf.DUMMYFUNCTION("""COMPUTED_VALUE"""),"stage_icon_glo3_hard_04")</f>
        <v/>
      </c>
    </row>
    <row r="203">
      <c r="A203">
        <f>IFERROR(__xludf.DUMMYFUNCTION("""COMPUTED_VALUE"""),"glo3")</f>
        <v/>
      </c>
      <c r="B203">
        <f>IFERROR(__xludf.DUMMYFUNCTION("""COMPUTED_VALUE"""),"GLOW")</f>
        <v/>
      </c>
      <c r="C203">
        <f>IFERROR(__xludf.DUMMYFUNCTION("""COMPUTED_VALUE"""),"hard")</f>
        <v/>
      </c>
      <c r="D203">
        <f>IFERROR(__xludf.DUMMYFUNCTION("""COMPUTED_VALUE"""),"main")</f>
        <v/>
      </c>
      <c r="E203">
        <f>IFERROR(__xludf.DUMMYFUNCTION("""COMPUTED_VALUE"""),"メインクエスト")</f>
        <v/>
      </c>
      <c r="F203">
        <f>IFERROR(__xludf.DUMMYFUNCTION("""COMPUTED_VALUE"""),"quest_main_glo3_hard_12")</f>
        <v/>
      </c>
      <c r="G203">
        <f>IFERROR(__xludf.DUMMYFUNCTION("""COMPUTED_VALUE"""),"12.リミックスクエスト Vol.3")</f>
        <v/>
      </c>
      <c r="H203">
        <f>IFERROR(__xludf.DUMMYFUNCTION("""COMPUTED_VALUE"""),"05")</f>
        <v/>
      </c>
      <c r="I203">
        <f>IFERROR(__xludf.DUMMYFUNCTION("""COMPUTED_VALUE"""),"hard_glo3_00005")</f>
        <v/>
      </c>
      <c r="J203">
        <f>IFERROR(__xludf.DUMMYFUNCTION("""COMPUTED_VALUE"""),"stage_icon_glo3_hard_05")</f>
        <v/>
      </c>
    </row>
    <row r="204">
      <c r="A204">
        <f>IFERROR(__xludf.DUMMYFUNCTION("""COMPUTED_VALUE"""),"glo3")</f>
        <v/>
      </c>
      <c r="B204">
        <f>IFERROR(__xludf.DUMMYFUNCTION("""COMPUTED_VALUE"""),"GLOW")</f>
        <v/>
      </c>
      <c r="C204">
        <f>IFERROR(__xludf.DUMMYFUNCTION("""COMPUTED_VALUE"""),"hard")</f>
        <v/>
      </c>
      <c r="D204">
        <f>IFERROR(__xludf.DUMMYFUNCTION("""COMPUTED_VALUE"""),"main")</f>
        <v/>
      </c>
      <c r="E204">
        <f>IFERROR(__xludf.DUMMYFUNCTION("""COMPUTED_VALUE"""),"メインクエスト")</f>
        <v/>
      </c>
      <c r="F204">
        <f>IFERROR(__xludf.DUMMYFUNCTION("""COMPUTED_VALUE"""),"quest_main_glo3_hard_12")</f>
        <v/>
      </c>
      <c r="G204">
        <f>IFERROR(__xludf.DUMMYFUNCTION("""COMPUTED_VALUE"""),"12.リミックスクエスト Vol.3")</f>
        <v/>
      </c>
      <c r="H204">
        <f>IFERROR(__xludf.DUMMYFUNCTION("""COMPUTED_VALUE"""),"06")</f>
        <v/>
      </c>
      <c r="I204">
        <f>IFERROR(__xludf.DUMMYFUNCTION("""COMPUTED_VALUE"""),"hard_glo3_00006")</f>
        <v/>
      </c>
      <c r="J204">
        <f>IFERROR(__xludf.DUMMYFUNCTION("""COMPUTED_VALUE"""),"stage_icon_glo3_hard_06")</f>
        <v/>
      </c>
    </row>
    <row r="206">
      <c r="A206">
        <f>IFERROR(__xludf.DUMMYFUNCTION("""COMPUTED_VALUE"""),"mag")</f>
        <v/>
      </c>
      <c r="B206">
        <f>IFERROR(__xludf.DUMMYFUNCTION("""COMPUTED_VALUE"""),"株式会社マジルミエ")</f>
        <v/>
      </c>
      <c r="C206">
        <f>IFERROR(__xludf.DUMMYFUNCTION("""COMPUTED_VALUE"""),"hard")</f>
        <v/>
      </c>
      <c r="D206">
        <f>IFERROR(__xludf.DUMMYFUNCTION("""COMPUTED_VALUE"""),"main")</f>
        <v/>
      </c>
      <c r="E206">
        <f>IFERROR(__xludf.DUMMYFUNCTION("""COMPUTED_VALUE"""),"メインクエスト")</f>
        <v/>
      </c>
      <c r="F206">
        <f>IFERROR(__xludf.DUMMYFUNCTION("""COMPUTED_VALUE"""),"quest_main_mag_hard_13")</f>
        <v/>
      </c>
      <c r="G206">
        <f>IFERROR(__xludf.DUMMYFUNCTION("""COMPUTED_VALUE"""),"13.株式会社マジルミエ")</f>
        <v/>
      </c>
      <c r="H206">
        <f>IFERROR(__xludf.DUMMYFUNCTION("""COMPUTED_VALUE"""),"01")</f>
        <v/>
      </c>
      <c r="I206">
        <f>IFERROR(__xludf.DUMMYFUNCTION("""COMPUTED_VALUE"""),"hard_mag_00001")</f>
        <v/>
      </c>
      <c r="J206">
        <f>IFERROR(__xludf.DUMMYFUNCTION("""COMPUTED_VALUE"""),"stage_icon_mag_hard_01")</f>
        <v/>
      </c>
    </row>
    <row r="207">
      <c r="A207">
        <f>IFERROR(__xludf.DUMMYFUNCTION("""COMPUTED_VALUE"""),"mag")</f>
        <v/>
      </c>
      <c r="B207">
        <f>IFERROR(__xludf.DUMMYFUNCTION("""COMPUTED_VALUE"""),"株式会社マジルミエ")</f>
        <v/>
      </c>
      <c r="C207">
        <f>IFERROR(__xludf.DUMMYFUNCTION("""COMPUTED_VALUE"""),"hard")</f>
        <v/>
      </c>
      <c r="D207">
        <f>IFERROR(__xludf.DUMMYFUNCTION("""COMPUTED_VALUE"""),"main")</f>
        <v/>
      </c>
      <c r="E207">
        <f>IFERROR(__xludf.DUMMYFUNCTION("""COMPUTED_VALUE"""),"メインクエスト")</f>
        <v/>
      </c>
      <c r="F207">
        <f>IFERROR(__xludf.DUMMYFUNCTION("""COMPUTED_VALUE"""),"quest_main_mag_hard_13")</f>
        <v/>
      </c>
      <c r="G207">
        <f>IFERROR(__xludf.DUMMYFUNCTION("""COMPUTED_VALUE"""),"13.株式会社マジルミエ")</f>
        <v/>
      </c>
      <c r="H207">
        <f>IFERROR(__xludf.DUMMYFUNCTION("""COMPUTED_VALUE"""),"02")</f>
        <v/>
      </c>
      <c r="I207">
        <f>IFERROR(__xludf.DUMMYFUNCTION("""COMPUTED_VALUE"""),"hard_mag_00002")</f>
        <v/>
      </c>
      <c r="J207">
        <f>IFERROR(__xludf.DUMMYFUNCTION("""COMPUTED_VALUE"""),"stage_icon_mag_hard_02")</f>
        <v/>
      </c>
    </row>
    <row r="208">
      <c r="A208">
        <f>IFERROR(__xludf.DUMMYFUNCTION("""COMPUTED_VALUE"""),"mag")</f>
        <v/>
      </c>
      <c r="B208">
        <f>IFERROR(__xludf.DUMMYFUNCTION("""COMPUTED_VALUE"""),"株式会社マジルミエ")</f>
        <v/>
      </c>
      <c r="C208">
        <f>IFERROR(__xludf.DUMMYFUNCTION("""COMPUTED_VALUE"""),"hard")</f>
        <v/>
      </c>
      <c r="D208">
        <f>IFERROR(__xludf.DUMMYFUNCTION("""COMPUTED_VALUE"""),"main")</f>
        <v/>
      </c>
      <c r="E208">
        <f>IFERROR(__xludf.DUMMYFUNCTION("""COMPUTED_VALUE"""),"メインクエスト")</f>
        <v/>
      </c>
      <c r="F208">
        <f>IFERROR(__xludf.DUMMYFUNCTION("""COMPUTED_VALUE"""),"quest_main_mag_hard_13")</f>
        <v/>
      </c>
      <c r="G208">
        <f>IFERROR(__xludf.DUMMYFUNCTION("""COMPUTED_VALUE"""),"13.株式会社マジルミエ")</f>
        <v/>
      </c>
      <c r="H208">
        <f>IFERROR(__xludf.DUMMYFUNCTION("""COMPUTED_VALUE"""),"03")</f>
        <v/>
      </c>
      <c r="I208">
        <f>IFERROR(__xludf.DUMMYFUNCTION("""COMPUTED_VALUE"""),"hard_mag_00003")</f>
        <v/>
      </c>
      <c r="J208">
        <f>IFERROR(__xludf.DUMMYFUNCTION("""COMPUTED_VALUE"""),"stage_icon_mag_hard_03")</f>
        <v/>
      </c>
    </row>
    <row r="209">
      <c r="A209">
        <f>IFERROR(__xludf.DUMMYFUNCTION("""COMPUTED_VALUE"""),"mag")</f>
        <v/>
      </c>
      <c r="B209">
        <f>IFERROR(__xludf.DUMMYFUNCTION("""COMPUTED_VALUE"""),"株式会社マジルミエ")</f>
        <v/>
      </c>
      <c r="C209">
        <f>IFERROR(__xludf.DUMMYFUNCTION("""COMPUTED_VALUE"""),"hard")</f>
        <v/>
      </c>
      <c r="D209">
        <f>IFERROR(__xludf.DUMMYFUNCTION("""COMPUTED_VALUE"""),"main")</f>
        <v/>
      </c>
      <c r="E209">
        <f>IFERROR(__xludf.DUMMYFUNCTION("""COMPUTED_VALUE"""),"メインクエスト")</f>
        <v/>
      </c>
      <c r="F209">
        <f>IFERROR(__xludf.DUMMYFUNCTION("""COMPUTED_VALUE"""),"quest_main_mag_hard_13")</f>
        <v/>
      </c>
      <c r="G209">
        <f>IFERROR(__xludf.DUMMYFUNCTION("""COMPUTED_VALUE"""),"13.株式会社マジルミエ")</f>
        <v/>
      </c>
      <c r="H209">
        <f>IFERROR(__xludf.DUMMYFUNCTION("""COMPUTED_VALUE"""),"04")</f>
        <v/>
      </c>
      <c r="I209">
        <f>IFERROR(__xludf.DUMMYFUNCTION("""COMPUTED_VALUE"""),"hard_mag_00004")</f>
        <v/>
      </c>
      <c r="J209">
        <f>IFERROR(__xludf.DUMMYFUNCTION("""COMPUTED_VALUE"""),"stage_icon_mag_hard_04")</f>
        <v/>
      </c>
    </row>
    <row r="210">
      <c r="A210">
        <f>IFERROR(__xludf.DUMMYFUNCTION("""COMPUTED_VALUE"""),"mag")</f>
        <v/>
      </c>
      <c r="B210">
        <f>IFERROR(__xludf.DUMMYFUNCTION("""COMPUTED_VALUE"""),"株式会社マジルミエ")</f>
        <v/>
      </c>
      <c r="C210">
        <f>IFERROR(__xludf.DUMMYFUNCTION("""COMPUTED_VALUE"""),"hard")</f>
        <v/>
      </c>
      <c r="D210">
        <f>IFERROR(__xludf.DUMMYFUNCTION("""COMPUTED_VALUE"""),"main")</f>
        <v/>
      </c>
      <c r="E210">
        <f>IFERROR(__xludf.DUMMYFUNCTION("""COMPUTED_VALUE"""),"メインクエスト")</f>
        <v/>
      </c>
      <c r="F210">
        <f>IFERROR(__xludf.DUMMYFUNCTION("""COMPUTED_VALUE"""),"quest_main_mag_hard_13")</f>
        <v/>
      </c>
      <c r="G210">
        <f>IFERROR(__xludf.DUMMYFUNCTION("""COMPUTED_VALUE"""),"13.株式会社マジルミエ")</f>
        <v/>
      </c>
      <c r="H210">
        <f>IFERROR(__xludf.DUMMYFUNCTION("""COMPUTED_VALUE"""),"05")</f>
        <v/>
      </c>
      <c r="I210">
        <f>IFERROR(__xludf.DUMMYFUNCTION("""COMPUTED_VALUE"""),"hard_mag_00005")</f>
        <v/>
      </c>
      <c r="J210">
        <f>IFERROR(__xludf.DUMMYFUNCTION("""COMPUTED_VALUE"""),"stage_icon_mag_hard_05")</f>
        <v/>
      </c>
    </row>
    <row r="211">
      <c r="A211">
        <f>IFERROR(__xludf.DUMMYFUNCTION("""COMPUTED_VALUE"""),"mag")</f>
        <v/>
      </c>
      <c r="B211">
        <f>IFERROR(__xludf.DUMMYFUNCTION("""COMPUTED_VALUE"""),"株式会社マジルミエ")</f>
        <v/>
      </c>
      <c r="C211">
        <f>IFERROR(__xludf.DUMMYFUNCTION("""COMPUTED_VALUE"""),"hard")</f>
        <v/>
      </c>
      <c r="D211">
        <f>IFERROR(__xludf.DUMMYFUNCTION("""COMPUTED_VALUE"""),"main")</f>
        <v/>
      </c>
      <c r="E211">
        <f>IFERROR(__xludf.DUMMYFUNCTION("""COMPUTED_VALUE"""),"メインクエスト")</f>
        <v/>
      </c>
      <c r="F211">
        <f>IFERROR(__xludf.DUMMYFUNCTION("""COMPUTED_VALUE"""),"quest_main_mag_hard_13")</f>
        <v/>
      </c>
      <c r="G211">
        <f>IFERROR(__xludf.DUMMYFUNCTION("""COMPUTED_VALUE"""),"13.株式会社マジルミエ")</f>
        <v/>
      </c>
      <c r="H211">
        <f>IFERROR(__xludf.DUMMYFUNCTION("""COMPUTED_VALUE"""),"06")</f>
        <v/>
      </c>
      <c r="I211">
        <f>IFERROR(__xludf.DUMMYFUNCTION("""COMPUTED_VALUE"""),"hard_mag_00006")</f>
        <v/>
      </c>
      <c r="J211">
        <f>IFERROR(__xludf.DUMMYFUNCTION("""COMPUTED_VALUE"""),"stage_icon_mag_hard_06")</f>
        <v/>
      </c>
    </row>
    <row r="213">
      <c r="A213">
        <f>IFERROR(__xludf.DUMMYFUNCTION("""COMPUTED_VALUE"""),"sum")</f>
        <v/>
      </c>
      <c r="B213">
        <f>IFERROR(__xludf.DUMMYFUNCTION("""COMPUTED_VALUE"""),"サマータイムレンダ")</f>
        <v/>
      </c>
      <c r="C213">
        <f>IFERROR(__xludf.DUMMYFUNCTION("""COMPUTED_VALUE"""),"hard")</f>
        <v/>
      </c>
      <c r="D213">
        <f>IFERROR(__xludf.DUMMYFUNCTION("""COMPUTED_VALUE"""),"main")</f>
        <v/>
      </c>
      <c r="E213">
        <f>IFERROR(__xludf.DUMMYFUNCTION("""COMPUTED_VALUE"""),"メインクエスト")</f>
        <v/>
      </c>
      <c r="F213">
        <f>IFERROR(__xludf.DUMMYFUNCTION("""COMPUTED_VALUE"""),"quest_main_sum_hard_14")</f>
        <v/>
      </c>
      <c r="G213">
        <f>IFERROR(__xludf.DUMMYFUNCTION("""COMPUTED_VALUE"""),"14.サマータイムレンダ")</f>
        <v/>
      </c>
      <c r="H213">
        <f>IFERROR(__xludf.DUMMYFUNCTION("""COMPUTED_VALUE"""),"01")</f>
        <v/>
      </c>
      <c r="I213">
        <f>IFERROR(__xludf.DUMMYFUNCTION("""COMPUTED_VALUE"""),"hard_sum_00001")</f>
        <v/>
      </c>
      <c r="J213">
        <f>IFERROR(__xludf.DUMMYFUNCTION("""COMPUTED_VALUE"""),"stage_icon_sum_hard_01")</f>
        <v/>
      </c>
    </row>
    <row r="214">
      <c r="A214">
        <f>IFERROR(__xludf.DUMMYFUNCTION("""COMPUTED_VALUE"""),"sum")</f>
        <v/>
      </c>
      <c r="B214">
        <f>IFERROR(__xludf.DUMMYFUNCTION("""COMPUTED_VALUE"""),"サマータイムレンダ")</f>
        <v/>
      </c>
      <c r="C214">
        <f>IFERROR(__xludf.DUMMYFUNCTION("""COMPUTED_VALUE"""),"hard")</f>
        <v/>
      </c>
      <c r="D214">
        <f>IFERROR(__xludf.DUMMYFUNCTION("""COMPUTED_VALUE"""),"main")</f>
        <v/>
      </c>
      <c r="E214">
        <f>IFERROR(__xludf.DUMMYFUNCTION("""COMPUTED_VALUE"""),"メインクエスト")</f>
        <v/>
      </c>
      <c r="F214">
        <f>IFERROR(__xludf.DUMMYFUNCTION("""COMPUTED_VALUE"""),"quest_main_sum_hard_14")</f>
        <v/>
      </c>
      <c r="G214">
        <f>IFERROR(__xludf.DUMMYFUNCTION("""COMPUTED_VALUE"""),"14.サマータイムレンダ")</f>
        <v/>
      </c>
      <c r="H214">
        <f>IFERROR(__xludf.DUMMYFUNCTION("""COMPUTED_VALUE"""),"02")</f>
        <v/>
      </c>
      <c r="I214">
        <f>IFERROR(__xludf.DUMMYFUNCTION("""COMPUTED_VALUE"""),"hard_sum_00002")</f>
        <v/>
      </c>
      <c r="J214">
        <f>IFERROR(__xludf.DUMMYFUNCTION("""COMPUTED_VALUE"""),"stage_icon_sum_hard_02")</f>
        <v/>
      </c>
    </row>
    <row r="215">
      <c r="A215">
        <f>IFERROR(__xludf.DUMMYFUNCTION("""COMPUTED_VALUE"""),"sum")</f>
        <v/>
      </c>
      <c r="B215">
        <f>IFERROR(__xludf.DUMMYFUNCTION("""COMPUTED_VALUE"""),"サマータイムレンダ")</f>
        <v/>
      </c>
      <c r="C215">
        <f>IFERROR(__xludf.DUMMYFUNCTION("""COMPUTED_VALUE"""),"hard")</f>
        <v/>
      </c>
      <c r="D215">
        <f>IFERROR(__xludf.DUMMYFUNCTION("""COMPUTED_VALUE"""),"main")</f>
        <v/>
      </c>
      <c r="E215">
        <f>IFERROR(__xludf.DUMMYFUNCTION("""COMPUTED_VALUE"""),"メインクエスト")</f>
        <v/>
      </c>
      <c r="F215">
        <f>IFERROR(__xludf.DUMMYFUNCTION("""COMPUTED_VALUE"""),"quest_main_sum_hard_14")</f>
        <v/>
      </c>
      <c r="G215">
        <f>IFERROR(__xludf.DUMMYFUNCTION("""COMPUTED_VALUE"""),"14.サマータイムレンダ")</f>
        <v/>
      </c>
      <c r="H215">
        <f>IFERROR(__xludf.DUMMYFUNCTION("""COMPUTED_VALUE"""),"03")</f>
        <v/>
      </c>
      <c r="I215">
        <f>IFERROR(__xludf.DUMMYFUNCTION("""COMPUTED_VALUE"""),"hard_sum_00003")</f>
        <v/>
      </c>
      <c r="J215">
        <f>IFERROR(__xludf.DUMMYFUNCTION("""COMPUTED_VALUE"""),"stage_icon_sum_hard_03")</f>
        <v/>
      </c>
    </row>
    <row r="216">
      <c r="A216">
        <f>IFERROR(__xludf.DUMMYFUNCTION("""COMPUTED_VALUE"""),"sum")</f>
        <v/>
      </c>
      <c r="B216">
        <f>IFERROR(__xludf.DUMMYFUNCTION("""COMPUTED_VALUE"""),"サマータイムレンダ")</f>
        <v/>
      </c>
      <c r="C216">
        <f>IFERROR(__xludf.DUMMYFUNCTION("""COMPUTED_VALUE"""),"hard")</f>
        <v/>
      </c>
      <c r="D216">
        <f>IFERROR(__xludf.DUMMYFUNCTION("""COMPUTED_VALUE"""),"main")</f>
        <v/>
      </c>
      <c r="E216">
        <f>IFERROR(__xludf.DUMMYFUNCTION("""COMPUTED_VALUE"""),"メインクエスト")</f>
        <v/>
      </c>
      <c r="F216">
        <f>IFERROR(__xludf.DUMMYFUNCTION("""COMPUTED_VALUE"""),"quest_main_sum_hard_14")</f>
        <v/>
      </c>
      <c r="G216">
        <f>IFERROR(__xludf.DUMMYFUNCTION("""COMPUTED_VALUE"""),"14.サマータイムレンダ")</f>
        <v/>
      </c>
      <c r="H216">
        <f>IFERROR(__xludf.DUMMYFUNCTION("""COMPUTED_VALUE"""),"04")</f>
        <v/>
      </c>
      <c r="I216">
        <f>IFERROR(__xludf.DUMMYFUNCTION("""COMPUTED_VALUE"""),"hard_sum_00004")</f>
        <v/>
      </c>
      <c r="J216">
        <f>IFERROR(__xludf.DUMMYFUNCTION("""COMPUTED_VALUE"""),"stage_icon_sum_hard_04")</f>
        <v/>
      </c>
    </row>
    <row r="217">
      <c r="A217">
        <f>IFERROR(__xludf.DUMMYFUNCTION("""COMPUTED_VALUE"""),"sum")</f>
        <v/>
      </c>
      <c r="B217">
        <f>IFERROR(__xludf.DUMMYFUNCTION("""COMPUTED_VALUE"""),"サマータイムレンダ")</f>
        <v/>
      </c>
      <c r="C217">
        <f>IFERROR(__xludf.DUMMYFUNCTION("""COMPUTED_VALUE"""),"hard")</f>
        <v/>
      </c>
      <c r="D217">
        <f>IFERROR(__xludf.DUMMYFUNCTION("""COMPUTED_VALUE"""),"main")</f>
        <v/>
      </c>
      <c r="E217">
        <f>IFERROR(__xludf.DUMMYFUNCTION("""COMPUTED_VALUE"""),"メインクエスト")</f>
        <v/>
      </c>
      <c r="F217">
        <f>IFERROR(__xludf.DUMMYFUNCTION("""COMPUTED_VALUE"""),"quest_main_sum_hard_14")</f>
        <v/>
      </c>
      <c r="G217">
        <f>IFERROR(__xludf.DUMMYFUNCTION("""COMPUTED_VALUE"""),"14.サマータイムレンダ")</f>
        <v/>
      </c>
      <c r="H217">
        <f>IFERROR(__xludf.DUMMYFUNCTION("""COMPUTED_VALUE"""),"05")</f>
        <v/>
      </c>
      <c r="I217">
        <f>IFERROR(__xludf.DUMMYFUNCTION("""COMPUTED_VALUE"""),"hard_sum_00005")</f>
        <v/>
      </c>
      <c r="J217">
        <f>IFERROR(__xludf.DUMMYFUNCTION("""COMPUTED_VALUE"""),"stage_icon_sum_hard_05")</f>
        <v/>
      </c>
    </row>
    <row r="218">
      <c r="A218">
        <f>IFERROR(__xludf.DUMMYFUNCTION("""COMPUTED_VALUE"""),"sum")</f>
        <v/>
      </c>
      <c r="B218">
        <f>IFERROR(__xludf.DUMMYFUNCTION("""COMPUTED_VALUE"""),"サマータイムレンダ")</f>
        <v/>
      </c>
      <c r="C218">
        <f>IFERROR(__xludf.DUMMYFUNCTION("""COMPUTED_VALUE"""),"hard")</f>
        <v/>
      </c>
      <c r="D218">
        <f>IFERROR(__xludf.DUMMYFUNCTION("""COMPUTED_VALUE"""),"main")</f>
        <v/>
      </c>
      <c r="E218">
        <f>IFERROR(__xludf.DUMMYFUNCTION("""COMPUTED_VALUE"""),"メインクエスト")</f>
        <v/>
      </c>
      <c r="F218">
        <f>IFERROR(__xludf.DUMMYFUNCTION("""COMPUTED_VALUE"""),"quest_main_sum_hard_14")</f>
        <v/>
      </c>
      <c r="G218">
        <f>IFERROR(__xludf.DUMMYFUNCTION("""COMPUTED_VALUE"""),"14.サマータイムレンダ")</f>
        <v/>
      </c>
      <c r="H218">
        <f>IFERROR(__xludf.DUMMYFUNCTION("""COMPUTED_VALUE"""),"06")</f>
        <v/>
      </c>
      <c r="I218">
        <f>IFERROR(__xludf.DUMMYFUNCTION("""COMPUTED_VALUE"""),"hard_sum_00006")</f>
        <v/>
      </c>
      <c r="J218">
        <f>IFERROR(__xludf.DUMMYFUNCTION("""COMPUTED_VALUE"""),"stage_icon_sum_hard_06")</f>
        <v/>
      </c>
    </row>
    <row r="220">
      <c r="A220">
        <f>IFERROR(__xludf.DUMMYFUNCTION("""COMPUTED_VALUE"""),"kai")</f>
        <v/>
      </c>
      <c r="B220">
        <f>IFERROR(__xludf.DUMMYFUNCTION("""COMPUTED_VALUE"""),"怪獣８号")</f>
        <v/>
      </c>
      <c r="C220">
        <f>IFERROR(__xludf.DUMMYFUNCTION("""COMPUTED_VALUE"""),"hard")</f>
        <v/>
      </c>
      <c r="D220">
        <f>IFERROR(__xludf.DUMMYFUNCTION("""COMPUTED_VALUE"""),"main")</f>
        <v/>
      </c>
      <c r="E220">
        <f>IFERROR(__xludf.DUMMYFUNCTION("""COMPUTED_VALUE"""),"メインクエスト")</f>
        <v/>
      </c>
      <c r="F220">
        <f>IFERROR(__xludf.DUMMYFUNCTION("""COMPUTED_VALUE"""),"quest_main_kai_hard_15")</f>
        <v/>
      </c>
      <c r="G220">
        <f>IFERROR(__xludf.DUMMYFUNCTION("""COMPUTED_VALUE"""),"15.怪獣８号")</f>
        <v/>
      </c>
      <c r="H220">
        <f>IFERROR(__xludf.DUMMYFUNCTION("""COMPUTED_VALUE"""),"01")</f>
        <v/>
      </c>
      <c r="I220">
        <f>IFERROR(__xludf.DUMMYFUNCTION("""COMPUTED_VALUE"""),"hard_kai_00001")</f>
        <v/>
      </c>
      <c r="J220">
        <f>IFERROR(__xludf.DUMMYFUNCTION("""COMPUTED_VALUE"""),"stage_icon_kai_hard_01")</f>
        <v/>
      </c>
    </row>
    <row r="221">
      <c r="A221">
        <f>IFERROR(__xludf.DUMMYFUNCTION("""COMPUTED_VALUE"""),"kai")</f>
        <v/>
      </c>
      <c r="B221">
        <f>IFERROR(__xludf.DUMMYFUNCTION("""COMPUTED_VALUE"""),"怪獣８号")</f>
        <v/>
      </c>
      <c r="C221">
        <f>IFERROR(__xludf.DUMMYFUNCTION("""COMPUTED_VALUE"""),"hard")</f>
        <v/>
      </c>
      <c r="D221">
        <f>IFERROR(__xludf.DUMMYFUNCTION("""COMPUTED_VALUE"""),"main")</f>
        <v/>
      </c>
      <c r="E221">
        <f>IFERROR(__xludf.DUMMYFUNCTION("""COMPUTED_VALUE"""),"メインクエスト")</f>
        <v/>
      </c>
      <c r="F221">
        <f>IFERROR(__xludf.DUMMYFUNCTION("""COMPUTED_VALUE"""),"quest_main_kai_hard_15")</f>
        <v/>
      </c>
      <c r="G221">
        <f>IFERROR(__xludf.DUMMYFUNCTION("""COMPUTED_VALUE"""),"15.怪獣８号")</f>
        <v/>
      </c>
      <c r="H221">
        <f>IFERROR(__xludf.DUMMYFUNCTION("""COMPUTED_VALUE"""),"02")</f>
        <v/>
      </c>
      <c r="I221">
        <f>IFERROR(__xludf.DUMMYFUNCTION("""COMPUTED_VALUE"""),"hard_kai_00002")</f>
        <v/>
      </c>
      <c r="J221">
        <f>IFERROR(__xludf.DUMMYFUNCTION("""COMPUTED_VALUE"""),"stage_icon_kai_hard_02")</f>
        <v/>
      </c>
    </row>
    <row r="222">
      <c r="A222">
        <f>IFERROR(__xludf.DUMMYFUNCTION("""COMPUTED_VALUE"""),"kai")</f>
        <v/>
      </c>
      <c r="B222">
        <f>IFERROR(__xludf.DUMMYFUNCTION("""COMPUTED_VALUE"""),"怪獣８号")</f>
        <v/>
      </c>
      <c r="C222">
        <f>IFERROR(__xludf.DUMMYFUNCTION("""COMPUTED_VALUE"""),"hard")</f>
        <v/>
      </c>
      <c r="D222">
        <f>IFERROR(__xludf.DUMMYFUNCTION("""COMPUTED_VALUE"""),"main")</f>
        <v/>
      </c>
      <c r="E222">
        <f>IFERROR(__xludf.DUMMYFUNCTION("""COMPUTED_VALUE"""),"メインクエスト")</f>
        <v/>
      </c>
      <c r="F222">
        <f>IFERROR(__xludf.DUMMYFUNCTION("""COMPUTED_VALUE"""),"quest_main_kai_hard_15")</f>
        <v/>
      </c>
      <c r="G222">
        <f>IFERROR(__xludf.DUMMYFUNCTION("""COMPUTED_VALUE"""),"15.怪獣８号")</f>
        <v/>
      </c>
      <c r="H222">
        <f>IFERROR(__xludf.DUMMYFUNCTION("""COMPUTED_VALUE"""),"03")</f>
        <v/>
      </c>
      <c r="I222">
        <f>IFERROR(__xludf.DUMMYFUNCTION("""COMPUTED_VALUE"""),"hard_kai_00003")</f>
        <v/>
      </c>
      <c r="J222">
        <f>IFERROR(__xludf.DUMMYFUNCTION("""COMPUTED_VALUE"""),"stage_icon_kai_hard_03")</f>
        <v/>
      </c>
    </row>
    <row r="223">
      <c r="A223">
        <f>IFERROR(__xludf.DUMMYFUNCTION("""COMPUTED_VALUE"""),"kai")</f>
        <v/>
      </c>
      <c r="B223">
        <f>IFERROR(__xludf.DUMMYFUNCTION("""COMPUTED_VALUE"""),"怪獣８号")</f>
        <v/>
      </c>
      <c r="C223">
        <f>IFERROR(__xludf.DUMMYFUNCTION("""COMPUTED_VALUE"""),"hard")</f>
        <v/>
      </c>
      <c r="D223">
        <f>IFERROR(__xludf.DUMMYFUNCTION("""COMPUTED_VALUE"""),"main")</f>
        <v/>
      </c>
      <c r="E223">
        <f>IFERROR(__xludf.DUMMYFUNCTION("""COMPUTED_VALUE"""),"メインクエスト")</f>
        <v/>
      </c>
      <c r="F223">
        <f>IFERROR(__xludf.DUMMYFUNCTION("""COMPUTED_VALUE"""),"quest_main_kai_hard_15")</f>
        <v/>
      </c>
      <c r="G223">
        <f>IFERROR(__xludf.DUMMYFUNCTION("""COMPUTED_VALUE"""),"15.怪獣８号")</f>
        <v/>
      </c>
      <c r="H223">
        <f>IFERROR(__xludf.DUMMYFUNCTION("""COMPUTED_VALUE"""),"04")</f>
        <v/>
      </c>
      <c r="I223">
        <f>IFERROR(__xludf.DUMMYFUNCTION("""COMPUTED_VALUE"""),"hard_kai_00004")</f>
        <v/>
      </c>
      <c r="J223">
        <f>IFERROR(__xludf.DUMMYFUNCTION("""COMPUTED_VALUE"""),"stage_icon_kai_hard_04")</f>
        <v/>
      </c>
    </row>
    <row r="224">
      <c r="A224">
        <f>IFERROR(__xludf.DUMMYFUNCTION("""COMPUTED_VALUE"""),"kai")</f>
        <v/>
      </c>
      <c r="B224">
        <f>IFERROR(__xludf.DUMMYFUNCTION("""COMPUTED_VALUE"""),"怪獣８号")</f>
        <v/>
      </c>
      <c r="C224">
        <f>IFERROR(__xludf.DUMMYFUNCTION("""COMPUTED_VALUE"""),"hard")</f>
        <v/>
      </c>
      <c r="D224">
        <f>IFERROR(__xludf.DUMMYFUNCTION("""COMPUTED_VALUE"""),"main")</f>
        <v/>
      </c>
      <c r="E224">
        <f>IFERROR(__xludf.DUMMYFUNCTION("""COMPUTED_VALUE"""),"メインクエスト")</f>
        <v/>
      </c>
      <c r="F224">
        <f>IFERROR(__xludf.DUMMYFUNCTION("""COMPUTED_VALUE"""),"quest_main_kai_hard_15")</f>
        <v/>
      </c>
      <c r="G224">
        <f>IFERROR(__xludf.DUMMYFUNCTION("""COMPUTED_VALUE"""),"15.怪獣８号")</f>
        <v/>
      </c>
      <c r="H224">
        <f>IFERROR(__xludf.DUMMYFUNCTION("""COMPUTED_VALUE"""),"05")</f>
        <v/>
      </c>
      <c r="I224">
        <f>IFERROR(__xludf.DUMMYFUNCTION("""COMPUTED_VALUE"""),"hard_kai_00005")</f>
        <v/>
      </c>
      <c r="J224">
        <f>IFERROR(__xludf.DUMMYFUNCTION("""COMPUTED_VALUE"""),"stage_icon_kai_hard_05")</f>
        <v/>
      </c>
    </row>
    <row r="225">
      <c r="A225">
        <f>IFERROR(__xludf.DUMMYFUNCTION("""COMPUTED_VALUE"""),"kai")</f>
        <v/>
      </c>
      <c r="B225">
        <f>IFERROR(__xludf.DUMMYFUNCTION("""COMPUTED_VALUE"""),"怪獣８号")</f>
        <v/>
      </c>
      <c r="C225">
        <f>IFERROR(__xludf.DUMMYFUNCTION("""COMPUTED_VALUE"""),"hard")</f>
        <v/>
      </c>
      <c r="D225">
        <f>IFERROR(__xludf.DUMMYFUNCTION("""COMPUTED_VALUE"""),"main")</f>
        <v/>
      </c>
      <c r="E225">
        <f>IFERROR(__xludf.DUMMYFUNCTION("""COMPUTED_VALUE"""),"メインクエスト")</f>
        <v/>
      </c>
      <c r="F225">
        <f>IFERROR(__xludf.DUMMYFUNCTION("""COMPUTED_VALUE"""),"quest_main_kai_hard_15")</f>
        <v/>
      </c>
      <c r="G225">
        <f>IFERROR(__xludf.DUMMYFUNCTION("""COMPUTED_VALUE"""),"15.怪獣８号")</f>
        <v/>
      </c>
      <c r="H225">
        <f>IFERROR(__xludf.DUMMYFUNCTION("""COMPUTED_VALUE"""),"06")</f>
        <v/>
      </c>
      <c r="I225">
        <f>IFERROR(__xludf.DUMMYFUNCTION("""COMPUTED_VALUE"""),"hard_kai_00006")</f>
        <v/>
      </c>
      <c r="J225">
        <f>IFERROR(__xludf.DUMMYFUNCTION("""COMPUTED_VALUE"""),"stage_icon_kai_hard_06")</f>
        <v/>
      </c>
    </row>
    <row r="227">
      <c r="A227">
        <f>IFERROR(__xludf.DUMMYFUNCTION("""COMPUTED_VALUE"""),"glo4")</f>
        <v/>
      </c>
      <c r="B227">
        <f>IFERROR(__xludf.DUMMYFUNCTION("""COMPUTED_VALUE"""),"GLOW")</f>
        <v/>
      </c>
      <c r="C227">
        <f>IFERROR(__xludf.DUMMYFUNCTION("""COMPUTED_VALUE"""),"hard")</f>
        <v/>
      </c>
      <c r="D227">
        <f>IFERROR(__xludf.DUMMYFUNCTION("""COMPUTED_VALUE"""),"main")</f>
        <v/>
      </c>
      <c r="E227">
        <f>IFERROR(__xludf.DUMMYFUNCTION("""COMPUTED_VALUE"""),"メインクエスト")</f>
        <v/>
      </c>
      <c r="F227">
        <f>IFERROR(__xludf.DUMMYFUNCTION("""COMPUTED_VALUE"""),"quest_main_glo4_hard_16")</f>
        <v/>
      </c>
      <c r="G227">
        <f>IFERROR(__xludf.DUMMYFUNCTION("""COMPUTED_VALUE"""),"16.リミックスクエスト Vol.4")</f>
        <v/>
      </c>
      <c r="H227">
        <f>IFERROR(__xludf.DUMMYFUNCTION("""COMPUTED_VALUE"""),"01")</f>
        <v/>
      </c>
      <c r="I227">
        <f>IFERROR(__xludf.DUMMYFUNCTION("""COMPUTED_VALUE"""),"hard_glo4_00001")</f>
        <v/>
      </c>
      <c r="J227">
        <f>IFERROR(__xludf.DUMMYFUNCTION("""COMPUTED_VALUE"""),"stage_icon_glo4_hard_01")</f>
        <v/>
      </c>
    </row>
    <row r="228">
      <c r="A228">
        <f>IFERROR(__xludf.DUMMYFUNCTION("""COMPUTED_VALUE"""),"glo4")</f>
        <v/>
      </c>
      <c r="B228">
        <f>IFERROR(__xludf.DUMMYFUNCTION("""COMPUTED_VALUE"""),"GLOW")</f>
        <v/>
      </c>
      <c r="C228">
        <f>IFERROR(__xludf.DUMMYFUNCTION("""COMPUTED_VALUE"""),"hard")</f>
        <v/>
      </c>
      <c r="D228">
        <f>IFERROR(__xludf.DUMMYFUNCTION("""COMPUTED_VALUE"""),"main")</f>
        <v/>
      </c>
      <c r="E228">
        <f>IFERROR(__xludf.DUMMYFUNCTION("""COMPUTED_VALUE"""),"メインクエスト")</f>
        <v/>
      </c>
      <c r="F228">
        <f>IFERROR(__xludf.DUMMYFUNCTION("""COMPUTED_VALUE"""),"quest_main_glo4_hard_16")</f>
        <v/>
      </c>
      <c r="G228">
        <f>IFERROR(__xludf.DUMMYFUNCTION("""COMPUTED_VALUE"""),"16.リミックスクエスト Vol.4")</f>
        <v/>
      </c>
      <c r="H228">
        <f>IFERROR(__xludf.DUMMYFUNCTION("""COMPUTED_VALUE"""),"02")</f>
        <v/>
      </c>
      <c r="I228">
        <f>IFERROR(__xludf.DUMMYFUNCTION("""COMPUTED_VALUE"""),"hard_glo4_00002")</f>
        <v/>
      </c>
      <c r="J228">
        <f>IFERROR(__xludf.DUMMYFUNCTION("""COMPUTED_VALUE"""),"stage_icon_glo4_hard_02")</f>
        <v/>
      </c>
    </row>
    <row r="229">
      <c r="A229">
        <f>IFERROR(__xludf.DUMMYFUNCTION("""COMPUTED_VALUE"""),"glo4")</f>
        <v/>
      </c>
      <c r="B229">
        <f>IFERROR(__xludf.DUMMYFUNCTION("""COMPUTED_VALUE"""),"GLOW")</f>
        <v/>
      </c>
      <c r="C229">
        <f>IFERROR(__xludf.DUMMYFUNCTION("""COMPUTED_VALUE"""),"hard")</f>
        <v/>
      </c>
      <c r="D229">
        <f>IFERROR(__xludf.DUMMYFUNCTION("""COMPUTED_VALUE"""),"main")</f>
        <v/>
      </c>
      <c r="E229">
        <f>IFERROR(__xludf.DUMMYFUNCTION("""COMPUTED_VALUE"""),"メインクエスト")</f>
        <v/>
      </c>
      <c r="F229">
        <f>IFERROR(__xludf.DUMMYFUNCTION("""COMPUTED_VALUE"""),"quest_main_glo4_hard_16")</f>
        <v/>
      </c>
      <c r="G229">
        <f>IFERROR(__xludf.DUMMYFUNCTION("""COMPUTED_VALUE"""),"16.リミックスクエスト Vol.4")</f>
        <v/>
      </c>
      <c r="H229">
        <f>IFERROR(__xludf.DUMMYFUNCTION("""COMPUTED_VALUE"""),"03")</f>
        <v/>
      </c>
      <c r="I229">
        <f>IFERROR(__xludf.DUMMYFUNCTION("""COMPUTED_VALUE"""),"hard_glo4_00003")</f>
        <v/>
      </c>
      <c r="J229">
        <f>IFERROR(__xludf.DUMMYFUNCTION("""COMPUTED_VALUE"""),"stage_icon_glo4_hard_03")</f>
        <v/>
      </c>
    </row>
    <row r="230">
      <c r="A230">
        <f>IFERROR(__xludf.DUMMYFUNCTION("""COMPUTED_VALUE"""),"glo4")</f>
        <v/>
      </c>
      <c r="B230">
        <f>IFERROR(__xludf.DUMMYFUNCTION("""COMPUTED_VALUE"""),"GLOW")</f>
        <v/>
      </c>
      <c r="C230">
        <f>IFERROR(__xludf.DUMMYFUNCTION("""COMPUTED_VALUE"""),"hard")</f>
        <v/>
      </c>
      <c r="D230">
        <f>IFERROR(__xludf.DUMMYFUNCTION("""COMPUTED_VALUE"""),"main")</f>
        <v/>
      </c>
      <c r="E230">
        <f>IFERROR(__xludf.DUMMYFUNCTION("""COMPUTED_VALUE"""),"メインクエスト")</f>
        <v/>
      </c>
      <c r="F230">
        <f>IFERROR(__xludf.DUMMYFUNCTION("""COMPUTED_VALUE"""),"quest_main_glo4_hard_16")</f>
        <v/>
      </c>
      <c r="G230">
        <f>IFERROR(__xludf.DUMMYFUNCTION("""COMPUTED_VALUE"""),"16.リミックスクエスト Vol.4")</f>
        <v/>
      </c>
      <c r="H230">
        <f>IFERROR(__xludf.DUMMYFUNCTION("""COMPUTED_VALUE"""),"04")</f>
        <v/>
      </c>
      <c r="I230">
        <f>IFERROR(__xludf.DUMMYFUNCTION("""COMPUTED_VALUE"""),"hard_glo4_00004")</f>
        <v/>
      </c>
      <c r="J230">
        <f>IFERROR(__xludf.DUMMYFUNCTION("""COMPUTED_VALUE"""),"stage_icon_glo4_hard_04")</f>
        <v/>
      </c>
    </row>
    <row r="231">
      <c r="A231">
        <f>IFERROR(__xludf.DUMMYFUNCTION("""COMPUTED_VALUE"""),"glo4")</f>
        <v/>
      </c>
      <c r="B231">
        <f>IFERROR(__xludf.DUMMYFUNCTION("""COMPUTED_VALUE"""),"GLOW")</f>
        <v/>
      </c>
      <c r="C231">
        <f>IFERROR(__xludf.DUMMYFUNCTION("""COMPUTED_VALUE"""),"hard")</f>
        <v/>
      </c>
      <c r="D231">
        <f>IFERROR(__xludf.DUMMYFUNCTION("""COMPUTED_VALUE"""),"main")</f>
        <v/>
      </c>
      <c r="E231">
        <f>IFERROR(__xludf.DUMMYFUNCTION("""COMPUTED_VALUE"""),"メインクエスト")</f>
        <v/>
      </c>
      <c r="F231">
        <f>IFERROR(__xludf.DUMMYFUNCTION("""COMPUTED_VALUE"""),"quest_main_glo4_hard_16")</f>
        <v/>
      </c>
      <c r="G231">
        <f>IFERROR(__xludf.DUMMYFUNCTION("""COMPUTED_VALUE"""),"16.リミックスクエスト Vol.4")</f>
        <v/>
      </c>
      <c r="H231">
        <f>IFERROR(__xludf.DUMMYFUNCTION("""COMPUTED_VALUE"""),"05")</f>
        <v/>
      </c>
      <c r="I231">
        <f>IFERROR(__xludf.DUMMYFUNCTION("""COMPUTED_VALUE"""),"hard_glo4_00005")</f>
        <v/>
      </c>
      <c r="J231">
        <f>IFERROR(__xludf.DUMMYFUNCTION("""COMPUTED_VALUE"""),"stage_icon_glo4_hard_05")</f>
        <v/>
      </c>
    </row>
    <row r="232">
      <c r="A232">
        <f>IFERROR(__xludf.DUMMYFUNCTION("""COMPUTED_VALUE"""),"glo4")</f>
        <v/>
      </c>
      <c r="B232">
        <f>IFERROR(__xludf.DUMMYFUNCTION("""COMPUTED_VALUE"""),"GLOW")</f>
        <v/>
      </c>
      <c r="C232">
        <f>IFERROR(__xludf.DUMMYFUNCTION("""COMPUTED_VALUE"""),"hard")</f>
        <v/>
      </c>
      <c r="D232">
        <f>IFERROR(__xludf.DUMMYFUNCTION("""COMPUTED_VALUE"""),"main")</f>
        <v/>
      </c>
      <c r="E232">
        <f>IFERROR(__xludf.DUMMYFUNCTION("""COMPUTED_VALUE"""),"メインクエスト")</f>
        <v/>
      </c>
      <c r="F232">
        <f>IFERROR(__xludf.DUMMYFUNCTION("""COMPUTED_VALUE"""),"quest_main_glo4_hard_16")</f>
        <v/>
      </c>
      <c r="G232">
        <f>IFERROR(__xludf.DUMMYFUNCTION("""COMPUTED_VALUE"""),"16.リミックスクエスト Vol.4")</f>
        <v/>
      </c>
      <c r="H232">
        <f>IFERROR(__xludf.DUMMYFUNCTION("""COMPUTED_VALUE"""),"06")</f>
        <v/>
      </c>
      <c r="I232">
        <f>IFERROR(__xludf.DUMMYFUNCTION("""COMPUTED_VALUE"""),"hard_glo4_00006")</f>
        <v/>
      </c>
      <c r="J232">
        <f>IFERROR(__xludf.DUMMYFUNCTION("""COMPUTED_VALUE"""),"stage_icon_glo4_hard_06")</f>
        <v/>
      </c>
    </row>
    <row r="234">
      <c r="A234">
        <f>IFERROR(__xludf.DUMMYFUNCTION("""COMPUTED_VALUE"""),"osh")</f>
        <v/>
      </c>
      <c r="B234">
        <f>IFERROR(__xludf.DUMMYFUNCTION("""COMPUTED_VALUE"""),"【推しの子】")</f>
        <v/>
      </c>
      <c r="C234">
        <f>IFERROR(__xludf.DUMMYFUNCTION("""COMPUTED_VALUE"""),"hard")</f>
        <v/>
      </c>
      <c r="D234">
        <f>IFERROR(__xludf.DUMMYFUNCTION("""COMPUTED_VALUE"""),"main")</f>
        <v/>
      </c>
      <c r="E234">
        <f>IFERROR(__xludf.DUMMYFUNCTION("""COMPUTED_VALUE"""),"メインクエスト")</f>
        <v/>
      </c>
      <c r="F234">
        <f>IFERROR(__xludf.DUMMYFUNCTION("""COMPUTED_VALUE"""),"quest_main_osh_hard_17")</f>
        <v/>
      </c>
      <c r="G234">
        <f>IFERROR(__xludf.DUMMYFUNCTION("""COMPUTED_VALUE"""),"17.【推しの子】")</f>
        <v/>
      </c>
      <c r="H234">
        <f>IFERROR(__xludf.DUMMYFUNCTION("""COMPUTED_VALUE"""),"01")</f>
        <v/>
      </c>
      <c r="I234">
        <f>IFERROR(__xludf.DUMMYFUNCTION("""COMPUTED_VALUE"""),"hard_osh_00001")</f>
        <v/>
      </c>
      <c r="J234">
        <f>IFERROR(__xludf.DUMMYFUNCTION("""COMPUTED_VALUE"""),"stage_icon_osh_hard_01")</f>
        <v/>
      </c>
    </row>
    <row r="235">
      <c r="A235">
        <f>IFERROR(__xludf.DUMMYFUNCTION("""COMPUTED_VALUE"""),"osh")</f>
        <v/>
      </c>
      <c r="B235">
        <f>IFERROR(__xludf.DUMMYFUNCTION("""COMPUTED_VALUE"""),"【推しの子】")</f>
        <v/>
      </c>
      <c r="C235">
        <f>IFERROR(__xludf.DUMMYFUNCTION("""COMPUTED_VALUE"""),"hard")</f>
        <v/>
      </c>
      <c r="D235">
        <f>IFERROR(__xludf.DUMMYFUNCTION("""COMPUTED_VALUE"""),"main")</f>
        <v/>
      </c>
      <c r="E235">
        <f>IFERROR(__xludf.DUMMYFUNCTION("""COMPUTED_VALUE"""),"メインクエスト")</f>
        <v/>
      </c>
      <c r="F235">
        <f>IFERROR(__xludf.DUMMYFUNCTION("""COMPUTED_VALUE"""),"quest_main_osh_hard_17")</f>
        <v/>
      </c>
      <c r="G235">
        <f>IFERROR(__xludf.DUMMYFUNCTION("""COMPUTED_VALUE"""),"17.【推しの子】")</f>
        <v/>
      </c>
      <c r="H235">
        <f>IFERROR(__xludf.DUMMYFUNCTION("""COMPUTED_VALUE"""),"02")</f>
        <v/>
      </c>
      <c r="I235">
        <f>IFERROR(__xludf.DUMMYFUNCTION("""COMPUTED_VALUE"""),"hard_osh_00002")</f>
        <v/>
      </c>
      <c r="J235">
        <f>IFERROR(__xludf.DUMMYFUNCTION("""COMPUTED_VALUE"""),"stage_icon_osh_hard_02")</f>
        <v/>
      </c>
    </row>
    <row r="236">
      <c r="A236">
        <f>IFERROR(__xludf.DUMMYFUNCTION("""COMPUTED_VALUE"""),"osh")</f>
        <v/>
      </c>
      <c r="B236">
        <f>IFERROR(__xludf.DUMMYFUNCTION("""COMPUTED_VALUE"""),"【推しの子】")</f>
        <v/>
      </c>
      <c r="C236">
        <f>IFERROR(__xludf.DUMMYFUNCTION("""COMPUTED_VALUE"""),"hard")</f>
        <v/>
      </c>
      <c r="D236">
        <f>IFERROR(__xludf.DUMMYFUNCTION("""COMPUTED_VALUE"""),"main")</f>
        <v/>
      </c>
      <c r="E236">
        <f>IFERROR(__xludf.DUMMYFUNCTION("""COMPUTED_VALUE"""),"メインクエスト")</f>
        <v/>
      </c>
      <c r="F236">
        <f>IFERROR(__xludf.DUMMYFUNCTION("""COMPUTED_VALUE"""),"quest_main_osh_hard_17")</f>
        <v/>
      </c>
      <c r="G236">
        <f>IFERROR(__xludf.DUMMYFUNCTION("""COMPUTED_VALUE"""),"17.【推しの子】")</f>
        <v/>
      </c>
      <c r="H236">
        <f>IFERROR(__xludf.DUMMYFUNCTION("""COMPUTED_VALUE"""),"03")</f>
        <v/>
      </c>
      <c r="I236">
        <f>IFERROR(__xludf.DUMMYFUNCTION("""COMPUTED_VALUE"""),"hard_osh_00003")</f>
        <v/>
      </c>
      <c r="J236">
        <f>IFERROR(__xludf.DUMMYFUNCTION("""COMPUTED_VALUE"""),"stage_icon_osh_hard_03")</f>
        <v/>
      </c>
    </row>
    <row r="238">
      <c r="A238">
        <f>IFERROR(__xludf.DUMMYFUNCTION("""COMPUTED_VALUE"""),"you")</f>
        <v/>
      </c>
      <c r="B238">
        <f>IFERROR(__xludf.DUMMYFUNCTION("""COMPUTED_VALUE"""),"幼稚園WARS")</f>
        <v/>
      </c>
      <c r="C238">
        <f>IFERROR(__xludf.DUMMYFUNCTION("""COMPUTED_VALUE"""),"hard")</f>
        <v/>
      </c>
      <c r="D238">
        <f>IFERROR(__xludf.DUMMYFUNCTION("""COMPUTED_VALUE"""),"main")</f>
        <v/>
      </c>
      <c r="E238">
        <f>IFERROR(__xludf.DUMMYFUNCTION("""COMPUTED_VALUE"""),"メインクエスト")</f>
        <v/>
      </c>
      <c r="F238">
        <f>IFERROR(__xludf.DUMMYFUNCTION("""COMPUTED_VALUE"""),"quest_main_you_hard_18")</f>
        <v/>
      </c>
      <c r="G238">
        <f>IFERROR(__xludf.DUMMYFUNCTION("""COMPUTED_VALUE"""),"18.幼稚園WARS")</f>
        <v/>
      </c>
      <c r="H238">
        <f>IFERROR(__xludf.DUMMYFUNCTION("""COMPUTED_VALUE"""),"01")</f>
        <v/>
      </c>
      <c r="I238">
        <f>IFERROR(__xludf.DUMMYFUNCTION("""COMPUTED_VALUE"""),"hard_you_00001")</f>
        <v/>
      </c>
      <c r="J238">
        <f>IFERROR(__xludf.DUMMYFUNCTION("""COMPUTED_VALUE"""),"stage_icon_you_hard_01")</f>
        <v/>
      </c>
    </row>
    <row r="239">
      <c r="A239">
        <f>IFERROR(__xludf.DUMMYFUNCTION("""COMPUTED_VALUE"""),"you")</f>
        <v/>
      </c>
      <c r="B239">
        <f>IFERROR(__xludf.DUMMYFUNCTION("""COMPUTED_VALUE"""),"幼稚園WARS")</f>
        <v/>
      </c>
      <c r="C239">
        <f>IFERROR(__xludf.DUMMYFUNCTION("""COMPUTED_VALUE"""),"hard")</f>
        <v/>
      </c>
      <c r="D239">
        <f>IFERROR(__xludf.DUMMYFUNCTION("""COMPUTED_VALUE"""),"main")</f>
        <v/>
      </c>
      <c r="E239">
        <f>IFERROR(__xludf.DUMMYFUNCTION("""COMPUTED_VALUE"""),"メインクエスト")</f>
        <v/>
      </c>
      <c r="F239">
        <f>IFERROR(__xludf.DUMMYFUNCTION("""COMPUTED_VALUE"""),"quest_main_you_hard_18")</f>
        <v/>
      </c>
      <c r="G239">
        <f>IFERROR(__xludf.DUMMYFUNCTION("""COMPUTED_VALUE"""),"18.幼稚園WARS")</f>
        <v/>
      </c>
      <c r="H239">
        <f>IFERROR(__xludf.DUMMYFUNCTION("""COMPUTED_VALUE"""),"02")</f>
        <v/>
      </c>
      <c r="I239">
        <f>IFERROR(__xludf.DUMMYFUNCTION("""COMPUTED_VALUE"""),"hard_you_00002")</f>
        <v/>
      </c>
      <c r="J239">
        <f>IFERROR(__xludf.DUMMYFUNCTION("""COMPUTED_VALUE"""),"stage_icon_you_hard_02")</f>
        <v/>
      </c>
    </row>
    <row r="240">
      <c r="A240">
        <f>IFERROR(__xludf.DUMMYFUNCTION("""COMPUTED_VALUE"""),"you")</f>
        <v/>
      </c>
      <c r="B240">
        <f>IFERROR(__xludf.DUMMYFUNCTION("""COMPUTED_VALUE"""),"幼稚園WARS")</f>
        <v/>
      </c>
      <c r="C240">
        <f>IFERROR(__xludf.DUMMYFUNCTION("""COMPUTED_VALUE"""),"hard")</f>
        <v/>
      </c>
      <c r="D240">
        <f>IFERROR(__xludf.DUMMYFUNCTION("""COMPUTED_VALUE"""),"main")</f>
        <v/>
      </c>
      <c r="E240">
        <f>IFERROR(__xludf.DUMMYFUNCTION("""COMPUTED_VALUE"""),"メインクエスト")</f>
        <v/>
      </c>
      <c r="F240">
        <f>IFERROR(__xludf.DUMMYFUNCTION("""COMPUTED_VALUE"""),"quest_main_you_hard_18")</f>
        <v/>
      </c>
      <c r="G240">
        <f>IFERROR(__xludf.DUMMYFUNCTION("""COMPUTED_VALUE"""),"18.幼稚園WARS")</f>
        <v/>
      </c>
      <c r="H240">
        <f>IFERROR(__xludf.DUMMYFUNCTION("""COMPUTED_VALUE"""),"03")</f>
        <v/>
      </c>
      <c r="I240">
        <f>IFERROR(__xludf.DUMMYFUNCTION("""COMPUTED_VALUE"""),"hard_you_00003")</f>
        <v/>
      </c>
      <c r="J240">
        <f>IFERROR(__xludf.DUMMYFUNCTION("""COMPUTED_VALUE"""),"stage_icon_you_hard_03")</f>
        <v/>
      </c>
    </row>
    <row r="242">
      <c r="A242">
        <f>IFERROR(__xludf.DUMMYFUNCTION("""COMPUTED_VALUE"""),"aya")</f>
        <v/>
      </c>
      <c r="B242">
        <f>IFERROR(__xludf.DUMMYFUNCTION("""COMPUTED_VALUE"""),"あやかしトライアングル")</f>
        <v/>
      </c>
      <c r="C242">
        <f>IFERROR(__xludf.DUMMYFUNCTION("""COMPUTED_VALUE"""),"hard")</f>
        <v/>
      </c>
      <c r="D242">
        <f>IFERROR(__xludf.DUMMYFUNCTION("""COMPUTED_VALUE"""),"main")</f>
        <v/>
      </c>
      <c r="E242">
        <f>IFERROR(__xludf.DUMMYFUNCTION("""COMPUTED_VALUE"""),"メインクエスト")</f>
        <v/>
      </c>
      <c r="F242">
        <f>IFERROR(__xludf.DUMMYFUNCTION("""COMPUTED_VALUE"""),"quest_main_aya_hard_19")</f>
        <v/>
      </c>
      <c r="G242">
        <f>IFERROR(__xludf.DUMMYFUNCTION("""COMPUTED_VALUE"""),"19.あやかしトライアングル")</f>
        <v/>
      </c>
      <c r="H242">
        <f>IFERROR(__xludf.DUMMYFUNCTION("""COMPUTED_VALUE"""),"01")</f>
        <v/>
      </c>
      <c r="I242">
        <f>IFERROR(__xludf.DUMMYFUNCTION("""COMPUTED_VALUE"""),"hard_aya_00001")</f>
        <v/>
      </c>
      <c r="J242">
        <f>IFERROR(__xludf.DUMMYFUNCTION("""COMPUTED_VALUE"""),"stage_icon_aya_hard_01")</f>
        <v/>
      </c>
    </row>
    <row r="243">
      <c r="A243">
        <f>IFERROR(__xludf.DUMMYFUNCTION("""COMPUTED_VALUE"""),"aya")</f>
        <v/>
      </c>
      <c r="B243">
        <f>IFERROR(__xludf.DUMMYFUNCTION("""COMPUTED_VALUE"""),"あやかしトライアングル")</f>
        <v/>
      </c>
      <c r="C243">
        <f>IFERROR(__xludf.DUMMYFUNCTION("""COMPUTED_VALUE"""),"hard")</f>
        <v/>
      </c>
      <c r="D243">
        <f>IFERROR(__xludf.DUMMYFUNCTION("""COMPUTED_VALUE"""),"main")</f>
        <v/>
      </c>
      <c r="E243">
        <f>IFERROR(__xludf.DUMMYFUNCTION("""COMPUTED_VALUE"""),"メインクエスト")</f>
        <v/>
      </c>
      <c r="F243">
        <f>IFERROR(__xludf.DUMMYFUNCTION("""COMPUTED_VALUE"""),"quest_main_aya_hard_19")</f>
        <v/>
      </c>
      <c r="G243">
        <f>IFERROR(__xludf.DUMMYFUNCTION("""COMPUTED_VALUE"""),"19.あやかしトライアングル")</f>
        <v/>
      </c>
      <c r="H243">
        <f>IFERROR(__xludf.DUMMYFUNCTION("""COMPUTED_VALUE"""),"02")</f>
        <v/>
      </c>
      <c r="I243">
        <f>IFERROR(__xludf.DUMMYFUNCTION("""COMPUTED_VALUE"""),"hard_aya_00002")</f>
        <v/>
      </c>
      <c r="J243">
        <f>IFERROR(__xludf.DUMMYFUNCTION("""COMPUTED_VALUE"""),"stage_icon_aya_hard_02")</f>
        <v/>
      </c>
    </row>
    <row r="244">
      <c r="A244">
        <f>IFERROR(__xludf.DUMMYFUNCTION("""COMPUTED_VALUE"""),"aya")</f>
        <v/>
      </c>
      <c r="B244">
        <f>IFERROR(__xludf.DUMMYFUNCTION("""COMPUTED_VALUE"""),"あやかしトライアングル")</f>
        <v/>
      </c>
      <c r="C244">
        <f>IFERROR(__xludf.DUMMYFUNCTION("""COMPUTED_VALUE"""),"hard")</f>
        <v/>
      </c>
      <c r="D244">
        <f>IFERROR(__xludf.DUMMYFUNCTION("""COMPUTED_VALUE"""),"main")</f>
        <v/>
      </c>
      <c r="E244">
        <f>IFERROR(__xludf.DUMMYFUNCTION("""COMPUTED_VALUE"""),"メインクエスト")</f>
        <v/>
      </c>
      <c r="F244">
        <f>IFERROR(__xludf.DUMMYFUNCTION("""COMPUTED_VALUE"""),"quest_main_aya_hard_19")</f>
        <v/>
      </c>
      <c r="G244">
        <f>IFERROR(__xludf.DUMMYFUNCTION("""COMPUTED_VALUE"""),"19.あやかしトライアングル")</f>
        <v/>
      </c>
      <c r="H244">
        <f>IFERROR(__xludf.DUMMYFUNCTION("""COMPUTED_VALUE"""),"03")</f>
        <v/>
      </c>
      <c r="I244">
        <f>IFERROR(__xludf.DUMMYFUNCTION("""COMPUTED_VALUE"""),"hard_aya_00003")</f>
        <v/>
      </c>
      <c r="J244">
        <f>IFERROR(__xludf.DUMMYFUNCTION("""COMPUTED_VALUE"""),"stage_icon_aya_hard_03")</f>
        <v/>
      </c>
    </row>
    <row r="246">
      <c r="A246">
        <f>IFERROR(__xludf.DUMMYFUNCTION("""COMPUTED_VALUE"""),"mar")</f>
        <v/>
      </c>
      <c r="B246">
        <f>IFERROR(__xludf.DUMMYFUNCTION("""COMPUTED_VALUE"""),"マリッジトキシン")</f>
        <v/>
      </c>
      <c r="C246">
        <f>IFERROR(__xludf.DUMMYFUNCTION("""COMPUTED_VALUE"""),"hard")</f>
        <v/>
      </c>
      <c r="D246">
        <f>IFERROR(__xludf.DUMMYFUNCTION("""COMPUTED_VALUE"""),"main")</f>
        <v/>
      </c>
      <c r="E246">
        <f>IFERROR(__xludf.DUMMYFUNCTION("""COMPUTED_VALUE"""),"メインクエスト")</f>
        <v/>
      </c>
      <c r="F246">
        <f>IFERROR(__xludf.DUMMYFUNCTION("""COMPUTED_VALUE"""),"quest_main_mar_hard_20")</f>
        <v/>
      </c>
      <c r="G246">
        <f>IFERROR(__xludf.DUMMYFUNCTION("""COMPUTED_VALUE"""),"20.マリッジトキシン")</f>
        <v/>
      </c>
      <c r="H246">
        <f>IFERROR(__xludf.DUMMYFUNCTION("""COMPUTED_VALUE"""),"01")</f>
        <v/>
      </c>
      <c r="I246">
        <f>IFERROR(__xludf.DUMMYFUNCTION("""COMPUTED_VALUE"""),"hard_mar_00001")</f>
        <v/>
      </c>
      <c r="J246">
        <f>IFERROR(__xludf.DUMMYFUNCTION("""COMPUTED_VALUE"""),"stage_icon_mar_hard_01")</f>
        <v/>
      </c>
    </row>
    <row r="247">
      <c r="A247">
        <f>IFERROR(__xludf.DUMMYFUNCTION("""COMPUTED_VALUE"""),"mar")</f>
        <v/>
      </c>
      <c r="B247">
        <f>IFERROR(__xludf.DUMMYFUNCTION("""COMPUTED_VALUE"""),"マリッジトキシン")</f>
        <v/>
      </c>
      <c r="C247">
        <f>IFERROR(__xludf.DUMMYFUNCTION("""COMPUTED_VALUE"""),"hard")</f>
        <v/>
      </c>
      <c r="D247">
        <f>IFERROR(__xludf.DUMMYFUNCTION("""COMPUTED_VALUE"""),"main")</f>
        <v/>
      </c>
      <c r="E247">
        <f>IFERROR(__xludf.DUMMYFUNCTION("""COMPUTED_VALUE"""),"メインクエスト")</f>
        <v/>
      </c>
      <c r="F247">
        <f>IFERROR(__xludf.DUMMYFUNCTION("""COMPUTED_VALUE"""),"quest_main_mar_hard_20")</f>
        <v/>
      </c>
      <c r="G247">
        <f>IFERROR(__xludf.DUMMYFUNCTION("""COMPUTED_VALUE"""),"20.マリッジトキシン")</f>
        <v/>
      </c>
      <c r="H247">
        <f>IFERROR(__xludf.DUMMYFUNCTION("""COMPUTED_VALUE"""),"02")</f>
        <v/>
      </c>
      <c r="I247">
        <f>IFERROR(__xludf.DUMMYFUNCTION("""COMPUTED_VALUE"""),"hard_mar_00002")</f>
        <v/>
      </c>
      <c r="J247">
        <f>IFERROR(__xludf.DUMMYFUNCTION("""COMPUTED_VALUE"""),"stage_icon_mar_hard_02")</f>
        <v/>
      </c>
    </row>
    <row r="248">
      <c r="A248">
        <f>IFERROR(__xludf.DUMMYFUNCTION("""COMPUTED_VALUE"""),"mar")</f>
        <v/>
      </c>
      <c r="B248">
        <f>IFERROR(__xludf.DUMMYFUNCTION("""COMPUTED_VALUE"""),"マリッジトキシン")</f>
        <v/>
      </c>
      <c r="C248">
        <f>IFERROR(__xludf.DUMMYFUNCTION("""COMPUTED_VALUE"""),"hard")</f>
        <v/>
      </c>
      <c r="D248">
        <f>IFERROR(__xludf.DUMMYFUNCTION("""COMPUTED_VALUE"""),"main")</f>
        <v/>
      </c>
      <c r="E248">
        <f>IFERROR(__xludf.DUMMYFUNCTION("""COMPUTED_VALUE"""),"メインクエスト")</f>
        <v/>
      </c>
      <c r="F248">
        <f>IFERROR(__xludf.DUMMYFUNCTION("""COMPUTED_VALUE"""),"quest_main_mar_hard_20")</f>
        <v/>
      </c>
      <c r="G248">
        <f>IFERROR(__xludf.DUMMYFUNCTION("""COMPUTED_VALUE"""),"20.マリッジトキシン")</f>
        <v/>
      </c>
      <c r="H248">
        <f>IFERROR(__xludf.DUMMYFUNCTION("""COMPUTED_VALUE"""),"03")</f>
        <v/>
      </c>
      <c r="I248">
        <f>IFERROR(__xludf.DUMMYFUNCTION("""COMPUTED_VALUE"""),"hard_mar_00003")</f>
        <v/>
      </c>
      <c r="J248">
        <f>IFERROR(__xludf.DUMMYFUNCTION("""COMPUTED_VALUE"""),"stage_icon_mar_hard_03")</f>
        <v/>
      </c>
    </row>
    <row r="254">
      <c r="A254">
        <f>IFERROR(__xludf.DUMMYFUNCTION("""COMPUTED_VALUE"""),"▼メインクエスト（エクストラ）")</f>
        <v/>
      </c>
    </row>
    <row r="256">
      <c r="A256">
        <f>IFERROR(__xludf.DUMMYFUNCTION("""COMPUTED_VALUE"""),"spy")</f>
        <v/>
      </c>
      <c r="B256">
        <f>IFERROR(__xludf.DUMMYFUNCTION("""COMPUTED_VALUE"""),"SPY×FAMILY")</f>
        <v/>
      </c>
      <c r="C256">
        <f>IFERROR(__xludf.DUMMYFUNCTION("""COMPUTED_VALUE"""),"veryhard")</f>
        <v/>
      </c>
      <c r="D256">
        <f>IFERROR(__xludf.DUMMYFUNCTION("""COMPUTED_VALUE"""),"main")</f>
        <v/>
      </c>
      <c r="E256">
        <f>IFERROR(__xludf.DUMMYFUNCTION("""COMPUTED_VALUE"""),"メインクエスト")</f>
        <v/>
      </c>
      <c r="F256">
        <f>IFERROR(__xludf.DUMMYFUNCTION("""COMPUTED_VALUE"""),"quest_main_spy_veryhard_1")</f>
        <v/>
      </c>
      <c r="G256">
        <f>IFERROR(__xludf.DUMMYFUNCTION("""COMPUTED_VALUE"""),"1.SPY FAMILY")</f>
        <v/>
      </c>
      <c r="H256">
        <f>IFERROR(__xludf.DUMMYFUNCTION("""COMPUTED_VALUE"""),"01")</f>
        <v/>
      </c>
      <c r="I256">
        <f>IFERROR(__xludf.DUMMYFUNCTION("""COMPUTED_VALUE"""),"veryhard_spy_00001")</f>
        <v/>
      </c>
      <c r="J256">
        <f>IFERROR(__xludf.DUMMYFUNCTION("""COMPUTED_VALUE"""),"stage_icon_spy_veryhard_01")</f>
        <v/>
      </c>
    </row>
    <row r="257">
      <c r="A257">
        <f>IFERROR(__xludf.DUMMYFUNCTION("""COMPUTED_VALUE"""),"spy")</f>
        <v/>
      </c>
      <c r="B257">
        <f>IFERROR(__xludf.DUMMYFUNCTION("""COMPUTED_VALUE"""),"SPY×FAMILY")</f>
        <v/>
      </c>
      <c r="C257">
        <f>IFERROR(__xludf.DUMMYFUNCTION("""COMPUTED_VALUE"""),"veryhard")</f>
        <v/>
      </c>
      <c r="D257">
        <f>IFERROR(__xludf.DUMMYFUNCTION("""COMPUTED_VALUE"""),"main")</f>
        <v/>
      </c>
      <c r="E257">
        <f>IFERROR(__xludf.DUMMYFUNCTION("""COMPUTED_VALUE"""),"メインクエスト")</f>
        <v/>
      </c>
      <c r="F257">
        <f>IFERROR(__xludf.DUMMYFUNCTION("""COMPUTED_VALUE"""),"quest_main_spy_veryhard_1")</f>
        <v/>
      </c>
      <c r="G257">
        <f>IFERROR(__xludf.DUMMYFUNCTION("""COMPUTED_VALUE"""),"1.SPY FAMILY")</f>
        <v/>
      </c>
      <c r="H257">
        <f>IFERROR(__xludf.DUMMYFUNCTION("""COMPUTED_VALUE"""),"02")</f>
        <v/>
      </c>
      <c r="I257">
        <f>IFERROR(__xludf.DUMMYFUNCTION("""COMPUTED_VALUE"""),"veryhard_spy_00002")</f>
        <v/>
      </c>
      <c r="J257">
        <f>IFERROR(__xludf.DUMMYFUNCTION("""COMPUTED_VALUE"""),"stage_icon_spy_veryhard_02")</f>
        <v/>
      </c>
    </row>
    <row r="258">
      <c r="A258">
        <f>IFERROR(__xludf.DUMMYFUNCTION("""COMPUTED_VALUE"""),"spy")</f>
        <v/>
      </c>
      <c r="B258">
        <f>IFERROR(__xludf.DUMMYFUNCTION("""COMPUTED_VALUE"""),"SPY×FAMILY")</f>
        <v/>
      </c>
      <c r="C258">
        <f>IFERROR(__xludf.DUMMYFUNCTION("""COMPUTED_VALUE"""),"veryhard")</f>
        <v/>
      </c>
      <c r="D258">
        <f>IFERROR(__xludf.DUMMYFUNCTION("""COMPUTED_VALUE"""),"main")</f>
        <v/>
      </c>
      <c r="E258">
        <f>IFERROR(__xludf.DUMMYFUNCTION("""COMPUTED_VALUE"""),"メインクエスト")</f>
        <v/>
      </c>
      <c r="F258">
        <f>IFERROR(__xludf.DUMMYFUNCTION("""COMPUTED_VALUE"""),"quest_main_spy_veryhard_1")</f>
        <v/>
      </c>
      <c r="G258">
        <f>IFERROR(__xludf.DUMMYFUNCTION("""COMPUTED_VALUE"""),"1.SPY FAMILY")</f>
        <v/>
      </c>
      <c r="H258">
        <f>IFERROR(__xludf.DUMMYFUNCTION("""COMPUTED_VALUE"""),"03")</f>
        <v/>
      </c>
      <c r="I258">
        <f>IFERROR(__xludf.DUMMYFUNCTION("""COMPUTED_VALUE"""),"veryhard_spy_00003")</f>
        <v/>
      </c>
      <c r="J258">
        <f>IFERROR(__xludf.DUMMYFUNCTION("""COMPUTED_VALUE"""),"stage_icon_spy_veryhard_03")</f>
        <v/>
      </c>
    </row>
    <row r="259">
      <c r="A259">
        <f>IFERROR(__xludf.DUMMYFUNCTION("""COMPUTED_VALUE"""),"spy")</f>
        <v/>
      </c>
      <c r="B259">
        <f>IFERROR(__xludf.DUMMYFUNCTION("""COMPUTED_VALUE"""),"SPY×FAMILY")</f>
        <v/>
      </c>
      <c r="C259">
        <f>IFERROR(__xludf.DUMMYFUNCTION("""COMPUTED_VALUE"""),"veryhard")</f>
        <v/>
      </c>
      <c r="D259">
        <f>IFERROR(__xludf.DUMMYFUNCTION("""COMPUTED_VALUE"""),"main")</f>
        <v/>
      </c>
      <c r="E259">
        <f>IFERROR(__xludf.DUMMYFUNCTION("""COMPUTED_VALUE"""),"メインクエスト")</f>
        <v/>
      </c>
      <c r="F259">
        <f>IFERROR(__xludf.DUMMYFUNCTION("""COMPUTED_VALUE"""),"quest_main_spy_veryhard_1")</f>
        <v/>
      </c>
      <c r="G259">
        <f>IFERROR(__xludf.DUMMYFUNCTION("""COMPUTED_VALUE"""),"1.SPY FAMILY")</f>
        <v/>
      </c>
      <c r="H259">
        <f>IFERROR(__xludf.DUMMYFUNCTION("""COMPUTED_VALUE"""),"04")</f>
        <v/>
      </c>
      <c r="I259">
        <f>IFERROR(__xludf.DUMMYFUNCTION("""COMPUTED_VALUE"""),"veryhard_spy_00004")</f>
        <v/>
      </c>
      <c r="J259">
        <f>IFERROR(__xludf.DUMMYFUNCTION("""COMPUTED_VALUE"""),"stage_icon_spy_veryhard_04")</f>
        <v/>
      </c>
    </row>
    <row r="260">
      <c r="A260">
        <f>IFERROR(__xludf.DUMMYFUNCTION("""COMPUTED_VALUE"""),"spy")</f>
        <v/>
      </c>
      <c r="B260">
        <f>IFERROR(__xludf.DUMMYFUNCTION("""COMPUTED_VALUE"""),"SPY×FAMILY")</f>
        <v/>
      </c>
      <c r="C260">
        <f>IFERROR(__xludf.DUMMYFUNCTION("""COMPUTED_VALUE"""),"veryhard")</f>
        <v/>
      </c>
      <c r="D260">
        <f>IFERROR(__xludf.DUMMYFUNCTION("""COMPUTED_VALUE"""),"main")</f>
        <v/>
      </c>
      <c r="E260">
        <f>IFERROR(__xludf.DUMMYFUNCTION("""COMPUTED_VALUE"""),"メインクエスト")</f>
        <v/>
      </c>
      <c r="F260">
        <f>IFERROR(__xludf.DUMMYFUNCTION("""COMPUTED_VALUE"""),"quest_main_spy_veryhard_1")</f>
        <v/>
      </c>
      <c r="G260">
        <f>IFERROR(__xludf.DUMMYFUNCTION("""COMPUTED_VALUE"""),"1.SPY FAMILY")</f>
        <v/>
      </c>
      <c r="H260">
        <f>IFERROR(__xludf.DUMMYFUNCTION("""COMPUTED_VALUE"""),"05")</f>
        <v/>
      </c>
      <c r="I260">
        <f>IFERROR(__xludf.DUMMYFUNCTION("""COMPUTED_VALUE"""),"veryhard_spy_00005")</f>
        <v/>
      </c>
      <c r="J260">
        <f>IFERROR(__xludf.DUMMYFUNCTION("""COMPUTED_VALUE"""),"stage_icon_spy_veryhard_05")</f>
        <v/>
      </c>
    </row>
    <row r="261">
      <c r="A261">
        <f>IFERROR(__xludf.DUMMYFUNCTION("""COMPUTED_VALUE"""),"spy")</f>
        <v/>
      </c>
      <c r="B261">
        <f>IFERROR(__xludf.DUMMYFUNCTION("""COMPUTED_VALUE"""),"SPY×FAMILY")</f>
        <v/>
      </c>
      <c r="C261">
        <f>IFERROR(__xludf.DUMMYFUNCTION("""COMPUTED_VALUE"""),"veryhard")</f>
        <v/>
      </c>
      <c r="D261">
        <f>IFERROR(__xludf.DUMMYFUNCTION("""COMPUTED_VALUE"""),"main")</f>
        <v/>
      </c>
      <c r="E261">
        <f>IFERROR(__xludf.DUMMYFUNCTION("""COMPUTED_VALUE"""),"メインクエスト")</f>
        <v/>
      </c>
      <c r="F261">
        <f>IFERROR(__xludf.DUMMYFUNCTION("""COMPUTED_VALUE"""),"quest_main_spy_veryhard_1")</f>
        <v/>
      </c>
      <c r="G261">
        <f>IFERROR(__xludf.DUMMYFUNCTION("""COMPUTED_VALUE"""),"1.SPY FAMILY")</f>
        <v/>
      </c>
      <c r="H261">
        <f>IFERROR(__xludf.DUMMYFUNCTION("""COMPUTED_VALUE"""),"06")</f>
        <v/>
      </c>
      <c r="I261">
        <f>IFERROR(__xludf.DUMMYFUNCTION("""COMPUTED_VALUE"""),"veryhard_spy_00006")</f>
        <v/>
      </c>
      <c r="J261">
        <f>IFERROR(__xludf.DUMMYFUNCTION("""COMPUTED_VALUE"""),"stage_icon_spy_veryhard_06")</f>
        <v/>
      </c>
    </row>
    <row r="263">
      <c r="A263">
        <f>IFERROR(__xludf.DUMMYFUNCTION("""COMPUTED_VALUE"""),"gom")</f>
        <v/>
      </c>
      <c r="B263">
        <f>IFERROR(__xludf.DUMMYFUNCTION("""COMPUTED_VALUE"""),"姫様“拷問”の時間です")</f>
        <v/>
      </c>
      <c r="C263">
        <f>IFERROR(__xludf.DUMMYFUNCTION("""COMPUTED_VALUE"""),"veryhard")</f>
        <v/>
      </c>
      <c r="D263">
        <f>IFERROR(__xludf.DUMMYFUNCTION("""COMPUTED_VALUE"""),"main")</f>
        <v/>
      </c>
      <c r="E263">
        <f>IFERROR(__xludf.DUMMYFUNCTION("""COMPUTED_VALUE"""),"メインクエスト")</f>
        <v/>
      </c>
      <c r="F263">
        <f>IFERROR(__xludf.DUMMYFUNCTION("""COMPUTED_VALUE"""),"quest_main_gom_veryhard_2")</f>
        <v/>
      </c>
      <c r="G263">
        <f>IFERROR(__xludf.DUMMYFUNCTION("""COMPUTED_VALUE"""),"2.姫様“拷問”の時間です")</f>
        <v/>
      </c>
      <c r="H263">
        <f>IFERROR(__xludf.DUMMYFUNCTION("""COMPUTED_VALUE"""),"01")</f>
        <v/>
      </c>
      <c r="I263">
        <f>IFERROR(__xludf.DUMMYFUNCTION("""COMPUTED_VALUE"""),"veryhard_gom_00001")</f>
        <v/>
      </c>
      <c r="J263">
        <f>IFERROR(__xludf.DUMMYFUNCTION("""COMPUTED_VALUE"""),"stage_icon_gom_veryhard_01")</f>
        <v/>
      </c>
    </row>
    <row r="264">
      <c r="A264">
        <f>IFERROR(__xludf.DUMMYFUNCTION("""COMPUTED_VALUE"""),"gom")</f>
        <v/>
      </c>
      <c r="B264">
        <f>IFERROR(__xludf.DUMMYFUNCTION("""COMPUTED_VALUE"""),"姫様“拷問”の時間です")</f>
        <v/>
      </c>
      <c r="C264">
        <f>IFERROR(__xludf.DUMMYFUNCTION("""COMPUTED_VALUE"""),"veryhard")</f>
        <v/>
      </c>
      <c r="D264">
        <f>IFERROR(__xludf.DUMMYFUNCTION("""COMPUTED_VALUE"""),"main")</f>
        <v/>
      </c>
      <c r="E264">
        <f>IFERROR(__xludf.DUMMYFUNCTION("""COMPUTED_VALUE"""),"メインクエスト")</f>
        <v/>
      </c>
      <c r="F264">
        <f>IFERROR(__xludf.DUMMYFUNCTION("""COMPUTED_VALUE"""),"quest_main_gom_veryhard_2")</f>
        <v/>
      </c>
      <c r="G264">
        <f>IFERROR(__xludf.DUMMYFUNCTION("""COMPUTED_VALUE"""),"2.姫様“拷問”の時間です")</f>
        <v/>
      </c>
      <c r="H264">
        <f>IFERROR(__xludf.DUMMYFUNCTION("""COMPUTED_VALUE"""),"02")</f>
        <v/>
      </c>
      <c r="I264">
        <f>IFERROR(__xludf.DUMMYFUNCTION("""COMPUTED_VALUE"""),"veryhard_gom_00002")</f>
        <v/>
      </c>
      <c r="J264">
        <f>IFERROR(__xludf.DUMMYFUNCTION("""COMPUTED_VALUE"""),"stage_icon_gom_veryhard_02")</f>
        <v/>
      </c>
    </row>
    <row r="265">
      <c r="A265">
        <f>IFERROR(__xludf.DUMMYFUNCTION("""COMPUTED_VALUE"""),"gom")</f>
        <v/>
      </c>
      <c r="B265">
        <f>IFERROR(__xludf.DUMMYFUNCTION("""COMPUTED_VALUE"""),"姫様“拷問”の時間です")</f>
        <v/>
      </c>
      <c r="C265">
        <f>IFERROR(__xludf.DUMMYFUNCTION("""COMPUTED_VALUE"""),"veryhard")</f>
        <v/>
      </c>
      <c r="D265">
        <f>IFERROR(__xludf.DUMMYFUNCTION("""COMPUTED_VALUE"""),"main")</f>
        <v/>
      </c>
      <c r="E265">
        <f>IFERROR(__xludf.DUMMYFUNCTION("""COMPUTED_VALUE"""),"メインクエスト")</f>
        <v/>
      </c>
      <c r="F265">
        <f>IFERROR(__xludf.DUMMYFUNCTION("""COMPUTED_VALUE"""),"quest_main_gom_veryhard_2")</f>
        <v/>
      </c>
      <c r="G265">
        <f>IFERROR(__xludf.DUMMYFUNCTION("""COMPUTED_VALUE"""),"2.姫様“拷問”の時間です")</f>
        <v/>
      </c>
      <c r="H265">
        <f>IFERROR(__xludf.DUMMYFUNCTION("""COMPUTED_VALUE"""),"03")</f>
        <v/>
      </c>
      <c r="I265">
        <f>IFERROR(__xludf.DUMMYFUNCTION("""COMPUTED_VALUE"""),"veryhard_gom_00003")</f>
        <v/>
      </c>
      <c r="J265">
        <f>IFERROR(__xludf.DUMMYFUNCTION("""COMPUTED_VALUE"""),"stage_icon_gom_veryhard_03")</f>
        <v/>
      </c>
    </row>
    <row r="266">
      <c r="A266">
        <f>IFERROR(__xludf.DUMMYFUNCTION("""COMPUTED_VALUE"""),"gom")</f>
        <v/>
      </c>
      <c r="B266">
        <f>IFERROR(__xludf.DUMMYFUNCTION("""COMPUTED_VALUE"""),"姫様“拷問”の時間です")</f>
        <v/>
      </c>
      <c r="C266">
        <f>IFERROR(__xludf.DUMMYFUNCTION("""COMPUTED_VALUE"""),"veryhard")</f>
        <v/>
      </c>
      <c r="D266">
        <f>IFERROR(__xludf.DUMMYFUNCTION("""COMPUTED_VALUE"""),"main")</f>
        <v/>
      </c>
      <c r="E266">
        <f>IFERROR(__xludf.DUMMYFUNCTION("""COMPUTED_VALUE"""),"メインクエスト")</f>
        <v/>
      </c>
      <c r="F266">
        <f>IFERROR(__xludf.DUMMYFUNCTION("""COMPUTED_VALUE"""),"quest_main_gom_veryhard_2")</f>
        <v/>
      </c>
      <c r="G266">
        <f>IFERROR(__xludf.DUMMYFUNCTION("""COMPUTED_VALUE"""),"2.姫様“拷問”の時間です")</f>
        <v/>
      </c>
      <c r="H266">
        <f>IFERROR(__xludf.DUMMYFUNCTION("""COMPUTED_VALUE"""),"04")</f>
        <v/>
      </c>
      <c r="I266">
        <f>IFERROR(__xludf.DUMMYFUNCTION("""COMPUTED_VALUE"""),"veryhard_gom_00004")</f>
        <v/>
      </c>
      <c r="J266">
        <f>IFERROR(__xludf.DUMMYFUNCTION("""COMPUTED_VALUE"""),"stage_icon_gom_veryhard_04")</f>
        <v/>
      </c>
    </row>
    <row r="267">
      <c r="A267">
        <f>IFERROR(__xludf.DUMMYFUNCTION("""COMPUTED_VALUE"""),"gom")</f>
        <v/>
      </c>
      <c r="B267">
        <f>IFERROR(__xludf.DUMMYFUNCTION("""COMPUTED_VALUE"""),"姫様“拷問”の時間です")</f>
        <v/>
      </c>
      <c r="C267">
        <f>IFERROR(__xludf.DUMMYFUNCTION("""COMPUTED_VALUE"""),"veryhard")</f>
        <v/>
      </c>
      <c r="D267">
        <f>IFERROR(__xludf.DUMMYFUNCTION("""COMPUTED_VALUE"""),"main")</f>
        <v/>
      </c>
      <c r="E267">
        <f>IFERROR(__xludf.DUMMYFUNCTION("""COMPUTED_VALUE"""),"メインクエスト")</f>
        <v/>
      </c>
      <c r="F267">
        <f>IFERROR(__xludf.DUMMYFUNCTION("""COMPUTED_VALUE"""),"quest_main_gom_veryhard_2")</f>
        <v/>
      </c>
      <c r="G267">
        <f>IFERROR(__xludf.DUMMYFUNCTION("""COMPUTED_VALUE"""),"2.姫様“拷問”の時間です")</f>
        <v/>
      </c>
      <c r="H267">
        <f>IFERROR(__xludf.DUMMYFUNCTION("""COMPUTED_VALUE"""),"05")</f>
        <v/>
      </c>
      <c r="I267">
        <f>IFERROR(__xludf.DUMMYFUNCTION("""COMPUTED_VALUE"""),"veryhard_gom_00005")</f>
        <v/>
      </c>
      <c r="J267">
        <f>IFERROR(__xludf.DUMMYFUNCTION("""COMPUTED_VALUE"""),"stage_icon_gom_veryhard_05")</f>
        <v/>
      </c>
    </row>
    <row r="268">
      <c r="A268">
        <f>IFERROR(__xludf.DUMMYFUNCTION("""COMPUTED_VALUE"""),"gom")</f>
        <v/>
      </c>
      <c r="B268">
        <f>IFERROR(__xludf.DUMMYFUNCTION("""COMPUTED_VALUE"""),"姫様“拷問”の時間です")</f>
        <v/>
      </c>
      <c r="C268">
        <f>IFERROR(__xludf.DUMMYFUNCTION("""COMPUTED_VALUE"""),"veryhard")</f>
        <v/>
      </c>
      <c r="D268">
        <f>IFERROR(__xludf.DUMMYFUNCTION("""COMPUTED_VALUE"""),"main")</f>
        <v/>
      </c>
      <c r="E268">
        <f>IFERROR(__xludf.DUMMYFUNCTION("""COMPUTED_VALUE"""),"メインクエスト")</f>
        <v/>
      </c>
      <c r="F268">
        <f>IFERROR(__xludf.DUMMYFUNCTION("""COMPUTED_VALUE"""),"quest_main_gom_veryhard_2")</f>
        <v/>
      </c>
      <c r="G268">
        <f>IFERROR(__xludf.DUMMYFUNCTION("""COMPUTED_VALUE"""),"2.姫様“拷問”の時間です")</f>
        <v/>
      </c>
      <c r="H268">
        <f>IFERROR(__xludf.DUMMYFUNCTION("""COMPUTED_VALUE"""),"06")</f>
        <v/>
      </c>
      <c r="I268">
        <f>IFERROR(__xludf.DUMMYFUNCTION("""COMPUTED_VALUE"""),"veryhard_gom_00006")</f>
        <v/>
      </c>
      <c r="J268">
        <f>IFERROR(__xludf.DUMMYFUNCTION("""COMPUTED_VALUE"""),"stage_icon_gom_veryhard_06")</f>
        <v/>
      </c>
    </row>
    <row r="270">
      <c r="A270">
        <f>IFERROR(__xludf.DUMMYFUNCTION("""COMPUTED_VALUE"""),"aka")</f>
        <v/>
      </c>
      <c r="B270">
        <f>IFERROR(__xludf.DUMMYFUNCTION("""COMPUTED_VALUE"""),"ラーメン赤猫")</f>
        <v/>
      </c>
      <c r="C270">
        <f>IFERROR(__xludf.DUMMYFUNCTION("""COMPUTED_VALUE"""),"veryhard")</f>
        <v/>
      </c>
      <c r="D270">
        <f>IFERROR(__xludf.DUMMYFUNCTION("""COMPUTED_VALUE"""),"main")</f>
        <v/>
      </c>
      <c r="E270">
        <f>IFERROR(__xludf.DUMMYFUNCTION("""COMPUTED_VALUE"""),"メインクエスト")</f>
        <v/>
      </c>
      <c r="F270">
        <f>IFERROR(__xludf.DUMMYFUNCTION("""COMPUTED_VALUE"""),"quest_main_aka_veryhard_3")</f>
        <v/>
      </c>
      <c r="G270">
        <f>IFERROR(__xludf.DUMMYFUNCTION("""COMPUTED_VALUE"""),"3.ラーメン赤猫")</f>
        <v/>
      </c>
      <c r="H270">
        <f>IFERROR(__xludf.DUMMYFUNCTION("""COMPUTED_VALUE"""),"01")</f>
        <v/>
      </c>
      <c r="I270">
        <f>IFERROR(__xludf.DUMMYFUNCTION("""COMPUTED_VALUE"""),"veryhard_aka_00001")</f>
        <v/>
      </c>
      <c r="J270">
        <f>IFERROR(__xludf.DUMMYFUNCTION("""COMPUTED_VALUE"""),"stage_icon_aka_veryhard_01")</f>
        <v/>
      </c>
    </row>
    <row r="271">
      <c r="A271">
        <f>IFERROR(__xludf.DUMMYFUNCTION("""COMPUTED_VALUE"""),"aka")</f>
        <v/>
      </c>
      <c r="B271">
        <f>IFERROR(__xludf.DUMMYFUNCTION("""COMPUTED_VALUE"""),"ラーメン赤猫")</f>
        <v/>
      </c>
      <c r="C271">
        <f>IFERROR(__xludf.DUMMYFUNCTION("""COMPUTED_VALUE"""),"veryhard")</f>
        <v/>
      </c>
      <c r="D271">
        <f>IFERROR(__xludf.DUMMYFUNCTION("""COMPUTED_VALUE"""),"main")</f>
        <v/>
      </c>
      <c r="E271">
        <f>IFERROR(__xludf.DUMMYFUNCTION("""COMPUTED_VALUE"""),"メインクエスト")</f>
        <v/>
      </c>
      <c r="F271">
        <f>IFERROR(__xludf.DUMMYFUNCTION("""COMPUTED_VALUE"""),"quest_main_aka_veryhard_3")</f>
        <v/>
      </c>
      <c r="G271">
        <f>IFERROR(__xludf.DUMMYFUNCTION("""COMPUTED_VALUE"""),"3.ラーメン赤猫")</f>
        <v/>
      </c>
      <c r="H271">
        <f>IFERROR(__xludf.DUMMYFUNCTION("""COMPUTED_VALUE"""),"02")</f>
        <v/>
      </c>
      <c r="I271">
        <f>IFERROR(__xludf.DUMMYFUNCTION("""COMPUTED_VALUE"""),"veryhard_aka_00002")</f>
        <v/>
      </c>
      <c r="J271">
        <f>IFERROR(__xludf.DUMMYFUNCTION("""COMPUTED_VALUE"""),"stage_icon_aka_veryhard_02")</f>
        <v/>
      </c>
    </row>
    <row r="272">
      <c r="A272">
        <f>IFERROR(__xludf.DUMMYFUNCTION("""COMPUTED_VALUE"""),"aka")</f>
        <v/>
      </c>
      <c r="B272">
        <f>IFERROR(__xludf.DUMMYFUNCTION("""COMPUTED_VALUE"""),"ラーメン赤猫")</f>
        <v/>
      </c>
      <c r="C272">
        <f>IFERROR(__xludf.DUMMYFUNCTION("""COMPUTED_VALUE"""),"veryhard")</f>
        <v/>
      </c>
      <c r="D272">
        <f>IFERROR(__xludf.DUMMYFUNCTION("""COMPUTED_VALUE"""),"main")</f>
        <v/>
      </c>
      <c r="E272">
        <f>IFERROR(__xludf.DUMMYFUNCTION("""COMPUTED_VALUE"""),"メインクエスト")</f>
        <v/>
      </c>
      <c r="F272">
        <f>IFERROR(__xludf.DUMMYFUNCTION("""COMPUTED_VALUE"""),"quest_main_aka_veryhard_3")</f>
        <v/>
      </c>
      <c r="G272">
        <f>IFERROR(__xludf.DUMMYFUNCTION("""COMPUTED_VALUE"""),"3.ラーメン赤猫")</f>
        <v/>
      </c>
      <c r="H272">
        <f>IFERROR(__xludf.DUMMYFUNCTION("""COMPUTED_VALUE"""),"03")</f>
        <v/>
      </c>
      <c r="I272">
        <f>IFERROR(__xludf.DUMMYFUNCTION("""COMPUTED_VALUE"""),"veryhard_aka_00003")</f>
        <v/>
      </c>
      <c r="J272">
        <f>IFERROR(__xludf.DUMMYFUNCTION("""COMPUTED_VALUE"""),"stage_icon_aka_veryhard_03")</f>
        <v/>
      </c>
    </row>
    <row r="274">
      <c r="A274">
        <f>IFERROR(__xludf.DUMMYFUNCTION("""COMPUTED_VALUE"""),"glo1")</f>
        <v/>
      </c>
      <c r="B274">
        <f>IFERROR(__xludf.DUMMYFUNCTION("""COMPUTED_VALUE"""),"GLOW")</f>
        <v/>
      </c>
      <c r="C274">
        <f>IFERROR(__xludf.DUMMYFUNCTION("""COMPUTED_VALUE"""),"veryhard")</f>
        <v/>
      </c>
      <c r="D274">
        <f>IFERROR(__xludf.DUMMYFUNCTION("""COMPUTED_VALUE"""),"main")</f>
        <v/>
      </c>
      <c r="E274">
        <f>IFERROR(__xludf.DUMMYFUNCTION("""COMPUTED_VALUE"""),"メインクエスト")</f>
        <v/>
      </c>
      <c r="F274">
        <f>IFERROR(__xludf.DUMMYFUNCTION("""COMPUTED_VALUE"""),"quest_main_glo1_veryhard_4")</f>
        <v/>
      </c>
      <c r="G274">
        <f>IFERROR(__xludf.DUMMYFUNCTION("""COMPUTED_VALUE"""),"4.リミックスクエスト Vol.1")</f>
        <v/>
      </c>
      <c r="H274">
        <f>IFERROR(__xludf.DUMMYFUNCTION("""COMPUTED_VALUE"""),"01")</f>
        <v/>
      </c>
      <c r="I274">
        <f>IFERROR(__xludf.DUMMYFUNCTION("""COMPUTED_VALUE"""),"veryhard_glo1_00001")</f>
        <v/>
      </c>
      <c r="J274">
        <f>IFERROR(__xludf.DUMMYFUNCTION("""COMPUTED_VALUE"""),"stage_icon_glo1_veryhard_01")</f>
        <v/>
      </c>
    </row>
    <row r="275">
      <c r="A275">
        <f>IFERROR(__xludf.DUMMYFUNCTION("""COMPUTED_VALUE"""),"glo1")</f>
        <v/>
      </c>
      <c r="B275">
        <f>IFERROR(__xludf.DUMMYFUNCTION("""COMPUTED_VALUE"""),"GLOW")</f>
        <v/>
      </c>
      <c r="C275">
        <f>IFERROR(__xludf.DUMMYFUNCTION("""COMPUTED_VALUE"""),"veryhard")</f>
        <v/>
      </c>
      <c r="D275">
        <f>IFERROR(__xludf.DUMMYFUNCTION("""COMPUTED_VALUE"""),"main")</f>
        <v/>
      </c>
      <c r="E275">
        <f>IFERROR(__xludf.DUMMYFUNCTION("""COMPUTED_VALUE"""),"メインクエスト")</f>
        <v/>
      </c>
      <c r="F275">
        <f>IFERROR(__xludf.DUMMYFUNCTION("""COMPUTED_VALUE"""),"quest_main_glo1_veryhard_4")</f>
        <v/>
      </c>
      <c r="G275">
        <f>IFERROR(__xludf.DUMMYFUNCTION("""COMPUTED_VALUE"""),"4.リミックスクエスト Vol.1")</f>
        <v/>
      </c>
      <c r="H275">
        <f>IFERROR(__xludf.DUMMYFUNCTION("""COMPUTED_VALUE"""),"02")</f>
        <v/>
      </c>
      <c r="I275">
        <f>IFERROR(__xludf.DUMMYFUNCTION("""COMPUTED_VALUE"""),"veryhard_glo1_00002")</f>
        <v/>
      </c>
      <c r="J275">
        <f>IFERROR(__xludf.DUMMYFUNCTION("""COMPUTED_VALUE"""),"stage_icon_glo1_veryhard_02")</f>
        <v/>
      </c>
    </row>
    <row r="276">
      <c r="A276">
        <f>IFERROR(__xludf.DUMMYFUNCTION("""COMPUTED_VALUE"""),"glo1")</f>
        <v/>
      </c>
      <c r="B276">
        <f>IFERROR(__xludf.DUMMYFUNCTION("""COMPUTED_VALUE"""),"GLOW")</f>
        <v/>
      </c>
      <c r="C276">
        <f>IFERROR(__xludf.DUMMYFUNCTION("""COMPUTED_VALUE"""),"veryhard")</f>
        <v/>
      </c>
      <c r="D276">
        <f>IFERROR(__xludf.DUMMYFUNCTION("""COMPUTED_VALUE"""),"main")</f>
        <v/>
      </c>
      <c r="E276">
        <f>IFERROR(__xludf.DUMMYFUNCTION("""COMPUTED_VALUE"""),"メインクエスト")</f>
        <v/>
      </c>
      <c r="F276">
        <f>IFERROR(__xludf.DUMMYFUNCTION("""COMPUTED_VALUE"""),"quest_main_glo1_veryhard_4")</f>
        <v/>
      </c>
      <c r="G276">
        <f>IFERROR(__xludf.DUMMYFUNCTION("""COMPUTED_VALUE"""),"4.リミックスクエスト Vol.1")</f>
        <v/>
      </c>
      <c r="H276">
        <f>IFERROR(__xludf.DUMMYFUNCTION("""COMPUTED_VALUE"""),"03")</f>
        <v/>
      </c>
      <c r="I276">
        <f>IFERROR(__xludf.DUMMYFUNCTION("""COMPUTED_VALUE"""),"veryhard_glo1_00003")</f>
        <v/>
      </c>
      <c r="J276">
        <f>IFERROR(__xludf.DUMMYFUNCTION("""COMPUTED_VALUE"""),"stage_icon_glo1_veryhard_03")</f>
        <v/>
      </c>
    </row>
    <row r="277">
      <c r="A277">
        <f>IFERROR(__xludf.DUMMYFUNCTION("""COMPUTED_VALUE"""),"glo1")</f>
        <v/>
      </c>
      <c r="B277">
        <f>IFERROR(__xludf.DUMMYFUNCTION("""COMPUTED_VALUE"""),"GLOW")</f>
        <v/>
      </c>
      <c r="C277">
        <f>IFERROR(__xludf.DUMMYFUNCTION("""COMPUTED_VALUE"""),"veryhard")</f>
        <v/>
      </c>
      <c r="D277">
        <f>IFERROR(__xludf.DUMMYFUNCTION("""COMPUTED_VALUE"""),"main")</f>
        <v/>
      </c>
      <c r="E277">
        <f>IFERROR(__xludf.DUMMYFUNCTION("""COMPUTED_VALUE"""),"メインクエスト")</f>
        <v/>
      </c>
      <c r="F277">
        <f>IFERROR(__xludf.DUMMYFUNCTION("""COMPUTED_VALUE"""),"quest_main_glo1_veryhard_4")</f>
        <v/>
      </c>
      <c r="G277">
        <f>IFERROR(__xludf.DUMMYFUNCTION("""COMPUTED_VALUE"""),"4.リミックスクエスト Vol.1")</f>
        <v/>
      </c>
      <c r="H277">
        <f>IFERROR(__xludf.DUMMYFUNCTION("""COMPUTED_VALUE"""),"04")</f>
        <v/>
      </c>
      <c r="I277">
        <f>IFERROR(__xludf.DUMMYFUNCTION("""COMPUTED_VALUE"""),"veryhard_glo1_00004")</f>
        <v/>
      </c>
      <c r="J277">
        <f>IFERROR(__xludf.DUMMYFUNCTION("""COMPUTED_VALUE"""),"stage_icon_glo1_veryhard_04")</f>
        <v/>
      </c>
    </row>
    <row r="278">
      <c r="A278">
        <f>IFERROR(__xludf.DUMMYFUNCTION("""COMPUTED_VALUE"""),"glo1")</f>
        <v/>
      </c>
      <c r="B278">
        <f>IFERROR(__xludf.DUMMYFUNCTION("""COMPUTED_VALUE"""),"GLOW")</f>
        <v/>
      </c>
      <c r="C278">
        <f>IFERROR(__xludf.DUMMYFUNCTION("""COMPUTED_VALUE"""),"veryhard")</f>
        <v/>
      </c>
      <c r="D278">
        <f>IFERROR(__xludf.DUMMYFUNCTION("""COMPUTED_VALUE"""),"main")</f>
        <v/>
      </c>
      <c r="E278">
        <f>IFERROR(__xludf.DUMMYFUNCTION("""COMPUTED_VALUE"""),"メインクエスト")</f>
        <v/>
      </c>
      <c r="F278">
        <f>IFERROR(__xludf.DUMMYFUNCTION("""COMPUTED_VALUE"""),"quest_main_glo1_veryhard_4")</f>
        <v/>
      </c>
      <c r="G278">
        <f>IFERROR(__xludf.DUMMYFUNCTION("""COMPUTED_VALUE"""),"4.リミックスクエスト Vol.1")</f>
        <v/>
      </c>
      <c r="H278">
        <f>IFERROR(__xludf.DUMMYFUNCTION("""COMPUTED_VALUE"""),"05")</f>
        <v/>
      </c>
      <c r="I278">
        <f>IFERROR(__xludf.DUMMYFUNCTION("""COMPUTED_VALUE"""),"veryhard_glo1_00005")</f>
        <v/>
      </c>
      <c r="J278">
        <f>IFERROR(__xludf.DUMMYFUNCTION("""COMPUTED_VALUE"""),"stage_icon_glo1_veryhard_05")</f>
        <v/>
      </c>
    </row>
    <row r="279">
      <c r="A279">
        <f>IFERROR(__xludf.DUMMYFUNCTION("""COMPUTED_VALUE"""),"glo1")</f>
        <v/>
      </c>
      <c r="B279">
        <f>IFERROR(__xludf.DUMMYFUNCTION("""COMPUTED_VALUE"""),"GLOW")</f>
        <v/>
      </c>
      <c r="C279">
        <f>IFERROR(__xludf.DUMMYFUNCTION("""COMPUTED_VALUE"""),"veryhard")</f>
        <v/>
      </c>
      <c r="D279">
        <f>IFERROR(__xludf.DUMMYFUNCTION("""COMPUTED_VALUE"""),"main")</f>
        <v/>
      </c>
      <c r="E279">
        <f>IFERROR(__xludf.DUMMYFUNCTION("""COMPUTED_VALUE"""),"メインクエスト")</f>
        <v/>
      </c>
      <c r="F279">
        <f>IFERROR(__xludf.DUMMYFUNCTION("""COMPUTED_VALUE"""),"quest_main_glo1_veryhard_4")</f>
        <v/>
      </c>
      <c r="G279">
        <f>IFERROR(__xludf.DUMMYFUNCTION("""COMPUTED_VALUE"""),"4.リミックスクエスト Vol.1")</f>
        <v/>
      </c>
      <c r="H279">
        <f>IFERROR(__xludf.DUMMYFUNCTION("""COMPUTED_VALUE"""),"06")</f>
        <v/>
      </c>
      <c r="I279">
        <f>IFERROR(__xludf.DUMMYFUNCTION("""COMPUTED_VALUE"""),"veryhard_glo1_00006")</f>
        <v/>
      </c>
      <c r="J279">
        <f>IFERROR(__xludf.DUMMYFUNCTION("""COMPUTED_VALUE"""),"stage_icon_glo1_veryhard_06")</f>
        <v/>
      </c>
    </row>
    <row r="281">
      <c r="A281">
        <f>IFERROR(__xludf.DUMMYFUNCTION("""COMPUTED_VALUE"""),"dan")</f>
        <v/>
      </c>
      <c r="B281">
        <f>IFERROR(__xludf.DUMMYFUNCTION("""COMPUTED_VALUE"""),"ダンダダン")</f>
        <v/>
      </c>
      <c r="C281">
        <f>IFERROR(__xludf.DUMMYFUNCTION("""COMPUTED_VALUE"""),"veryhard")</f>
        <v/>
      </c>
      <c r="D281">
        <f>IFERROR(__xludf.DUMMYFUNCTION("""COMPUTED_VALUE"""),"main")</f>
        <v/>
      </c>
      <c r="E281">
        <f>IFERROR(__xludf.DUMMYFUNCTION("""COMPUTED_VALUE"""),"メインクエスト")</f>
        <v/>
      </c>
      <c r="F281">
        <f>IFERROR(__xludf.DUMMYFUNCTION("""COMPUTED_VALUE"""),"quest_main_dan_veryhard_5")</f>
        <v/>
      </c>
      <c r="G281">
        <f>IFERROR(__xludf.DUMMYFUNCTION("""COMPUTED_VALUE"""),"5.ダンダダン")</f>
        <v/>
      </c>
      <c r="H281">
        <f>IFERROR(__xludf.DUMMYFUNCTION("""COMPUTED_VALUE"""),"01")</f>
        <v/>
      </c>
      <c r="I281">
        <f>IFERROR(__xludf.DUMMYFUNCTION("""COMPUTED_VALUE"""),"veryhard_dan_00001")</f>
        <v/>
      </c>
      <c r="J281">
        <f>IFERROR(__xludf.DUMMYFUNCTION("""COMPUTED_VALUE"""),"stage_icon_dan_veryhard_01")</f>
        <v/>
      </c>
    </row>
    <row r="282">
      <c r="A282">
        <f>IFERROR(__xludf.DUMMYFUNCTION("""COMPUTED_VALUE"""),"dan")</f>
        <v/>
      </c>
      <c r="B282">
        <f>IFERROR(__xludf.DUMMYFUNCTION("""COMPUTED_VALUE"""),"ダンダダン")</f>
        <v/>
      </c>
      <c r="C282">
        <f>IFERROR(__xludf.DUMMYFUNCTION("""COMPUTED_VALUE"""),"veryhard")</f>
        <v/>
      </c>
      <c r="D282">
        <f>IFERROR(__xludf.DUMMYFUNCTION("""COMPUTED_VALUE"""),"main")</f>
        <v/>
      </c>
      <c r="E282">
        <f>IFERROR(__xludf.DUMMYFUNCTION("""COMPUTED_VALUE"""),"メインクエスト")</f>
        <v/>
      </c>
      <c r="F282">
        <f>IFERROR(__xludf.DUMMYFUNCTION("""COMPUTED_VALUE"""),"quest_main_dan_veryhard_5")</f>
        <v/>
      </c>
      <c r="G282">
        <f>IFERROR(__xludf.DUMMYFUNCTION("""COMPUTED_VALUE"""),"5.ダンダダン")</f>
        <v/>
      </c>
      <c r="H282">
        <f>IFERROR(__xludf.DUMMYFUNCTION("""COMPUTED_VALUE"""),"02")</f>
        <v/>
      </c>
      <c r="I282">
        <f>IFERROR(__xludf.DUMMYFUNCTION("""COMPUTED_VALUE"""),"veryhard_dan_00002")</f>
        <v/>
      </c>
      <c r="J282">
        <f>IFERROR(__xludf.DUMMYFUNCTION("""COMPUTED_VALUE"""),"stage_icon_dan_veryhard_02")</f>
        <v/>
      </c>
    </row>
    <row r="283">
      <c r="A283">
        <f>IFERROR(__xludf.DUMMYFUNCTION("""COMPUTED_VALUE"""),"dan")</f>
        <v/>
      </c>
      <c r="B283">
        <f>IFERROR(__xludf.DUMMYFUNCTION("""COMPUTED_VALUE"""),"ダンダダン")</f>
        <v/>
      </c>
      <c r="C283">
        <f>IFERROR(__xludf.DUMMYFUNCTION("""COMPUTED_VALUE"""),"veryhard")</f>
        <v/>
      </c>
      <c r="D283">
        <f>IFERROR(__xludf.DUMMYFUNCTION("""COMPUTED_VALUE"""),"main")</f>
        <v/>
      </c>
      <c r="E283">
        <f>IFERROR(__xludf.DUMMYFUNCTION("""COMPUTED_VALUE"""),"メインクエスト")</f>
        <v/>
      </c>
      <c r="F283">
        <f>IFERROR(__xludf.DUMMYFUNCTION("""COMPUTED_VALUE"""),"quest_main_dan_veryhard_5")</f>
        <v/>
      </c>
      <c r="G283">
        <f>IFERROR(__xludf.DUMMYFUNCTION("""COMPUTED_VALUE"""),"5.ダンダダン")</f>
        <v/>
      </c>
      <c r="H283">
        <f>IFERROR(__xludf.DUMMYFUNCTION("""COMPUTED_VALUE"""),"03")</f>
        <v/>
      </c>
      <c r="I283">
        <f>IFERROR(__xludf.DUMMYFUNCTION("""COMPUTED_VALUE"""),"veryhard_dan_00003")</f>
        <v/>
      </c>
      <c r="J283">
        <f>IFERROR(__xludf.DUMMYFUNCTION("""COMPUTED_VALUE"""),"stage_icon_dan_veryhard_03")</f>
        <v/>
      </c>
    </row>
    <row r="284">
      <c r="A284">
        <f>IFERROR(__xludf.DUMMYFUNCTION("""COMPUTED_VALUE"""),"dan")</f>
        <v/>
      </c>
      <c r="B284">
        <f>IFERROR(__xludf.DUMMYFUNCTION("""COMPUTED_VALUE"""),"ダンダダン")</f>
        <v/>
      </c>
      <c r="C284">
        <f>IFERROR(__xludf.DUMMYFUNCTION("""COMPUTED_VALUE"""),"veryhard")</f>
        <v/>
      </c>
      <c r="D284">
        <f>IFERROR(__xludf.DUMMYFUNCTION("""COMPUTED_VALUE"""),"main")</f>
        <v/>
      </c>
      <c r="E284">
        <f>IFERROR(__xludf.DUMMYFUNCTION("""COMPUTED_VALUE"""),"メインクエスト")</f>
        <v/>
      </c>
      <c r="F284">
        <f>IFERROR(__xludf.DUMMYFUNCTION("""COMPUTED_VALUE"""),"quest_main_dan_veryhard_5")</f>
        <v/>
      </c>
      <c r="G284">
        <f>IFERROR(__xludf.DUMMYFUNCTION("""COMPUTED_VALUE"""),"5.ダンダダン")</f>
        <v/>
      </c>
      <c r="H284">
        <f>IFERROR(__xludf.DUMMYFUNCTION("""COMPUTED_VALUE"""),"04")</f>
        <v/>
      </c>
      <c r="I284">
        <f>IFERROR(__xludf.DUMMYFUNCTION("""COMPUTED_VALUE"""),"veryhard_dan_00004")</f>
        <v/>
      </c>
      <c r="J284">
        <f>IFERROR(__xludf.DUMMYFUNCTION("""COMPUTED_VALUE"""),"stage_icon_dan_veryhard_04")</f>
        <v/>
      </c>
    </row>
    <row r="285">
      <c r="A285">
        <f>IFERROR(__xludf.DUMMYFUNCTION("""COMPUTED_VALUE"""),"dan")</f>
        <v/>
      </c>
      <c r="B285">
        <f>IFERROR(__xludf.DUMMYFUNCTION("""COMPUTED_VALUE"""),"ダンダダン")</f>
        <v/>
      </c>
      <c r="C285">
        <f>IFERROR(__xludf.DUMMYFUNCTION("""COMPUTED_VALUE"""),"veryhard")</f>
        <v/>
      </c>
      <c r="D285">
        <f>IFERROR(__xludf.DUMMYFUNCTION("""COMPUTED_VALUE"""),"main")</f>
        <v/>
      </c>
      <c r="E285">
        <f>IFERROR(__xludf.DUMMYFUNCTION("""COMPUTED_VALUE"""),"メインクエスト")</f>
        <v/>
      </c>
      <c r="F285">
        <f>IFERROR(__xludf.DUMMYFUNCTION("""COMPUTED_VALUE"""),"quest_main_dan_veryhard_5")</f>
        <v/>
      </c>
      <c r="G285">
        <f>IFERROR(__xludf.DUMMYFUNCTION("""COMPUTED_VALUE"""),"5.ダンダダン")</f>
        <v/>
      </c>
      <c r="H285">
        <f>IFERROR(__xludf.DUMMYFUNCTION("""COMPUTED_VALUE"""),"05")</f>
        <v/>
      </c>
      <c r="I285">
        <f>IFERROR(__xludf.DUMMYFUNCTION("""COMPUTED_VALUE"""),"veryhard_dan_00005")</f>
        <v/>
      </c>
      <c r="J285">
        <f>IFERROR(__xludf.DUMMYFUNCTION("""COMPUTED_VALUE"""),"stage_icon_dan_veryhard_05")</f>
        <v/>
      </c>
    </row>
    <row r="286">
      <c r="A286">
        <f>IFERROR(__xludf.DUMMYFUNCTION("""COMPUTED_VALUE"""),"dan")</f>
        <v/>
      </c>
      <c r="B286">
        <f>IFERROR(__xludf.DUMMYFUNCTION("""COMPUTED_VALUE"""),"ダンダダン")</f>
        <v/>
      </c>
      <c r="C286">
        <f>IFERROR(__xludf.DUMMYFUNCTION("""COMPUTED_VALUE"""),"veryhard")</f>
        <v/>
      </c>
      <c r="D286">
        <f>IFERROR(__xludf.DUMMYFUNCTION("""COMPUTED_VALUE"""),"main")</f>
        <v/>
      </c>
      <c r="E286">
        <f>IFERROR(__xludf.DUMMYFUNCTION("""COMPUTED_VALUE"""),"メインクエスト")</f>
        <v/>
      </c>
      <c r="F286">
        <f>IFERROR(__xludf.DUMMYFUNCTION("""COMPUTED_VALUE"""),"quest_main_dan_veryhard_5")</f>
        <v/>
      </c>
      <c r="G286">
        <f>IFERROR(__xludf.DUMMYFUNCTION("""COMPUTED_VALUE"""),"5.ダンダダン")</f>
        <v/>
      </c>
      <c r="H286">
        <f>IFERROR(__xludf.DUMMYFUNCTION("""COMPUTED_VALUE"""),"06")</f>
        <v/>
      </c>
      <c r="I286">
        <f>IFERROR(__xludf.DUMMYFUNCTION("""COMPUTED_VALUE"""),"veryhard_dan_00006")</f>
        <v/>
      </c>
      <c r="J286">
        <f>IFERROR(__xludf.DUMMYFUNCTION("""COMPUTED_VALUE"""),"stage_icon_dan_veryhard_06")</f>
        <v/>
      </c>
    </row>
    <row r="288">
      <c r="A288">
        <f>IFERROR(__xludf.DUMMYFUNCTION("""COMPUTED_VALUE"""),"jig")</f>
        <v/>
      </c>
      <c r="B288">
        <f>IFERROR(__xludf.DUMMYFUNCTION("""COMPUTED_VALUE"""),"地獄楽")</f>
        <v/>
      </c>
      <c r="C288">
        <f>IFERROR(__xludf.DUMMYFUNCTION("""COMPUTED_VALUE"""),"veryhard")</f>
        <v/>
      </c>
      <c r="D288">
        <f>IFERROR(__xludf.DUMMYFUNCTION("""COMPUTED_VALUE"""),"main")</f>
        <v/>
      </c>
      <c r="E288">
        <f>IFERROR(__xludf.DUMMYFUNCTION("""COMPUTED_VALUE"""),"メインクエスト")</f>
        <v/>
      </c>
      <c r="F288">
        <f>IFERROR(__xludf.DUMMYFUNCTION("""COMPUTED_VALUE"""),"quest_main_jig_veryhard_6")</f>
        <v/>
      </c>
      <c r="G288">
        <f>IFERROR(__xludf.DUMMYFUNCTION("""COMPUTED_VALUE"""),"6.地獄楽")</f>
        <v/>
      </c>
      <c r="H288">
        <f>IFERROR(__xludf.DUMMYFUNCTION("""COMPUTED_VALUE"""),"01")</f>
        <v/>
      </c>
      <c r="I288">
        <f>IFERROR(__xludf.DUMMYFUNCTION("""COMPUTED_VALUE"""),"veryhard_jig_00001")</f>
        <v/>
      </c>
      <c r="J288">
        <f>IFERROR(__xludf.DUMMYFUNCTION("""COMPUTED_VALUE"""),"stage_icon_jig_veryhard_01")</f>
        <v/>
      </c>
    </row>
    <row r="289">
      <c r="A289">
        <f>IFERROR(__xludf.DUMMYFUNCTION("""COMPUTED_VALUE"""),"jig")</f>
        <v/>
      </c>
      <c r="B289">
        <f>IFERROR(__xludf.DUMMYFUNCTION("""COMPUTED_VALUE"""),"地獄楽")</f>
        <v/>
      </c>
      <c r="C289">
        <f>IFERROR(__xludf.DUMMYFUNCTION("""COMPUTED_VALUE"""),"veryhard")</f>
        <v/>
      </c>
      <c r="D289">
        <f>IFERROR(__xludf.DUMMYFUNCTION("""COMPUTED_VALUE"""),"main")</f>
        <v/>
      </c>
      <c r="E289">
        <f>IFERROR(__xludf.DUMMYFUNCTION("""COMPUTED_VALUE"""),"メインクエスト")</f>
        <v/>
      </c>
      <c r="F289">
        <f>IFERROR(__xludf.DUMMYFUNCTION("""COMPUTED_VALUE"""),"quest_main_jig_veryhard_6")</f>
        <v/>
      </c>
      <c r="G289">
        <f>IFERROR(__xludf.DUMMYFUNCTION("""COMPUTED_VALUE"""),"6.地獄楽")</f>
        <v/>
      </c>
      <c r="H289">
        <f>IFERROR(__xludf.DUMMYFUNCTION("""COMPUTED_VALUE"""),"02")</f>
        <v/>
      </c>
      <c r="I289">
        <f>IFERROR(__xludf.DUMMYFUNCTION("""COMPUTED_VALUE"""),"veryhard_jig_00002")</f>
        <v/>
      </c>
      <c r="J289">
        <f>IFERROR(__xludf.DUMMYFUNCTION("""COMPUTED_VALUE"""),"stage_icon_jig_veryhard_02")</f>
        <v/>
      </c>
    </row>
    <row r="290">
      <c r="A290">
        <f>IFERROR(__xludf.DUMMYFUNCTION("""COMPUTED_VALUE"""),"jig")</f>
        <v/>
      </c>
      <c r="B290">
        <f>IFERROR(__xludf.DUMMYFUNCTION("""COMPUTED_VALUE"""),"地獄楽")</f>
        <v/>
      </c>
      <c r="C290">
        <f>IFERROR(__xludf.DUMMYFUNCTION("""COMPUTED_VALUE"""),"veryhard")</f>
        <v/>
      </c>
      <c r="D290">
        <f>IFERROR(__xludf.DUMMYFUNCTION("""COMPUTED_VALUE"""),"main")</f>
        <v/>
      </c>
      <c r="E290">
        <f>IFERROR(__xludf.DUMMYFUNCTION("""COMPUTED_VALUE"""),"メインクエスト")</f>
        <v/>
      </c>
      <c r="F290">
        <f>IFERROR(__xludf.DUMMYFUNCTION("""COMPUTED_VALUE"""),"quest_main_jig_veryhard_6")</f>
        <v/>
      </c>
      <c r="G290">
        <f>IFERROR(__xludf.DUMMYFUNCTION("""COMPUTED_VALUE"""),"6.地獄楽")</f>
        <v/>
      </c>
      <c r="H290">
        <f>IFERROR(__xludf.DUMMYFUNCTION("""COMPUTED_VALUE"""),"03")</f>
        <v/>
      </c>
      <c r="I290">
        <f>IFERROR(__xludf.DUMMYFUNCTION("""COMPUTED_VALUE"""),"veryhard_jig_00003")</f>
        <v/>
      </c>
      <c r="J290">
        <f>IFERROR(__xludf.DUMMYFUNCTION("""COMPUTED_VALUE"""),"stage_icon_jig_veryhard_03")</f>
        <v/>
      </c>
    </row>
    <row r="291">
      <c r="A291">
        <f>IFERROR(__xludf.DUMMYFUNCTION("""COMPUTED_VALUE"""),"jig")</f>
        <v/>
      </c>
      <c r="B291">
        <f>IFERROR(__xludf.DUMMYFUNCTION("""COMPUTED_VALUE"""),"地獄楽")</f>
        <v/>
      </c>
      <c r="C291">
        <f>IFERROR(__xludf.DUMMYFUNCTION("""COMPUTED_VALUE"""),"veryhard")</f>
        <v/>
      </c>
      <c r="D291">
        <f>IFERROR(__xludf.DUMMYFUNCTION("""COMPUTED_VALUE"""),"main")</f>
        <v/>
      </c>
      <c r="E291">
        <f>IFERROR(__xludf.DUMMYFUNCTION("""COMPUTED_VALUE"""),"メインクエスト")</f>
        <v/>
      </c>
      <c r="F291">
        <f>IFERROR(__xludf.DUMMYFUNCTION("""COMPUTED_VALUE"""),"quest_main_jig_veryhard_6")</f>
        <v/>
      </c>
      <c r="G291">
        <f>IFERROR(__xludf.DUMMYFUNCTION("""COMPUTED_VALUE"""),"6.地獄楽")</f>
        <v/>
      </c>
      <c r="H291">
        <f>IFERROR(__xludf.DUMMYFUNCTION("""COMPUTED_VALUE"""),"04")</f>
        <v/>
      </c>
      <c r="I291">
        <f>IFERROR(__xludf.DUMMYFUNCTION("""COMPUTED_VALUE"""),"veryhard_jig_00004")</f>
        <v/>
      </c>
      <c r="J291">
        <f>IFERROR(__xludf.DUMMYFUNCTION("""COMPUTED_VALUE"""),"stage_icon_jig_veryhard_04")</f>
        <v/>
      </c>
    </row>
    <row r="292">
      <c r="A292">
        <f>IFERROR(__xludf.DUMMYFUNCTION("""COMPUTED_VALUE"""),"jig")</f>
        <v/>
      </c>
      <c r="B292">
        <f>IFERROR(__xludf.DUMMYFUNCTION("""COMPUTED_VALUE"""),"地獄楽")</f>
        <v/>
      </c>
      <c r="C292">
        <f>IFERROR(__xludf.DUMMYFUNCTION("""COMPUTED_VALUE"""),"veryhard")</f>
        <v/>
      </c>
      <c r="D292">
        <f>IFERROR(__xludf.DUMMYFUNCTION("""COMPUTED_VALUE"""),"main")</f>
        <v/>
      </c>
      <c r="E292">
        <f>IFERROR(__xludf.DUMMYFUNCTION("""COMPUTED_VALUE"""),"メインクエスト")</f>
        <v/>
      </c>
      <c r="F292">
        <f>IFERROR(__xludf.DUMMYFUNCTION("""COMPUTED_VALUE"""),"quest_main_jig_veryhard_6")</f>
        <v/>
      </c>
      <c r="G292">
        <f>IFERROR(__xludf.DUMMYFUNCTION("""COMPUTED_VALUE"""),"6.地獄楽")</f>
        <v/>
      </c>
      <c r="H292">
        <f>IFERROR(__xludf.DUMMYFUNCTION("""COMPUTED_VALUE"""),"05")</f>
        <v/>
      </c>
      <c r="I292">
        <f>IFERROR(__xludf.DUMMYFUNCTION("""COMPUTED_VALUE"""),"veryhard_jig_00005")</f>
        <v/>
      </c>
      <c r="J292">
        <f>IFERROR(__xludf.DUMMYFUNCTION("""COMPUTED_VALUE"""),"stage_icon_jig_veryhard_05")</f>
        <v/>
      </c>
    </row>
    <row r="293">
      <c r="A293">
        <f>IFERROR(__xludf.DUMMYFUNCTION("""COMPUTED_VALUE"""),"jig")</f>
        <v/>
      </c>
      <c r="B293">
        <f>IFERROR(__xludf.DUMMYFUNCTION("""COMPUTED_VALUE"""),"地獄楽")</f>
        <v/>
      </c>
      <c r="C293">
        <f>IFERROR(__xludf.DUMMYFUNCTION("""COMPUTED_VALUE"""),"veryhard")</f>
        <v/>
      </c>
      <c r="D293">
        <f>IFERROR(__xludf.DUMMYFUNCTION("""COMPUTED_VALUE"""),"main")</f>
        <v/>
      </c>
      <c r="E293">
        <f>IFERROR(__xludf.DUMMYFUNCTION("""COMPUTED_VALUE"""),"メインクエスト")</f>
        <v/>
      </c>
      <c r="F293">
        <f>IFERROR(__xludf.DUMMYFUNCTION("""COMPUTED_VALUE"""),"quest_main_jig_veryhard_6")</f>
        <v/>
      </c>
      <c r="G293">
        <f>IFERROR(__xludf.DUMMYFUNCTION("""COMPUTED_VALUE"""),"6.地獄楽")</f>
        <v/>
      </c>
      <c r="H293">
        <f>IFERROR(__xludf.DUMMYFUNCTION("""COMPUTED_VALUE"""),"06")</f>
        <v/>
      </c>
      <c r="I293">
        <f>IFERROR(__xludf.DUMMYFUNCTION("""COMPUTED_VALUE"""),"veryhard_jig_00006")</f>
        <v/>
      </c>
      <c r="J293">
        <f>IFERROR(__xludf.DUMMYFUNCTION("""COMPUTED_VALUE"""),"stage_icon_jig_veryhard_06")</f>
        <v/>
      </c>
    </row>
    <row r="295">
      <c r="A295">
        <f>IFERROR(__xludf.DUMMYFUNCTION("""COMPUTED_VALUE"""),"tak")</f>
        <v/>
      </c>
      <c r="B295">
        <f>IFERROR(__xludf.DUMMYFUNCTION("""COMPUTED_VALUE"""),"タコピーの原罪")</f>
        <v/>
      </c>
      <c r="C295">
        <f>IFERROR(__xludf.DUMMYFUNCTION("""COMPUTED_VALUE"""),"veryhard")</f>
        <v/>
      </c>
      <c r="D295">
        <f>IFERROR(__xludf.DUMMYFUNCTION("""COMPUTED_VALUE"""),"main")</f>
        <v/>
      </c>
      <c r="E295">
        <f>IFERROR(__xludf.DUMMYFUNCTION("""COMPUTED_VALUE"""),"メインクエスト")</f>
        <v/>
      </c>
      <c r="F295">
        <f>IFERROR(__xludf.DUMMYFUNCTION("""COMPUTED_VALUE"""),"quest_main_tak_veryhard_7")</f>
        <v/>
      </c>
      <c r="G295">
        <f>IFERROR(__xludf.DUMMYFUNCTION("""COMPUTED_VALUE"""),"7.タコピーの原罪")</f>
        <v/>
      </c>
      <c r="H295">
        <f>IFERROR(__xludf.DUMMYFUNCTION("""COMPUTED_VALUE"""),"01")</f>
        <v/>
      </c>
      <c r="I295">
        <f>IFERROR(__xludf.DUMMYFUNCTION("""COMPUTED_VALUE"""),"veryhard_tak_00001")</f>
        <v/>
      </c>
      <c r="J295">
        <f>IFERROR(__xludf.DUMMYFUNCTION("""COMPUTED_VALUE"""),"stage_icon_tak_veryhard_01")</f>
        <v/>
      </c>
    </row>
    <row r="296">
      <c r="A296">
        <f>IFERROR(__xludf.DUMMYFUNCTION("""COMPUTED_VALUE"""),"tak")</f>
        <v/>
      </c>
      <c r="B296">
        <f>IFERROR(__xludf.DUMMYFUNCTION("""COMPUTED_VALUE"""),"タコピーの原罪")</f>
        <v/>
      </c>
      <c r="C296">
        <f>IFERROR(__xludf.DUMMYFUNCTION("""COMPUTED_VALUE"""),"veryhard")</f>
        <v/>
      </c>
      <c r="D296">
        <f>IFERROR(__xludf.DUMMYFUNCTION("""COMPUTED_VALUE"""),"main")</f>
        <v/>
      </c>
      <c r="E296">
        <f>IFERROR(__xludf.DUMMYFUNCTION("""COMPUTED_VALUE"""),"メインクエスト")</f>
        <v/>
      </c>
      <c r="F296">
        <f>IFERROR(__xludf.DUMMYFUNCTION("""COMPUTED_VALUE"""),"quest_main_tak_veryhard_7")</f>
        <v/>
      </c>
      <c r="G296">
        <f>IFERROR(__xludf.DUMMYFUNCTION("""COMPUTED_VALUE"""),"7.タコピーの原罪")</f>
        <v/>
      </c>
      <c r="H296">
        <f>IFERROR(__xludf.DUMMYFUNCTION("""COMPUTED_VALUE"""),"02")</f>
        <v/>
      </c>
      <c r="I296">
        <f>IFERROR(__xludf.DUMMYFUNCTION("""COMPUTED_VALUE"""),"veryhard_tak_00002")</f>
        <v/>
      </c>
      <c r="J296">
        <f>IFERROR(__xludf.DUMMYFUNCTION("""COMPUTED_VALUE"""),"stage_icon_tak_veryhard_02")</f>
        <v/>
      </c>
    </row>
    <row r="297">
      <c r="A297">
        <f>IFERROR(__xludf.DUMMYFUNCTION("""COMPUTED_VALUE"""),"tak")</f>
        <v/>
      </c>
      <c r="B297">
        <f>IFERROR(__xludf.DUMMYFUNCTION("""COMPUTED_VALUE"""),"タコピーの原罪")</f>
        <v/>
      </c>
      <c r="C297">
        <f>IFERROR(__xludf.DUMMYFUNCTION("""COMPUTED_VALUE"""),"veryhard")</f>
        <v/>
      </c>
      <c r="D297">
        <f>IFERROR(__xludf.DUMMYFUNCTION("""COMPUTED_VALUE"""),"main")</f>
        <v/>
      </c>
      <c r="E297">
        <f>IFERROR(__xludf.DUMMYFUNCTION("""COMPUTED_VALUE"""),"メインクエスト")</f>
        <v/>
      </c>
      <c r="F297">
        <f>IFERROR(__xludf.DUMMYFUNCTION("""COMPUTED_VALUE"""),"quest_main_tak_veryhard_7")</f>
        <v/>
      </c>
      <c r="G297">
        <f>IFERROR(__xludf.DUMMYFUNCTION("""COMPUTED_VALUE"""),"7.タコピーの原罪")</f>
        <v/>
      </c>
      <c r="H297">
        <f>IFERROR(__xludf.DUMMYFUNCTION("""COMPUTED_VALUE"""),"03")</f>
        <v/>
      </c>
      <c r="I297">
        <f>IFERROR(__xludf.DUMMYFUNCTION("""COMPUTED_VALUE"""),"veryhard_tak_00003")</f>
        <v/>
      </c>
      <c r="J297">
        <f>IFERROR(__xludf.DUMMYFUNCTION("""COMPUTED_VALUE"""),"stage_icon_tak_veryhard_03")</f>
        <v/>
      </c>
    </row>
    <row r="299">
      <c r="A299">
        <f>IFERROR(__xludf.DUMMYFUNCTION("""COMPUTED_VALUE"""),"glo2")</f>
        <v/>
      </c>
      <c r="B299">
        <f>IFERROR(__xludf.DUMMYFUNCTION("""COMPUTED_VALUE"""),"GLOW")</f>
        <v/>
      </c>
      <c r="C299">
        <f>IFERROR(__xludf.DUMMYFUNCTION("""COMPUTED_VALUE"""),"veryhard")</f>
        <v/>
      </c>
      <c r="D299">
        <f>IFERROR(__xludf.DUMMYFUNCTION("""COMPUTED_VALUE"""),"main")</f>
        <v/>
      </c>
      <c r="E299">
        <f>IFERROR(__xludf.DUMMYFUNCTION("""COMPUTED_VALUE"""),"メインクエスト")</f>
        <v/>
      </c>
      <c r="F299">
        <f>IFERROR(__xludf.DUMMYFUNCTION("""COMPUTED_VALUE"""),"quest_main_glo2_veryhard_8")</f>
        <v/>
      </c>
      <c r="G299">
        <f>IFERROR(__xludf.DUMMYFUNCTION("""COMPUTED_VALUE"""),"8.リミックスクエスト Vol.2")</f>
        <v/>
      </c>
      <c r="H299">
        <f>IFERROR(__xludf.DUMMYFUNCTION("""COMPUTED_VALUE"""),"01")</f>
        <v/>
      </c>
      <c r="I299">
        <f>IFERROR(__xludf.DUMMYFUNCTION("""COMPUTED_VALUE"""),"veryhard_glo2_00001")</f>
        <v/>
      </c>
      <c r="J299">
        <f>IFERROR(__xludf.DUMMYFUNCTION("""COMPUTED_VALUE"""),"stage_icon_glo2_veryhard_01")</f>
        <v/>
      </c>
    </row>
    <row r="300">
      <c r="A300">
        <f>IFERROR(__xludf.DUMMYFUNCTION("""COMPUTED_VALUE"""),"glo2")</f>
        <v/>
      </c>
      <c r="B300">
        <f>IFERROR(__xludf.DUMMYFUNCTION("""COMPUTED_VALUE"""),"GLOW")</f>
        <v/>
      </c>
      <c r="C300">
        <f>IFERROR(__xludf.DUMMYFUNCTION("""COMPUTED_VALUE"""),"veryhard")</f>
        <v/>
      </c>
      <c r="D300">
        <f>IFERROR(__xludf.DUMMYFUNCTION("""COMPUTED_VALUE"""),"main")</f>
        <v/>
      </c>
      <c r="E300">
        <f>IFERROR(__xludf.DUMMYFUNCTION("""COMPUTED_VALUE"""),"メインクエスト")</f>
        <v/>
      </c>
      <c r="F300">
        <f>IFERROR(__xludf.DUMMYFUNCTION("""COMPUTED_VALUE"""),"quest_main_glo2_veryhard_8")</f>
        <v/>
      </c>
      <c r="G300">
        <f>IFERROR(__xludf.DUMMYFUNCTION("""COMPUTED_VALUE"""),"8.リミックスクエスト Vol.2")</f>
        <v/>
      </c>
      <c r="H300">
        <f>IFERROR(__xludf.DUMMYFUNCTION("""COMPUTED_VALUE"""),"02")</f>
        <v/>
      </c>
      <c r="I300">
        <f>IFERROR(__xludf.DUMMYFUNCTION("""COMPUTED_VALUE"""),"veryhard_glo2_00002")</f>
        <v/>
      </c>
      <c r="J300">
        <f>IFERROR(__xludf.DUMMYFUNCTION("""COMPUTED_VALUE"""),"stage_icon_glo2_veryhard_02")</f>
        <v/>
      </c>
    </row>
    <row r="301">
      <c r="A301">
        <f>IFERROR(__xludf.DUMMYFUNCTION("""COMPUTED_VALUE"""),"glo2")</f>
        <v/>
      </c>
      <c r="B301">
        <f>IFERROR(__xludf.DUMMYFUNCTION("""COMPUTED_VALUE"""),"GLOW")</f>
        <v/>
      </c>
      <c r="C301">
        <f>IFERROR(__xludf.DUMMYFUNCTION("""COMPUTED_VALUE"""),"veryhard")</f>
        <v/>
      </c>
      <c r="D301">
        <f>IFERROR(__xludf.DUMMYFUNCTION("""COMPUTED_VALUE"""),"main")</f>
        <v/>
      </c>
      <c r="E301">
        <f>IFERROR(__xludf.DUMMYFUNCTION("""COMPUTED_VALUE"""),"メインクエスト")</f>
        <v/>
      </c>
      <c r="F301">
        <f>IFERROR(__xludf.DUMMYFUNCTION("""COMPUTED_VALUE"""),"quest_main_glo2_veryhard_8")</f>
        <v/>
      </c>
      <c r="G301">
        <f>IFERROR(__xludf.DUMMYFUNCTION("""COMPUTED_VALUE"""),"8.リミックスクエスト Vol.2")</f>
        <v/>
      </c>
      <c r="H301">
        <f>IFERROR(__xludf.DUMMYFUNCTION("""COMPUTED_VALUE"""),"03")</f>
        <v/>
      </c>
      <c r="I301">
        <f>IFERROR(__xludf.DUMMYFUNCTION("""COMPUTED_VALUE"""),"veryhard_glo2_00003")</f>
        <v/>
      </c>
      <c r="J301">
        <f>IFERROR(__xludf.DUMMYFUNCTION("""COMPUTED_VALUE"""),"stage_icon_glo2_veryhard_03")</f>
        <v/>
      </c>
    </row>
    <row r="302">
      <c r="A302">
        <f>IFERROR(__xludf.DUMMYFUNCTION("""COMPUTED_VALUE"""),"glo2")</f>
        <v/>
      </c>
      <c r="B302">
        <f>IFERROR(__xludf.DUMMYFUNCTION("""COMPUTED_VALUE"""),"GLOW")</f>
        <v/>
      </c>
      <c r="C302">
        <f>IFERROR(__xludf.DUMMYFUNCTION("""COMPUTED_VALUE"""),"veryhard")</f>
        <v/>
      </c>
      <c r="D302">
        <f>IFERROR(__xludf.DUMMYFUNCTION("""COMPUTED_VALUE"""),"main")</f>
        <v/>
      </c>
      <c r="E302">
        <f>IFERROR(__xludf.DUMMYFUNCTION("""COMPUTED_VALUE"""),"メインクエスト")</f>
        <v/>
      </c>
      <c r="F302">
        <f>IFERROR(__xludf.DUMMYFUNCTION("""COMPUTED_VALUE"""),"quest_main_glo2_veryhard_8")</f>
        <v/>
      </c>
      <c r="G302">
        <f>IFERROR(__xludf.DUMMYFUNCTION("""COMPUTED_VALUE"""),"8.リミックスクエスト Vol.2")</f>
        <v/>
      </c>
      <c r="H302">
        <f>IFERROR(__xludf.DUMMYFUNCTION("""COMPUTED_VALUE"""),"04")</f>
        <v/>
      </c>
      <c r="I302">
        <f>IFERROR(__xludf.DUMMYFUNCTION("""COMPUTED_VALUE"""),"veryhard_glo2_00004")</f>
        <v/>
      </c>
      <c r="J302">
        <f>IFERROR(__xludf.DUMMYFUNCTION("""COMPUTED_VALUE"""),"stage_icon_glo2_veryhard_04")</f>
        <v/>
      </c>
    </row>
    <row r="303">
      <c r="A303">
        <f>IFERROR(__xludf.DUMMYFUNCTION("""COMPUTED_VALUE"""),"glo2")</f>
        <v/>
      </c>
      <c r="B303">
        <f>IFERROR(__xludf.DUMMYFUNCTION("""COMPUTED_VALUE"""),"GLOW")</f>
        <v/>
      </c>
      <c r="C303">
        <f>IFERROR(__xludf.DUMMYFUNCTION("""COMPUTED_VALUE"""),"veryhard")</f>
        <v/>
      </c>
      <c r="D303">
        <f>IFERROR(__xludf.DUMMYFUNCTION("""COMPUTED_VALUE"""),"main")</f>
        <v/>
      </c>
      <c r="E303">
        <f>IFERROR(__xludf.DUMMYFUNCTION("""COMPUTED_VALUE"""),"メインクエスト")</f>
        <v/>
      </c>
      <c r="F303">
        <f>IFERROR(__xludf.DUMMYFUNCTION("""COMPUTED_VALUE"""),"quest_main_glo2_veryhard_8")</f>
        <v/>
      </c>
      <c r="G303">
        <f>IFERROR(__xludf.DUMMYFUNCTION("""COMPUTED_VALUE"""),"8.リミックスクエスト Vol.2")</f>
        <v/>
      </c>
      <c r="H303">
        <f>IFERROR(__xludf.DUMMYFUNCTION("""COMPUTED_VALUE"""),"05")</f>
        <v/>
      </c>
      <c r="I303">
        <f>IFERROR(__xludf.DUMMYFUNCTION("""COMPUTED_VALUE"""),"veryhard_glo2_00005")</f>
        <v/>
      </c>
      <c r="J303">
        <f>IFERROR(__xludf.DUMMYFUNCTION("""COMPUTED_VALUE"""),"stage_icon_glo2_veryhard_05")</f>
        <v/>
      </c>
    </row>
    <row r="304">
      <c r="A304">
        <f>IFERROR(__xludf.DUMMYFUNCTION("""COMPUTED_VALUE"""),"glo2")</f>
        <v/>
      </c>
      <c r="B304">
        <f>IFERROR(__xludf.DUMMYFUNCTION("""COMPUTED_VALUE"""),"GLOW")</f>
        <v/>
      </c>
      <c r="C304">
        <f>IFERROR(__xludf.DUMMYFUNCTION("""COMPUTED_VALUE"""),"veryhard")</f>
        <v/>
      </c>
      <c r="D304">
        <f>IFERROR(__xludf.DUMMYFUNCTION("""COMPUTED_VALUE"""),"main")</f>
        <v/>
      </c>
      <c r="E304">
        <f>IFERROR(__xludf.DUMMYFUNCTION("""COMPUTED_VALUE"""),"メインクエスト")</f>
        <v/>
      </c>
      <c r="F304">
        <f>IFERROR(__xludf.DUMMYFUNCTION("""COMPUTED_VALUE"""),"quest_main_glo2_veryhard_8")</f>
        <v/>
      </c>
      <c r="G304">
        <f>IFERROR(__xludf.DUMMYFUNCTION("""COMPUTED_VALUE"""),"8.リミックスクエスト Vol.2")</f>
        <v/>
      </c>
      <c r="H304">
        <f>IFERROR(__xludf.DUMMYFUNCTION("""COMPUTED_VALUE"""),"06")</f>
        <v/>
      </c>
      <c r="I304">
        <f>IFERROR(__xludf.DUMMYFUNCTION("""COMPUTED_VALUE"""),"veryhard_glo2_00006")</f>
        <v/>
      </c>
      <c r="J304">
        <f>IFERROR(__xludf.DUMMYFUNCTION("""COMPUTED_VALUE"""),"stage_icon_glo2_veryhard_06")</f>
        <v/>
      </c>
    </row>
    <row r="306">
      <c r="A306">
        <f>IFERROR(__xludf.DUMMYFUNCTION("""COMPUTED_VALUE"""),"chi")</f>
        <v/>
      </c>
      <c r="B306">
        <f>IFERROR(__xludf.DUMMYFUNCTION("""COMPUTED_VALUE"""),"チェンソーマン")</f>
        <v/>
      </c>
      <c r="C306">
        <f>IFERROR(__xludf.DUMMYFUNCTION("""COMPUTED_VALUE"""),"veryhard")</f>
        <v/>
      </c>
      <c r="D306">
        <f>IFERROR(__xludf.DUMMYFUNCTION("""COMPUTED_VALUE"""),"main")</f>
        <v/>
      </c>
      <c r="E306">
        <f>IFERROR(__xludf.DUMMYFUNCTION("""COMPUTED_VALUE"""),"メインクエスト")</f>
        <v/>
      </c>
      <c r="F306">
        <f>IFERROR(__xludf.DUMMYFUNCTION("""COMPUTED_VALUE"""),"quest_main_chi_veryhard_9")</f>
        <v/>
      </c>
      <c r="G306">
        <f>IFERROR(__xludf.DUMMYFUNCTION("""COMPUTED_VALUE"""),"9.チェンソーマン")</f>
        <v/>
      </c>
      <c r="H306">
        <f>IFERROR(__xludf.DUMMYFUNCTION("""COMPUTED_VALUE"""),"01")</f>
        <v/>
      </c>
      <c r="I306">
        <f>IFERROR(__xludf.DUMMYFUNCTION("""COMPUTED_VALUE"""),"veryhard_chi_00001")</f>
        <v/>
      </c>
      <c r="J306">
        <f>IFERROR(__xludf.DUMMYFUNCTION("""COMPUTED_VALUE"""),"stage_icon_chi_veryhard_01")</f>
        <v/>
      </c>
    </row>
    <row r="307">
      <c r="A307">
        <f>IFERROR(__xludf.DUMMYFUNCTION("""COMPUTED_VALUE"""),"chi")</f>
        <v/>
      </c>
      <c r="B307">
        <f>IFERROR(__xludf.DUMMYFUNCTION("""COMPUTED_VALUE"""),"チェンソーマン")</f>
        <v/>
      </c>
      <c r="C307">
        <f>IFERROR(__xludf.DUMMYFUNCTION("""COMPUTED_VALUE"""),"veryhard")</f>
        <v/>
      </c>
      <c r="D307">
        <f>IFERROR(__xludf.DUMMYFUNCTION("""COMPUTED_VALUE"""),"main")</f>
        <v/>
      </c>
      <c r="E307">
        <f>IFERROR(__xludf.DUMMYFUNCTION("""COMPUTED_VALUE"""),"メインクエスト")</f>
        <v/>
      </c>
      <c r="F307">
        <f>IFERROR(__xludf.DUMMYFUNCTION("""COMPUTED_VALUE"""),"quest_main_chi_veryhard_9")</f>
        <v/>
      </c>
      <c r="G307">
        <f>IFERROR(__xludf.DUMMYFUNCTION("""COMPUTED_VALUE"""),"9.チェンソーマン")</f>
        <v/>
      </c>
      <c r="H307">
        <f>IFERROR(__xludf.DUMMYFUNCTION("""COMPUTED_VALUE"""),"02")</f>
        <v/>
      </c>
      <c r="I307">
        <f>IFERROR(__xludf.DUMMYFUNCTION("""COMPUTED_VALUE"""),"veryhard_chi_00002")</f>
        <v/>
      </c>
      <c r="J307">
        <f>IFERROR(__xludf.DUMMYFUNCTION("""COMPUTED_VALUE"""),"stage_icon_chi_veryhard_02")</f>
        <v/>
      </c>
    </row>
    <row r="308">
      <c r="A308">
        <f>IFERROR(__xludf.DUMMYFUNCTION("""COMPUTED_VALUE"""),"chi")</f>
        <v/>
      </c>
      <c r="B308">
        <f>IFERROR(__xludf.DUMMYFUNCTION("""COMPUTED_VALUE"""),"チェンソーマン")</f>
        <v/>
      </c>
      <c r="C308">
        <f>IFERROR(__xludf.DUMMYFUNCTION("""COMPUTED_VALUE"""),"veryhard")</f>
        <v/>
      </c>
      <c r="D308">
        <f>IFERROR(__xludf.DUMMYFUNCTION("""COMPUTED_VALUE"""),"main")</f>
        <v/>
      </c>
      <c r="E308">
        <f>IFERROR(__xludf.DUMMYFUNCTION("""COMPUTED_VALUE"""),"メインクエスト")</f>
        <v/>
      </c>
      <c r="F308">
        <f>IFERROR(__xludf.DUMMYFUNCTION("""COMPUTED_VALUE"""),"quest_main_chi_veryhard_9")</f>
        <v/>
      </c>
      <c r="G308">
        <f>IFERROR(__xludf.DUMMYFUNCTION("""COMPUTED_VALUE"""),"9.チェンソーマン")</f>
        <v/>
      </c>
      <c r="H308">
        <f>IFERROR(__xludf.DUMMYFUNCTION("""COMPUTED_VALUE"""),"03")</f>
        <v/>
      </c>
      <c r="I308">
        <f>IFERROR(__xludf.DUMMYFUNCTION("""COMPUTED_VALUE"""),"veryhard_chi_00003")</f>
        <v/>
      </c>
      <c r="J308">
        <f>IFERROR(__xludf.DUMMYFUNCTION("""COMPUTED_VALUE"""),"stage_icon_chi_veryhard_03")</f>
        <v/>
      </c>
    </row>
    <row r="309">
      <c r="A309">
        <f>IFERROR(__xludf.DUMMYFUNCTION("""COMPUTED_VALUE"""),"chi")</f>
        <v/>
      </c>
      <c r="B309">
        <f>IFERROR(__xludf.DUMMYFUNCTION("""COMPUTED_VALUE"""),"チェンソーマン")</f>
        <v/>
      </c>
      <c r="C309">
        <f>IFERROR(__xludf.DUMMYFUNCTION("""COMPUTED_VALUE"""),"veryhard")</f>
        <v/>
      </c>
      <c r="D309">
        <f>IFERROR(__xludf.DUMMYFUNCTION("""COMPUTED_VALUE"""),"main")</f>
        <v/>
      </c>
      <c r="E309">
        <f>IFERROR(__xludf.DUMMYFUNCTION("""COMPUTED_VALUE"""),"メインクエスト")</f>
        <v/>
      </c>
      <c r="F309">
        <f>IFERROR(__xludf.DUMMYFUNCTION("""COMPUTED_VALUE"""),"quest_main_chi_veryhard_9")</f>
        <v/>
      </c>
      <c r="G309">
        <f>IFERROR(__xludf.DUMMYFUNCTION("""COMPUTED_VALUE"""),"9.チェンソーマン")</f>
        <v/>
      </c>
      <c r="H309">
        <f>IFERROR(__xludf.DUMMYFUNCTION("""COMPUTED_VALUE"""),"04")</f>
        <v/>
      </c>
      <c r="I309">
        <f>IFERROR(__xludf.DUMMYFUNCTION("""COMPUTED_VALUE"""),"veryhard_chi_00004")</f>
        <v/>
      </c>
      <c r="J309">
        <f>IFERROR(__xludf.DUMMYFUNCTION("""COMPUTED_VALUE"""),"stage_icon_chi_veryhard_04")</f>
        <v/>
      </c>
    </row>
    <row r="310">
      <c r="A310">
        <f>IFERROR(__xludf.DUMMYFUNCTION("""COMPUTED_VALUE"""),"chi")</f>
        <v/>
      </c>
      <c r="B310">
        <f>IFERROR(__xludf.DUMMYFUNCTION("""COMPUTED_VALUE"""),"チェンソーマン")</f>
        <v/>
      </c>
      <c r="C310">
        <f>IFERROR(__xludf.DUMMYFUNCTION("""COMPUTED_VALUE"""),"veryhard")</f>
        <v/>
      </c>
      <c r="D310">
        <f>IFERROR(__xludf.DUMMYFUNCTION("""COMPUTED_VALUE"""),"main")</f>
        <v/>
      </c>
      <c r="E310">
        <f>IFERROR(__xludf.DUMMYFUNCTION("""COMPUTED_VALUE"""),"メインクエスト")</f>
        <v/>
      </c>
      <c r="F310">
        <f>IFERROR(__xludf.DUMMYFUNCTION("""COMPUTED_VALUE"""),"quest_main_chi_veryhard_9")</f>
        <v/>
      </c>
      <c r="G310">
        <f>IFERROR(__xludf.DUMMYFUNCTION("""COMPUTED_VALUE"""),"9.チェンソーマン")</f>
        <v/>
      </c>
      <c r="H310">
        <f>IFERROR(__xludf.DUMMYFUNCTION("""COMPUTED_VALUE"""),"05")</f>
        <v/>
      </c>
      <c r="I310">
        <f>IFERROR(__xludf.DUMMYFUNCTION("""COMPUTED_VALUE"""),"veryhard_chi_00005")</f>
        <v/>
      </c>
      <c r="J310">
        <f>IFERROR(__xludf.DUMMYFUNCTION("""COMPUTED_VALUE"""),"stage_icon_chi_veryhard_05")</f>
        <v/>
      </c>
    </row>
    <row r="311">
      <c r="A311">
        <f>IFERROR(__xludf.DUMMYFUNCTION("""COMPUTED_VALUE"""),"chi")</f>
        <v/>
      </c>
      <c r="B311">
        <f>IFERROR(__xludf.DUMMYFUNCTION("""COMPUTED_VALUE"""),"チェンソーマン")</f>
        <v/>
      </c>
      <c r="C311">
        <f>IFERROR(__xludf.DUMMYFUNCTION("""COMPUTED_VALUE"""),"veryhard")</f>
        <v/>
      </c>
      <c r="D311">
        <f>IFERROR(__xludf.DUMMYFUNCTION("""COMPUTED_VALUE"""),"main")</f>
        <v/>
      </c>
      <c r="E311">
        <f>IFERROR(__xludf.DUMMYFUNCTION("""COMPUTED_VALUE"""),"メインクエスト")</f>
        <v/>
      </c>
      <c r="F311">
        <f>IFERROR(__xludf.DUMMYFUNCTION("""COMPUTED_VALUE"""),"quest_main_chi_veryhard_9")</f>
        <v/>
      </c>
      <c r="G311">
        <f>IFERROR(__xludf.DUMMYFUNCTION("""COMPUTED_VALUE"""),"9.チェンソーマン")</f>
        <v/>
      </c>
      <c r="H311">
        <f>IFERROR(__xludf.DUMMYFUNCTION("""COMPUTED_VALUE"""),"06")</f>
        <v/>
      </c>
      <c r="I311">
        <f>IFERROR(__xludf.DUMMYFUNCTION("""COMPUTED_VALUE"""),"veryhard_chi_00006")</f>
        <v/>
      </c>
      <c r="J311">
        <f>IFERROR(__xludf.DUMMYFUNCTION("""COMPUTED_VALUE"""),"stage_icon_chi_veryhard_06")</f>
        <v/>
      </c>
    </row>
    <row r="313">
      <c r="A313">
        <f>IFERROR(__xludf.DUMMYFUNCTION("""COMPUTED_VALUE"""),"sur")</f>
        <v/>
      </c>
      <c r="B313">
        <f>IFERROR(__xludf.DUMMYFUNCTION("""COMPUTED_VALUE"""),"魔都精兵のスレイブ")</f>
        <v/>
      </c>
      <c r="C313">
        <f>IFERROR(__xludf.DUMMYFUNCTION("""COMPUTED_VALUE"""),"veryhard")</f>
        <v/>
      </c>
      <c r="D313">
        <f>IFERROR(__xludf.DUMMYFUNCTION("""COMPUTED_VALUE"""),"main")</f>
        <v/>
      </c>
      <c r="E313">
        <f>IFERROR(__xludf.DUMMYFUNCTION("""COMPUTED_VALUE"""),"メインクエスト")</f>
        <v/>
      </c>
      <c r="F313">
        <f>IFERROR(__xludf.DUMMYFUNCTION("""COMPUTED_VALUE"""),"quest_main_sur_veryhard_10")</f>
        <v/>
      </c>
      <c r="G313">
        <f>IFERROR(__xludf.DUMMYFUNCTION("""COMPUTED_VALUE"""),"10.魔都精兵のスレイブ")</f>
        <v/>
      </c>
      <c r="H313">
        <f>IFERROR(__xludf.DUMMYFUNCTION("""COMPUTED_VALUE"""),"01")</f>
        <v/>
      </c>
      <c r="I313">
        <f>IFERROR(__xludf.DUMMYFUNCTION("""COMPUTED_VALUE"""),"veryhard_sur_00001")</f>
        <v/>
      </c>
      <c r="J313">
        <f>IFERROR(__xludf.DUMMYFUNCTION("""COMPUTED_VALUE"""),"stage_icon_sur_veryhard_01")</f>
        <v/>
      </c>
    </row>
    <row r="314">
      <c r="A314">
        <f>IFERROR(__xludf.DUMMYFUNCTION("""COMPUTED_VALUE"""),"sur")</f>
        <v/>
      </c>
      <c r="B314">
        <f>IFERROR(__xludf.DUMMYFUNCTION("""COMPUTED_VALUE"""),"魔都精兵のスレイブ")</f>
        <v/>
      </c>
      <c r="C314">
        <f>IFERROR(__xludf.DUMMYFUNCTION("""COMPUTED_VALUE"""),"veryhard")</f>
        <v/>
      </c>
      <c r="D314">
        <f>IFERROR(__xludf.DUMMYFUNCTION("""COMPUTED_VALUE"""),"main")</f>
        <v/>
      </c>
      <c r="E314">
        <f>IFERROR(__xludf.DUMMYFUNCTION("""COMPUTED_VALUE"""),"メインクエスト")</f>
        <v/>
      </c>
      <c r="F314">
        <f>IFERROR(__xludf.DUMMYFUNCTION("""COMPUTED_VALUE"""),"quest_main_sur_veryhard_10")</f>
        <v/>
      </c>
      <c r="G314">
        <f>IFERROR(__xludf.DUMMYFUNCTION("""COMPUTED_VALUE"""),"10.魔都精兵のスレイブ")</f>
        <v/>
      </c>
      <c r="H314">
        <f>IFERROR(__xludf.DUMMYFUNCTION("""COMPUTED_VALUE"""),"02")</f>
        <v/>
      </c>
      <c r="I314">
        <f>IFERROR(__xludf.DUMMYFUNCTION("""COMPUTED_VALUE"""),"veryhard_sur_00002")</f>
        <v/>
      </c>
      <c r="J314">
        <f>IFERROR(__xludf.DUMMYFUNCTION("""COMPUTED_VALUE"""),"stage_icon_sur_veryhard_02")</f>
        <v/>
      </c>
    </row>
    <row r="315">
      <c r="A315">
        <f>IFERROR(__xludf.DUMMYFUNCTION("""COMPUTED_VALUE"""),"sur")</f>
        <v/>
      </c>
      <c r="B315">
        <f>IFERROR(__xludf.DUMMYFUNCTION("""COMPUTED_VALUE"""),"魔都精兵のスレイブ")</f>
        <v/>
      </c>
      <c r="C315">
        <f>IFERROR(__xludf.DUMMYFUNCTION("""COMPUTED_VALUE"""),"veryhard")</f>
        <v/>
      </c>
      <c r="D315">
        <f>IFERROR(__xludf.DUMMYFUNCTION("""COMPUTED_VALUE"""),"main")</f>
        <v/>
      </c>
      <c r="E315">
        <f>IFERROR(__xludf.DUMMYFUNCTION("""COMPUTED_VALUE"""),"メインクエスト")</f>
        <v/>
      </c>
      <c r="F315">
        <f>IFERROR(__xludf.DUMMYFUNCTION("""COMPUTED_VALUE"""),"quest_main_sur_veryhard_10")</f>
        <v/>
      </c>
      <c r="G315">
        <f>IFERROR(__xludf.DUMMYFUNCTION("""COMPUTED_VALUE"""),"10.魔都精兵のスレイブ")</f>
        <v/>
      </c>
      <c r="H315">
        <f>IFERROR(__xludf.DUMMYFUNCTION("""COMPUTED_VALUE"""),"03")</f>
        <v/>
      </c>
      <c r="I315">
        <f>IFERROR(__xludf.DUMMYFUNCTION("""COMPUTED_VALUE"""),"veryhard_sur_00003")</f>
        <v/>
      </c>
      <c r="J315">
        <f>IFERROR(__xludf.DUMMYFUNCTION("""COMPUTED_VALUE"""),"stage_icon_sur_veryhard_03")</f>
        <v/>
      </c>
    </row>
    <row r="316">
      <c r="A316">
        <f>IFERROR(__xludf.DUMMYFUNCTION("""COMPUTED_VALUE"""),"sur")</f>
        <v/>
      </c>
      <c r="B316">
        <f>IFERROR(__xludf.DUMMYFUNCTION("""COMPUTED_VALUE"""),"魔都精兵のスレイブ")</f>
        <v/>
      </c>
      <c r="C316">
        <f>IFERROR(__xludf.DUMMYFUNCTION("""COMPUTED_VALUE"""),"veryhard")</f>
        <v/>
      </c>
      <c r="D316">
        <f>IFERROR(__xludf.DUMMYFUNCTION("""COMPUTED_VALUE"""),"main")</f>
        <v/>
      </c>
      <c r="E316">
        <f>IFERROR(__xludf.DUMMYFUNCTION("""COMPUTED_VALUE"""),"メインクエスト")</f>
        <v/>
      </c>
      <c r="F316">
        <f>IFERROR(__xludf.DUMMYFUNCTION("""COMPUTED_VALUE"""),"quest_main_sur_veryhard_10")</f>
        <v/>
      </c>
      <c r="G316">
        <f>IFERROR(__xludf.DUMMYFUNCTION("""COMPUTED_VALUE"""),"10.魔都精兵のスレイブ")</f>
        <v/>
      </c>
      <c r="H316">
        <f>IFERROR(__xludf.DUMMYFUNCTION("""COMPUTED_VALUE"""),"04")</f>
        <v/>
      </c>
      <c r="I316">
        <f>IFERROR(__xludf.DUMMYFUNCTION("""COMPUTED_VALUE"""),"veryhard_sur_00004")</f>
        <v/>
      </c>
      <c r="J316">
        <f>IFERROR(__xludf.DUMMYFUNCTION("""COMPUTED_VALUE"""),"stage_icon_sur_veryhard_04")</f>
        <v/>
      </c>
    </row>
    <row r="317">
      <c r="A317">
        <f>IFERROR(__xludf.DUMMYFUNCTION("""COMPUTED_VALUE"""),"sur")</f>
        <v/>
      </c>
      <c r="B317">
        <f>IFERROR(__xludf.DUMMYFUNCTION("""COMPUTED_VALUE"""),"魔都精兵のスレイブ")</f>
        <v/>
      </c>
      <c r="C317">
        <f>IFERROR(__xludf.DUMMYFUNCTION("""COMPUTED_VALUE"""),"veryhard")</f>
        <v/>
      </c>
      <c r="D317">
        <f>IFERROR(__xludf.DUMMYFUNCTION("""COMPUTED_VALUE"""),"main")</f>
        <v/>
      </c>
      <c r="E317">
        <f>IFERROR(__xludf.DUMMYFUNCTION("""COMPUTED_VALUE"""),"メインクエスト")</f>
        <v/>
      </c>
      <c r="F317">
        <f>IFERROR(__xludf.DUMMYFUNCTION("""COMPUTED_VALUE"""),"quest_main_sur_veryhard_10")</f>
        <v/>
      </c>
      <c r="G317">
        <f>IFERROR(__xludf.DUMMYFUNCTION("""COMPUTED_VALUE"""),"10.魔都精兵のスレイブ")</f>
        <v/>
      </c>
      <c r="H317">
        <f>IFERROR(__xludf.DUMMYFUNCTION("""COMPUTED_VALUE"""),"05")</f>
        <v/>
      </c>
      <c r="I317">
        <f>IFERROR(__xludf.DUMMYFUNCTION("""COMPUTED_VALUE"""),"veryhard_sur_00005")</f>
        <v/>
      </c>
      <c r="J317">
        <f>IFERROR(__xludf.DUMMYFUNCTION("""COMPUTED_VALUE"""),"stage_icon_sur_veryhard_05")</f>
        <v/>
      </c>
    </row>
    <row r="318">
      <c r="A318">
        <f>IFERROR(__xludf.DUMMYFUNCTION("""COMPUTED_VALUE"""),"sur")</f>
        <v/>
      </c>
      <c r="B318">
        <f>IFERROR(__xludf.DUMMYFUNCTION("""COMPUTED_VALUE"""),"魔都精兵のスレイブ")</f>
        <v/>
      </c>
      <c r="C318">
        <f>IFERROR(__xludf.DUMMYFUNCTION("""COMPUTED_VALUE"""),"veryhard")</f>
        <v/>
      </c>
      <c r="D318">
        <f>IFERROR(__xludf.DUMMYFUNCTION("""COMPUTED_VALUE"""),"main")</f>
        <v/>
      </c>
      <c r="E318">
        <f>IFERROR(__xludf.DUMMYFUNCTION("""COMPUTED_VALUE"""),"メインクエスト")</f>
        <v/>
      </c>
      <c r="F318">
        <f>IFERROR(__xludf.DUMMYFUNCTION("""COMPUTED_VALUE"""),"quest_main_sur_veryhard_10")</f>
        <v/>
      </c>
      <c r="G318">
        <f>IFERROR(__xludf.DUMMYFUNCTION("""COMPUTED_VALUE"""),"10.魔都精兵のスレイブ")</f>
        <v/>
      </c>
      <c r="H318">
        <f>IFERROR(__xludf.DUMMYFUNCTION("""COMPUTED_VALUE"""),"06")</f>
        <v/>
      </c>
      <c r="I318">
        <f>IFERROR(__xludf.DUMMYFUNCTION("""COMPUTED_VALUE"""),"veryhard_sur_00006")</f>
        <v/>
      </c>
      <c r="J318">
        <f>IFERROR(__xludf.DUMMYFUNCTION("""COMPUTED_VALUE"""),"stage_icon_sur_veryhard_06")</f>
        <v/>
      </c>
    </row>
    <row r="320">
      <c r="A320">
        <f>IFERROR(__xludf.DUMMYFUNCTION("""COMPUTED_VALUE"""),"rik")</f>
        <v/>
      </c>
      <c r="B320">
        <f>IFERROR(__xludf.DUMMYFUNCTION("""COMPUTED_VALUE"""),"トマトイプーのリコピン")</f>
        <v/>
      </c>
      <c r="C320">
        <f>IFERROR(__xludf.DUMMYFUNCTION("""COMPUTED_VALUE"""),"veryhard")</f>
        <v/>
      </c>
      <c r="D320">
        <f>IFERROR(__xludf.DUMMYFUNCTION("""COMPUTED_VALUE"""),"main")</f>
        <v/>
      </c>
      <c r="E320">
        <f>IFERROR(__xludf.DUMMYFUNCTION("""COMPUTED_VALUE"""),"メインクエスト")</f>
        <v/>
      </c>
      <c r="F320">
        <f>IFERROR(__xludf.DUMMYFUNCTION("""COMPUTED_VALUE"""),"quest_main_rik_veryhard_11")</f>
        <v/>
      </c>
      <c r="G320">
        <f>IFERROR(__xludf.DUMMYFUNCTION("""COMPUTED_VALUE"""),"11.トマトイプーのリコピン")</f>
        <v/>
      </c>
      <c r="H320">
        <f>IFERROR(__xludf.DUMMYFUNCTION("""COMPUTED_VALUE"""),"01")</f>
        <v/>
      </c>
      <c r="I320">
        <f>IFERROR(__xludf.DUMMYFUNCTION("""COMPUTED_VALUE"""),"veryhard_rik_00001")</f>
        <v/>
      </c>
      <c r="J320">
        <f>IFERROR(__xludf.DUMMYFUNCTION("""COMPUTED_VALUE"""),"stage_icon_rik_veryhard_01")</f>
        <v/>
      </c>
    </row>
    <row r="321">
      <c r="A321">
        <f>IFERROR(__xludf.DUMMYFUNCTION("""COMPUTED_VALUE"""),"rik")</f>
        <v/>
      </c>
      <c r="B321">
        <f>IFERROR(__xludf.DUMMYFUNCTION("""COMPUTED_VALUE"""),"トマトイプーのリコピン")</f>
        <v/>
      </c>
      <c r="C321">
        <f>IFERROR(__xludf.DUMMYFUNCTION("""COMPUTED_VALUE"""),"veryhard")</f>
        <v/>
      </c>
      <c r="D321">
        <f>IFERROR(__xludf.DUMMYFUNCTION("""COMPUTED_VALUE"""),"main")</f>
        <v/>
      </c>
      <c r="E321">
        <f>IFERROR(__xludf.DUMMYFUNCTION("""COMPUTED_VALUE"""),"メインクエスト")</f>
        <v/>
      </c>
      <c r="F321">
        <f>IFERROR(__xludf.DUMMYFUNCTION("""COMPUTED_VALUE"""),"quest_main_rik_veryhard_11")</f>
        <v/>
      </c>
      <c r="G321">
        <f>IFERROR(__xludf.DUMMYFUNCTION("""COMPUTED_VALUE"""),"11.トマトイプーのリコピン")</f>
        <v/>
      </c>
      <c r="H321">
        <f>IFERROR(__xludf.DUMMYFUNCTION("""COMPUTED_VALUE"""),"02")</f>
        <v/>
      </c>
      <c r="I321">
        <f>IFERROR(__xludf.DUMMYFUNCTION("""COMPUTED_VALUE"""),"veryhard_rik_00002")</f>
        <v/>
      </c>
      <c r="J321">
        <f>IFERROR(__xludf.DUMMYFUNCTION("""COMPUTED_VALUE"""),"stage_icon_rik_veryhard_02")</f>
        <v/>
      </c>
    </row>
    <row r="322">
      <c r="A322">
        <f>IFERROR(__xludf.DUMMYFUNCTION("""COMPUTED_VALUE"""),"rik")</f>
        <v/>
      </c>
      <c r="B322">
        <f>IFERROR(__xludf.DUMMYFUNCTION("""COMPUTED_VALUE"""),"トマトイプーのリコピン")</f>
        <v/>
      </c>
      <c r="C322">
        <f>IFERROR(__xludf.DUMMYFUNCTION("""COMPUTED_VALUE"""),"veryhard")</f>
        <v/>
      </c>
      <c r="D322">
        <f>IFERROR(__xludf.DUMMYFUNCTION("""COMPUTED_VALUE"""),"main")</f>
        <v/>
      </c>
      <c r="E322">
        <f>IFERROR(__xludf.DUMMYFUNCTION("""COMPUTED_VALUE"""),"メインクエスト")</f>
        <v/>
      </c>
      <c r="F322">
        <f>IFERROR(__xludf.DUMMYFUNCTION("""COMPUTED_VALUE"""),"quest_main_rik_veryhard_11")</f>
        <v/>
      </c>
      <c r="G322">
        <f>IFERROR(__xludf.DUMMYFUNCTION("""COMPUTED_VALUE"""),"11.トマトイプーのリコピン")</f>
        <v/>
      </c>
      <c r="H322">
        <f>IFERROR(__xludf.DUMMYFUNCTION("""COMPUTED_VALUE"""),"03")</f>
        <v/>
      </c>
      <c r="I322">
        <f>IFERROR(__xludf.DUMMYFUNCTION("""COMPUTED_VALUE"""),"veryhard_rik_00003")</f>
        <v/>
      </c>
      <c r="J322">
        <f>IFERROR(__xludf.DUMMYFUNCTION("""COMPUTED_VALUE"""),"stage_icon_rik_veryhard_03")</f>
        <v/>
      </c>
    </row>
    <row r="324">
      <c r="A324">
        <f>IFERROR(__xludf.DUMMYFUNCTION("""COMPUTED_VALUE"""),"glo3")</f>
        <v/>
      </c>
      <c r="B324">
        <f>IFERROR(__xludf.DUMMYFUNCTION("""COMPUTED_VALUE"""),"GLOW")</f>
        <v/>
      </c>
      <c r="C324">
        <f>IFERROR(__xludf.DUMMYFUNCTION("""COMPUTED_VALUE"""),"veryhard")</f>
        <v/>
      </c>
      <c r="D324">
        <f>IFERROR(__xludf.DUMMYFUNCTION("""COMPUTED_VALUE"""),"main")</f>
        <v/>
      </c>
      <c r="E324">
        <f>IFERROR(__xludf.DUMMYFUNCTION("""COMPUTED_VALUE"""),"メインクエスト")</f>
        <v/>
      </c>
      <c r="F324">
        <f>IFERROR(__xludf.DUMMYFUNCTION("""COMPUTED_VALUE"""),"quest_main_glo3_veryhard_12")</f>
        <v/>
      </c>
      <c r="G324">
        <f>IFERROR(__xludf.DUMMYFUNCTION("""COMPUTED_VALUE"""),"12.リミックスクエスト Vol.3")</f>
        <v/>
      </c>
      <c r="H324">
        <f>IFERROR(__xludf.DUMMYFUNCTION("""COMPUTED_VALUE"""),"01")</f>
        <v/>
      </c>
      <c r="I324">
        <f>IFERROR(__xludf.DUMMYFUNCTION("""COMPUTED_VALUE"""),"veryhard_glo3_00001")</f>
        <v/>
      </c>
      <c r="J324">
        <f>IFERROR(__xludf.DUMMYFUNCTION("""COMPUTED_VALUE"""),"stage_icon_glo3_veryhard_01")</f>
        <v/>
      </c>
    </row>
    <row r="325">
      <c r="A325">
        <f>IFERROR(__xludf.DUMMYFUNCTION("""COMPUTED_VALUE"""),"glo3")</f>
        <v/>
      </c>
      <c r="B325">
        <f>IFERROR(__xludf.DUMMYFUNCTION("""COMPUTED_VALUE"""),"GLOW")</f>
        <v/>
      </c>
      <c r="C325">
        <f>IFERROR(__xludf.DUMMYFUNCTION("""COMPUTED_VALUE"""),"veryhard")</f>
        <v/>
      </c>
      <c r="D325">
        <f>IFERROR(__xludf.DUMMYFUNCTION("""COMPUTED_VALUE"""),"main")</f>
        <v/>
      </c>
      <c r="E325">
        <f>IFERROR(__xludf.DUMMYFUNCTION("""COMPUTED_VALUE"""),"メインクエスト")</f>
        <v/>
      </c>
      <c r="F325">
        <f>IFERROR(__xludf.DUMMYFUNCTION("""COMPUTED_VALUE"""),"quest_main_glo3_veryhard_12")</f>
        <v/>
      </c>
      <c r="G325">
        <f>IFERROR(__xludf.DUMMYFUNCTION("""COMPUTED_VALUE"""),"12.リミックスクエスト Vol.3")</f>
        <v/>
      </c>
      <c r="H325">
        <f>IFERROR(__xludf.DUMMYFUNCTION("""COMPUTED_VALUE"""),"02")</f>
        <v/>
      </c>
      <c r="I325">
        <f>IFERROR(__xludf.DUMMYFUNCTION("""COMPUTED_VALUE"""),"veryhard_glo3_00002")</f>
        <v/>
      </c>
      <c r="J325">
        <f>IFERROR(__xludf.DUMMYFUNCTION("""COMPUTED_VALUE"""),"stage_icon_glo3_veryhard_02")</f>
        <v/>
      </c>
    </row>
    <row r="326">
      <c r="A326">
        <f>IFERROR(__xludf.DUMMYFUNCTION("""COMPUTED_VALUE"""),"glo3")</f>
        <v/>
      </c>
      <c r="B326">
        <f>IFERROR(__xludf.DUMMYFUNCTION("""COMPUTED_VALUE"""),"GLOW")</f>
        <v/>
      </c>
      <c r="C326">
        <f>IFERROR(__xludf.DUMMYFUNCTION("""COMPUTED_VALUE"""),"veryhard")</f>
        <v/>
      </c>
      <c r="D326">
        <f>IFERROR(__xludf.DUMMYFUNCTION("""COMPUTED_VALUE"""),"main")</f>
        <v/>
      </c>
      <c r="E326">
        <f>IFERROR(__xludf.DUMMYFUNCTION("""COMPUTED_VALUE"""),"メインクエスト")</f>
        <v/>
      </c>
      <c r="F326">
        <f>IFERROR(__xludf.DUMMYFUNCTION("""COMPUTED_VALUE"""),"quest_main_glo3_veryhard_12")</f>
        <v/>
      </c>
      <c r="G326">
        <f>IFERROR(__xludf.DUMMYFUNCTION("""COMPUTED_VALUE"""),"12.リミックスクエスト Vol.3")</f>
        <v/>
      </c>
      <c r="H326">
        <f>IFERROR(__xludf.DUMMYFUNCTION("""COMPUTED_VALUE"""),"03")</f>
        <v/>
      </c>
      <c r="I326">
        <f>IFERROR(__xludf.DUMMYFUNCTION("""COMPUTED_VALUE"""),"veryhard_glo3_00003")</f>
        <v/>
      </c>
      <c r="J326">
        <f>IFERROR(__xludf.DUMMYFUNCTION("""COMPUTED_VALUE"""),"stage_icon_glo3_veryhard_03")</f>
        <v/>
      </c>
    </row>
    <row r="327">
      <c r="A327">
        <f>IFERROR(__xludf.DUMMYFUNCTION("""COMPUTED_VALUE"""),"glo3")</f>
        <v/>
      </c>
      <c r="B327">
        <f>IFERROR(__xludf.DUMMYFUNCTION("""COMPUTED_VALUE"""),"GLOW")</f>
        <v/>
      </c>
      <c r="C327">
        <f>IFERROR(__xludf.DUMMYFUNCTION("""COMPUTED_VALUE"""),"veryhard")</f>
        <v/>
      </c>
      <c r="D327">
        <f>IFERROR(__xludf.DUMMYFUNCTION("""COMPUTED_VALUE"""),"main")</f>
        <v/>
      </c>
      <c r="E327">
        <f>IFERROR(__xludf.DUMMYFUNCTION("""COMPUTED_VALUE"""),"メインクエスト")</f>
        <v/>
      </c>
      <c r="F327">
        <f>IFERROR(__xludf.DUMMYFUNCTION("""COMPUTED_VALUE"""),"quest_main_glo3_veryhard_12")</f>
        <v/>
      </c>
      <c r="G327">
        <f>IFERROR(__xludf.DUMMYFUNCTION("""COMPUTED_VALUE"""),"12.リミックスクエスト Vol.3")</f>
        <v/>
      </c>
      <c r="H327">
        <f>IFERROR(__xludf.DUMMYFUNCTION("""COMPUTED_VALUE"""),"04")</f>
        <v/>
      </c>
      <c r="I327">
        <f>IFERROR(__xludf.DUMMYFUNCTION("""COMPUTED_VALUE"""),"veryhard_glo3_00004")</f>
        <v/>
      </c>
      <c r="J327">
        <f>IFERROR(__xludf.DUMMYFUNCTION("""COMPUTED_VALUE"""),"stage_icon_glo3_veryhard_04")</f>
        <v/>
      </c>
    </row>
    <row r="328">
      <c r="A328">
        <f>IFERROR(__xludf.DUMMYFUNCTION("""COMPUTED_VALUE"""),"glo3")</f>
        <v/>
      </c>
      <c r="B328">
        <f>IFERROR(__xludf.DUMMYFUNCTION("""COMPUTED_VALUE"""),"GLOW")</f>
        <v/>
      </c>
      <c r="C328">
        <f>IFERROR(__xludf.DUMMYFUNCTION("""COMPUTED_VALUE"""),"veryhard")</f>
        <v/>
      </c>
      <c r="D328">
        <f>IFERROR(__xludf.DUMMYFUNCTION("""COMPUTED_VALUE"""),"main")</f>
        <v/>
      </c>
      <c r="E328">
        <f>IFERROR(__xludf.DUMMYFUNCTION("""COMPUTED_VALUE"""),"メインクエスト")</f>
        <v/>
      </c>
      <c r="F328">
        <f>IFERROR(__xludf.DUMMYFUNCTION("""COMPUTED_VALUE"""),"quest_main_glo3_veryhard_12")</f>
        <v/>
      </c>
      <c r="G328">
        <f>IFERROR(__xludf.DUMMYFUNCTION("""COMPUTED_VALUE"""),"12.リミックスクエスト Vol.3")</f>
        <v/>
      </c>
      <c r="H328">
        <f>IFERROR(__xludf.DUMMYFUNCTION("""COMPUTED_VALUE"""),"05")</f>
        <v/>
      </c>
      <c r="I328">
        <f>IFERROR(__xludf.DUMMYFUNCTION("""COMPUTED_VALUE"""),"veryhard_glo3_00005")</f>
        <v/>
      </c>
      <c r="J328">
        <f>IFERROR(__xludf.DUMMYFUNCTION("""COMPUTED_VALUE"""),"stage_icon_glo3_veryhard_05")</f>
        <v/>
      </c>
    </row>
    <row r="329">
      <c r="A329">
        <f>IFERROR(__xludf.DUMMYFUNCTION("""COMPUTED_VALUE"""),"glo3")</f>
        <v/>
      </c>
      <c r="B329">
        <f>IFERROR(__xludf.DUMMYFUNCTION("""COMPUTED_VALUE"""),"GLOW")</f>
        <v/>
      </c>
      <c r="C329">
        <f>IFERROR(__xludf.DUMMYFUNCTION("""COMPUTED_VALUE"""),"veryhard")</f>
        <v/>
      </c>
      <c r="D329">
        <f>IFERROR(__xludf.DUMMYFUNCTION("""COMPUTED_VALUE"""),"main")</f>
        <v/>
      </c>
      <c r="E329">
        <f>IFERROR(__xludf.DUMMYFUNCTION("""COMPUTED_VALUE"""),"メインクエスト")</f>
        <v/>
      </c>
      <c r="F329">
        <f>IFERROR(__xludf.DUMMYFUNCTION("""COMPUTED_VALUE"""),"quest_main_glo3_veryhard_12")</f>
        <v/>
      </c>
      <c r="G329">
        <f>IFERROR(__xludf.DUMMYFUNCTION("""COMPUTED_VALUE"""),"12.リミックスクエスト Vol.3")</f>
        <v/>
      </c>
      <c r="H329">
        <f>IFERROR(__xludf.DUMMYFUNCTION("""COMPUTED_VALUE"""),"06")</f>
        <v/>
      </c>
      <c r="I329">
        <f>IFERROR(__xludf.DUMMYFUNCTION("""COMPUTED_VALUE"""),"veryhard_glo3_00006")</f>
        <v/>
      </c>
      <c r="J329">
        <f>IFERROR(__xludf.DUMMYFUNCTION("""COMPUTED_VALUE"""),"stage_icon_glo3_veryhard_06")</f>
        <v/>
      </c>
    </row>
    <row r="331">
      <c r="A331">
        <f>IFERROR(__xludf.DUMMYFUNCTION("""COMPUTED_VALUE"""),"mag")</f>
        <v/>
      </c>
      <c r="B331">
        <f>IFERROR(__xludf.DUMMYFUNCTION("""COMPUTED_VALUE"""),"株式会社マジルミエ")</f>
        <v/>
      </c>
      <c r="C331">
        <f>IFERROR(__xludf.DUMMYFUNCTION("""COMPUTED_VALUE"""),"veryhard")</f>
        <v/>
      </c>
      <c r="D331">
        <f>IFERROR(__xludf.DUMMYFUNCTION("""COMPUTED_VALUE"""),"main")</f>
        <v/>
      </c>
      <c r="E331">
        <f>IFERROR(__xludf.DUMMYFUNCTION("""COMPUTED_VALUE"""),"メインクエスト")</f>
        <v/>
      </c>
      <c r="F331">
        <f>IFERROR(__xludf.DUMMYFUNCTION("""COMPUTED_VALUE"""),"quest_main_mag_veryhard_13")</f>
        <v/>
      </c>
      <c r="G331">
        <f>IFERROR(__xludf.DUMMYFUNCTION("""COMPUTED_VALUE"""),"13.株式会社マジルミエ")</f>
        <v/>
      </c>
      <c r="H331">
        <f>IFERROR(__xludf.DUMMYFUNCTION("""COMPUTED_VALUE"""),"01")</f>
        <v/>
      </c>
      <c r="I331">
        <f>IFERROR(__xludf.DUMMYFUNCTION("""COMPUTED_VALUE"""),"veryhard_mag_00001")</f>
        <v/>
      </c>
      <c r="J331">
        <f>IFERROR(__xludf.DUMMYFUNCTION("""COMPUTED_VALUE"""),"stage_icon_mag_veryhard_01")</f>
        <v/>
      </c>
    </row>
    <row r="332">
      <c r="A332">
        <f>IFERROR(__xludf.DUMMYFUNCTION("""COMPUTED_VALUE"""),"mag")</f>
        <v/>
      </c>
      <c r="B332">
        <f>IFERROR(__xludf.DUMMYFUNCTION("""COMPUTED_VALUE"""),"株式会社マジルミエ")</f>
        <v/>
      </c>
      <c r="C332">
        <f>IFERROR(__xludf.DUMMYFUNCTION("""COMPUTED_VALUE"""),"veryhard")</f>
        <v/>
      </c>
      <c r="D332">
        <f>IFERROR(__xludf.DUMMYFUNCTION("""COMPUTED_VALUE"""),"main")</f>
        <v/>
      </c>
      <c r="E332">
        <f>IFERROR(__xludf.DUMMYFUNCTION("""COMPUTED_VALUE"""),"メインクエスト")</f>
        <v/>
      </c>
      <c r="F332">
        <f>IFERROR(__xludf.DUMMYFUNCTION("""COMPUTED_VALUE"""),"quest_main_mag_veryhard_13")</f>
        <v/>
      </c>
      <c r="G332">
        <f>IFERROR(__xludf.DUMMYFUNCTION("""COMPUTED_VALUE"""),"13.株式会社マジルミエ")</f>
        <v/>
      </c>
      <c r="H332">
        <f>IFERROR(__xludf.DUMMYFUNCTION("""COMPUTED_VALUE"""),"02")</f>
        <v/>
      </c>
      <c r="I332">
        <f>IFERROR(__xludf.DUMMYFUNCTION("""COMPUTED_VALUE"""),"veryhard_mag_00002")</f>
        <v/>
      </c>
      <c r="J332">
        <f>IFERROR(__xludf.DUMMYFUNCTION("""COMPUTED_VALUE"""),"stage_icon_mag_veryhard_02")</f>
        <v/>
      </c>
    </row>
    <row r="333">
      <c r="A333">
        <f>IFERROR(__xludf.DUMMYFUNCTION("""COMPUTED_VALUE"""),"mag")</f>
        <v/>
      </c>
      <c r="B333">
        <f>IFERROR(__xludf.DUMMYFUNCTION("""COMPUTED_VALUE"""),"株式会社マジルミエ")</f>
        <v/>
      </c>
      <c r="C333">
        <f>IFERROR(__xludf.DUMMYFUNCTION("""COMPUTED_VALUE"""),"veryhard")</f>
        <v/>
      </c>
      <c r="D333">
        <f>IFERROR(__xludf.DUMMYFUNCTION("""COMPUTED_VALUE"""),"main")</f>
        <v/>
      </c>
      <c r="E333">
        <f>IFERROR(__xludf.DUMMYFUNCTION("""COMPUTED_VALUE"""),"メインクエスト")</f>
        <v/>
      </c>
      <c r="F333">
        <f>IFERROR(__xludf.DUMMYFUNCTION("""COMPUTED_VALUE"""),"quest_main_mag_veryhard_13")</f>
        <v/>
      </c>
      <c r="G333">
        <f>IFERROR(__xludf.DUMMYFUNCTION("""COMPUTED_VALUE"""),"13.株式会社マジルミエ")</f>
        <v/>
      </c>
      <c r="H333">
        <f>IFERROR(__xludf.DUMMYFUNCTION("""COMPUTED_VALUE"""),"03")</f>
        <v/>
      </c>
      <c r="I333">
        <f>IFERROR(__xludf.DUMMYFUNCTION("""COMPUTED_VALUE"""),"veryhard_mag_00003")</f>
        <v/>
      </c>
      <c r="J333">
        <f>IFERROR(__xludf.DUMMYFUNCTION("""COMPUTED_VALUE"""),"stage_icon_mag_veryhard_03")</f>
        <v/>
      </c>
    </row>
    <row r="334">
      <c r="A334">
        <f>IFERROR(__xludf.DUMMYFUNCTION("""COMPUTED_VALUE"""),"mag")</f>
        <v/>
      </c>
      <c r="B334">
        <f>IFERROR(__xludf.DUMMYFUNCTION("""COMPUTED_VALUE"""),"株式会社マジルミエ")</f>
        <v/>
      </c>
      <c r="C334">
        <f>IFERROR(__xludf.DUMMYFUNCTION("""COMPUTED_VALUE"""),"veryhard")</f>
        <v/>
      </c>
      <c r="D334">
        <f>IFERROR(__xludf.DUMMYFUNCTION("""COMPUTED_VALUE"""),"main")</f>
        <v/>
      </c>
      <c r="E334">
        <f>IFERROR(__xludf.DUMMYFUNCTION("""COMPUTED_VALUE"""),"メインクエスト")</f>
        <v/>
      </c>
      <c r="F334">
        <f>IFERROR(__xludf.DUMMYFUNCTION("""COMPUTED_VALUE"""),"quest_main_mag_veryhard_13")</f>
        <v/>
      </c>
      <c r="G334">
        <f>IFERROR(__xludf.DUMMYFUNCTION("""COMPUTED_VALUE"""),"13.株式会社マジルミエ")</f>
        <v/>
      </c>
      <c r="H334">
        <f>IFERROR(__xludf.DUMMYFUNCTION("""COMPUTED_VALUE"""),"04")</f>
        <v/>
      </c>
      <c r="I334">
        <f>IFERROR(__xludf.DUMMYFUNCTION("""COMPUTED_VALUE"""),"veryhard_mag_00004")</f>
        <v/>
      </c>
      <c r="J334">
        <f>IFERROR(__xludf.DUMMYFUNCTION("""COMPUTED_VALUE"""),"stage_icon_mag_veryhard_04")</f>
        <v/>
      </c>
    </row>
    <row r="335">
      <c r="A335">
        <f>IFERROR(__xludf.DUMMYFUNCTION("""COMPUTED_VALUE"""),"mag")</f>
        <v/>
      </c>
      <c r="B335">
        <f>IFERROR(__xludf.DUMMYFUNCTION("""COMPUTED_VALUE"""),"株式会社マジルミエ")</f>
        <v/>
      </c>
      <c r="C335">
        <f>IFERROR(__xludf.DUMMYFUNCTION("""COMPUTED_VALUE"""),"veryhard")</f>
        <v/>
      </c>
      <c r="D335">
        <f>IFERROR(__xludf.DUMMYFUNCTION("""COMPUTED_VALUE"""),"main")</f>
        <v/>
      </c>
      <c r="E335">
        <f>IFERROR(__xludf.DUMMYFUNCTION("""COMPUTED_VALUE"""),"メインクエスト")</f>
        <v/>
      </c>
      <c r="F335">
        <f>IFERROR(__xludf.DUMMYFUNCTION("""COMPUTED_VALUE"""),"quest_main_mag_veryhard_13")</f>
        <v/>
      </c>
      <c r="G335">
        <f>IFERROR(__xludf.DUMMYFUNCTION("""COMPUTED_VALUE"""),"13.株式会社マジルミエ")</f>
        <v/>
      </c>
      <c r="H335">
        <f>IFERROR(__xludf.DUMMYFUNCTION("""COMPUTED_VALUE"""),"05")</f>
        <v/>
      </c>
      <c r="I335">
        <f>IFERROR(__xludf.DUMMYFUNCTION("""COMPUTED_VALUE"""),"veryhard_mag_00005")</f>
        <v/>
      </c>
      <c r="J335">
        <f>IFERROR(__xludf.DUMMYFUNCTION("""COMPUTED_VALUE"""),"stage_icon_mag_veryhard_05")</f>
        <v/>
      </c>
    </row>
    <row r="336">
      <c r="A336">
        <f>IFERROR(__xludf.DUMMYFUNCTION("""COMPUTED_VALUE"""),"mag")</f>
        <v/>
      </c>
      <c r="B336">
        <f>IFERROR(__xludf.DUMMYFUNCTION("""COMPUTED_VALUE"""),"株式会社マジルミエ")</f>
        <v/>
      </c>
      <c r="C336">
        <f>IFERROR(__xludf.DUMMYFUNCTION("""COMPUTED_VALUE"""),"veryhard")</f>
        <v/>
      </c>
      <c r="D336">
        <f>IFERROR(__xludf.DUMMYFUNCTION("""COMPUTED_VALUE"""),"main")</f>
        <v/>
      </c>
      <c r="E336">
        <f>IFERROR(__xludf.DUMMYFUNCTION("""COMPUTED_VALUE"""),"メインクエスト")</f>
        <v/>
      </c>
      <c r="F336">
        <f>IFERROR(__xludf.DUMMYFUNCTION("""COMPUTED_VALUE"""),"quest_main_mag_veryhard_13")</f>
        <v/>
      </c>
      <c r="G336">
        <f>IFERROR(__xludf.DUMMYFUNCTION("""COMPUTED_VALUE"""),"13.株式会社マジルミエ")</f>
        <v/>
      </c>
      <c r="H336">
        <f>IFERROR(__xludf.DUMMYFUNCTION("""COMPUTED_VALUE"""),"06")</f>
        <v/>
      </c>
      <c r="I336">
        <f>IFERROR(__xludf.DUMMYFUNCTION("""COMPUTED_VALUE"""),"veryhard_mag_00006")</f>
        <v/>
      </c>
      <c r="J336">
        <f>IFERROR(__xludf.DUMMYFUNCTION("""COMPUTED_VALUE"""),"stage_icon_mag_veryhard_06")</f>
        <v/>
      </c>
    </row>
    <row r="338">
      <c r="A338">
        <f>IFERROR(__xludf.DUMMYFUNCTION("""COMPUTED_VALUE"""),"sum")</f>
        <v/>
      </c>
      <c r="B338">
        <f>IFERROR(__xludf.DUMMYFUNCTION("""COMPUTED_VALUE"""),"サマータイムレンダ")</f>
        <v/>
      </c>
      <c r="C338">
        <f>IFERROR(__xludf.DUMMYFUNCTION("""COMPUTED_VALUE"""),"veryhard")</f>
        <v/>
      </c>
      <c r="D338">
        <f>IFERROR(__xludf.DUMMYFUNCTION("""COMPUTED_VALUE"""),"main")</f>
        <v/>
      </c>
      <c r="E338">
        <f>IFERROR(__xludf.DUMMYFUNCTION("""COMPUTED_VALUE"""),"メインクエスト")</f>
        <v/>
      </c>
      <c r="F338">
        <f>IFERROR(__xludf.DUMMYFUNCTION("""COMPUTED_VALUE"""),"quest_main_sum_veryhard_14")</f>
        <v/>
      </c>
      <c r="G338">
        <f>IFERROR(__xludf.DUMMYFUNCTION("""COMPUTED_VALUE"""),"14.サマータイムレンダ")</f>
        <v/>
      </c>
      <c r="H338">
        <f>IFERROR(__xludf.DUMMYFUNCTION("""COMPUTED_VALUE"""),"01")</f>
        <v/>
      </c>
      <c r="I338">
        <f>IFERROR(__xludf.DUMMYFUNCTION("""COMPUTED_VALUE"""),"veryhard_sum_00001")</f>
        <v/>
      </c>
      <c r="J338">
        <f>IFERROR(__xludf.DUMMYFUNCTION("""COMPUTED_VALUE"""),"stage_icon_sum_veryhard_01")</f>
        <v/>
      </c>
    </row>
    <row r="339">
      <c r="A339">
        <f>IFERROR(__xludf.DUMMYFUNCTION("""COMPUTED_VALUE"""),"sum")</f>
        <v/>
      </c>
      <c r="B339">
        <f>IFERROR(__xludf.DUMMYFUNCTION("""COMPUTED_VALUE"""),"サマータイムレンダ")</f>
        <v/>
      </c>
      <c r="C339">
        <f>IFERROR(__xludf.DUMMYFUNCTION("""COMPUTED_VALUE"""),"veryhard")</f>
        <v/>
      </c>
      <c r="D339">
        <f>IFERROR(__xludf.DUMMYFUNCTION("""COMPUTED_VALUE"""),"main")</f>
        <v/>
      </c>
      <c r="E339">
        <f>IFERROR(__xludf.DUMMYFUNCTION("""COMPUTED_VALUE"""),"メインクエスト")</f>
        <v/>
      </c>
      <c r="F339">
        <f>IFERROR(__xludf.DUMMYFUNCTION("""COMPUTED_VALUE"""),"quest_main_sum_veryhard_14")</f>
        <v/>
      </c>
      <c r="G339">
        <f>IFERROR(__xludf.DUMMYFUNCTION("""COMPUTED_VALUE"""),"14.サマータイムレンダ")</f>
        <v/>
      </c>
      <c r="H339">
        <f>IFERROR(__xludf.DUMMYFUNCTION("""COMPUTED_VALUE"""),"02")</f>
        <v/>
      </c>
      <c r="I339">
        <f>IFERROR(__xludf.DUMMYFUNCTION("""COMPUTED_VALUE"""),"veryhard_sum_00002")</f>
        <v/>
      </c>
      <c r="J339">
        <f>IFERROR(__xludf.DUMMYFUNCTION("""COMPUTED_VALUE"""),"stage_icon_sum_veryhard_02")</f>
        <v/>
      </c>
    </row>
    <row r="340">
      <c r="A340">
        <f>IFERROR(__xludf.DUMMYFUNCTION("""COMPUTED_VALUE"""),"sum")</f>
        <v/>
      </c>
      <c r="B340">
        <f>IFERROR(__xludf.DUMMYFUNCTION("""COMPUTED_VALUE"""),"サマータイムレンダ")</f>
        <v/>
      </c>
      <c r="C340">
        <f>IFERROR(__xludf.DUMMYFUNCTION("""COMPUTED_VALUE"""),"veryhard")</f>
        <v/>
      </c>
      <c r="D340">
        <f>IFERROR(__xludf.DUMMYFUNCTION("""COMPUTED_VALUE"""),"main")</f>
        <v/>
      </c>
      <c r="E340">
        <f>IFERROR(__xludf.DUMMYFUNCTION("""COMPUTED_VALUE"""),"メインクエスト")</f>
        <v/>
      </c>
      <c r="F340">
        <f>IFERROR(__xludf.DUMMYFUNCTION("""COMPUTED_VALUE"""),"quest_main_sum_veryhard_14")</f>
        <v/>
      </c>
      <c r="G340">
        <f>IFERROR(__xludf.DUMMYFUNCTION("""COMPUTED_VALUE"""),"14.サマータイムレンダ")</f>
        <v/>
      </c>
      <c r="H340">
        <f>IFERROR(__xludf.DUMMYFUNCTION("""COMPUTED_VALUE"""),"03")</f>
        <v/>
      </c>
      <c r="I340">
        <f>IFERROR(__xludf.DUMMYFUNCTION("""COMPUTED_VALUE"""),"veryhard_sum_00003")</f>
        <v/>
      </c>
      <c r="J340">
        <f>IFERROR(__xludf.DUMMYFUNCTION("""COMPUTED_VALUE"""),"stage_icon_sum_veryhard_03")</f>
        <v/>
      </c>
    </row>
    <row r="341">
      <c r="A341">
        <f>IFERROR(__xludf.DUMMYFUNCTION("""COMPUTED_VALUE"""),"sum")</f>
        <v/>
      </c>
      <c r="B341">
        <f>IFERROR(__xludf.DUMMYFUNCTION("""COMPUTED_VALUE"""),"サマータイムレンダ")</f>
        <v/>
      </c>
      <c r="C341">
        <f>IFERROR(__xludf.DUMMYFUNCTION("""COMPUTED_VALUE"""),"veryhard")</f>
        <v/>
      </c>
      <c r="D341">
        <f>IFERROR(__xludf.DUMMYFUNCTION("""COMPUTED_VALUE"""),"main")</f>
        <v/>
      </c>
      <c r="E341">
        <f>IFERROR(__xludf.DUMMYFUNCTION("""COMPUTED_VALUE"""),"メインクエスト")</f>
        <v/>
      </c>
      <c r="F341">
        <f>IFERROR(__xludf.DUMMYFUNCTION("""COMPUTED_VALUE"""),"quest_main_sum_veryhard_14")</f>
        <v/>
      </c>
      <c r="G341">
        <f>IFERROR(__xludf.DUMMYFUNCTION("""COMPUTED_VALUE"""),"14.サマータイムレンダ")</f>
        <v/>
      </c>
      <c r="H341">
        <f>IFERROR(__xludf.DUMMYFUNCTION("""COMPUTED_VALUE"""),"04")</f>
        <v/>
      </c>
      <c r="I341">
        <f>IFERROR(__xludf.DUMMYFUNCTION("""COMPUTED_VALUE"""),"veryhard_sum_00004")</f>
        <v/>
      </c>
      <c r="J341">
        <f>IFERROR(__xludf.DUMMYFUNCTION("""COMPUTED_VALUE"""),"stage_icon_sum_veryhard_04")</f>
        <v/>
      </c>
    </row>
    <row r="342">
      <c r="A342">
        <f>IFERROR(__xludf.DUMMYFUNCTION("""COMPUTED_VALUE"""),"sum")</f>
        <v/>
      </c>
      <c r="B342">
        <f>IFERROR(__xludf.DUMMYFUNCTION("""COMPUTED_VALUE"""),"サマータイムレンダ")</f>
        <v/>
      </c>
      <c r="C342">
        <f>IFERROR(__xludf.DUMMYFUNCTION("""COMPUTED_VALUE"""),"veryhard")</f>
        <v/>
      </c>
      <c r="D342">
        <f>IFERROR(__xludf.DUMMYFUNCTION("""COMPUTED_VALUE"""),"main")</f>
        <v/>
      </c>
      <c r="E342">
        <f>IFERROR(__xludf.DUMMYFUNCTION("""COMPUTED_VALUE"""),"メインクエスト")</f>
        <v/>
      </c>
      <c r="F342">
        <f>IFERROR(__xludf.DUMMYFUNCTION("""COMPUTED_VALUE"""),"quest_main_sum_veryhard_14")</f>
        <v/>
      </c>
      <c r="G342">
        <f>IFERROR(__xludf.DUMMYFUNCTION("""COMPUTED_VALUE"""),"14.サマータイムレンダ")</f>
        <v/>
      </c>
      <c r="H342">
        <f>IFERROR(__xludf.DUMMYFUNCTION("""COMPUTED_VALUE"""),"05")</f>
        <v/>
      </c>
      <c r="I342">
        <f>IFERROR(__xludf.DUMMYFUNCTION("""COMPUTED_VALUE"""),"veryhard_sum_00005")</f>
        <v/>
      </c>
      <c r="J342">
        <f>IFERROR(__xludf.DUMMYFUNCTION("""COMPUTED_VALUE"""),"stage_icon_sum_veryhard_05")</f>
        <v/>
      </c>
    </row>
    <row r="343">
      <c r="A343">
        <f>IFERROR(__xludf.DUMMYFUNCTION("""COMPUTED_VALUE"""),"sum")</f>
        <v/>
      </c>
      <c r="B343">
        <f>IFERROR(__xludf.DUMMYFUNCTION("""COMPUTED_VALUE"""),"サマータイムレンダ")</f>
        <v/>
      </c>
      <c r="C343">
        <f>IFERROR(__xludf.DUMMYFUNCTION("""COMPUTED_VALUE"""),"veryhard")</f>
        <v/>
      </c>
      <c r="D343">
        <f>IFERROR(__xludf.DUMMYFUNCTION("""COMPUTED_VALUE"""),"main")</f>
        <v/>
      </c>
      <c r="E343">
        <f>IFERROR(__xludf.DUMMYFUNCTION("""COMPUTED_VALUE"""),"メインクエスト")</f>
        <v/>
      </c>
      <c r="F343">
        <f>IFERROR(__xludf.DUMMYFUNCTION("""COMPUTED_VALUE"""),"quest_main_sum_veryhard_14")</f>
        <v/>
      </c>
      <c r="G343">
        <f>IFERROR(__xludf.DUMMYFUNCTION("""COMPUTED_VALUE"""),"14.サマータイムレンダ")</f>
        <v/>
      </c>
      <c r="H343">
        <f>IFERROR(__xludf.DUMMYFUNCTION("""COMPUTED_VALUE"""),"06")</f>
        <v/>
      </c>
      <c r="I343">
        <f>IFERROR(__xludf.DUMMYFUNCTION("""COMPUTED_VALUE"""),"veryhard_sum_00006")</f>
        <v/>
      </c>
      <c r="J343">
        <f>IFERROR(__xludf.DUMMYFUNCTION("""COMPUTED_VALUE"""),"stage_icon_sum_veryhard_06")</f>
        <v/>
      </c>
    </row>
    <row r="345">
      <c r="A345">
        <f>IFERROR(__xludf.DUMMYFUNCTION("""COMPUTED_VALUE"""),"kai")</f>
        <v/>
      </c>
      <c r="B345">
        <f>IFERROR(__xludf.DUMMYFUNCTION("""COMPUTED_VALUE"""),"怪獣８号")</f>
        <v/>
      </c>
      <c r="C345">
        <f>IFERROR(__xludf.DUMMYFUNCTION("""COMPUTED_VALUE"""),"veryhard")</f>
        <v/>
      </c>
      <c r="D345">
        <f>IFERROR(__xludf.DUMMYFUNCTION("""COMPUTED_VALUE"""),"main")</f>
        <v/>
      </c>
      <c r="E345">
        <f>IFERROR(__xludf.DUMMYFUNCTION("""COMPUTED_VALUE"""),"メインクエスト")</f>
        <v/>
      </c>
      <c r="F345">
        <f>IFERROR(__xludf.DUMMYFUNCTION("""COMPUTED_VALUE"""),"quest_main_kai_veryhard_15")</f>
        <v/>
      </c>
      <c r="G345">
        <f>IFERROR(__xludf.DUMMYFUNCTION("""COMPUTED_VALUE"""),"15.怪獣８号")</f>
        <v/>
      </c>
      <c r="H345">
        <f>IFERROR(__xludf.DUMMYFUNCTION("""COMPUTED_VALUE"""),"01")</f>
        <v/>
      </c>
      <c r="I345">
        <f>IFERROR(__xludf.DUMMYFUNCTION("""COMPUTED_VALUE"""),"veryhard_kai_00001")</f>
        <v/>
      </c>
      <c r="J345">
        <f>IFERROR(__xludf.DUMMYFUNCTION("""COMPUTED_VALUE"""),"stage_icon_kai_veryhard_01")</f>
        <v/>
      </c>
    </row>
    <row r="346">
      <c r="A346">
        <f>IFERROR(__xludf.DUMMYFUNCTION("""COMPUTED_VALUE"""),"kai")</f>
        <v/>
      </c>
      <c r="B346">
        <f>IFERROR(__xludf.DUMMYFUNCTION("""COMPUTED_VALUE"""),"怪獣８号")</f>
        <v/>
      </c>
      <c r="C346">
        <f>IFERROR(__xludf.DUMMYFUNCTION("""COMPUTED_VALUE"""),"veryhard")</f>
        <v/>
      </c>
      <c r="D346">
        <f>IFERROR(__xludf.DUMMYFUNCTION("""COMPUTED_VALUE"""),"main")</f>
        <v/>
      </c>
      <c r="E346">
        <f>IFERROR(__xludf.DUMMYFUNCTION("""COMPUTED_VALUE"""),"メインクエスト")</f>
        <v/>
      </c>
      <c r="F346">
        <f>IFERROR(__xludf.DUMMYFUNCTION("""COMPUTED_VALUE"""),"quest_main_kai_veryhard_15")</f>
        <v/>
      </c>
      <c r="G346">
        <f>IFERROR(__xludf.DUMMYFUNCTION("""COMPUTED_VALUE"""),"15.怪獣８号")</f>
        <v/>
      </c>
      <c r="H346">
        <f>IFERROR(__xludf.DUMMYFUNCTION("""COMPUTED_VALUE"""),"02")</f>
        <v/>
      </c>
      <c r="I346">
        <f>IFERROR(__xludf.DUMMYFUNCTION("""COMPUTED_VALUE"""),"veryhard_kai_00002")</f>
        <v/>
      </c>
      <c r="J346">
        <f>IFERROR(__xludf.DUMMYFUNCTION("""COMPUTED_VALUE"""),"stage_icon_kai_veryhard_02")</f>
        <v/>
      </c>
    </row>
    <row r="347">
      <c r="A347">
        <f>IFERROR(__xludf.DUMMYFUNCTION("""COMPUTED_VALUE"""),"kai")</f>
        <v/>
      </c>
      <c r="B347">
        <f>IFERROR(__xludf.DUMMYFUNCTION("""COMPUTED_VALUE"""),"怪獣８号")</f>
        <v/>
      </c>
      <c r="C347">
        <f>IFERROR(__xludf.DUMMYFUNCTION("""COMPUTED_VALUE"""),"veryhard")</f>
        <v/>
      </c>
      <c r="D347">
        <f>IFERROR(__xludf.DUMMYFUNCTION("""COMPUTED_VALUE"""),"main")</f>
        <v/>
      </c>
      <c r="E347">
        <f>IFERROR(__xludf.DUMMYFUNCTION("""COMPUTED_VALUE"""),"メインクエスト")</f>
        <v/>
      </c>
      <c r="F347">
        <f>IFERROR(__xludf.DUMMYFUNCTION("""COMPUTED_VALUE"""),"quest_main_kai_veryhard_15")</f>
        <v/>
      </c>
      <c r="G347">
        <f>IFERROR(__xludf.DUMMYFUNCTION("""COMPUTED_VALUE"""),"15.怪獣８号")</f>
        <v/>
      </c>
      <c r="H347">
        <f>IFERROR(__xludf.DUMMYFUNCTION("""COMPUTED_VALUE"""),"03")</f>
        <v/>
      </c>
      <c r="I347">
        <f>IFERROR(__xludf.DUMMYFUNCTION("""COMPUTED_VALUE"""),"veryhard_kai_00003")</f>
        <v/>
      </c>
      <c r="J347">
        <f>IFERROR(__xludf.DUMMYFUNCTION("""COMPUTED_VALUE"""),"stage_icon_kai_veryhard_03")</f>
        <v/>
      </c>
    </row>
    <row r="348">
      <c r="A348">
        <f>IFERROR(__xludf.DUMMYFUNCTION("""COMPUTED_VALUE"""),"kai")</f>
        <v/>
      </c>
      <c r="B348">
        <f>IFERROR(__xludf.DUMMYFUNCTION("""COMPUTED_VALUE"""),"怪獣８号")</f>
        <v/>
      </c>
      <c r="C348">
        <f>IFERROR(__xludf.DUMMYFUNCTION("""COMPUTED_VALUE"""),"veryhard")</f>
        <v/>
      </c>
      <c r="D348">
        <f>IFERROR(__xludf.DUMMYFUNCTION("""COMPUTED_VALUE"""),"main")</f>
        <v/>
      </c>
      <c r="E348">
        <f>IFERROR(__xludf.DUMMYFUNCTION("""COMPUTED_VALUE"""),"メインクエスト")</f>
        <v/>
      </c>
      <c r="F348">
        <f>IFERROR(__xludf.DUMMYFUNCTION("""COMPUTED_VALUE"""),"quest_main_kai_veryhard_15")</f>
        <v/>
      </c>
      <c r="G348">
        <f>IFERROR(__xludf.DUMMYFUNCTION("""COMPUTED_VALUE"""),"15.怪獣８号")</f>
        <v/>
      </c>
      <c r="H348">
        <f>IFERROR(__xludf.DUMMYFUNCTION("""COMPUTED_VALUE"""),"04")</f>
        <v/>
      </c>
      <c r="I348">
        <f>IFERROR(__xludf.DUMMYFUNCTION("""COMPUTED_VALUE"""),"veryhard_kai_00004")</f>
        <v/>
      </c>
      <c r="J348">
        <f>IFERROR(__xludf.DUMMYFUNCTION("""COMPUTED_VALUE"""),"stage_icon_kai_veryhard_04")</f>
        <v/>
      </c>
    </row>
    <row r="349">
      <c r="A349">
        <f>IFERROR(__xludf.DUMMYFUNCTION("""COMPUTED_VALUE"""),"kai")</f>
        <v/>
      </c>
      <c r="B349">
        <f>IFERROR(__xludf.DUMMYFUNCTION("""COMPUTED_VALUE"""),"怪獣８号")</f>
        <v/>
      </c>
      <c r="C349">
        <f>IFERROR(__xludf.DUMMYFUNCTION("""COMPUTED_VALUE"""),"veryhard")</f>
        <v/>
      </c>
      <c r="D349">
        <f>IFERROR(__xludf.DUMMYFUNCTION("""COMPUTED_VALUE"""),"main")</f>
        <v/>
      </c>
      <c r="E349">
        <f>IFERROR(__xludf.DUMMYFUNCTION("""COMPUTED_VALUE"""),"メインクエスト")</f>
        <v/>
      </c>
      <c r="F349">
        <f>IFERROR(__xludf.DUMMYFUNCTION("""COMPUTED_VALUE"""),"quest_main_kai_veryhard_15")</f>
        <v/>
      </c>
      <c r="G349">
        <f>IFERROR(__xludf.DUMMYFUNCTION("""COMPUTED_VALUE"""),"15.怪獣８号")</f>
        <v/>
      </c>
      <c r="H349">
        <f>IFERROR(__xludf.DUMMYFUNCTION("""COMPUTED_VALUE"""),"05")</f>
        <v/>
      </c>
      <c r="I349">
        <f>IFERROR(__xludf.DUMMYFUNCTION("""COMPUTED_VALUE"""),"veryhard_kai_00005")</f>
        <v/>
      </c>
      <c r="J349">
        <f>IFERROR(__xludf.DUMMYFUNCTION("""COMPUTED_VALUE"""),"stage_icon_kai_veryhard_05")</f>
        <v/>
      </c>
    </row>
    <row r="350">
      <c r="A350">
        <f>IFERROR(__xludf.DUMMYFUNCTION("""COMPUTED_VALUE"""),"kai")</f>
        <v/>
      </c>
      <c r="B350">
        <f>IFERROR(__xludf.DUMMYFUNCTION("""COMPUTED_VALUE"""),"怪獣８号")</f>
        <v/>
      </c>
      <c r="C350">
        <f>IFERROR(__xludf.DUMMYFUNCTION("""COMPUTED_VALUE"""),"veryhard")</f>
        <v/>
      </c>
      <c r="D350">
        <f>IFERROR(__xludf.DUMMYFUNCTION("""COMPUTED_VALUE"""),"main")</f>
        <v/>
      </c>
      <c r="E350">
        <f>IFERROR(__xludf.DUMMYFUNCTION("""COMPUTED_VALUE"""),"メインクエスト")</f>
        <v/>
      </c>
      <c r="F350">
        <f>IFERROR(__xludf.DUMMYFUNCTION("""COMPUTED_VALUE"""),"quest_main_kai_veryhard_15")</f>
        <v/>
      </c>
      <c r="G350">
        <f>IFERROR(__xludf.DUMMYFUNCTION("""COMPUTED_VALUE"""),"15.怪獣８号")</f>
        <v/>
      </c>
      <c r="H350">
        <f>IFERROR(__xludf.DUMMYFUNCTION("""COMPUTED_VALUE"""),"06")</f>
        <v/>
      </c>
      <c r="I350">
        <f>IFERROR(__xludf.DUMMYFUNCTION("""COMPUTED_VALUE"""),"veryhard_kai_00006")</f>
        <v/>
      </c>
      <c r="J350">
        <f>IFERROR(__xludf.DUMMYFUNCTION("""COMPUTED_VALUE"""),"stage_icon_kai_veryhard_06")</f>
        <v/>
      </c>
    </row>
    <row r="352">
      <c r="A352">
        <f>IFERROR(__xludf.DUMMYFUNCTION("""COMPUTED_VALUE"""),"glo4")</f>
        <v/>
      </c>
      <c r="B352">
        <f>IFERROR(__xludf.DUMMYFUNCTION("""COMPUTED_VALUE"""),"GLOW")</f>
        <v/>
      </c>
      <c r="C352">
        <f>IFERROR(__xludf.DUMMYFUNCTION("""COMPUTED_VALUE"""),"veryhard")</f>
        <v/>
      </c>
      <c r="D352">
        <f>IFERROR(__xludf.DUMMYFUNCTION("""COMPUTED_VALUE"""),"main")</f>
        <v/>
      </c>
      <c r="E352">
        <f>IFERROR(__xludf.DUMMYFUNCTION("""COMPUTED_VALUE"""),"メインクエスト")</f>
        <v/>
      </c>
      <c r="F352">
        <f>IFERROR(__xludf.DUMMYFUNCTION("""COMPUTED_VALUE"""),"quest_main_glo4_veryhard_16")</f>
        <v/>
      </c>
      <c r="G352">
        <f>IFERROR(__xludf.DUMMYFUNCTION("""COMPUTED_VALUE"""),"16.リミックスクエスト Vol.4")</f>
        <v/>
      </c>
      <c r="H352">
        <f>IFERROR(__xludf.DUMMYFUNCTION("""COMPUTED_VALUE"""),"01")</f>
        <v/>
      </c>
      <c r="I352">
        <f>IFERROR(__xludf.DUMMYFUNCTION("""COMPUTED_VALUE"""),"veryhard_glo4_00001")</f>
        <v/>
      </c>
      <c r="J352">
        <f>IFERROR(__xludf.DUMMYFUNCTION("""COMPUTED_VALUE"""),"stage_icon_glo4_veryhard_01")</f>
        <v/>
      </c>
    </row>
    <row r="353">
      <c r="A353">
        <f>IFERROR(__xludf.DUMMYFUNCTION("""COMPUTED_VALUE"""),"glo4")</f>
        <v/>
      </c>
      <c r="B353">
        <f>IFERROR(__xludf.DUMMYFUNCTION("""COMPUTED_VALUE"""),"GLOW")</f>
        <v/>
      </c>
      <c r="C353">
        <f>IFERROR(__xludf.DUMMYFUNCTION("""COMPUTED_VALUE"""),"veryhard")</f>
        <v/>
      </c>
      <c r="D353">
        <f>IFERROR(__xludf.DUMMYFUNCTION("""COMPUTED_VALUE"""),"main")</f>
        <v/>
      </c>
      <c r="E353">
        <f>IFERROR(__xludf.DUMMYFUNCTION("""COMPUTED_VALUE"""),"メインクエスト")</f>
        <v/>
      </c>
      <c r="F353">
        <f>IFERROR(__xludf.DUMMYFUNCTION("""COMPUTED_VALUE"""),"quest_main_glo4_veryhard_16")</f>
        <v/>
      </c>
      <c r="G353">
        <f>IFERROR(__xludf.DUMMYFUNCTION("""COMPUTED_VALUE"""),"16.リミックスクエスト Vol.4")</f>
        <v/>
      </c>
      <c r="H353">
        <f>IFERROR(__xludf.DUMMYFUNCTION("""COMPUTED_VALUE"""),"02")</f>
        <v/>
      </c>
      <c r="I353">
        <f>IFERROR(__xludf.DUMMYFUNCTION("""COMPUTED_VALUE"""),"veryhard_glo4_00002")</f>
        <v/>
      </c>
      <c r="J353">
        <f>IFERROR(__xludf.DUMMYFUNCTION("""COMPUTED_VALUE"""),"stage_icon_glo4_veryhard_02")</f>
        <v/>
      </c>
    </row>
    <row r="354">
      <c r="A354">
        <f>IFERROR(__xludf.DUMMYFUNCTION("""COMPUTED_VALUE"""),"glo4")</f>
        <v/>
      </c>
      <c r="B354">
        <f>IFERROR(__xludf.DUMMYFUNCTION("""COMPUTED_VALUE"""),"GLOW")</f>
        <v/>
      </c>
      <c r="C354">
        <f>IFERROR(__xludf.DUMMYFUNCTION("""COMPUTED_VALUE"""),"veryhard")</f>
        <v/>
      </c>
      <c r="D354">
        <f>IFERROR(__xludf.DUMMYFUNCTION("""COMPUTED_VALUE"""),"main")</f>
        <v/>
      </c>
      <c r="E354">
        <f>IFERROR(__xludf.DUMMYFUNCTION("""COMPUTED_VALUE"""),"メインクエスト")</f>
        <v/>
      </c>
      <c r="F354">
        <f>IFERROR(__xludf.DUMMYFUNCTION("""COMPUTED_VALUE"""),"quest_main_glo4_veryhard_16")</f>
        <v/>
      </c>
      <c r="G354">
        <f>IFERROR(__xludf.DUMMYFUNCTION("""COMPUTED_VALUE"""),"16.リミックスクエスト Vol.4")</f>
        <v/>
      </c>
      <c r="H354">
        <f>IFERROR(__xludf.DUMMYFUNCTION("""COMPUTED_VALUE"""),"03")</f>
        <v/>
      </c>
      <c r="I354">
        <f>IFERROR(__xludf.DUMMYFUNCTION("""COMPUTED_VALUE"""),"veryhard_glo4_00003")</f>
        <v/>
      </c>
      <c r="J354">
        <f>IFERROR(__xludf.DUMMYFUNCTION("""COMPUTED_VALUE"""),"stage_icon_glo4_veryhard_03")</f>
        <v/>
      </c>
    </row>
    <row r="355">
      <c r="A355">
        <f>IFERROR(__xludf.DUMMYFUNCTION("""COMPUTED_VALUE"""),"glo4")</f>
        <v/>
      </c>
      <c r="B355">
        <f>IFERROR(__xludf.DUMMYFUNCTION("""COMPUTED_VALUE"""),"GLOW")</f>
        <v/>
      </c>
      <c r="C355">
        <f>IFERROR(__xludf.DUMMYFUNCTION("""COMPUTED_VALUE"""),"veryhard")</f>
        <v/>
      </c>
      <c r="D355">
        <f>IFERROR(__xludf.DUMMYFUNCTION("""COMPUTED_VALUE"""),"main")</f>
        <v/>
      </c>
      <c r="E355">
        <f>IFERROR(__xludf.DUMMYFUNCTION("""COMPUTED_VALUE"""),"メインクエスト")</f>
        <v/>
      </c>
      <c r="F355">
        <f>IFERROR(__xludf.DUMMYFUNCTION("""COMPUTED_VALUE"""),"quest_main_glo4_veryhard_16")</f>
        <v/>
      </c>
      <c r="G355">
        <f>IFERROR(__xludf.DUMMYFUNCTION("""COMPUTED_VALUE"""),"16.リミックスクエスト Vol.4")</f>
        <v/>
      </c>
      <c r="H355">
        <f>IFERROR(__xludf.DUMMYFUNCTION("""COMPUTED_VALUE"""),"04")</f>
        <v/>
      </c>
      <c r="I355">
        <f>IFERROR(__xludf.DUMMYFUNCTION("""COMPUTED_VALUE"""),"veryhard_glo4_00004")</f>
        <v/>
      </c>
      <c r="J355">
        <f>IFERROR(__xludf.DUMMYFUNCTION("""COMPUTED_VALUE"""),"stage_icon_glo4_veryhard_04")</f>
        <v/>
      </c>
    </row>
    <row r="356">
      <c r="A356">
        <f>IFERROR(__xludf.DUMMYFUNCTION("""COMPUTED_VALUE"""),"glo4")</f>
        <v/>
      </c>
      <c r="B356">
        <f>IFERROR(__xludf.DUMMYFUNCTION("""COMPUTED_VALUE"""),"GLOW")</f>
        <v/>
      </c>
      <c r="C356">
        <f>IFERROR(__xludf.DUMMYFUNCTION("""COMPUTED_VALUE"""),"veryhard")</f>
        <v/>
      </c>
      <c r="D356">
        <f>IFERROR(__xludf.DUMMYFUNCTION("""COMPUTED_VALUE"""),"main")</f>
        <v/>
      </c>
      <c r="E356">
        <f>IFERROR(__xludf.DUMMYFUNCTION("""COMPUTED_VALUE"""),"メインクエスト")</f>
        <v/>
      </c>
      <c r="F356">
        <f>IFERROR(__xludf.DUMMYFUNCTION("""COMPUTED_VALUE"""),"quest_main_glo4_veryhard_16")</f>
        <v/>
      </c>
      <c r="G356">
        <f>IFERROR(__xludf.DUMMYFUNCTION("""COMPUTED_VALUE"""),"16.リミックスクエスト Vol.4")</f>
        <v/>
      </c>
      <c r="H356">
        <f>IFERROR(__xludf.DUMMYFUNCTION("""COMPUTED_VALUE"""),"05")</f>
        <v/>
      </c>
      <c r="I356">
        <f>IFERROR(__xludf.DUMMYFUNCTION("""COMPUTED_VALUE"""),"veryhard_glo4_00005")</f>
        <v/>
      </c>
      <c r="J356">
        <f>IFERROR(__xludf.DUMMYFUNCTION("""COMPUTED_VALUE"""),"stage_icon_glo4_veryhard_05")</f>
        <v/>
      </c>
    </row>
    <row r="357">
      <c r="A357">
        <f>IFERROR(__xludf.DUMMYFUNCTION("""COMPUTED_VALUE"""),"glo4")</f>
        <v/>
      </c>
      <c r="B357">
        <f>IFERROR(__xludf.DUMMYFUNCTION("""COMPUTED_VALUE"""),"GLOW")</f>
        <v/>
      </c>
      <c r="C357">
        <f>IFERROR(__xludf.DUMMYFUNCTION("""COMPUTED_VALUE"""),"veryhard")</f>
        <v/>
      </c>
      <c r="D357">
        <f>IFERROR(__xludf.DUMMYFUNCTION("""COMPUTED_VALUE"""),"main")</f>
        <v/>
      </c>
      <c r="E357">
        <f>IFERROR(__xludf.DUMMYFUNCTION("""COMPUTED_VALUE"""),"メインクエスト")</f>
        <v/>
      </c>
      <c r="F357">
        <f>IFERROR(__xludf.DUMMYFUNCTION("""COMPUTED_VALUE"""),"quest_main_glo4_veryhard_16")</f>
        <v/>
      </c>
      <c r="G357">
        <f>IFERROR(__xludf.DUMMYFUNCTION("""COMPUTED_VALUE"""),"16.リミックスクエスト Vol.4")</f>
        <v/>
      </c>
      <c r="H357">
        <f>IFERROR(__xludf.DUMMYFUNCTION("""COMPUTED_VALUE"""),"06")</f>
        <v/>
      </c>
      <c r="I357">
        <f>IFERROR(__xludf.DUMMYFUNCTION("""COMPUTED_VALUE"""),"veryhard_glo4_00006")</f>
        <v/>
      </c>
      <c r="J357">
        <f>IFERROR(__xludf.DUMMYFUNCTION("""COMPUTED_VALUE"""),"stage_icon_glo4_veryhard_06")</f>
        <v/>
      </c>
    </row>
    <row r="359">
      <c r="A359">
        <f>IFERROR(__xludf.DUMMYFUNCTION("""COMPUTED_VALUE"""),"osh")</f>
        <v/>
      </c>
      <c r="B359">
        <f>IFERROR(__xludf.DUMMYFUNCTION("""COMPUTED_VALUE"""),"【推しの子】")</f>
        <v/>
      </c>
      <c r="C359">
        <f>IFERROR(__xludf.DUMMYFUNCTION("""COMPUTED_VALUE"""),"veryhard")</f>
        <v/>
      </c>
      <c r="D359">
        <f>IFERROR(__xludf.DUMMYFUNCTION("""COMPUTED_VALUE"""),"main")</f>
        <v/>
      </c>
      <c r="E359">
        <f>IFERROR(__xludf.DUMMYFUNCTION("""COMPUTED_VALUE"""),"メインクエスト")</f>
        <v/>
      </c>
      <c r="F359">
        <f>IFERROR(__xludf.DUMMYFUNCTION("""COMPUTED_VALUE"""),"quest_main_osh_veryhard_17")</f>
        <v/>
      </c>
      <c r="G359">
        <f>IFERROR(__xludf.DUMMYFUNCTION("""COMPUTED_VALUE"""),"17.【推しの子】")</f>
        <v/>
      </c>
      <c r="H359">
        <f>IFERROR(__xludf.DUMMYFUNCTION("""COMPUTED_VALUE"""),"01")</f>
        <v/>
      </c>
      <c r="I359">
        <f>IFERROR(__xludf.DUMMYFUNCTION("""COMPUTED_VALUE"""),"veryhard_osh_00001")</f>
        <v/>
      </c>
      <c r="J359">
        <f>IFERROR(__xludf.DUMMYFUNCTION("""COMPUTED_VALUE"""),"stage_icon_osh_veryhard_01")</f>
        <v/>
      </c>
    </row>
    <row r="360">
      <c r="A360">
        <f>IFERROR(__xludf.DUMMYFUNCTION("""COMPUTED_VALUE"""),"osh")</f>
        <v/>
      </c>
      <c r="B360">
        <f>IFERROR(__xludf.DUMMYFUNCTION("""COMPUTED_VALUE"""),"【推しの子】")</f>
        <v/>
      </c>
      <c r="C360">
        <f>IFERROR(__xludf.DUMMYFUNCTION("""COMPUTED_VALUE"""),"veryhard")</f>
        <v/>
      </c>
      <c r="D360">
        <f>IFERROR(__xludf.DUMMYFUNCTION("""COMPUTED_VALUE"""),"main")</f>
        <v/>
      </c>
      <c r="E360">
        <f>IFERROR(__xludf.DUMMYFUNCTION("""COMPUTED_VALUE"""),"メインクエスト")</f>
        <v/>
      </c>
      <c r="F360">
        <f>IFERROR(__xludf.DUMMYFUNCTION("""COMPUTED_VALUE"""),"quest_main_osh_veryhard_17")</f>
        <v/>
      </c>
      <c r="G360">
        <f>IFERROR(__xludf.DUMMYFUNCTION("""COMPUTED_VALUE"""),"17.【推しの子】")</f>
        <v/>
      </c>
      <c r="H360">
        <f>IFERROR(__xludf.DUMMYFUNCTION("""COMPUTED_VALUE"""),"02")</f>
        <v/>
      </c>
      <c r="I360">
        <f>IFERROR(__xludf.DUMMYFUNCTION("""COMPUTED_VALUE"""),"veryhard_osh_00002")</f>
        <v/>
      </c>
      <c r="J360">
        <f>IFERROR(__xludf.DUMMYFUNCTION("""COMPUTED_VALUE"""),"stage_icon_osh_veryhard_02")</f>
        <v/>
      </c>
    </row>
    <row r="361">
      <c r="A361">
        <f>IFERROR(__xludf.DUMMYFUNCTION("""COMPUTED_VALUE"""),"osh")</f>
        <v/>
      </c>
      <c r="B361">
        <f>IFERROR(__xludf.DUMMYFUNCTION("""COMPUTED_VALUE"""),"【推しの子】")</f>
        <v/>
      </c>
      <c r="C361">
        <f>IFERROR(__xludf.DUMMYFUNCTION("""COMPUTED_VALUE"""),"veryhard")</f>
        <v/>
      </c>
      <c r="D361">
        <f>IFERROR(__xludf.DUMMYFUNCTION("""COMPUTED_VALUE"""),"main")</f>
        <v/>
      </c>
      <c r="E361">
        <f>IFERROR(__xludf.DUMMYFUNCTION("""COMPUTED_VALUE"""),"メインクエスト")</f>
        <v/>
      </c>
      <c r="F361">
        <f>IFERROR(__xludf.DUMMYFUNCTION("""COMPUTED_VALUE"""),"quest_main_osh_veryhard_17")</f>
        <v/>
      </c>
      <c r="G361">
        <f>IFERROR(__xludf.DUMMYFUNCTION("""COMPUTED_VALUE"""),"17.【推しの子】")</f>
        <v/>
      </c>
      <c r="H361">
        <f>IFERROR(__xludf.DUMMYFUNCTION("""COMPUTED_VALUE"""),"03")</f>
        <v/>
      </c>
      <c r="I361">
        <f>IFERROR(__xludf.DUMMYFUNCTION("""COMPUTED_VALUE"""),"veryhard_osh_00003")</f>
        <v/>
      </c>
      <c r="J361">
        <f>IFERROR(__xludf.DUMMYFUNCTION("""COMPUTED_VALUE"""),"stage_icon_osh_veryhard_03")</f>
        <v/>
      </c>
    </row>
    <row r="363">
      <c r="A363">
        <f>IFERROR(__xludf.DUMMYFUNCTION("""COMPUTED_VALUE"""),"you")</f>
        <v/>
      </c>
      <c r="B363">
        <f>IFERROR(__xludf.DUMMYFUNCTION("""COMPUTED_VALUE"""),"幼稚園WARS")</f>
        <v/>
      </c>
      <c r="C363">
        <f>IFERROR(__xludf.DUMMYFUNCTION("""COMPUTED_VALUE"""),"veryhard")</f>
        <v/>
      </c>
      <c r="D363">
        <f>IFERROR(__xludf.DUMMYFUNCTION("""COMPUTED_VALUE"""),"main")</f>
        <v/>
      </c>
      <c r="E363">
        <f>IFERROR(__xludf.DUMMYFUNCTION("""COMPUTED_VALUE"""),"メインクエスト")</f>
        <v/>
      </c>
      <c r="F363">
        <f>IFERROR(__xludf.DUMMYFUNCTION("""COMPUTED_VALUE"""),"quest_main_you_veryhard_18")</f>
        <v/>
      </c>
      <c r="G363">
        <f>IFERROR(__xludf.DUMMYFUNCTION("""COMPUTED_VALUE"""),"18.幼稚園WARS")</f>
        <v/>
      </c>
      <c r="H363">
        <f>IFERROR(__xludf.DUMMYFUNCTION("""COMPUTED_VALUE"""),"01")</f>
        <v/>
      </c>
      <c r="I363">
        <f>IFERROR(__xludf.DUMMYFUNCTION("""COMPUTED_VALUE"""),"veryhard_you_00001")</f>
        <v/>
      </c>
      <c r="J363">
        <f>IFERROR(__xludf.DUMMYFUNCTION("""COMPUTED_VALUE"""),"stage_icon_you_veryhard_01")</f>
        <v/>
      </c>
    </row>
    <row r="364">
      <c r="A364">
        <f>IFERROR(__xludf.DUMMYFUNCTION("""COMPUTED_VALUE"""),"you")</f>
        <v/>
      </c>
      <c r="B364">
        <f>IFERROR(__xludf.DUMMYFUNCTION("""COMPUTED_VALUE"""),"幼稚園WARS")</f>
        <v/>
      </c>
      <c r="C364">
        <f>IFERROR(__xludf.DUMMYFUNCTION("""COMPUTED_VALUE"""),"veryhard")</f>
        <v/>
      </c>
      <c r="D364">
        <f>IFERROR(__xludf.DUMMYFUNCTION("""COMPUTED_VALUE"""),"main")</f>
        <v/>
      </c>
      <c r="E364">
        <f>IFERROR(__xludf.DUMMYFUNCTION("""COMPUTED_VALUE"""),"メインクエスト")</f>
        <v/>
      </c>
      <c r="F364">
        <f>IFERROR(__xludf.DUMMYFUNCTION("""COMPUTED_VALUE"""),"quest_main_you_veryhard_18")</f>
        <v/>
      </c>
      <c r="G364">
        <f>IFERROR(__xludf.DUMMYFUNCTION("""COMPUTED_VALUE"""),"18.幼稚園WARS")</f>
        <v/>
      </c>
      <c r="H364">
        <f>IFERROR(__xludf.DUMMYFUNCTION("""COMPUTED_VALUE"""),"02")</f>
        <v/>
      </c>
      <c r="I364">
        <f>IFERROR(__xludf.DUMMYFUNCTION("""COMPUTED_VALUE"""),"veryhard_you_00002")</f>
        <v/>
      </c>
      <c r="J364">
        <f>IFERROR(__xludf.DUMMYFUNCTION("""COMPUTED_VALUE"""),"stage_icon_you_veryhard_02")</f>
        <v/>
      </c>
    </row>
    <row r="365">
      <c r="A365">
        <f>IFERROR(__xludf.DUMMYFUNCTION("""COMPUTED_VALUE"""),"you")</f>
        <v/>
      </c>
      <c r="B365">
        <f>IFERROR(__xludf.DUMMYFUNCTION("""COMPUTED_VALUE"""),"幼稚園WARS")</f>
        <v/>
      </c>
      <c r="C365">
        <f>IFERROR(__xludf.DUMMYFUNCTION("""COMPUTED_VALUE"""),"veryhard")</f>
        <v/>
      </c>
      <c r="D365">
        <f>IFERROR(__xludf.DUMMYFUNCTION("""COMPUTED_VALUE"""),"main")</f>
        <v/>
      </c>
      <c r="E365">
        <f>IFERROR(__xludf.DUMMYFUNCTION("""COMPUTED_VALUE"""),"メインクエスト")</f>
        <v/>
      </c>
      <c r="F365">
        <f>IFERROR(__xludf.DUMMYFUNCTION("""COMPUTED_VALUE"""),"quest_main_you_veryhard_18")</f>
        <v/>
      </c>
      <c r="G365">
        <f>IFERROR(__xludf.DUMMYFUNCTION("""COMPUTED_VALUE"""),"18.幼稚園WARS")</f>
        <v/>
      </c>
      <c r="H365">
        <f>IFERROR(__xludf.DUMMYFUNCTION("""COMPUTED_VALUE"""),"03")</f>
        <v/>
      </c>
      <c r="I365">
        <f>IFERROR(__xludf.DUMMYFUNCTION("""COMPUTED_VALUE"""),"veryhard_you_00003")</f>
        <v/>
      </c>
      <c r="J365">
        <f>IFERROR(__xludf.DUMMYFUNCTION("""COMPUTED_VALUE"""),"stage_icon_you_veryhard_03")</f>
        <v/>
      </c>
    </row>
    <row r="367">
      <c r="A367">
        <f>IFERROR(__xludf.DUMMYFUNCTION("""COMPUTED_VALUE"""),"aya")</f>
        <v/>
      </c>
      <c r="B367">
        <f>IFERROR(__xludf.DUMMYFUNCTION("""COMPUTED_VALUE"""),"あやかしトライアングル")</f>
        <v/>
      </c>
      <c r="C367">
        <f>IFERROR(__xludf.DUMMYFUNCTION("""COMPUTED_VALUE"""),"veryhard")</f>
        <v/>
      </c>
      <c r="D367">
        <f>IFERROR(__xludf.DUMMYFUNCTION("""COMPUTED_VALUE"""),"main")</f>
        <v/>
      </c>
      <c r="E367">
        <f>IFERROR(__xludf.DUMMYFUNCTION("""COMPUTED_VALUE"""),"メインクエスト")</f>
        <v/>
      </c>
      <c r="F367">
        <f>IFERROR(__xludf.DUMMYFUNCTION("""COMPUTED_VALUE"""),"quest_main_aya_veryhard_19")</f>
        <v/>
      </c>
      <c r="G367">
        <f>IFERROR(__xludf.DUMMYFUNCTION("""COMPUTED_VALUE"""),"19.あやかしトライアングル")</f>
        <v/>
      </c>
      <c r="H367">
        <f>IFERROR(__xludf.DUMMYFUNCTION("""COMPUTED_VALUE"""),"01")</f>
        <v/>
      </c>
      <c r="I367">
        <f>IFERROR(__xludf.DUMMYFUNCTION("""COMPUTED_VALUE"""),"veryhard_aya_00001")</f>
        <v/>
      </c>
      <c r="J367">
        <f>IFERROR(__xludf.DUMMYFUNCTION("""COMPUTED_VALUE"""),"stage_icon_aya_veryhard_01")</f>
        <v/>
      </c>
    </row>
    <row r="368">
      <c r="A368">
        <f>IFERROR(__xludf.DUMMYFUNCTION("""COMPUTED_VALUE"""),"aya")</f>
        <v/>
      </c>
      <c r="B368">
        <f>IFERROR(__xludf.DUMMYFUNCTION("""COMPUTED_VALUE"""),"あやかしトライアングル")</f>
        <v/>
      </c>
      <c r="C368">
        <f>IFERROR(__xludf.DUMMYFUNCTION("""COMPUTED_VALUE"""),"veryhard")</f>
        <v/>
      </c>
      <c r="D368">
        <f>IFERROR(__xludf.DUMMYFUNCTION("""COMPUTED_VALUE"""),"main")</f>
        <v/>
      </c>
      <c r="E368">
        <f>IFERROR(__xludf.DUMMYFUNCTION("""COMPUTED_VALUE"""),"メインクエスト")</f>
        <v/>
      </c>
      <c r="F368">
        <f>IFERROR(__xludf.DUMMYFUNCTION("""COMPUTED_VALUE"""),"quest_main_aya_veryhard_19")</f>
        <v/>
      </c>
      <c r="G368">
        <f>IFERROR(__xludf.DUMMYFUNCTION("""COMPUTED_VALUE"""),"19.あやかしトライアングル")</f>
        <v/>
      </c>
      <c r="H368">
        <f>IFERROR(__xludf.DUMMYFUNCTION("""COMPUTED_VALUE"""),"02")</f>
        <v/>
      </c>
      <c r="I368">
        <f>IFERROR(__xludf.DUMMYFUNCTION("""COMPUTED_VALUE"""),"veryhard_aya_00002")</f>
        <v/>
      </c>
      <c r="J368">
        <f>IFERROR(__xludf.DUMMYFUNCTION("""COMPUTED_VALUE"""),"stage_icon_aya_veryhard_02")</f>
        <v/>
      </c>
    </row>
    <row r="369">
      <c r="A369">
        <f>IFERROR(__xludf.DUMMYFUNCTION("""COMPUTED_VALUE"""),"aya")</f>
        <v/>
      </c>
      <c r="B369">
        <f>IFERROR(__xludf.DUMMYFUNCTION("""COMPUTED_VALUE"""),"あやかしトライアングル")</f>
        <v/>
      </c>
      <c r="C369">
        <f>IFERROR(__xludf.DUMMYFUNCTION("""COMPUTED_VALUE"""),"veryhard")</f>
        <v/>
      </c>
      <c r="D369">
        <f>IFERROR(__xludf.DUMMYFUNCTION("""COMPUTED_VALUE"""),"main")</f>
        <v/>
      </c>
      <c r="E369">
        <f>IFERROR(__xludf.DUMMYFUNCTION("""COMPUTED_VALUE"""),"メインクエスト")</f>
        <v/>
      </c>
      <c r="F369">
        <f>IFERROR(__xludf.DUMMYFUNCTION("""COMPUTED_VALUE"""),"quest_main_aya_veryhard_19")</f>
        <v/>
      </c>
      <c r="G369">
        <f>IFERROR(__xludf.DUMMYFUNCTION("""COMPUTED_VALUE"""),"19.あやかしトライアングル")</f>
        <v/>
      </c>
      <c r="H369">
        <f>IFERROR(__xludf.DUMMYFUNCTION("""COMPUTED_VALUE"""),"03")</f>
        <v/>
      </c>
      <c r="I369">
        <f>IFERROR(__xludf.DUMMYFUNCTION("""COMPUTED_VALUE"""),"veryhard_aya_00003")</f>
        <v/>
      </c>
      <c r="J369">
        <f>IFERROR(__xludf.DUMMYFUNCTION("""COMPUTED_VALUE"""),"stage_icon_aya_veryhard_03")</f>
        <v/>
      </c>
    </row>
    <row r="371">
      <c r="A371">
        <f>IFERROR(__xludf.DUMMYFUNCTION("""COMPUTED_VALUE"""),"mar")</f>
        <v/>
      </c>
      <c r="B371">
        <f>IFERROR(__xludf.DUMMYFUNCTION("""COMPUTED_VALUE"""),"マリッジトキシン")</f>
        <v/>
      </c>
      <c r="C371">
        <f>IFERROR(__xludf.DUMMYFUNCTION("""COMPUTED_VALUE"""),"veryhard")</f>
        <v/>
      </c>
      <c r="D371">
        <f>IFERROR(__xludf.DUMMYFUNCTION("""COMPUTED_VALUE"""),"main")</f>
        <v/>
      </c>
      <c r="E371">
        <f>IFERROR(__xludf.DUMMYFUNCTION("""COMPUTED_VALUE"""),"メインクエスト")</f>
        <v/>
      </c>
      <c r="F371">
        <f>IFERROR(__xludf.DUMMYFUNCTION("""COMPUTED_VALUE"""),"quest_main_mar_veryhard_20")</f>
        <v/>
      </c>
      <c r="G371">
        <f>IFERROR(__xludf.DUMMYFUNCTION("""COMPUTED_VALUE"""),"20.マリッジトキシン")</f>
        <v/>
      </c>
      <c r="H371">
        <f>IFERROR(__xludf.DUMMYFUNCTION("""COMPUTED_VALUE"""),"01")</f>
        <v/>
      </c>
      <c r="I371">
        <f>IFERROR(__xludf.DUMMYFUNCTION("""COMPUTED_VALUE"""),"veryhard_mar_00001")</f>
        <v/>
      </c>
      <c r="J371">
        <f>IFERROR(__xludf.DUMMYFUNCTION("""COMPUTED_VALUE"""),"stage_icon_mar_veryhard_01")</f>
        <v/>
      </c>
    </row>
    <row r="372">
      <c r="A372">
        <f>IFERROR(__xludf.DUMMYFUNCTION("""COMPUTED_VALUE"""),"mar")</f>
        <v/>
      </c>
      <c r="B372">
        <f>IFERROR(__xludf.DUMMYFUNCTION("""COMPUTED_VALUE"""),"マリッジトキシン")</f>
        <v/>
      </c>
      <c r="C372">
        <f>IFERROR(__xludf.DUMMYFUNCTION("""COMPUTED_VALUE"""),"veryhard")</f>
        <v/>
      </c>
      <c r="D372">
        <f>IFERROR(__xludf.DUMMYFUNCTION("""COMPUTED_VALUE"""),"main")</f>
        <v/>
      </c>
      <c r="E372">
        <f>IFERROR(__xludf.DUMMYFUNCTION("""COMPUTED_VALUE"""),"メインクエスト")</f>
        <v/>
      </c>
      <c r="F372">
        <f>IFERROR(__xludf.DUMMYFUNCTION("""COMPUTED_VALUE"""),"quest_main_mar_veryhard_20")</f>
        <v/>
      </c>
      <c r="G372">
        <f>IFERROR(__xludf.DUMMYFUNCTION("""COMPUTED_VALUE"""),"20.マリッジトキシン")</f>
        <v/>
      </c>
      <c r="H372">
        <f>IFERROR(__xludf.DUMMYFUNCTION("""COMPUTED_VALUE"""),"02")</f>
        <v/>
      </c>
      <c r="I372">
        <f>IFERROR(__xludf.DUMMYFUNCTION("""COMPUTED_VALUE"""),"veryhard_mar_00002")</f>
        <v/>
      </c>
      <c r="J372">
        <f>IFERROR(__xludf.DUMMYFUNCTION("""COMPUTED_VALUE"""),"stage_icon_mar_veryhard_02")</f>
        <v/>
      </c>
    </row>
    <row r="373">
      <c r="A373">
        <f>IFERROR(__xludf.DUMMYFUNCTION("""COMPUTED_VALUE"""),"mar")</f>
        <v/>
      </c>
      <c r="B373">
        <f>IFERROR(__xludf.DUMMYFUNCTION("""COMPUTED_VALUE"""),"マリッジトキシン")</f>
        <v/>
      </c>
      <c r="C373">
        <f>IFERROR(__xludf.DUMMYFUNCTION("""COMPUTED_VALUE"""),"veryhard")</f>
        <v/>
      </c>
      <c r="D373">
        <f>IFERROR(__xludf.DUMMYFUNCTION("""COMPUTED_VALUE"""),"main")</f>
        <v/>
      </c>
      <c r="E373">
        <f>IFERROR(__xludf.DUMMYFUNCTION("""COMPUTED_VALUE"""),"メインクエスト")</f>
        <v/>
      </c>
      <c r="F373">
        <f>IFERROR(__xludf.DUMMYFUNCTION("""COMPUTED_VALUE"""),"quest_main_mar_veryhard_20")</f>
        <v/>
      </c>
      <c r="G373">
        <f>IFERROR(__xludf.DUMMYFUNCTION("""COMPUTED_VALUE"""),"20.マリッジトキシン")</f>
        <v/>
      </c>
      <c r="H373">
        <f>IFERROR(__xludf.DUMMYFUNCTION("""COMPUTED_VALUE"""),"03")</f>
        <v/>
      </c>
      <c r="I373">
        <f>IFERROR(__xludf.DUMMYFUNCTION("""COMPUTED_VALUE"""),"veryhard_mar_00003")</f>
        <v/>
      </c>
      <c r="J373">
        <f>IFERROR(__xludf.DUMMYFUNCTION("""COMPUTED_VALUE"""),"stage_icon_mar_veryhard_03")</f>
        <v/>
      </c>
    </row>
    <row r="377">
      <c r="A377">
        <f>IFERROR(__xludf.DUMMYFUNCTION("""COMPUTED_VALUE"""),"▼その他クエスト")</f>
        <v/>
      </c>
    </row>
    <row r="378">
      <c r="A378">
        <f>IFERROR(__xludf.DUMMYFUNCTION("""COMPUTED_VALUE"""),"glo")</f>
        <v/>
      </c>
      <c r="B378">
        <f>IFERROR(__xludf.DUMMYFUNCTION("""COMPUTED_VALUE"""),"GLOW")</f>
        <v/>
      </c>
      <c r="C378">
        <f>IFERROR(__xludf.DUMMYFUNCTION("""COMPUTED_VALUE"""),"null")</f>
        <v/>
      </c>
      <c r="D378">
        <f>IFERROR(__xludf.DUMMYFUNCTION("""COMPUTED_VALUE"""),"coin")</f>
        <v/>
      </c>
      <c r="E378">
        <f>IFERROR(__xludf.DUMMYFUNCTION("""COMPUTED_VALUE"""),"強化/素材入手")</f>
        <v/>
      </c>
      <c r="F378">
        <f>IFERROR(__xludf.DUMMYFUNCTION("""COMPUTED_VALUE"""),"quest_enhance_00001")</f>
        <v/>
      </c>
      <c r="G378">
        <f>IFERROR(__xludf.DUMMYFUNCTION("""COMPUTED_VALUE"""),"コイン獲得クエスト")</f>
        <v/>
      </c>
      <c r="I378">
        <f>IFERROR(__xludf.DUMMYFUNCTION("""COMPUTED_VALUE"""),"enhance_00001")</f>
        <v/>
      </c>
      <c r="J378">
        <f>IFERROR(__xludf.DUMMYFUNCTION("""COMPUTED_VALUE"""),"なし")</f>
        <v/>
      </c>
      <c r="L378">
        <f>IFERROR(__xludf.DUMMYFUNCTION("""COMPUTED_VALUE"""),"-")</f>
        <v/>
      </c>
    </row>
    <row r="379">
      <c r="A379">
        <f>IFERROR(__xludf.DUMMYFUNCTION("""COMPUTED_VALUE"""),"glo")</f>
        <v/>
      </c>
      <c r="B379">
        <f>IFERROR(__xludf.DUMMYFUNCTION("""COMPUTED_VALUE"""),"GLOW")</f>
        <v/>
      </c>
      <c r="C379">
        <f>IFERROR(__xludf.DUMMYFUNCTION("""COMPUTED_VALUE"""),"Normal")</f>
        <v/>
      </c>
      <c r="D379">
        <f>IFERROR(__xludf.DUMMYFUNCTION("""COMPUTED_VALUE"""),"Tutorial")</f>
        <v/>
      </c>
      <c r="E379">
        <f>IFERROR(__xludf.DUMMYFUNCTION("""COMPUTED_VALUE"""),"チュートリアル")</f>
        <v/>
      </c>
      <c r="F379">
        <f>IFERROR(__xludf.DUMMYFUNCTION("""COMPUTED_VALUE"""),"tutorial")</f>
        <v/>
      </c>
      <c r="G379">
        <f>IFERROR(__xludf.DUMMYFUNCTION("""COMPUTED_VALUE"""),"チュートリアル")</f>
        <v/>
      </c>
      <c r="H379">
        <f>IFERROR(__xludf.DUMMYFUNCTION("""COMPUTED_VALUE"""),"01")</f>
        <v/>
      </c>
      <c r="I379">
        <f>IFERROR(__xludf.DUMMYFUNCTION("""COMPUTED_VALUE"""),"tutorial_1")</f>
        <v/>
      </c>
      <c r="J379">
        <f>IFERROR(__xludf.DUMMYFUNCTION("""COMPUTED_VALUE"""),"general_coin")</f>
        <v/>
      </c>
    </row>
    <row r="380">
      <c r="A380">
        <f>IFERROR(__xludf.DUMMYFUNCTION("""COMPUTED_VALUE"""),"glo")</f>
        <v/>
      </c>
      <c r="B380">
        <f>IFERROR(__xludf.DUMMYFUNCTION("""COMPUTED_VALUE"""),"GLOW")</f>
        <v/>
      </c>
      <c r="C380">
        <f>IFERROR(__xludf.DUMMYFUNCTION("""COMPUTED_VALUE"""),"Normal")</f>
        <v/>
      </c>
      <c r="D380">
        <f>IFERROR(__xludf.DUMMYFUNCTION("""COMPUTED_VALUE"""),"Tutorial")</f>
        <v/>
      </c>
      <c r="E380">
        <f>IFERROR(__xludf.DUMMYFUNCTION("""COMPUTED_VALUE"""),"チュートリアル")</f>
        <v/>
      </c>
      <c r="F380">
        <f>IFERROR(__xludf.DUMMYFUNCTION("""COMPUTED_VALUE"""),"tutorial")</f>
        <v/>
      </c>
      <c r="G380">
        <f>IFERROR(__xludf.DUMMYFUNCTION("""COMPUTED_VALUE"""),"チュートリアル")</f>
        <v/>
      </c>
      <c r="H380">
        <f>IFERROR(__xludf.DUMMYFUNCTION("""COMPUTED_VALUE"""),"02")</f>
        <v/>
      </c>
      <c r="I380">
        <f>IFERROR(__xludf.DUMMYFUNCTION("""COMPUTED_VALUE"""),"tutorial_2")</f>
        <v/>
      </c>
      <c r="J380">
        <f>IFERROR(__xludf.DUMMYFUNCTION("""COMPUTED_VALUE"""),"general_coin")</f>
        <v/>
      </c>
    </row>
    <row r="381">
      <c r="A381">
        <f>IFERROR(__xludf.DUMMYFUNCTION("""COMPUTED_VALUE"""),"glo")</f>
        <v/>
      </c>
      <c r="B381">
        <f>IFERROR(__xludf.DUMMYFUNCTION("""COMPUTED_VALUE"""),"GLOW")</f>
        <v/>
      </c>
      <c r="C381">
        <f>IFERROR(__xludf.DUMMYFUNCTION("""COMPUTED_VALUE"""),"Normal")</f>
        <v/>
      </c>
      <c r="D381">
        <f>IFERROR(__xludf.DUMMYFUNCTION("""COMPUTED_VALUE"""),"Tutorial")</f>
        <v/>
      </c>
      <c r="E381">
        <f>IFERROR(__xludf.DUMMYFUNCTION("""COMPUTED_VALUE"""),"チュートリアル")</f>
        <v/>
      </c>
      <c r="F381">
        <f>IFERROR(__xludf.DUMMYFUNCTION("""COMPUTED_VALUE"""),"tutorial")</f>
        <v/>
      </c>
      <c r="G381">
        <f>IFERROR(__xludf.DUMMYFUNCTION("""COMPUTED_VALUE"""),"チュートリアル")</f>
        <v/>
      </c>
      <c r="H381">
        <f>IFERROR(__xludf.DUMMYFUNCTION("""COMPUTED_VALUE"""),"03")</f>
        <v/>
      </c>
      <c r="I381">
        <f>IFERROR(__xludf.DUMMYFUNCTION("""COMPUTED_VALUE"""),"tutorial_3")</f>
        <v/>
      </c>
      <c r="J381">
        <f>IFERROR(__xludf.DUMMYFUNCTION("""COMPUTED_VALUE"""),"general_coin")</f>
        <v/>
      </c>
    </row>
    <row r="383">
      <c r="A383">
        <f>IFERROR(__xludf.DUMMYFUNCTION("""COMPUTED_VALUE"""),"▼イベント関連のクエスト（施策単位で区切ってます）")</f>
        <v/>
      </c>
    </row>
    <row r="385">
      <c r="A385">
        <f>IFERROR(__xludf.DUMMYFUNCTION("""COMPUTED_VALUE"""),"kai1")</f>
        <v/>
      </c>
      <c r="B385">
        <f>IFERROR(__xludf.DUMMYFUNCTION("""COMPUTED_VALUE"""),"怪獣８号")</f>
        <v/>
      </c>
      <c r="C385">
        <f>IFERROR(__xludf.DUMMYFUNCTION("""COMPUTED_VALUE"""),"1day")</f>
        <v/>
      </c>
      <c r="D385">
        <f>IFERROR(__xludf.DUMMYFUNCTION("""COMPUTED_VALUE"""),"event")</f>
        <v/>
      </c>
      <c r="E385">
        <f>IFERROR(__xludf.DUMMYFUNCTION("""COMPUTED_VALUE"""),"デイリー")</f>
        <v/>
      </c>
      <c r="F385">
        <f>IFERROR(__xludf.DUMMYFUNCTION("""COMPUTED_VALUE"""),"quest_event_kai1_1day")</f>
        <v/>
      </c>
      <c r="G385">
        <f>IFERROR(__xludf.DUMMYFUNCTION("""COMPUTED_VALUE"""),"候補生としての入隊")</f>
        <v/>
      </c>
      <c r="H385">
        <f>IFERROR(__xludf.DUMMYFUNCTION("""COMPUTED_VALUE"""),"01")</f>
        <v/>
      </c>
      <c r="I385">
        <f>IFERROR(__xludf.DUMMYFUNCTION("""COMPUTED_VALUE"""),"event_kai1_1day_00001")</f>
        <v/>
      </c>
      <c r="K385">
        <f>IFERROR(__xludf.DUMMYFUNCTION("""COMPUTED_VALUE"""),"kai1_1day_quest_select_cell")</f>
        <v/>
      </c>
    </row>
    <row r="386">
      <c r="A386">
        <f>IFERROR(__xludf.DUMMYFUNCTION("""COMPUTED_VALUE"""),"kai1")</f>
        <v/>
      </c>
      <c r="B386">
        <f>IFERROR(__xludf.DUMMYFUNCTION("""COMPUTED_VALUE"""),"怪獣８号")</f>
        <v/>
      </c>
      <c r="C386">
        <f>IFERROR(__xludf.DUMMYFUNCTION("""COMPUTED_VALUE"""),"charaget01")</f>
        <v/>
      </c>
      <c r="D386">
        <f>IFERROR(__xludf.DUMMYFUNCTION("""COMPUTED_VALUE"""),"event")</f>
        <v/>
      </c>
      <c r="E386">
        <f>IFERROR(__xludf.DUMMYFUNCTION("""COMPUTED_VALUE"""),"ストーリー")</f>
        <v/>
      </c>
      <c r="F386">
        <f>IFERROR(__xludf.DUMMYFUNCTION("""COMPUTED_VALUE"""),"quest_event_kai1_charaget01")</f>
        <v/>
      </c>
      <c r="G386">
        <f>IFERROR(__xludf.DUMMYFUNCTION("""COMPUTED_VALUE"""),"気に入らねェ 気に入らねェ")</f>
        <v/>
      </c>
      <c r="H386">
        <f>IFERROR(__xludf.DUMMYFUNCTION("""COMPUTED_VALUE"""),"01")</f>
        <v/>
      </c>
      <c r="I386">
        <f>IFERROR(__xludf.DUMMYFUNCTION("""COMPUTED_VALUE"""),"event_kai1_charaget01_00001")</f>
        <v/>
      </c>
      <c r="K386">
        <f>IFERROR(__xludf.DUMMYFUNCTION("""COMPUTED_VALUE"""),"kai1_charaget01_quest_select_cell")</f>
        <v/>
      </c>
    </row>
    <row r="387">
      <c r="A387">
        <f>IFERROR(__xludf.DUMMYFUNCTION("""COMPUTED_VALUE"""),"kai1")</f>
        <v/>
      </c>
      <c r="B387">
        <f>IFERROR(__xludf.DUMMYFUNCTION("""COMPUTED_VALUE"""),"怪獣８号")</f>
        <v/>
      </c>
      <c r="C387">
        <f>IFERROR(__xludf.DUMMYFUNCTION("""COMPUTED_VALUE"""),"charaget01")</f>
        <v/>
      </c>
      <c r="D387">
        <f>IFERROR(__xludf.DUMMYFUNCTION("""COMPUTED_VALUE"""),"event")</f>
        <v/>
      </c>
      <c r="E387">
        <f>IFERROR(__xludf.DUMMYFUNCTION("""COMPUTED_VALUE"""),"ストーリー")</f>
        <v/>
      </c>
      <c r="F387">
        <f>IFERROR(__xludf.DUMMYFUNCTION("""COMPUTED_VALUE"""),"quest_event_kai1_charaget01")</f>
        <v/>
      </c>
      <c r="G387">
        <f>IFERROR(__xludf.DUMMYFUNCTION("""COMPUTED_VALUE"""),"気に入らねェ 気に入らねェ")</f>
        <v/>
      </c>
      <c r="H387">
        <f>IFERROR(__xludf.DUMMYFUNCTION("""COMPUTED_VALUE"""),"02")</f>
        <v/>
      </c>
      <c r="I387">
        <f>IFERROR(__xludf.DUMMYFUNCTION("""COMPUTED_VALUE"""),"event_kai1_charaget01_00002")</f>
        <v/>
      </c>
    </row>
    <row r="388">
      <c r="A388">
        <f>IFERROR(__xludf.DUMMYFUNCTION("""COMPUTED_VALUE"""),"kai1")</f>
        <v/>
      </c>
      <c r="B388">
        <f>IFERROR(__xludf.DUMMYFUNCTION("""COMPUTED_VALUE"""),"怪獣８号")</f>
        <v/>
      </c>
      <c r="C388">
        <f>IFERROR(__xludf.DUMMYFUNCTION("""COMPUTED_VALUE"""),"charaget01")</f>
        <v/>
      </c>
      <c r="D388">
        <f>IFERROR(__xludf.DUMMYFUNCTION("""COMPUTED_VALUE"""),"event")</f>
        <v/>
      </c>
      <c r="E388">
        <f>IFERROR(__xludf.DUMMYFUNCTION("""COMPUTED_VALUE"""),"ストーリー")</f>
        <v/>
      </c>
      <c r="F388">
        <f>IFERROR(__xludf.DUMMYFUNCTION("""COMPUTED_VALUE"""),"quest_event_kai1_charaget01")</f>
        <v/>
      </c>
      <c r="G388">
        <f>IFERROR(__xludf.DUMMYFUNCTION("""COMPUTED_VALUE"""),"気に入らねェ 気に入らねェ")</f>
        <v/>
      </c>
      <c r="H388">
        <f>IFERROR(__xludf.DUMMYFUNCTION("""COMPUTED_VALUE"""),"03")</f>
        <v/>
      </c>
      <c r="I388">
        <f>IFERROR(__xludf.DUMMYFUNCTION("""COMPUTED_VALUE"""),"event_kai1_charaget01_00003")</f>
        <v/>
      </c>
    </row>
    <row r="389">
      <c r="A389">
        <f>IFERROR(__xludf.DUMMYFUNCTION("""COMPUTED_VALUE"""),"kai1")</f>
        <v/>
      </c>
      <c r="B389">
        <f>IFERROR(__xludf.DUMMYFUNCTION("""COMPUTED_VALUE"""),"怪獣８号")</f>
        <v/>
      </c>
      <c r="C389">
        <f>IFERROR(__xludf.DUMMYFUNCTION("""COMPUTED_VALUE"""),"charaget01")</f>
        <v/>
      </c>
      <c r="D389">
        <f>IFERROR(__xludf.DUMMYFUNCTION("""COMPUTED_VALUE"""),"event")</f>
        <v/>
      </c>
      <c r="E389">
        <f>IFERROR(__xludf.DUMMYFUNCTION("""COMPUTED_VALUE"""),"ストーリー")</f>
        <v/>
      </c>
      <c r="F389">
        <f>IFERROR(__xludf.DUMMYFUNCTION("""COMPUTED_VALUE"""),"quest_event_kai1_charaget01")</f>
        <v/>
      </c>
      <c r="G389">
        <f>IFERROR(__xludf.DUMMYFUNCTION("""COMPUTED_VALUE"""),"気に入らねェ 気に入らねェ")</f>
        <v/>
      </c>
      <c r="H389">
        <f>IFERROR(__xludf.DUMMYFUNCTION("""COMPUTED_VALUE"""),"04")</f>
        <v/>
      </c>
      <c r="I389">
        <f>IFERROR(__xludf.DUMMYFUNCTION("""COMPUTED_VALUE"""),"event_kai1_charaget01_00004")</f>
        <v/>
      </c>
    </row>
    <row r="390">
      <c r="A390">
        <f>IFERROR(__xludf.DUMMYFUNCTION("""COMPUTED_VALUE"""),"kai1")</f>
        <v/>
      </c>
      <c r="B390">
        <f>IFERROR(__xludf.DUMMYFUNCTION("""COMPUTED_VALUE"""),"怪獣８号")</f>
        <v/>
      </c>
      <c r="C390">
        <f>IFERROR(__xludf.DUMMYFUNCTION("""COMPUTED_VALUE"""),"charaget01")</f>
        <v/>
      </c>
      <c r="D390">
        <f>IFERROR(__xludf.DUMMYFUNCTION("""COMPUTED_VALUE"""),"event")</f>
        <v/>
      </c>
      <c r="E390">
        <f>IFERROR(__xludf.DUMMYFUNCTION("""COMPUTED_VALUE"""),"ストーリー")</f>
        <v/>
      </c>
      <c r="F390">
        <f>IFERROR(__xludf.DUMMYFUNCTION("""COMPUTED_VALUE"""),"quest_event_kai1_charaget01")</f>
        <v/>
      </c>
      <c r="G390">
        <f>IFERROR(__xludf.DUMMYFUNCTION("""COMPUTED_VALUE"""),"気に入らねェ 気に入らねェ")</f>
        <v/>
      </c>
      <c r="H390">
        <f>IFERROR(__xludf.DUMMYFUNCTION("""COMPUTED_VALUE"""),"05")</f>
        <v/>
      </c>
      <c r="I390">
        <f>IFERROR(__xludf.DUMMYFUNCTION("""COMPUTED_VALUE"""),"event_kai1_charaget01_00005")</f>
        <v/>
      </c>
    </row>
    <row r="391">
      <c r="A391">
        <f>IFERROR(__xludf.DUMMYFUNCTION("""COMPUTED_VALUE"""),"kai1")</f>
        <v/>
      </c>
      <c r="B391">
        <f>IFERROR(__xludf.DUMMYFUNCTION("""COMPUTED_VALUE"""),"怪獣８号")</f>
        <v/>
      </c>
      <c r="C391">
        <f>IFERROR(__xludf.DUMMYFUNCTION("""COMPUTED_VALUE"""),"charaget01")</f>
        <v/>
      </c>
      <c r="D391">
        <f>IFERROR(__xludf.DUMMYFUNCTION("""COMPUTED_VALUE"""),"event")</f>
        <v/>
      </c>
      <c r="E391">
        <f>IFERROR(__xludf.DUMMYFUNCTION("""COMPUTED_VALUE"""),"ストーリー")</f>
        <v/>
      </c>
      <c r="F391">
        <f>IFERROR(__xludf.DUMMYFUNCTION("""COMPUTED_VALUE"""),"quest_event_kai1_charaget01")</f>
        <v/>
      </c>
      <c r="G391">
        <f>IFERROR(__xludf.DUMMYFUNCTION("""COMPUTED_VALUE"""),"気に入らねェ 気に入らねェ")</f>
        <v/>
      </c>
      <c r="H391">
        <f>IFERROR(__xludf.DUMMYFUNCTION("""COMPUTED_VALUE"""),"06")</f>
        <v/>
      </c>
      <c r="I391">
        <f>IFERROR(__xludf.DUMMYFUNCTION("""COMPUTED_VALUE"""),"event_kai1_charaget01_00006")</f>
        <v/>
      </c>
    </row>
    <row r="392">
      <c r="A392">
        <f>IFERROR(__xludf.DUMMYFUNCTION("""COMPUTED_VALUE"""),"kai1")</f>
        <v/>
      </c>
      <c r="B392">
        <f>IFERROR(__xludf.DUMMYFUNCTION("""COMPUTED_VALUE"""),"怪獣８号")</f>
        <v/>
      </c>
      <c r="C392">
        <f>IFERROR(__xludf.DUMMYFUNCTION("""COMPUTED_VALUE"""),"charaget01")</f>
        <v/>
      </c>
      <c r="D392">
        <f>IFERROR(__xludf.DUMMYFUNCTION("""COMPUTED_VALUE"""),"event")</f>
        <v/>
      </c>
      <c r="E392">
        <f>IFERROR(__xludf.DUMMYFUNCTION("""COMPUTED_VALUE"""),"ストーリー")</f>
        <v/>
      </c>
      <c r="F392">
        <f>IFERROR(__xludf.DUMMYFUNCTION("""COMPUTED_VALUE"""),"quest_event_kai1_charaget01")</f>
        <v/>
      </c>
      <c r="G392">
        <f>IFERROR(__xludf.DUMMYFUNCTION("""COMPUTED_VALUE"""),"気に入らねェ 気に入らねェ")</f>
        <v/>
      </c>
      <c r="H392">
        <f>IFERROR(__xludf.DUMMYFUNCTION("""COMPUTED_VALUE"""),"07")</f>
        <v/>
      </c>
      <c r="I392">
        <f>IFERROR(__xludf.DUMMYFUNCTION("""COMPUTED_VALUE"""),"event_kai1_charaget01_00007")</f>
        <v/>
      </c>
    </row>
    <row r="393">
      <c r="A393">
        <f>IFERROR(__xludf.DUMMYFUNCTION("""COMPUTED_VALUE"""),"kai1")</f>
        <v/>
      </c>
      <c r="B393">
        <f>IFERROR(__xludf.DUMMYFUNCTION("""COMPUTED_VALUE"""),"怪獣８号")</f>
        <v/>
      </c>
      <c r="C393">
        <f>IFERROR(__xludf.DUMMYFUNCTION("""COMPUTED_VALUE"""),"charaget01")</f>
        <v/>
      </c>
      <c r="D393">
        <f>IFERROR(__xludf.DUMMYFUNCTION("""COMPUTED_VALUE"""),"event")</f>
        <v/>
      </c>
      <c r="E393">
        <f>IFERROR(__xludf.DUMMYFUNCTION("""COMPUTED_VALUE"""),"ストーリー")</f>
        <v/>
      </c>
      <c r="F393">
        <f>IFERROR(__xludf.DUMMYFUNCTION("""COMPUTED_VALUE"""),"quest_event_kai1_charaget01")</f>
        <v/>
      </c>
      <c r="G393">
        <f>IFERROR(__xludf.DUMMYFUNCTION("""COMPUTED_VALUE"""),"気に入らねェ 気に入らねェ")</f>
        <v/>
      </c>
      <c r="H393">
        <f>IFERROR(__xludf.DUMMYFUNCTION("""COMPUTED_VALUE"""),"08")</f>
        <v/>
      </c>
      <c r="I393">
        <f>IFERROR(__xludf.DUMMYFUNCTION("""COMPUTED_VALUE"""),"event_kai1_charaget01_00008")</f>
        <v/>
      </c>
    </row>
    <row r="394">
      <c r="A394">
        <f>IFERROR(__xludf.DUMMYFUNCTION("""COMPUTED_VALUE"""),"kai1")</f>
        <v/>
      </c>
      <c r="B394">
        <f>IFERROR(__xludf.DUMMYFUNCTION("""COMPUTED_VALUE"""),"怪獣８号")</f>
        <v/>
      </c>
      <c r="C394">
        <f>IFERROR(__xludf.DUMMYFUNCTION("""COMPUTED_VALUE"""),"charaget02")</f>
        <v/>
      </c>
      <c r="D394">
        <f>IFERROR(__xludf.DUMMYFUNCTION("""COMPUTED_VALUE"""),"event")</f>
        <v/>
      </c>
      <c r="E394">
        <f>IFERROR(__xludf.DUMMYFUNCTION("""COMPUTED_VALUE"""),"ストーリー")</f>
        <v/>
      </c>
      <c r="F394">
        <f>IFERROR(__xludf.DUMMYFUNCTION("""COMPUTED_VALUE"""),"quest_event_kai1_charaget02")</f>
        <v/>
      </c>
      <c r="G394">
        <f>IFERROR(__xludf.DUMMYFUNCTION("""COMPUTED_VALUE"""),"怪獣８号の引き渡しを命ずる")</f>
        <v/>
      </c>
      <c r="H394">
        <f>IFERROR(__xludf.DUMMYFUNCTION("""COMPUTED_VALUE"""),"01")</f>
        <v/>
      </c>
      <c r="I394">
        <f>IFERROR(__xludf.DUMMYFUNCTION("""COMPUTED_VALUE"""),"event_kai1_charaget02_00001")</f>
        <v/>
      </c>
      <c r="K394">
        <f>IFERROR(__xludf.DUMMYFUNCTION("""COMPUTED_VALUE"""),"kai1_charaget02_quest_select_cell")</f>
        <v/>
      </c>
    </row>
    <row r="395">
      <c r="A395">
        <f>IFERROR(__xludf.DUMMYFUNCTION("""COMPUTED_VALUE"""),"kai1")</f>
        <v/>
      </c>
      <c r="B395">
        <f>IFERROR(__xludf.DUMMYFUNCTION("""COMPUTED_VALUE"""),"怪獣８号")</f>
        <v/>
      </c>
      <c r="C395">
        <f>IFERROR(__xludf.DUMMYFUNCTION("""COMPUTED_VALUE"""),"charaget02")</f>
        <v/>
      </c>
      <c r="D395">
        <f>IFERROR(__xludf.DUMMYFUNCTION("""COMPUTED_VALUE"""),"event")</f>
        <v/>
      </c>
      <c r="E395">
        <f>IFERROR(__xludf.DUMMYFUNCTION("""COMPUTED_VALUE"""),"ストーリー")</f>
        <v/>
      </c>
      <c r="F395">
        <f>IFERROR(__xludf.DUMMYFUNCTION("""COMPUTED_VALUE"""),"quest_event_kai1_charaget02")</f>
        <v/>
      </c>
      <c r="G395">
        <f>IFERROR(__xludf.DUMMYFUNCTION("""COMPUTED_VALUE"""),"怪獣８号の引き渡しを命ずる")</f>
        <v/>
      </c>
      <c r="H395">
        <f>IFERROR(__xludf.DUMMYFUNCTION("""COMPUTED_VALUE"""),"02")</f>
        <v/>
      </c>
      <c r="I395">
        <f>IFERROR(__xludf.DUMMYFUNCTION("""COMPUTED_VALUE"""),"event_kai1_charaget02_00002")</f>
        <v/>
      </c>
    </row>
    <row r="396">
      <c r="A396">
        <f>IFERROR(__xludf.DUMMYFUNCTION("""COMPUTED_VALUE"""),"kai1")</f>
        <v/>
      </c>
      <c r="B396">
        <f>IFERROR(__xludf.DUMMYFUNCTION("""COMPUTED_VALUE"""),"怪獣８号")</f>
        <v/>
      </c>
      <c r="C396">
        <f>IFERROR(__xludf.DUMMYFUNCTION("""COMPUTED_VALUE"""),"charaget02")</f>
        <v/>
      </c>
      <c r="D396">
        <f>IFERROR(__xludf.DUMMYFUNCTION("""COMPUTED_VALUE"""),"event")</f>
        <v/>
      </c>
      <c r="E396">
        <f>IFERROR(__xludf.DUMMYFUNCTION("""COMPUTED_VALUE"""),"ストーリー")</f>
        <v/>
      </c>
      <c r="F396">
        <f>IFERROR(__xludf.DUMMYFUNCTION("""COMPUTED_VALUE"""),"quest_event_kai1_charaget02")</f>
        <v/>
      </c>
      <c r="G396">
        <f>IFERROR(__xludf.DUMMYFUNCTION("""COMPUTED_VALUE"""),"怪獣８号の引き渡しを命ずる")</f>
        <v/>
      </c>
      <c r="H396">
        <f>IFERROR(__xludf.DUMMYFUNCTION("""COMPUTED_VALUE"""),"03")</f>
        <v/>
      </c>
      <c r="I396">
        <f>IFERROR(__xludf.DUMMYFUNCTION("""COMPUTED_VALUE"""),"event_kai1_charaget02_00003")</f>
        <v/>
      </c>
    </row>
    <row r="397">
      <c r="A397">
        <f>IFERROR(__xludf.DUMMYFUNCTION("""COMPUTED_VALUE"""),"kai1")</f>
        <v/>
      </c>
      <c r="B397">
        <f>IFERROR(__xludf.DUMMYFUNCTION("""COMPUTED_VALUE"""),"怪獣８号")</f>
        <v/>
      </c>
      <c r="C397">
        <f>IFERROR(__xludf.DUMMYFUNCTION("""COMPUTED_VALUE"""),"charaget02")</f>
        <v/>
      </c>
      <c r="D397">
        <f>IFERROR(__xludf.DUMMYFUNCTION("""COMPUTED_VALUE"""),"event")</f>
        <v/>
      </c>
      <c r="E397">
        <f>IFERROR(__xludf.DUMMYFUNCTION("""COMPUTED_VALUE"""),"ストーリー")</f>
        <v/>
      </c>
      <c r="F397">
        <f>IFERROR(__xludf.DUMMYFUNCTION("""COMPUTED_VALUE"""),"quest_event_kai1_charaget02")</f>
        <v/>
      </c>
      <c r="G397">
        <f>IFERROR(__xludf.DUMMYFUNCTION("""COMPUTED_VALUE"""),"怪獣８号の引き渡しを命ずる")</f>
        <v/>
      </c>
      <c r="H397">
        <f>IFERROR(__xludf.DUMMYFUNCTION("""COMPUTED_VALUE"""),"04")</f>
        <v/>
      </c>
      <c r="I397">
        <f>IFERROR(__xludf.DUMMYFUNCTION("""COMPUTED_VALUE"""),"event_kai1_charaget02_00004")</f>
        <v/>
      </c>
    </row>
    <row r="398">
      <c r="A398">
        <f>IFERROR(__xludf.DUMMYFUNCTION("""COMPUTED_VALUE"""),"kai1")</f>
        <v/>
      </c>
      <c r="B398">
        <f>IFERROR(__xludf.DUMMYFUNCTION("""COMPUTED_VALUE"""),"怪獣８号")</f>
        <v/>
      </c>
      <c r="C398">
        <f>IFERROR(__xludf.DUMMYFUNCTION("""COMPUTED_VALUE"""),"charaget02")</f>
        <v/>
      </c>
      <c r="D398">
        <f>IFERROR(__xludf.DUMMYFUNCTION("""COMPUTED_VALUE"""),"event")</f>
        <v/>
      </c>
      <c r="E398">
        <f>IFERROR(__xludf.DUMMYFUNCTION("""COMPUTED_VALUE"""),"ストーリー")</f>
        <v/>
      </c>
      <c r="F398">
        <f>IFERROR(__xludf.DUMMYFUNCTION("""COMPUTED_VALUE"""),"quest_event_kai1_charaget02")</f>
        <v/>
      </c>
      <c r="G398">
        <f>IFERROR(__xludf.DUMMYFUNCTION("""COMPUTED_VALUE"""),"怪獣８号の引き渡しを命ずる")</f>
        <v/>
      </c>
      <c r="H398">
        <f>IFERROR(__xludf.DUMMYFUNCTION("""COMPUTED_VALUE"""),"05")</f>
        <v/>
      </c>
      <c r="I398">
        <f>IFERROR(__xludf.DUMMYFUNCTION("""COMPUTED_VALUE"""),"event_kai1_charaget02_00005")</f>
        <v/>
      </c>
    </row>
    <row r="399">
      <c r="A399">
        <f>IFERROR(__xludf.DUMMYFUNCTION("""COMPUTED_VALUE"""),"kai1")</f>
        <v/>
      </c>
      <c r="B399">
        <f>IFERROR(__xludf.DUMMYFUNCTION("""COMPUTED_VALUE"""),"怪獣８号")</f>
        <v/>
      </c>
      <c r="C399">
        <f>IFERROR(__xludf.DUMMYFUNCTION("""COMPUTED_VALUE"""),"charaget02")</f>
        <v/>
      </c>
      <c r="D399">
        <f>IFERROR(__xludf.DUMMYFUNCTION("""COMPUTED_VALUE"""),"event")</f>
        <v/>
      </c>
      <c r="E399">
        <f>IFERROR(__xludf.DUMMYFUNCTION("""COMPUTED_VALUE"""),"ストーリー")</f>
        <v/>
      </c>
      <c r="F399">
        <f>IFERROR(__xludf.DUMMYFUNCTION("""COMPUTED_VALUE"""),"quest_event_kai1_charaget02")</f>
        <v/>
      </c>
      <c r="G399">
        <f>IFERROR(__xludf.DUMMYFUNCTION("""COMPUTED_VALUE"""),"怪獣８号の引き渡しを命ずる")</f>
        <v/>
      </c>
      <c r="H399">
        <f>IFERROR(__xludf.DUMMYFUNCTION("""COMPUTED_VALUE"""),"06")</f>
        <v/>
      </c>
      <c r="I399">
        <f>IFERROR(__xludf.DUMMYFUNCTION("""COMPUTED_VALUE"""),"event_kai1_charaget02_00006")</f>
        <v/>
      </c>
    </row>
    <row r="400">
      <c r="A400">
        <f>IFERROR(__xludf.DUMMYFUNCTION("""COMPUTED_VALUE"""),"kai1")</f>
        <v/>
      </c>
      <c r="B400">
        <f>IFERROR(__xludf.DUMMYFUNCTION("""COMPUTED_VALUE"""),"怪獣８号")</f>
        <v/>
      </c>
      <c r="C400">
        <f>IFERROR(__xludf.DUMMYFUNCTION("""COMPUTED_VALUE"""),"charaget02")</f>
        <v/>
      </c>
      <c r="D400">
        <f>IFERROR(__xludf.DUMMYFUNCTION("""COMPUTED_VALUE"""),"event")</f>
        <v/>
      </c>
      <c r="E400">
        <f>IFERROR(__xludf.DUMMYFUNCTION("""COMPUTED_VALUE"""),"ストーリー")</f>
        <v/>
      </c>
      <c r="F400">
        <f>IFERROR(__xludf.DUMMYFUNCTION("""COMPUTED_VALUE"""),"quest_event_kai1_charaget02")</f>
        <v/>
      </c>
      <c r="G400">
        <f>IFERROR(__xludf.DUMMYFUNCTION("""COMPUTED_VALUE"""),"怪獣８号の引き渡しを命ずる")</f>
        <v/>
      </c>
      <c r="H400">
        <f>IFERROR(__xludf.DUMMYFUNCTION("""COMPUTED_VALUE"""),"07")</f>
        <v/>
      </c>
      <c r="I400">
        <f>IFERROR(__xludf.DUMMYFUNCTION("""COMPUTED_VALUE"""),"event_kai1_charaget02_00007")</f>
        <v/>
      </c>
    </row>
    <row r="401">
      <c r="A401">
        <f>IFERROR(__xludf.DUMMYFUNCTION("""COMPUTED_VALUE"""),"kai1")</f>
        <v/>
      </c>
      <c r="B401">
        <f>IFERROR(__xludf.DUMMYFUNCTION("""COMPUTED_VALUE"""),"怪獣８号")</f>
        <v/>
      </c>
      <c r="C401">
        <f>IFERROR(__xludf.DUMMYFUNCTION("""COMPUTED_VALUE"""),"charaget02")</f>
        <v/>
      </c>
      <c r="D401">
        <f>IFERROR(__xludf.DUMMYFUNCTION("""COMPUTED_VALUE"""),"event")</f>
        <v/>
      </c>
      <c r="E401">
        <f>IFERROR(__xludf.DUMMYFUNCTION("""COMPUTED_VALUE"""),"ストーリー")</f>
        <v/>
      </c>
      <c r="F401">
        <f>IFERROR(__xludf.DUMMYFUNCTION("""COMPUTED_VALUE"""),"quest_event_kai1_charaget02")</f>
        <v/>
      </c>
      <c r="G401">
        <f>IFERROR(__xludf.DUMMYFUNCTION("""COMPUTED_VALUE"""),"怪獣８号の引き渡しを命ずる")</f>
        <v/>
      </c>
      <c r="H401">
        <f>IFERROR(__xludf.DUMMYFUNCTION("""COMPUTED_VALUE"""),"08")</f>
        <v/>
      </c>
      <c r="I401">
        <f>IFERROR(__xludf.DUMMYFUNCTION("""COMPUTED_VALUE"""),"event_kai1_charaget02_00008")</f>
        <v/>
      </c>
    </row>
    <row r="402">
      <c r="A402">
        <f>IFERROR(__xludf.DUMMYFUNCTION("""COMPUTED_VALUE"""),"kai1")</f>
        <v/>
      </c>
      <c r="B402">
        <f>IFERROR(__xludf.DUMMYFUNCTION("""COMPUTED_VALUE"""),"怪獣８号")</f>
        <v/>
      </c>
      <c r="C402">
        <f>IFERROR(__xludf.DUMMYFUNCTION("""COMPUTED_VALUE"""),"challenge01")</f>
        <v/>
      </c>
      <c r="D402">
        <f>IFERROR(__xludf.DUMMYFUNCTION("""COMPUTED_VALUE"""),"event")</f>
        <v/>
      </c>
      <c r="E402">
        <f>IFERROR(__xludf.DUMMYFUNCTION("""COMPUTED_VALUE"""),"チャレンジ")</f>
        <v/>
      </c>
      <c r="F402">
        <f>IFERROR(__xludf.DUMMYFUNCTION("""COMPUTED_VALUE"""),"quest_event_kai1_challenge01")</f>
        <v/>
      </c>
      <c r="G402">
        <f>IFERROR(__xludf.DUMMYFUNCTION("""COMPUTED_VALUE"""),"戦場で 力を示してみせろ ヒヨコども")</f>
        <v/>
      </c>
      <c r="H402">
        <f>IFERROR(__xludf.DUMMYFUNCTION("""COMPUTED_VALUE"""),"01")</f>
        <v/>
      </c>
      <c r="I402">
        <f>IFERROR(__xludf.DUMMYFUNCTION("""COMPUTED_VALUE"""),"event_kai1_challenge01_00001")</f>
        <v/>
      </c>
      <c r="K402">
        <f>IFERROR(__xludf.DUMMYFUNCTION("""COMPUTED_VALUE"""),"kai1_challenge01_quest_select_cell")</f>
        <v/>
      </c>
    </row>
    <row r="403">
      <c r="A403">
        <f>IFERROR(__xludf.DUMMYFUNCTION("""COMPUTED_VALUE"""),"kai1")</f>
        <v/>
      </c>
      <c r="B403">
        <f>IFERROR(__xludf.DUMMYFUNCTION("""COMPUTED_VALUE"""),"怪獣８号")</f>
        <v/>
      </c>
      <c r="C403">
        <f>IFERROR(__xludf.DUMMYFUNCTION("""COMPUTED_VALUE"""),"challenge01")</f>
        <v/>
      </c>
      <c r="D403">
        <f>IFERROR(__xludf.DUMMYFUNCTION("""COMPUTED_VALUE"""),"event")</f>
        <v/>
      </c>
      <c r="E403">
        <f>IFERROR(__xludf.DUMMYFUNCTION("""COMPUTED_VALUE"""),"チャレンジ")</f>
        <v/>
      </c>
      <c r="F403">
        <f>IFERROR(__xludf.DUMMYFUNCTION("""COMPUTED_VALUE"""),"quest_event_kai1_challenge01")</f>
        <v/>
      </c>
      <c r="G403">
        <f>IFERROR(__xludf.DUMMYFUNCTION("""COMPUTED_VALUE"""),"戦場で 力を示してみせろ ヒヨコども")</f>
        <v/>
      </c>
      <c r="H403">
        <f>IFERROR(__xludf.DUMMYFUNCTION("""COMPUTED_VALUE"""),"02")</f>
        <v/>
      </c>
      <c r="I403">
        <f>IFERROR(__xludf.DUMMYFUNCTION("""COMPUTED_VALUE"""),"event_kai1_challenge01_00002")</f>
        <v/>
      </c>
    </row>
    <row r="404">
      <c r="A404">
        <f>IFERROR(__xludf.DUMMYFUNCTION("""COMPUTED_VALUE"""),"kai1")</f>
        <v/>
      </c>
      <c r="B404">
        <f>IFERROR(__xludf.DUMMYFUNCTION("""COMPUTED_VALUE"""),"怪獣８号")</f>
        <v/>
      </c>
      <c r="C404">
        <f>IFERROR(__xludf.DUMMYFUNCTION("""COMPUTED_VALUE"""),"challenge01")</f>
        <v/>
      </c>
      <c r="D404">
        <f>IFERROR(__xludf.DUMMYFUNCTION("""COMPUTED_VALUE"""),"event")</f>
        <v/>
      </c>
      <c r="E404">
        <f>IFERROR(__xludf.DUMMYFUNCTION("""COMPUTED_VALUE"""),"チャレンジ")</f>
        <v/>
      </c>
      <c r="F404">
        <f>IFERROR(__xludf.DUMMYFUNCTION("""COMPUTED_VALUE"""),"quest_event_kai1_challenge01")</f>
        <v/>
      </c>
      <c r="G404">
        <f>IFERROR(__xludf.DUMMYFUNCTION("""COMPUTED_VALUE"""),"戦場で 力を示してみせろ ヒヨコども")</f>
        <v/>
      </c>
      <c r="H404">
        <f>IFERROR(__xludf.DUMMYFUNCTION("""COMPUTED_VALUE"""),"03")</f>
        <v/>
      </c>
      <c r="I404">
        <f>IFERROR(__xludf.DUMMYFUNCTION("""COMPUTED_VALUE"""),"event_kai1_challenge01_00003")</f>
        <v/>
      </c>
    </row>
    <row r="405">
      <c r="A405">
        <f>IFERROR(__xludf.DUMMYFUNCTION("""COMPUTED_VALUE"""),"kai1")</f>
        <v/>
      </c>
      <c r="B405">
        <f>IFERROR(__xludf.DUMMYFUNCTION("""COMPUTED_VALUE"""),"怪獣８号")</f>
        <v/>
      </c>
      <c r="C405">
        <f>IFERROR(__xludf.DUMMYFUNCTION("""COMPUTED_VALUE"""),"challenge01")</f>
        <v/>
      </c>
      <c r="D405">
        <f>IFERROR(__xludf.DUMMYFUNCTION("""COMPUTED_VALUE"""),"event")</f>
        <v/>
      </c>
      <c r="E405">
        <f>IFERROR(__xludf.DUMMYFUNCTION("""COMPUTED_VALUE"""),"チャレンジ")</f>
        <v/>
      </c>
      <c r="F405">
        <f>IFERROR(__xludf.DUMMYFUNCTION("""COMPUTED_VALUE"""),"quest_event_kai1_challenge01")</f>
        <v/>
      </c>
      <c r="G405">
        <f>IFERROR(__xludf.DUMMYFUNCTION("""COMPUTED_VALUE"""),"戦場で 力を示してみせろ ヒヨコども")</f>
        <v/>
      </c>
      <c r="H405">
        <f>IFERROR(__xludf.DUMMYFUNCTION("""COMPUTED_VALUE"""),"04")</f>
        <v/>
      </c>
      <c r="I405">
        <f>IFERROR(__xludf.DUMMYFUNCTION("""COMPUTED_VALUE"""),"event_kai1_challenge01_00004")</f>
        <v/>
      </c>
    </row>
    <row r="406">
      <c r="A406">
        <f>IFERROR(__xludf.DUMMYFUNCTION("""COMPUTED_VALUE"""),"kai1")</f>
        <v/>
      </c>
      <c r="B406">
        <f>IFERROR(__xludf.DUMMYFUNCTION("""COMPUTED_VALUE"""),"怪獣８号")</f>
        <v/>
      </c>
      <c r="C406">
        <f>IFERROR(__xludf.DUMMYFUNCTION("""COMPUTED_VALUE"""),"savage")</f>
        <v/>
      </c>
      <c r="D406">
        <f>IFERROR(__xludf.DUMMYFUNCTION("""COMPUTED_VALUE"""),"event")</f>
        <v/>
      </c>
      <c r="E406">
        <f>IFERROR(__xludf.DUMMYFUNCTION("""COMPUTED_VALUE"""),"高難易度")</f>
        <v/>
      </c>
      <c r="F406">
        <f>IFERROR(__xludf.DUMMYFUNCTION("""COMPUTED_VALUE"""),"quest_event_kai1_savage")</f>
        <v/>
      </c>
      <c r="G406">
        <f>IFERROR(__xludf.DUMMYFUNCTION("""COMPUTED_VALUE"""),"クラス『大怪獣』")</f>
        <v/>
      </c>
      <c r="H406">
        <f>IFERROR(__xludf.DUMMYFUNCTION("""COMPUTED_VALUE"""),"01")</f>
        <v/>
      </c>
      <c r="I406">
        <f>IFERROR(__xludf.DUMMYFUNCTION("""COMPUTED_VALUE"""),"event_kai1_savage_00001")</f>
        <v/>
      </c>
      <c r="K406">
        <f>IFERROR(__xludf.DUMMYFUNCTION("""COMPUTED_VALUE"""),"kai1_savage_quest_select_cell")</f>
        <v/>
      </c>
    </row>
    <row r="407">
      <c r="A407">
        <f>IFERROR(__xludf.DUMMYFUNCTION("""COMPUTED_VALUE"""),"kai1")</f>
        <v/>
      </c>
      <c r="B407">
        <f>IFERROR(__xludf.DUMMYFUNCTION("""COMPUTED_VALUE"""),"怪獣８号")</f>
        <v/>
      </c>
      <c r="C407">
        <f>IFERROR(__xludf.DUMMYFUNCTION("""COMPUTED_VALUE"""),"savage")</f>
        <v/>
      </c>
      <c r="D407">
        <f>IFERROR(__xludf.DUMMYFUNCTION("""COMPUTED_VALUE"""),"event")</f>
        <v/>
      </c>
      <c r="E407">
        <f>IFERROR(__xludf.DUMMYFUNCTION("""COMPUTED_VALUE"""),"高難易度")</f>
        <v/>
      </c>
      <c r="F407">
        <f>IFERROR(__xludf.DUMMYFUNCTION("""COMPUTED_VALUE"""),"quest_event_kai1_savage")</f>
        <v/>
      </c>
      <c r="G407">
        <f>IFERROR(__xludf.DUMMYFUNCTION("""COMPUTED_VALUE"""),"クラス『大怪獣』")</f>
        <v/>
      </c>
      <c r="H407">
        <f>IFERROR(__xludf.DUMMYFUNCTION("""COMPUTED_VALUE"""),"02")</f>
        <v/>
      </c>
      <c r="I407">
        <f>IFERROR(__xludf.DUMMYFUNCTION("""COMPUTED_VALUE"""),"event_kai1_savage_00002")</f>
        <v/>
      </c>
    </row>
    <row r="409">
      <c r="A409">
        <f>IFERROR(__xludf.DUMMYFUNCTION("""COMPUTED_VALUE"""),"spy1")</f>
        <v/>
      </c>
      <c r="B409">
        <f>IFERROR(__xludf.DUMMYFUNCTION("""COMPUTED_VALUE"""),"SPY×FAMILY")</f>
        <v/>
      </c>
      <c r="C409">
        <f>IFERROR(__xludf.DUMMYFUNCTION("""COMPUTED_VALUE"""),"1day")</f>
        <v/>
      </c>
      <c r="D409">
        <f>IFERROR(__xludf.DUMMYFUNCTION("""COMPUTED_VALUE"""),"event")</f>
        <v/>
      </c>
      <c r="E409">
        <f>IFERROR(__xludf.DUMMYFUNCTION("""COMPUTED_VALUE"""),"デイリー")</f>
        <v/>
      </c>
      <c r="F409">
        <f>IFERROR(__xludf.DUMMYFUNCTION("""COMPUTED_VALUE"""),"quest_event_spy1_1day")</f>
        <v/>
      </c>
      <c r="G409">
        <f>IFERROR(__xludf.DUMMYFUNCTION("""COMPUTED_VALUE"""),"デイリークエスト")</f>
        <v/>
      </c>
      <c r="H409">
        <f>IFERROR(__xludf.DUMMYFUNCTION("""COMPUTED_VALUE"""),"01")</f>
        <v/>
      </c>
      <c r="I409">
        <f>IFERROR(__xludf.DUMMYFUNCTION("""COMPUTED_VALUE"""),"event_spy1_1day_00001")</f>
        <v/>
      </c>
      <c r="K409">
        <f>IFERROR(__xludf.DUMMYFUNCTION("""COMPUTED_VALUE"""),"spy1_1day_quest_select_cell")</f>
        <v/>
      </c>
    </row>
    <row r="410">
      <c r="A410">
        <f>IFERROR(__xludf.DUMMYFUNCTION("""COMPUTED_VALUE"""),"spy1")</f>
        <v/>
      </c>
      <c r="B410">
        <f>IFERROR(__xludf.DUMMYFUNCTION("""COMPUTED_VALUE"""),"SPY×FAMILY")</f>
        <v/>
      </c>
      <c r="C410">
        <f>IFERROR(__xludf.DUMMYFUNCTION("""COMPUTED_VALUE"""),"charaget01")</f>
        <v/>
      </c>
      <c r="D410">
        <f>IFERROR(__xludf.DUMMYFUNCTION("""COMPUTED_VALUE"""),"event")</f>
        <v/>
      </c>
      <c r="E410">
        <f>IFERROR(__xludf.DUMMYFUNCTION("""COMPUTED_VALUE"""),"ストーリー")</f>
        <v/>
      </c>
      <c r="F410">
        <f>IFERROR(__xludf.DUMMYFUNCTION("""COMPUTED_VALUE"""),"quest_event_spy1_charaget01")</f>
        <v/>
      </c>
      <c r="G410">
        <f>IFERROR(__xludf.DUMMYFUNCTION("""COMPUTED_VALUE"""),"ストーリークエスト1")</f>
        <v/>
      </c>
      <c r="H410">
        <f>IFERROR(__xludf.DUMMYFUNCTION("""COMPUTED_VALUE"""),"01")</f>
        <v/>
      </c>
      <c r="I410">
        <f>IFERROR(__xludf.DUMMYFUNCTION("""COMPUTED_VALUE"""),"event_spy1_charaget01_00001")</f>
        <v/>
      </c>
      <c r="K410">
        <f>IFERROR(__xludf.DUMMYFUNCTION("""COMPUTED_VALUE"""),"spy1_charaget01_quest_select_cell")</f>
        <v/>
      </c>
    </row>
    <row r="411">
      <c r="A411">
        <f>IFERROR(__xludf.DUMMYFUNCTION("""COMPUTED_VALUE"""),"spy1")</f>
        <v/>
      </c>
      <c r="B411">
        <f>IFERROR(__xludf.DUMMYFUNCTION("""COMPUTED_VALUE"""),"SPY×FAMILY")</f>
        <v/>
      </c>
      <c r="C411">
        <f>IFERROR(__xludf.DUMMYFUNCTION("""COMPUTED_VALUE"""),"charaget01")</f>
        <v/>
      </c>
      <c r="D411">
        <f>IFERROR(__xludf.DUMMYFUNCTION("""COMPUTED_VALUE"""),"event")</f>
        <v/>
      </c>
      <c r="E411">
        <f>IFERROR(__xludf.DUMMYFUNCTION("""COMPUTED_VALUE"""),"ストーリー")</f>
        <v/>
      </c>
      <c r="F411">
        <f>IFERROR(__xludf.DUMMYFUNCTION("""COMPUTED_VALUE"""),"quest_event_spy1_charaget01")</f>
        <v/>
      </c>
      <c r="G411">
        <f>IFERROR(__xludf.DUMMYFUNCTION("""COMPUTED_VALUE"""),"ストーリークエスト1")</f>
        <v/>
      </c>
      <c r="H411">
        <f>IFERROR(__xludf.DUMMYFUNCTION("""COMPUTED_VALUE"""),"02")</f>
        <v/>
      </c>
      <c r="I411">
        <f>IFERROR(__xludf.DUMMYFUNCTION("""COMPUTED_VALUE"""),"event_spy1_charaget01_00002")</f>
        <v/>
      </c>
    </row>
    <row r="412">
      <c r="A412">
        <f>IFERROR(__xludf.DUMMYFUNCTION("""COMPUTED_VALUE"""),"spy1")</f>
        <v/>
      </c>
      <c r="B412">
        <f>IFERROR(__xludf.DUMMYFUNCTION("""COMPUTED_VALUE"""),"SPY×FAMILY")</f>
        <v/>
      </c>
      <c r="C412">
        <f>IFERROR(__xludf.DUMMYFUNCTION("""COMPUTED_VALUE"""),"charaget01")</f>
        <v/>
      </c>
      <c r="D412">
        <f>IFERROR(__xludf.DUMMYFUNCTION("""COMPUTED_VALUE"""),"event")</f>
        <v/>
      </c>
      <c r="E412">
        <f>IFERROR(__xludf.DUMMYFUNCTION("""COMPUTED_VALUE"""),"ストーリー")</f>
        <v/>
      </c>
      <c r="F412">
        <f>IFERROR(__xludf.DUMMYFUNCTION("""COMPUTED_VALUE"""),"quest_event_spy1_charaget01")</f>
        <v/>
      </c>
      <c r="G412">
        <f>IFERROR(__xludf.DUMMYFUNCTION("""COMPUTED_VALUE"""),"ストーリークエスト1")</f>
        <v/>
      </c>
      <c r="H412">
        <f>IFERROR(__xludf.DUMMYFUNCTION("""COMPUTED_VALUE"""),"03")</f>
        <v/>
      </c>
      <c r="I412">
        <f>IFERROR(__xludf.DUMMYFUNCTION("""COMPUTED_VALUE"""),"event_spy1_charaget01_00003")</f>
        <v/>
      </c>
    </row>
    <row r="413">
      <c r="A413">
        <f>IFERROR(__xludf.DUMMYFUNCTION("""COMPUTED_VALUE"""),"spy1")</f>
        <v/>
      </c>
      <c r="B413">
        <f>IFERROR(__xludf.DUMMYFUNCTION("""COMPUTED_VALUE"""),"SPY×FAMILY")</f>
        <v/>
      </c>
      <c r="C413">
        <f>IFERROR(__xludf.DUMMYFUNCTION("""COMPUTED_VALUE"""),"charaget01")</f>
        <v/>
      </c>
      <c r="D413">
        <f>IFERROR(__xludf.DUMMYFUNCTION("""COMPUTED_VALUE"""),"event")</f>
        <v/>
      </c>
      <c r="E413">
        <f>IFERROR(__xludf.DUMMYFUNCTION("""COMPUTED_VALUE"""),"ストーリー")</f>
        <v/>
      </c>
      <c r="F413">
        <f>IFERROR(__xludf.DUMMYFUNCTION("""COMPUTED_VALUE"""),"quest_event_spy1_charaget01")</f>
        <v/>
      </c>
      <c r="G413">
        <f>IFERROR(__xludf.DUMMYFUNCTION("""COMPUTED_VALUE"""),"ストーリークエスト1")</f>
        <v/>
      </c>
      <c r="H413">
        <f>IFERROR(__xludf.DUMMYFUNCTION("""COMPUTED_VALUE"""),"04")</f>
        <v/>
      </c>
      <c r="I413">
        <f>IFERROR(__xludf.DUMMYFUNCTION("""COMPUTED_VALUE"""),"event_spy1_charaget01_00004")</f>
        <v/>
      </c>
    </row>
    <row r="414">
      <c r="A414">
        <f>IFERROR(__xludf.DUMMYFUNCTION("""COMPUTED_VALUE"""),"spy1")</f>
        <v/>
      </c>
      <c r="B414">
        <f>IFERROR(__xludf.DUMMYFUNCTION("""COMPUTED_VALUE"""),"SPY×FAMILY")</f>
        <v/>
      </c>
      <c r="C414">
        <f>IFERROR(__xludf.DUMMYFUNCTION("""COMPUTED_VALUE"""),"charaget01")</f>
        <v/>
      </c>
      <c r="D414">
        <f>IFERROR(__xludf.DUMMYFUNCTION("""COMPUTED_VALUE"""),"event")</f>
        <v/>
      </c>
      <c r="E414">
        <f>IFERROR(__xludf.DUMMYFUNCTION("""COMPUTED_VALUE"""),"ストーリー")</f>
        <v/>
      </c>
      <c r="F414">
        <f>IFERROR(__xludf.DUMMYFUNCTION("""COMPUTED_VALUE"""),"quest_event_spy1_charaget01")</f>
        <v/>
      </c>
      <c r="G414">
        <f>IFERROR(__xludf.DUMMYFUNCTION("""COMPUTED_VALUE"""),"ストーリークエスト1")</f>
        <v/>
      </c>
      <c r="H414">
        <f>IFERROR(__xludf.DUMMYFUNCTION("""COMPUTED_VALUE"""),"05")</f>
        <v/>
      </c>
      <c r="I414">
        <f>IFERROR(__xludf.DUMMYFUNCTION("""COMPUTED_VALUE"""),"event_spy1_charaget01_00005")</f>
        <v/>
      </c>
    </row>
    <row r="415">
      <c r="A415">
        <f>IFERROR(__xludf.DUMMYFUNCTION("""COMPUTED_VALUE"""),"spy1")</f>
        <v/>
      </c>
      <c r="B415">
        <f>IFERROR(__xludf.DUMMYFUNCTION("""COMPUTED_VALUE"""),"SPY×FAMILY")</f>
        <v/>
      </c>
      <c r="C415">
        <f>IFERROR(__xludf.DUMMYFUNCTION("""COMPUTED_VALUE"""),"charaget01")</f>
        <v/>
      </c>
      <c r="D415">
        <f>IFERROR(__xludf.DUMMYFUNCTION("""COMPUTED_VALUE"""),"event")</f>
        <v/>
      </c>
      <c r="E415">
        <f>IFERROR(__xludf.DUMMYFUNCTION("""COMPUTED_VALUE"""),"ストーリー")</f>
        <v/>
      </c>
      <c r="F415">
        <f>IFERROR(__xludf.DUMMYFUNCTION("""COMPUTED_VALUE"""),"quest_event_spy1_charaget01")</f>
        <v/>
      </c>
      <c r="G415">
        <f>IFERROR(__xludf.DUMMYFUNCTION("""COMPUTED_VALUE"""),"ストーリークエスト1")</f>
        <v/>
      </c>
      <c r="H415">
        <f>IFERROR(__xludf.DUMMYFUNCTION("""COMPUTED_VALUE"""),"06")</f>
        <v/>
      </c>
      <c r="I415">
        <f>IFERROR(__xludf.DUMMYFUNCTION("""COMPUTED_VALUE"""),"event_spy1_charaget01_00006")</f>
        <v/>
      </c>
    </row>
    <row r="416">
      <c r="A416">
        <f>IFERROR(__xludf.DUMMYFUNCTION("""COMPUTED_VALUE"""),"spy1")</f>
        <v/>
      </c>
      <c r="B416">
        <f>IFERROR(__xludf.DUMMYFUNCTION("""COMPUTED_VALUE"""),"SPY×FAMILY")</f>
        <v/>
      </c>
      <c r="C416">
        <f>IFERROR(__xludf.DUMMYFUNCTION("""COMPUTED_VALUE"""),"charaget01")</f>
        <v/>
      </c>
      <c r="D416">
        <f>IFERROR(__xludf.DUMMYFUNCTION("""COMPUTED_VALUE"""),"event")</f>
        <v/>
      </c>
      <c r="E416">
        <f>IFERROR(__xludf.DUMMYFUNCTION("""COMPUTED_VALUE"""),"ストーリー")</f>
        <v/>
      </c>
      <c r="F416">
        <f>IFERROR(__xludf.DUMMYFUNCTION("""COMPUTED_VALUE"""),"quest_event_spy1_charaget01")</f>
        <v/>
      </c>
      <c r="G416">
        <f>IFERROR(__xludf.DUMMYFUNCTION("""COMPUTED_VALUE"""),"ストーリークエスト1")</f>
        <v/>
      </c>
      <c r="H416">
        <f>IFERROR(__xludf.DUMMYFUNCTION("""COMPUTED_VALUE"""),"07")</f>
        <v/>
      </c>
      <c r="I416">
        <f>IFERROR(__xludf.DUMMYFUNCTION("""COMPUTED_VALUE"""),"event_spy1_charaget01_00007")</f>
        <v/>
      </c>
    </row>
    <row r="417">
      <c r="A417">
        <f>IFERROR(__xludf.DUMMYFUNCTION("""COMPUTED_VALUE"""),"spy1")</f>
        <v/>
      </c>
      <c r="B417">
        <f>IFERROR(__xludf.DUMMYFUNCTION("""COMPUTED_VALUE"""),"SPY×FAMILY")</f>
        <v/>
      </c>
      <c r="C417">
        <f>IFERROR(__xludf.DUMMYFUNCTION("""COMPUTED_VALUE"""),"charaget01")</f>
        <v/>
      </c>
      <c r="D417">
        <f>IFERROR(__xludf.DUMMYFUNCTION("""COMPUTED_VALUE"""),"event")</f>
        <v/>
      </c>
      <c r="E417">
        <f>IFERROR(__xludf.DUMMYFUNCTION("""COMPUTED_VALUE"""),"ストーリー")</f>
        <v/>
      </c>
      <c r="F417">
        <f>IFERROR(__xludf.DUMMYFUNCTION("""COMPUTED_VALUE"""),"quest_event_spy1_charaget01")</f>
        <v/>
      </c>
      <c r="G417">
        <f>IFERROR(__xludf.DUMMYFUNCTION("""COMPUTED_VALUE"""),"ストーリークエスト1")</f>
        <v/>
      </c>
      <c r="H417">
        <f>IFERROR(__xludf.DUMMYFUNCTION("""COMPUTED_VALUE"""),"08")</f>
        <v/>
      </c>
      <c r="I417">
        <f>IFERROR(__xludf.DUMMYFUNCTION("""COMPUTED_VALUE"""),"event_spy1_charaget01_00008")</f>
        <v/>
      </c>
    </row>
    <row r="418">
      <c r="A418">
        <f>IFERROR(__xludf.DUMMYFUNCTION("""COMPUTED_VALUE"""),"spy1")</f>
        <v/>
      </c>
      <c r="B418">
        <f>IFERROR(__xludf.DUMMYFUNCTION("""COMPUTED_VALUE"""),"SPY×FAMILY")</f>
        <v/>
      </c>
      <c r="C418">
        <f>IFERROR(__xludf.DUMMYFUNCTION("""COMPUTED_VALUE"""),"charaget02")</f>
        <v/>
      </c>
      <c r="D418">
        <f>IFERROR(__xludf.DUMMYFUNCTION("""COMPUTED_VALUE"""),"event")</f>
        <v/>
      </c>
      <c r="E418">
        <f>IFERROR(__xludf.DUMMYFUNCTION("""COMPUTED_VALUE"""),"ストーリー")</f>
        <v/>
      </c>
      <c r="F418">
        <f>IFERROR(__xludf.DUMMYFUNCTION("""COMPUTED_VALUE"""),"quest_event_spy1_charaget02")</f>
        <v/>
      </c>
      <c r="G418">
        <f>IFERROR(__xludf.DUMMYFUNCTION("""COMPUTED_VALUE"""),"ストーリークエスト2")</f>
        <v/>
      </c>
      <c r="H418">
        <f>IFERROR(__xludf.DUMMYFUNCTION("""COMPUTED_VALUE"""),"01")</f>
        <v/>
      </c>
      <c r="I418">
        <f>IFERROR(__xludf.DUMMYFUNCTION("""COMPUTED_VALUE"""),"event_spy1_charaget02_00001")</f>
        <v/>
      </c>
      <c r="K418">
        <f>IFERROR(__xludf.DUMMYFUNCTION("""COMPUTED_VALUE"""),"spy1_charaget02_quest_select_cell")</f>
        <v/>
      </c>
    </row>
    <row r="419">
      <c r="A419">
        <f>IFERROR(__xludf.DUMMYFUNCTION("""COMPUTED_VALUE"""),"spy1")</f>
        <v/>
      </c>
      <c r="B419">
        <f>IFERROR(__xludf.DUMMYFUNCTION("""COMPUTED_VALUE"""),"SPY×FAMILY")</f>
        <v/>
      </c>
      <c r="C419">
        <f>IFERROR(__xludf.DUMMYFUNCTION("""COMPUTED_VALUE"""),"charaget02")</f>
        <v/>
      </c>
      <c r="D419">
        <f>IFERROR(__xludf.DUMMYFUNCTION("""COMPUTED_VALUE"""),"event")</f>
        <v/>
      </c>
      <c r="E419">
        <f>IFERROR(__xludf.DUMMYFUNCTION("""COMPUTED_VALUE"""),"ストーリー")</f>
        <v/>
      </c>
      <c r="F419">
        <f>IFERROR(__xludf.DUMMYFUNCTION("""COMPUTED_VALUE"""),"quest_event_spy1_charaget02")</f>
        <v/>
      </c>
      <c r="G419">
        <f>IFERROR(__xludf.DUMMYFUNCTION("""COMPUTED_VALUE"""),"ストーリークエスト2")</f>
        <v/>
      </c>
      <c r="H419">
        <f>IFERROR(__xludf.DUMMYFUNCTION("""COMPUTED_VALUE"""),"02")</f>
        <v/>
      </c>
      <c r="I419">
        <f>IFERROR(__xludf.DUMMYFUNCTION("""COMPUTED_VALUE"""),"event_spy1_charaget02_00002")</f>
        <v/>
      </c>
    </row>
    <row r="420">
      <c r="A420">
        <f>IFERROR(__xludf.DUMMYFUNCTION("""COMPUTED_VALUE"""),"spy1")</f>
        <v/>
      </c>
      <c r="B420">
        <f>IFERROR(__xludf.DUMMYFUNCTION("""COMPUTED_VALUE"""),"SPY×FAMILY")</f>
        <v/>
      </c>
      <c r="C420">
        <f>IFERROR(__xludf.DUMMYFUNCTION("""COMPUTED_VALUE"""),"charaget02")</f>
        <v/>
      </c>
      <c r="D420">
        <f>IFERROR(__xludf.DUMMYFUNCTION("""COMPUTED_VALUE"""),"event")</f>
        <v/>
      </c>
      <c r="E420">
        <f>IFERROR(__xludf.DUMMYFUNCTION("""COMPUTED_VALUE"""),"ストーリー")</f>
        <v/>
      </c>
      <c r="F420">
        <f>IFERROR(__xludf.DUMMYFUNCTION("""COMPUTED_VALUE"""),"quest_event_spy1_charaget02")</f>
        <v/>
      </c>
      <c r="G420">
        <f>IFERROR(__xludf.DUMMYFUNCTION("""COMPUTED_VALUE"""),"ストーリークエスト2")</f>
        <v/>
      </c>
      <c r="H420">
        <f>IFERROR(__xludf.DUMMYFUNCTION("""COMPUTED_VALUE"""),"03")</f>
        <v/>
      </c>
      <c r="I420">
        <f>IFERROR(__xludf.DUMMYFUNCTION("""COMPUTED_VALUE"""),"event_spy1_charaget02_00003")</f>
        <v/>
      </c>
    </row>
    <row r="421">
      <c r="A421">
        <f>IFERROR(__xludf.DUMMYFUNCTION("""COMPUTED_VALUE"""),"spy1")</f>
        <v/>
      </c>
      <c r="B421">
        <f>IFERROR(__xludf.DUMMYFUNCTION("""COMPUTED_VALUE"""),"SPY×FAMILY")</f>
        <v/>
      </c>
      <c r="C421">
        <f>IFERROR(__xludf.DUMMYFUNCTION("""COMPUTED_VALUE"""),"charaget02")</f>
        <v/>
      </c>
      <c r="D421">
        <f>IFERROR(__xludf.DUMMYFUNCTION("""COMPUTED_VALUE"""),"event")</f>
        <v/>
      </c>
      <c r="E421">
        <f>IFERROR(__xludf.DUMMYFUNCTION("""COMPUTED_VALUE"""),"ストーリー")</f>
        <v/>
      </c>
      <c r="F421">
        <f>IFERROR(__xludf.DUMMYFUNCTION("""COMPUTED_VALUE"""),"quest_event_spy1_charaget02")</f>
        <v/>
      </c>
      <c r="G421">
        <f>IFERROR(__xludf.DUMMYFUNCTION("""COMPUTED_VALUE"""),"ストーリークエスト2")</f>
        <v/>
      </c>
      <c r="H421">
        <f>IFERROR(__xludf.DUMMYFUNCTION("""COMPUTED_VALUE"""),"04")</f>
        <v/>
      </c>
      <c r="I421">
        <f>IFERROR(__xludf.DUMMYFUNCTION("""COMPUTED_VALUE"""),"event_spy1_charaget02_00004")</f>
        <v/>
      </c>
    </row>
    <row r="422">
      <c r="A422">
        <f>IFERROR(__xludf.DUMMYFUNCTION("""COMPUTED_VALUE"""),"spy1")</f>
        <v/>
      </c>
      <c r="B422">
        <f>IFERROR(__xludf.DUMMYFUNCTION("""COMPUTED_VALUE"""),"SPY×FAMILY")</f>
        <v/>
      </c>
      <c r="C422">
        <f>IFERROR(__xludf.DUMMYFUNCTION("""COMPUTED_VALUE"""),"charaget02")</f>
        <v/>
      </c>
      <c r="D422">
        <f>IFERROR(__xludf.DUMMYFUNCTION("""COMPUTED_VALUE"""),"event")</f>
        <v/>
      </c>
      <c r="E422">
        <f>IFERROR(__xludf.DUMMYFUNCTION("""COMPUTED_VALUE"""),"ストーリー")</f>
        <v/>
      </c>
      <c r="F422">
        <f>IFERROR(__xludf.DUMMYFUNCTION("""COMPUTED_VALUE"""),"quest_event_spy1_charaget02")</f>
        <v/>
      </c>
      <c r="G422">
        <f>IFERROR(__xludf.DUMMYFUNCTION("""COMPUTED_VALUE"""),"ストーリークエスト2")</f>
        <v/>
      </c>
      <c r="H422">
        <f>IFERROR(__xludf.DUMMYFUNCTION("""COMPUTED_VALUE"""),"05")</f>
        <v/>
      </c>
      <c r="I422">
        <f>IFERROR(__xludf.DUMMYFUNCTION("""COMPUTED_VALUE"""),"event_spy1_charaget02_00005")</f>
        <v/>
      </c>
    </row>
    <row r="423">
      <c r="A423">
        <f>IFERROR(__xludf.DUMMYFUNCTION("""COMPUTED_VALUE"""),"spy1")</f>
        <v/>
      </c>
      <c r="B423">
        <f>IFERROR(__xludf.DUMMYFUNCTION("""COMPUTED_VALUE"""),"SPY×FAMILY")</f>
        <v/>
      </c>
      <c r="C423">
        <f>IFERROR(__xludf.DUMMYFUNCTION("""COMPUTED_VALUE"""),"charaget02")</f>
        <v/>
      </c>
      <c r="D423">
        <f>IFERROR(__xludf.DUMMYFUNCTION("""COMPUTED_VALUE"""),"event")</f>
        <v/>
      </c>
      <c r="E423">
        <f>IFERROR(__xludf.DUMMYFUNCTION("""COMPUTED_VALUE"""),"ストーリー")</f>
        <v/>
      </c>
      <c r="F423">
        <f>IFERROR(__xludf.DUMMYFUNCTION("""COMPUTED_VALUE"""),"quest_event_spy1_charaget02")</f>
        <v/>
      </c>
      <c r="G423">
        <f>IFERROR(__xludf.DUMMYFUNCTION("""COMPUTED_VALUE"""),"ストーリークエスト2")</f>
        <v/>
      </c>
      <c r="H423">
        <f>IFERROR(__xludf.DUMMYFUNCTION("""COMPUTED_VALUE"""),"06")</f>
        <v/>
      </c>
      <c r="I423">
        <f>IFERROR(__xludf.DUMMYFUNCTION("""COMPUTED_VALUE"""),"event_spy1_charaget02_00006")</f>
        <v/>
      </c>
    </row>
    <row r="424">
      <c r="A424">
        <f>IFERROR(__xludf.DUMMYFUNCTION("""COMPUTED_VALUE"""),"spy1")</f>
        <v/>
      </c>
      <c r="B424">
        <f>IFERROR(__xludf.DUMMYFUNCTION("""COMPUTED_VALUE"""),"SPY×FAMILY")</f>
        <v/>
      </c>
      <c r="C424">
        <f>IFERROR(__xludf.DUMMYFUNCTION("""COMPUTED_VALUE"""),"charaget02")</f>
        <v/>
      </c>
      <c r="D424">
        <f>IFERROR(__xludf.DUMMYFUNCTION("""COMPUTED_VALUE"""),"event")</f>
        <v/>
      </c>
      <c r="E424">
        <f>IFERROR(__xludf.DUMMYFUNCTION("""COMPUTED_VALUE"""),"ストーリー")</f>
        <v/>
      </c>
      <c r="F424">
        <f>IFERROR(__xludf.DUMMYFUNCTION("""COMPUTED_VALUE"""),"quest_event_spy1_charaget02")</f>
        <v/>
      </c>
      <c r="G424">
        <f>IFERROR(__xludf.DUMMYFUNCTION("""COMPUTED_VALUE"""),"ストーリークエスト2")</f>
        <v/>
      </c>
      <c r="H424">
        <f>IFERROR(__xludf.DUMMYFUNCTION("""COMPUTED_VALUE"""),"07")</f>
        <v/>
      </c>
      <c r="I424">
        <f>IFERROR(__xludf.DUMMYFUNCTION("""COMPUTED_VALUE"""),"event_spy1_charaget02_00007")</f>
        <v/>
      </c>
    </row>
    <row r="425">
      <c r="A425">
        <f>IFERROR(__xludf.DUMMYFUNCTION("""COMPUTED_VALUE"""),"spy1")</f>
        <v/>
      </c>
      <c r="B425">
        <f>IFERROR(__xludf.DUMMYFUNCTION("""COMPUTED_VALUE"""),"SPY×FAMILY")</f>
        <v/>
      </c>
      <c r="C425">
        <f>IFERROR(__xludf.DUMMYFUNCTION("""COMPUTED_VALUE"""),"charaget02")</f>
        <v/>
      </c>
      <c r="D425">
        <f>IFERROR(__xludf.DUMMYFUNCTION("""COMPUTED_VALUE"""),"event")</f>
        <v/>
      </c>
      <c r="E425">
        <f>IFERROR(__xludf.DUMMYFUNCTION("""COMPUTED_VALUE"""),"ストーリー")</f>
        <v/>
      </c>
      <c r="F425">
        <f>IFERROR(__xludf.DUMMYFUNCTION("""COMPUTED_VALUE"""),"quest_event_spy1_charaget02")</f>
        <v/>
      </c>
      <c r="G425">
        <f>IFERROR(__xludf.DUMMYFUNCTION("""COMPUTED_VALUE"""),"ストーリークエスト2")</f>
        <v/>
      </c>
      <c r="H425">
        <f>IFERROR(__xludf.DUMMYFUNCTION("""COMPUTED_VALUE"""),"08")</f>
        <v/>
      </c>
      <c r="I425">
        <f>IFERROR(__xludf.DUMMYFUNCTION("""COMPUTED_VALUE"""),"event_spy1_charaget02_00008")</f>
        <v/>
      </c>
    </row>
    <row r="426">
      <c r="A426">
        <f>IFERROR(__xludf.DUMMYFUNCTION("""COMPUTED_VALUE"""),"spy1")</f>
        <v/>
      </c>
      <c r="B426">
        <f>IFERROR(__xludf.DUMMYFUNCTION("""COMPUTED_VALUE"""),"SPY×FAMILY")</f>
        <v/>
      </c>
      <c r="C426">
        <f>IFERROR(__xludf.DUMMYFUNCTION("""COMPUTED_VALUE"""),"challenge01")</f>
        <v/>
      </c>
      <c r="D426">
        <f>IFERROR(__xludf.DUMMYFUNCTION("""COMPUTED_VALUE"""),"event")</f>
        <v/>
      </c>
      <c r="E426">
        <f>IFERROR(__xludf.DUMMYFUNCTION("""COMPUTED_VALUE"""),"チャレンジ")</f>
        <v/>
      </c>
      <c r="F426">
        <f>IFERROR(__xludf.DUMMYFUNCTION("""COMPUTED_VALUE"""),"quest_event_spy1_challenge01")</f>
        <v/>
      </c>
      <c r="G426">
        <f>IFERROR(__xludf.DUMMYFUNCTION("""COMPUTED_VALUE"""),"チャレンジクエスト")</f>
        <v/>
      </c>
      <c r="H426">
        <f>IFERROR(__xludf.DUMMYFUNCTION("""COMPUTED_VALUE"""),"01")</f>
        <v/>
      </c>
      <c r="I426">
        <f>IFERROR(__xludf.DUMMYFUNCTION("""COMPUTED_VALUE"""),"event_spy1_challenge01_00001")</f>
        <v/>
      </c>
      <c r="K426">
        <f>IFERROR(__xludf.DUMMYFUNCTION("""COMPUTED_VALUE"""),"spy1_challenge01_quest_select_cell")</f>
        <v/>
      </c>
    </row>
    <row r="427">
      <c r="A427">
        <f>IFERROR(__xludf.DUMMYFUNCTION("""COMPUTED_VALUE"""),"spy1")</f>
        <v/>
      </c>
      <c r="B427">
        <f>IFERROR(__xludf.DUMMYFUNCTION("""COMPUTED_VALUE"""),"SPY×FAMILY")</f>
        <v/>
      </c>
      <c r="C427">
        <f>IFERROR(__xludf.DUMMYFUNCTION("""COMPUTED_VALUE"""),"challenge01")</f>
        <v/>
      </c>
      <c r="D427">
        <f>IFERROR(__xludf.DUMMYFUNCTION("""COMPUTED_VALUE"""),"event")</f>
        <v/>
      </c>
      <c r="E427">
        <f>IFERROR(__xludf.DUMMYFUNCTION("""COMPUTED_VALUE"""),"チャレンジ")</f>
        <v/>
      </c>
      <c r="F427">
        <f>IFERROR(__xludf.DUMMYFUNCTION("""COMPUTED_VALUE"""),"quest_event_spy1_challenge01")</f>
        <v/>
      </c>
      <c r="G427">
        <f>IFERROR(__xludf.DUMMYFUNCTION("""COMPUTED_VALUE"""),"チャレンジクエスト")</f>
        <v/>
      </c>
      <c r="H427">
        <f>IFERROR(__xludf.DUMMYFUNCTION("""COMPUTED_VALUE"""),"02")</f>
        <v/>
      </c>
      <c r="I427">
        <f>IFERROR(__xludf.DUMMYFUNCTION("""COMPUTED_VALUE"""),"event_spy1_challenge01_00002")</f>
        <v/>
      </c>
    </row>
    <row r="428">
      <c r="A428">
        <f>IFERROR(__xludf.DUMMYFUNCTION("""COMPUTED_VALUE"""),"spy1")</f>
        <v/>
      </c>
      <c r="B428">
        <f>IFERROR(__xludf.DUMMYFUNCTION("""COMPUTED_VALUE"""),"SPY×FAMILY")</f>
        <v/>
      </c>
      <c r="C428">
        <f>IFERROR(__xludf.DUMMYFUNCTION("""COMPUTED_VALUE"""),"challenge01")</f>
        <v/>
      </c>
      <c r="D428">
        <f>IFERROR(__xludf.DUMMYFUNCTION("""COMPUTED_VALUE"""),"event")</f>
        <v/>
      </c>
      <c r="E428">
        <f>IFERROR(__xludf.DUMMYFUNCTION("""COMPUTED_VALUE"""),"チャレンジ")</f>
        <v/>
      </c>
      <c r="F428">
        <f>IFERROR(__xludf.DUMMYFUNCTION("""COMPUTED_VALUE"""),"quest_event_spy1_challenge01")</f>
        <v/>
      </c>
      <c r="G428">
        <f>IFERROR(__xludf.DUMMYFUNCTION("""COMPUTED_VALUE"""),"チャレンジクエスト")</f>
        <v/>
      </c>
      <c r="H428">
        <f>IFERROR(__xludf.DUMMYFUNCTION("""COMPUTED_VALUE"""),"03")</f>
        <v/>
      </c>
      <c r="I428">
        <f>IFERROR(__xludf.DUMMYFUNCTION("""COMPUTED_VALUE"""),"event_spy1_challenge01_00003")</f>
        <v/>
      </c>
    </row>
    <row r="429">
      <c r="A429">
        <f>IFERROR(__xludf.DUMMYFUNCTION("""COMPUTED_VALUE"""),"spy1")</f>
        <v/>
      </c>
      <c r="B429">
        <f>IFERROR(__xludf.DUMMYFUNCTION("""COMPUTED_VALUE"""),"SPY×FAMILY")</f>
        <v/>
      </c>
      <c r="C429">
        <f>IFERROR(__xludf.DUMMYFUNCTION("""COMPUTED_VALUE"""),"challenge01")</f>
        <v/>
      </c>
      <c r="D429">
        <f>IFERROR(__xludf.DUMMYFUNCTION("""COMPUTED_VALUE"""),"event")</f>
        <v/>
      </c>
      <c r="E429">
        <f>IFERROR(__xludf.DUMMYFUNCTION("""COMPUTED_VALUE"""),"チャレンジ")</f>
        <v/>
      </c>
      <c r="F429">
        <f>IFERROR(__xludf.DUMMYFUNCTION("""COMPUTED_VALUE"""),"quest_event_spy1_challenge01")</f>
        <v/>
      </c>
      <c r="G429">
        <f>IFERROR(__xludf.DUMMYFUNCTION("""COMPUTED_VALUE"""),"チャレンジクエスト")</f>
        <v/>
      </c>
      <c r="H429">
        <f>IFERROR(__xludf.DUMMYFUNCTION("""COMPUTED_VALUE"""),"04")</f>
        <v/>
      </c>
      <c r="I429">
        <f>IFERROR(__xludf.DUMMYFUNCTION("""COMPUTED_VALUE"""),"event_spy1_challenge01_00004")</f>
        <v/>
      </c>
    </row>
    <row r="430">
      <c r="A430">
        <f>IFERROR(__xludf.DUMMYFUNCTION("""COMPUTED_VALUE"""),"spy1")</f>
        <v/>
      </c>
      <c r="B430">
        <f>IFERROR(__xludf.DUMMYFUNCTION("""COMPUTED_VALUE"""),"SPY×FAMILY")</f>
        <v/>
      </c>
      <c r="C430">
        <f>IFERROR(__xludf.DUMMYFUNCTION("""COMPUTED_VALUE"""),"savage")</f>
        <v/>
      </c>
      <c r="D430">
        <f>IFERROR(__xludf.DUMMYFUNCTION("""COMPUTED_VALUE"""),"event")</f>
        <v/>
      </c>
      <c r="E430">
        <f>IFERROR(__xludf.DUMMYFUNCTION("""COMPUTED_VALUE"""),"高難易度")</f>
        <v/>
      </c>
      <c r="F430">
        <f>IFERROR(__xludf.DUMMYFUNCTION("""COMPUTED_VALUE"""),"quest_event_spy1_savage")</f>
        <v/>
      </c>
      <c r="G430">
        <f>IFERROR(__xludf.DUMMYFUNCTION("""COMPUTED_VALUE"""),"高難易度クエスト")</f>
        <v/>
      </c>
      <c r="H430">
        <f>IFERROR(__xludf.DUMMYFUNCTION("""COMPUTED_VALUE"""),"01")</f>
        <v/>
      </c>
      <c r="I430">
        <f>IFERROR(__xludf.DUMMYFUNCTION("""COMPUTED_VALUE"""),"event_spy1_savage_00001")</f>
        <v/>
      </c>
      <c r="K430">
        <f>IFERROR(__xludf.DUMMYFUNCTION("""COMPUTED_VALUE"""),"spy1_savage_quest_select_cell")</f>
        <v/>
      </c>
    </row>
    <row r="431">
      <c r="A431">
        <f>IFERROR(__xludf.DUMMYFUNCTION("""COMPUTED_VALUE"""),"spy1")</f>
        <v/>
      </c>
      <c r="B431">
        <f>IFERROR(__xludf.DUMMYFUNCTION("""COMPUTED_VALUE"""),"SPY×FAMILY")</f>
        <v/>
      </c>
      <c r="C431">
        <f>IFERROR(__xludf.DUMMYFUNCTION("""COMPUTED_VALUE"""),"savage")</f>
        <v/>
      </c>
      <c r="D431">
        <f>IFERROR(__xludf.DUMMYFUNCTION("""COMPUTED_VALUE"""),"event")</f>
        <v/>
      </c>
      <c r="E431">
        <f>IFERROR(__xludf.DUMMYFUNCTION("""COMPUTED_VALUE"""),"高難易度")</f>
        <v/>
      </c>
      <c r="F431">
        <f>IFERROR(__xludf.DUMMYFUNCTION("""COMPUTED_VALUE"""),"quest_event_spy1_savage")</f>
        <v/>
      </c>
      <c r="G431">
        <f>IFERROR(__xludf.DUMMYFUNCTION("""COMPUTED_VALUE"""),"高難易度クエスト")</f>
        <v/>
      </c>
      <c r="H431">
        <f>IFERROR(__xludf.DUMMYFUNCTION("""COMPUTED_VALUE"""),"02")</f>
        <v/>
      </c>
      <c r="I431">
        <f>IFERROR(__xludf.DUMMYFUNCTION("""COMPUTED_VALUE"""),"event_spy1_savage_00002")</f>
        <v/>
      </c>
    </row>
    <row r="433">
      <c r="A433">
        <f>IFERROR(__xludf.DUMMYFUNCTION("""COMPUTED_VALUE"""),"dan1")</f>
        <v/>
      </c>
      <c r="B433">
        <f>IFERROR(__xludf.DUMMYFUNCTION("""COMPUTED_VALUE"""),"ダンダダン")</f>
        <v/>
      </c>
      <c r="C433">
        <f>IFERROR(__xludf.DUMMYFUNCTION("""COMPUTED_VALUE"""),"1day")</f>
        <v/>
      </c>
      <c r="D433">
        <f>IFERROR(__xludf.DUMMYFUNCTION("""COMPUTED_VALUE"""),"event")</f>
        <v/>
      </c>
      <c r="E433">
        <f>IFERROR(__xludf.DUMMYFUNCTION("""COMPUTED_VALUE"""),"デイリー")</f>
        <v/>
      </c>
      <c r="F433">
        <f>IFERROR(__xludf.DUMMYFUNCTION("""COMPUTED_VALUE"""),"quest_event_dan1_1day")</f>
        <v/>
      </c>
      <c r="G433">
        <f>IFERROR(__xludf.DUMMYFUNCTION("""COMPUTED_VALUE"""),"デイリークエスト")</f>
        <v/>
      </c>
      <c r="H433">
        <f>IFERROR(__xludf.DUMMYFUNCTION("""COMPUTED_VALUE"""),"01")</f>
        <v/>
      </c>
      <c r="I433">
        <f>IFERROR(__xludf.DUMMYFUNCTION("""COMPUTED_VALUE"""),"event_dan1_1day_00001")</f>
        <v/>
      </c>
      <c r="K433">
        <f>IFERROR(__xludf.DUMMYFUNCTION("""COMPUTED_VALUE"""),"dan1_1day_quest_select_cell")</f>
        <v/>
      </c>
    </row>
    <row r="434">
      <c r="A434">
        <f>IFERROR(__xludf.DUMMYFUNCTION("""COMPUTED_VALUE"""),"dan1")</f>
        <v/>
      </c>
      <c r="B434">
        <f>IFERROR(__xludf.DUMMYFUNCTION("""COMPUTED_VALUE"""),"ダンダダン")</f>
        <v/>
      </c>
      <c r="C434">
        <f>IFERROR(__xludf.DUMMYFUNCTION("""COMPUTED_VALUE"""),"charaget01")</f>
        <v/>
      </c>
      <c r="D434">
        <f>IFERROR(__xludf.DUMMYFUNCTION("""COMPUTED_VALUE"""),"event")</f>
        <v/>
      </c>
      <c r="E434">
        <f>IFERROR(__xludf.DUMMYFUNCTION("""COMPUTED_VALUE"""),"ストーリー")</f>
        <v/>
      </c>
      <c r="F434">
        <f>IFERROR(__xludf.DUMMYFUNCTION("""COMPUTED_VALUE"""),"quest_event_dan1_charaget01")</f>
        <v/>
      </c>
      <c r="G434">
        <f>IFERROR(__xludf.DUMMYFUNCTION("""COMPUTED_VALUE"""),"ストーリークエスト1")</f>
        <v/>
      </c>
      <c r="H434">
        <f>IFERROR(__xludf.DUMMYFUNCTION("""COMPUTED_VALUE"""),"01")</f>
        <v/>
      </c>
      <c r="I434">
        <f>IFERROR(__xludf.DUMMYFUNCTION("""COMPUTED_VALUE"""),"event_dan1_charaget01_00001")</f>
        <v/>
      </c>
      <c r="K434">
        <f>IFERROR(__xludf.DUMMYFUNCTION("""COMPUTED_VALUE"""),"dan1_charaget01_quest_select_cell")</f>
        <v/>
      </c>
    </row>
    <row r="435">
      <c r="A435">
        <f>IFERROR(__xludf.DUMMYFUNCTION("""COMPUTED_VALUE"""),"dan1")</f>
        <v/>
      </c>
      <c r="B435">
        <f>IFERROR(__xludf.DUMMYFUNCTION("""COMPUTED_VALUE"""),"ダンダダン")</f>
        <v/>
      </c>
      <c r="C435">
        <f>IFERROR(__xludf.DUMMYFUNCTION("""COMPUTED_VALUE"""),"charaget01")</f>
        <v/>
      </c>
      <c r="D435">
        <f>IFERROR(__xludf.DUMMYFUNCTION("""COMPUTED_VALUE"""),"event")</f>
        <v/>
      </c>
      <c r="E435">
        <f>IFERROR(__xludf.DUMMYFUNCTION("""COMPUTED_VALUE"""),"ストーリー")</f>
        <v/>
      </c>
      <c r="F435">
        <f>IFERROR(__xludf.DUMMYFUNCTION("""COMPUTED_VALUE"""),"quest_event_dan1_charaget01")</f>
        <v/>
      </c>
      <c r="G435">
        <f>IFERROR(__xludf.DUMMYFUNCTION("""COMPUTED_VALUE"""),"ストーリークエスト1")</f>
        <v/>
      </c>
      <c r="H435">
        <f>IFERROR(__xludf.DUMMYFUNCTION("""COMPUTED_VALUE"""),"02")</f>
        <v/>
      </c>
      <c r="I435">
        <f>IFERROR(__xludf.DUMMYFUNCTION("""COMPUTED_VALUE"""),"event_dan1_charaget01_00002")</f>
        <v/>
      </c>
    </row>
    <row r="436">
      <c r="A436">
        <f>IFERROR(__xludf.DUMMYFUNCTION("""COMPUTED_VALUE"""),"dan1")</f>
        <v/>
      </c>
      <c r="B436">
        <f>IFERROR(__xludf.DUMMYFUNCTION("""COMPUTED_VALUE"""),"ダンダダン")</f>
        <v/>
      </c>
      <c r="C436">
        <f>IFERROR(__xludf.DUMMYFUNCTION("""COMPUTED_VALUE"""),"charaget01")</f>
        <v/>
      </c>
      <c r="D436">
        <f>IFERROR(__xludf.DUMMYFUNCTION("""COMPUTED_VALUE"""),"event")</f>
        <v/>
      </c>
      <c r="E436">
        <f>IFERROR(__xludf.DUMMYFUNCTION("""COMPUTED_VALUE"""),"ストーリー")</f>
        <v/>
      </c>
      <c r="F436">
        <f>IFERROR(__xludf.DUMMYFUNCTION("""COMPUTED_VALUE"""),"quest_event_dan1_charaget01")</f>
        <v/>
      </c>
      <c r="G436">
        <f>IFERROR(__xludf.DUMMYFUNCTION("""COMPUTED_VALUE"""),"ストーリークエスト1")</f>
        <v/>
      </c>
      <c r="H436">
        <f>IFERROR(__xludf.DUMMYFUNCTION("""COMPUTED_VALUE"""),"03")</f>
        <v/>
      </c>
      <c r="I436">
        <f>IFERROR(__xludf.DUMMYFUNCTION("""COMPUTED_VALUE"""),"event_dan1_charaget01_00003")</f>
        <v/>
      </c>
    </row>
    <row r="437">
      <c r="A437">
        <f>IFERROR(__xludf.DUMMYFUNCTION("""COMPUTED_VALUE"""),"dan1")</f>
        <v/>
      </c>
      <c r="B437">
        <f>IFERROR(__xludf.DUMMYFUNCTION("""COMPUTED_VALUE"""),"ダンダダン")</f>
        <v/>
      </c>
      <c r="C437">
        <f>IFERROR(__xludf.DUMMYFUNCTION("""COMPUTED_VALUE"""),"charaget01")</f>
        <v/>
      </c>
      <c r="D437">
        <f>IFERROR(__xludf.DUMMYFUNCTION("""COMPUTED_VALUE"""),"event")</f>
        <v/>
      </c>
      <c r="E437">
        <f>IFERROR(__xludf.DUMMYFUNCTION("""COMPUTED_VALUE"""),"ストーリー")</f>
        <v/>
      </c>
      <c r="F437">
        <f>IFERROR(__xludf.DUMMYFUNCTION("""COMPUTED_VALUE"""),"quest_event_dan1_charaget01")</f>
        <v/>
      </c>
      <c r="G437">
        <f>IFERROR(__xludf.DUMMYFUNCTION("""COMPUTED_VALUE"""),"ストーリークエスト1")</f>
        <v/>
      </c>
      <c r="H437">
        <f>IFERROR(__xludf.DUMMYFUNCTION("""COMPUTED_VALUE"""),"04")</f>
        <v/>
      </c>
      <c r="I437">
        <f>IFERROR(__xludf.DUMMYFUNCTION("""COMPUTED_VALUE"""),"event_dan1_charaget01_00004")</f>
        <v/>
      </c>
    </row>
    <row r="438">
      <c r="A438">
        <f>IFERROR(__xludf.DUMMYFUNCTION("""COMPUTED_VALUE"""),"dan1")</f>
        <v/>
      </c>
      <c r="B438">
        <f>IFERROR(__xludf.DUMMYFUNCTION("""COMPUTED_VALUE"""),"ダンダダン")</f>
        <v/>
      </c>
      <c r="C438">
        <f>IFERROR(__xludf.DUMMYFUNCTION("""COMPUTED_VALUE"""),"charaget01")</f>
        <v/>
      </c>
      <c r="D438">
        <f>IFERROR(__xludf.DUMMYFUNCTION("""COMPUTED_VALUE"""),"event")</f>
        <v/>
      </c>
      <c r="E438">
        <f>IFERROR(__xludf.DUMMYFUNCTION("""COMPUTED_VALUE"""),"ストーリー")</f>
        <v/>
      </c>
      <c r="F438">
        <f>IFERROR(__xludf.DUMMYFUNCTION("""COMPUTED_VALUE"""),"quest_event_dan1_charaget01")</f>
        <v/>
      </c>
      <c r="G438">
        <f>IFERROR(__xludf.DUMMYFUNCTION("""COMPUTED_VALUE"""),"ストーリークエスト1")</f>
        <v/>
      </c>
      <c r="H438">
        <f>IFERROR(__xludf.DUMMYFUNCTION("""COMPUTED_VALUE"""),"05")</f>
        <v/>
      </c>
      <c r="I438">
        <f>IFERROR(__xludf.DUMMYFUNCTION("""COMPUTED_VALUE"""),"event_dan1_charaget01_00005")</f>
        <v/>
      </c>
    </row>
    <row r="439">
      <c r="A439">
        <f>IFERROR(__xludf.DUMMYFUNCTION("""COMPUTED_VALUE"""),"dan1")</f>
        <v/>
      </c>
      <c r="B439">
        <f>IFERROR(__xludf.DUMMYFUNCTION("""COMPUTED_VALUE"""),"ダンダダン")</f>
        <v/>
      </c>
      <c r="C439">
        <f>IFERROR(__xludf.DUMMYFUNCTION("""COMPUTED_VALUE"""),"charaget01")</f>
        <v/>
      </c>
      <c r="D439">
        <f>IFERROR(__xludf.DUMMYFUNCTION("""COMPUTED_VALUE"""),"event")</f>
        <v/>
      </c>
      <c r="E439">
        <f>IFERROR(__xludf.DUMMYFUNCTION("""COMPUTED_VALUE"""),"ストーリー")</f>
        <v/>
      </c>
      <c r="F439">
        <f>IFERROR(__xludf.DUMMYFUNCTION("""COMPUTED_VALUE"""),"quest_event_dan1_charaget01")</f>
        <v/>
      </c>
      <c r="G439">
        <f>IFERROR(__xludf.DUMMYFUNCTION("""COMPUTED_VALUE"""),"ストーリークエスト1")</f>
        <v/>
      </c>
      <c r="H439">
        <f>IFERROR(__xludf.DUMMYFUNCTION("""COMPUTED_VALUE"""),"06")</f>
        <v/>
      </c>
      <c r="I439">
        <f>IFERROR(__xludf.DUMMYFUNCTION("""COMPUTED_VALUE"""),"event_dan1_charaget01_00006")</f>
        <v/>
      </c>
    </row>
    <row r="440">
      <c r="A440">
        <f>IFERROR(__xludf.DUMMYFUNCTION("""COMPUTED_VALUE"""),"dan1")</f>
        <v/>
      </c>
      <c r="B440">
        <f>IFERROR(__xludf.DUMMYFUNCTION("""COMPUTED_VALUE"""),"ダンダダン")</f>
        <v/>
      </c>
      <c r="C440">
        <f>IFERROR(__xludf.DUMMYFUNCTION("""COMPUTED_VALUE"""),"charaget01")</f>
        <v/>
      </c>
      <c r="D440">
        <f>IFERROR(__xludf.DUMMYFUNCTION("""COMPUTED_VALUE"""),"event")</f>
        <v/>
      </c>
      <c r="E440">
        <f>IFERROR(__xludf.DUMMYFUNCTION("""COMPUTED_VALUE"""),"ストーリー")</f>
        <v/>
      </c>
      <c r="F440">
        <f>IFERROR(__xludf.DUMMYFUNCTION("""COMPUTED_VALUE"""),"quest_event_dan1_charaget01")</f>
        <v/>
      </c>
      <c r="G440">
        <f>IFERROR(__xludf.DUMMYFUNCTION("""COMPUTED_VALUE"""),"ストーリークエスト1")</f>
        <v/>
      </c>
      <c r="H440">
        <f>IFERROR(__xludf.DUMMYFUNCTION("""COMPUTED_VALUE"""),"07")</f>
        <v/>
      </c>
      <c r="I440">
        <f>IFERROR(__xludf.DUMMYFUNCTION("""COMPUTED_VALUE"""),"event_dan1_charaget01_00007")</f>
        <v/>
      </c>
    </row>
    <row r="441">
      <c r="A441">
        <f>IFERROR(__xludf.DUMMYFUNCTION("""COMPUTED_VALUE"""),"dan1")</f>
        <v/>
      </c>
      <c r="B441">
        <f>IFERROR(__xludf.DUMMYFUNCTION("""COMPUTED_VALUE"""),"ダンダダン")</f>
        <v/>
      </c>
      <c r="C441">
        <f>IFERROR(__xludf.DUMMYFUNCTION("""COMPUTED_VALUE"""),"charaget01")</f>
        <v/>
      </c>
      <c r="D441">
        <f>IFERROR(__xludf.DUMMYFUNCTION("""COMPUTED_VALUE"""),"event")</f>
        <v/>
      </c>
      <c r="E441">
        <f>IFERROR(__xludf.DUMMYFUNCTION("""COMPUTED_VALUE"""),"ストーリー")</f>
        <v/>
      </c>
      <c r="F441">
        <f>IFERROR(__xludf.DUMMYFUNCTION("""COMPUTED_VALUE"""),"quest_event_dan1_charaget01")</f>
        <v/>
      </c>
      <c r="G441">
        <f>IFERROR(__xludf.DUMMYFUNCTION("""COMPUTED_VALUE"""),"ストーリークエスト1")</f>
        <v/>
      </c>
      <c r="H441">
        <f>IFERROR(__xludf.DUMMYFUNCTION("""COMPUTED_VALUE"""),"08")</f>
        <v/>
      </c>
      <c r="I441">
        <f>IFERROR(__xludf.DUMMYFUNCTION("""COMPUTED_VALUE"""),"event_dan1_charaget01_00008")</f>
        <v/>
      </c>
    </row>
    <row r="442">
      <c r="A442">
        <f>IFERROR(__xludf.DUMMYFUNCTION("""COMPUTED_VALUE"""),"dan1")</f>
        <v/>
      </c>
      <c r="B442">
        <f>IFERROR(__xludf.DUMMYFUNCTION("""COMPUTED_VALUE"""),"ダンダダン")</f>
        <v/>
      </c>
      <c r="C442">
        <f>IFERROR(__xludf.DUMMYFUNCTION("""COMPUTED_VALUE"""),"charaget02")</f>
        <v/>
      </c>
      <c r="D442">
        <f>IFERROR(__xludf.DUMMYFUNCTION("""COMPUTED_VALUE"""),"event")</f>
        <v/>
      </c>
      <c r="E442">
        <f>IFERROR(__xludf.DUMMYFUNCTION("""COMPUTED_VALUE"""),"ストーリー")</f>
        <v/>
      </c>
      <c r="F442">
        <f>IFERROR(__xludf.DUMMYFUNCTION("""COMPUTED_VALUE"""),"quest_event_dan1_charaget02")</f>
        <v/>
      </c>
      <c r="G442">
        <f>IFERROR(__xludf.DUMMYFUNCTION("""COMPUTED_VALUE"""),"ストーリークエスト2")</f>
        <v/>
      </c>
      <c r="H442">
        <f>IFERROR(__xludf.DUMMYFUNCTION("""COMPUTED_VALUE"""),"01")</f>
        <v/>
      </c>
      <c r="I442">
        <f>IFERROR(__xludf.DUMMYFUNCTION("""COMPUTED_VALUE"""),"event_dan1_charaget02_00001")</f>
        <v/>
      </c>
      <c r="K442">
        <f>IFERROR(__xludf.DUMMYFUNCTION("""COMPUTED_VALUE"""),"dan1_charaget02_quest_select_cell")</f>
        <v/>
      </c>
    </row>
    <row r="443">
      <c r="A443">
        <f>IFERROR(__xludf.DUMMYFUNCTION("""COMPUTED_VALUE"""),"dan1")</f>
        <v/>
      </c>
      <c r="B443">
        <f>IFERROR(__xludf.DUMMYFUNCTION("""COMPUTED_VALUE"""),"ダンダダン")</f>
        <v/>
      </c>
      <c r="C443">
        <f>IFERROR(__xludf.DUMMYFUNCTION("""COMPUTED_VALUE"""),"charaget02")</f>
        <v/>
      </c>
      <c r="D443">
        <f>IFERROR(__xludf.DUMMYFUNCTION("""COMPUTED_VALUE"""),"event")</f>
        <v/>
      </c>
      <c r="E443">
        <f>IFERROR(__xludf.DUMMYFUNCTION("""COMPUTED_VALUE"""),"ストーリー")</f>
        <v/>
      </c>
      <c r="F443">
        <f>IFERROR(__xludf.DUMMYFUNCTION("""COMPUTED_VALUE"""),"quest_event_dan1_charaget02")</f>
        <v/>
      </c>
      <c r="G443">
        <f>IFERROR(__xludf.DUMMYFUNCTION("""COMPUTED_VALUE"""),"ストーリークエスト2")</f>
        <v/>
      </c>
      <c r="H443">
        <f>IFERROR(__xludf.DUMMYFUNCTION("""COMPUTED_VALUE"""),"02")</f>
        <v/>
      </c>
      <c r="I443">
        <f>IFERROR(__xludf.DUMMYFUNCTION("""COMPUTED_VALUE"""),"event_dan1_charaget02_00002")</f>
        <v/>
      </c>
    </row>
    <row r="444">
      <c r="A444">
        <f>IFERROR(__xludf.DUMMYFUNCTION("""COMPUTED_VALUE"""),"dan1")</f>
        <v/>
      </c>
      <c r="B444">
        <f>IFERROR(__xludf.DUMMYFUNCTION("""COMPUTED_VALUE"""),"ダンダダン")</f>
        <v/>
      </c>
      <c r="C444">
        <f>IFERROR(__xludf.DUMMYFUNCTION("""COMPUTED_VALUE"""),"charaget02")</f>
        <v/>
      </c>
      <c r="D444">
        <f>IFERROR(__xludf.DUMMYFUNCTION("""COMPUTED_VALUE"""),"event")</f>
        <v/>
      </c>
      <c r="E444">
        <f>IFERROR(__xludf.DUMMYFUNCTION("""COMPUTED_VALUE"""),"ストーリー")</f>
        <v/>
      </c>
      <c r="F444">
        <f>IFERROR(__xludf.DUMMYFUNCTION("""COMPUTED_VALUE"""),"quest_event_dan1_charaget02")</f>
        <v/>
      </c>
      <c r="G444">
        <f>IFERROR(__xludf.DUMMYFUNCTION("""COMPUTED_VALUE"""),"ストーリークエスト2")</f>
        <v/>
      </c>
      <c r="H444">
        <f>IFERROR(__xludf.DUMMYFUNCTION("""COMPUTED_VALUE"""),"03")</f>
        <v/>
      </c>
      <c r="I444">
        <f>IFERROR(__xludf.DUMMYFUNCTION("""COMPUTED_VALUE"""),"event_dan1_charaget02_00003")</f>
        <v/>
      </c>
    </row>
    <row r="445">
      <c r="A445">
        <f>IFERROR(__xludf.DUMMYFUNCTION("""COMPUTED_VALUE"""),"dan1")</f>
        <v/>
      </c>
      <c r="B445">
        <f>IFERROR(__xludf.DUMMYFUNCTION("""COMPUTED_VALUE"""),"ダンダダン")</f>
        <v/>
      </c>
      <c r="C445">
        <f>IFERROR(__xludf.DUMMYFUNCTION("""COMPUTED_VALUE"""),"charaget02")</f>
        <v/>
      </c>
      <c r="D445">
        <f>IFERROR(__xludf.DUMMYFUNCTION("""COMPUTED_VALUE"""),"event")</f>
        <v/>
      </c>
      <c r="E445">
        <f>IFERROR(__xludf.DUMMYFUNCTION("""COMPUTED_VALUE"""),"ストーリー")</f>
        <v/>
      </c>
      <c r="F445">
        <f>IFERROR(__xludf.DUMMYFUNCTION("""COMPUTED_VALUE"""),"quest_event_dan1_charaget02")</f>
        <v/>
      </c>
      <c r="G445">
        <f>IFERROR(__xludf.DUMMYFUNCTION("""COMPUTED_VALUE"""),"ストーリークエスト2")</f>
        <v/>
      </c>
      <c r="H445">
        <f>IFERROR(__xludf.DUMMYFUNCTION("""COMPUTED_VALUE"""),"04")</f>
        <v/>
      </c>
      <c r="I445">
        <f>IFERROR(__xludf.DUMMYFUNCTION("""COMPUTED_VALUE"""),"event_dan1_charaget02_00004")</f>
        <v/>
      </c>
    </row>
    <row r="446">
      <c r="A446">
        <f>IFERROR(__xludf.DUMMYFUNCTION("""COMPUTED_VALUE"""),"dan1")</f>
        <v/>
      </c>
      <c r="B446">
        <f>IFERROR(__xludf.DUMMYFUNCTION("""COMPUTED_VALUE"""),"ダンダダン")</f>
        <v/>
      </c>
      <c r="C446">
        <f>IFERROR(__xludf.DUMMYFUNCTION("""COMPUTED_VALUE"""),"charaget02")</f>
        <v/>
      </c>
      <c r="D446">
        <f>IFERROR(__xludf.DUMMYFUNCTION("""COMPUTED_VALUE"""),"event")</f>
        <v/>
      </c>
      <c r="E446">
        <f>IFERROR(__xludf.DUMMYFUNCTION("""COMPUTED_VALUE"""),"ストーリー")</f>
        <v/>
      </c>
      <c r="F446">
        <f>IFERROR(__xludf.DUMMYFUNCTION("""COMPUTED_VALUE"""),"quest_event_dan1_charaget02")</f>
        <v/>
      </c>
      <c r="G446">
        <f>IFERROR(__xludf.DUMMYFUNCTION("""COMPUTED_VALUE"""),"ストーリークエスト2")</f>
        <v/>
      </c>
      <c r="H446">
        <f>IFERROR(__xludf.DUMMYFUNCTION("""COMPUTED_VALUE"""),"05")</f>
        <v/>
      </c>
      <c r="I446">
        <f>IFERROR(__xludf.DUMMYFUNCTION("""COMPUTED_VALUE"""),"event_dan1_charaget02_00005")</f>
        <v/>
      </c>
    </row>
    <row r="447">
      <c r="A447">
        <f>IFERROR(__xludf.DUMMYFUNCTION("""COMPUTED_VALUE"""),"dan1")</f>
        <v/>
      </c>
      <c r="B447">
        <f>IFERROR(__xludf.DUMMYFUNCTION("""COMPUTED_VALUE"""),"ダンダダン")</f>
        <v/>
      </c>
      <c r="C447">
        <f>IFERROR(__xludf.DUMMYFUNCTION("""COMPUTED_VALUE"""),"charaget02")</f>
        <v/>
      </c>
      <c r="D447">
        <f>IFERROR(__xludf.DUMMYFUNCTION("""COMPUTED_VALUE"""),"event")</f>
        <v/>
      </c>
      <c r="E447">
        <f>IFERROR(__xludf.DUMMYFUNCTION("""COMPUTED_VALUE"""),"ストーリー")</f>
        <v/>
      </c>
      <c r="F447">
        <f>IFERROR(__xludf.DUMMYFUNCTION("""COMPUTED_VALUE"""),"quest_event_dan1_charaget02")</f>
        <v/>
      </c>
      <c r="G447">
        <f>IFERROR(__xludf.DUMMYFUNCTION("""COMPUTED_VALUE"""),"ストーリークエスト2")</f>
        <v/>
      </c>
      <c r="H447">
        <f>IFERROR(__xludf.DUMMYFUNCTION("""COMPUTED_VALUE"""),"06")</f>
        <v/>
      </c>
      <c r="I447">
        <f>IFERROR(__xludf.DUMMYFUNCTION("""COMPUTED_VALUE"""),"event_dan1_charaget02_00006")</f>
        <v/>
      </c>
    </row>
    <row r="448">
      <c r="A448">
        <f>IFERROR(__xludf.DUMMYFUNCTION("""COMPUTED_VALUE"""),"dan1")</f>
        <v/>
      </c>
      <c r="B448">
        <f>IFERROR(__xludf.DUMMYFUNCTION("""COMPUTED_VALUE"""),"ダンダダン")</f>
        <v/>
      </c>
      <c r="C448">
        <f>IFERROR(__xludf.DUMMYFUNCTION("""COMPUTED_VALUE"""),"charaget02")</f>
        <v/>
      </c>
      <c r="D448">
        <f>IFERROR(__xludf.DUMMYFUNCTION("""COMPUTED_VALUE"""),"event")</f>
        <v/>
      </c>
      <c r="E448">
        <f>IFERROR(__xludf.DUMMYFUNCTION("""COMPUTED_VALUE"""),"ストーリー")</f>
        <v/>
      </c>
      <c r="F448">
        <f>IFERROR(__xludf.DUMMYFUNCTION("""COMPUTED_VALUE"""),"quest_event_dan1_charaget02")</f>
        <v/>
      </c>
      <c r="G448">
        <f>IFERROR(__xludf.DUMMYFUNCTION("""COMPUTED_VALUE"""),"ストーリークエスト2")</f>
        <v/>
      </c>
      <c r="H448">
        <f>IFERROR(__xludf.DUMMYFUNCTION("""COMPUTED_VALUE"""),"07")</f>
        <v/>
      </c>
      <c r="I448">
        <f>IFERROR(__xludf.DUMMYFUNCTION("""COMPUTED_VALUE"""),"event_dan1_charaget02_00007")</f>
        <v/>
      </c>
    </row>
    <row r="449">
      <c r="A449">
        <f>IFERROR(__xludf.DUMMYFUNCTION("""COMPUTED_VALUE"""),"dan1")</f>
        <v/>
      </c>
      <c r="B449">
        <f>IFERROR(__xludf.DUMMYFUNCTION("""COMPUTED_VALUE"""),"ダンダダン")</f>
        <v/>
      </c>
      <c r="C449">
        <f>IFERROR(__xludf.DUMMYFUNCTION("""COMPUTED_VALUE"""),"charaget02")</f>
        <v/>
      </c>
      <c r="D449">
        <f>IFERROR(__xludf.DUMMYFUNCTION("""COMPUTED_VALUE"""),"event")</f>
        <v/>
      </c>
      <c r="E449">
        <f>IFERROR(__xludf.DUMMYFUNCTION("""COMPUTED_VALUE"""),"ストーリー")</f>
        <v/>
      </c>
      <c r="F449">
        <f>IFERROR(__xludf.DUMMYFUNCTION("""COMPUTED_VALUE"""),"quest_event_dan1_charaget02")</f>
        <v/>
      </c>
      <c r="G449">
        <f>IFERROR(__xludf.DUMMYFUNCTION("""COMPUTED_VALUE"""),"ストーリークエスト2")</f>
        <v/>
      </c>
      <c r="H449">
        <f>IFERROR(__xludf.DUMMYFUNCTION("""COMPUTED_VALUE"""),"08")</f>
        <v/>
      </c>
      <c r="I449">
        <f>IFERROR(__xludf.DUMMYFUNCTION("""COMPUTED_VALUE"""),"event_dan1_charaget02_00008")</f>
        <v/>
      </c>
    </row>
    <row r="450">
      <c r="A450">
        <f>IFERROR(__xludf.DUMMYFUNCTION("""COMPUTED_VALUE"""),"dan1")</f>
        <v/>
      </c>
      <c r="B450">
        <f>IFERROR(__xludf.DUMMYFUNCTION("""COMPUTED_VALUE"""),"ダンダダン")</f>
        <v/>
      </c>
      <c r="C450">
        <f>IFERROR(__xludf.DUMMYFUNCTION("""COMPUTED_VALUE"""),"challenge01")</f>
        <v/>
      </c>
      <c r="D450">
        <f>IFERROR(__xludf.DUMMYFUNCTION("""COMPUTED_VALUE"""),"event")</f>
        <v/>
      </c>
      <c r="E450">
        <f>IFERROR(__xludf.DUMMYFUNCTION("""COMPUTED_VALUE"""),"チャレンジ")</f>
        <v/>
      </c>
      <c r="F450">
        <f>IFERROR(__xludf.DUMMYFUNCTION("""COMPUTED_VALUE"""),"quest_event_dan1_challenge01")</f>
        <v/>
      </c>
      <c r="G450">
        <f>IFERROR(__xludf.DUMMYFUNCTION("""COMPUTED_VALUE"""),"チャレンジクエスト")</f>
        <v/>
      </c>
      <c r="H450">
        <f>IFERROR(__xludf.DUMMYFUNCTION("""COMPUTED_VALUE"""),"01")</f>
        <v/>
      </c>
      <c r="I450">
        <f>IFERROR(__xludf.DUMMYFUNCTION("""COMPUTED_VALUE"""),"event_dan1_challenge01_00001")</f>
        <v/>
      </c>
      <c r="K450">
        <f>IFERROR(__xludf.DUMMYFUNCTION("""COMPUTED_VALUE"""),"dan1_challenge01_quest_select_cell")</f>
        <v/>
      </c>
    </row>
    <row r="451">
      <c r="A451">
        <f>IFERROR(__xludf.DUMMYFUNCTION("""COMPUTED_VALUE"""),"dan1")</f>
        <v/>
      </c>
      <c r="B451">
        <f>IFERROR(__xludf.DUMMYFUNCTION("""COMPUTED_VALUE"""),"ダンダダン")</f>
        <v/>
      </c>
      <c r="C451">
        <f>IFERROR(__xludf.DUMMYFUNCTION("""COMPUTED_VALUE"""),"challenge01")</f>
        <v/>
      </c>
      <c r="D451">
        <f>IFERROR(__xludf.DUMMYFUNCTION("""COMPUTED_VALUE"""),"event")</f>
        <v/>
      </c>
      <c r="E451">
        <f>IFERROR(__xludf.DUMMYFUNCTION("""COMPUTED_VALUE"""),"チャレンジ")</f>
        <v/>
      </c>
      <c r="F451">
        <f>IFERROR(__xludf.DUMMYFUNCTION("""COMPUTED_VALUE"""),"quest_event_dan1_challenge01")</f>
        <v/>
      </c>
      <c r="G451">
        <f>IFERROR(__xludf.DUMMYFUNCTION("""COMPUTED_VALUE"""),"チャレンジクエスト")</f>
        <v/>
      </c>
      <c r="H451">
        <f>IFERROR(__xludf.DUMMYFUNCTION("""COMPUTED_VALUE"""),"02")</f>
        <v/>
      </c>
      <c r="I451">
        <f>IFERROR(__xludf.DUMMYFUNCTION("""COMPUTED_VALUE"""),"event_dan1_challenge01_00002")</f>
        <v/>
      </c>
    </row>
    <row r="452">
      <c r="A452">
        <f>IFERROR(__xludf.DUMMYFUNCTION("""COMPUTED_VALUE"""),"dan1")</f>
        <v/>
      </c>
      <c r="B452">
        <f>IFERROR(__xludf.DUMMYFUNCTION("""COMPUTED_VALUE"""),"ダンダダン")</f>
        <v/>
      </c>
      <c r="C452">
        <f>IFERROR(__xludf.DUMMYFUNCTION("""COMPUTED_VALUE"""),"challenge01")</f>
        <v/>
      </c>
      <c r="D452">
        <f>IFERROR(__xludf.DUMMYFUNCTION("""COMPUTED_VALUE"""),"event")</f>
        <v/>
      </c>
      <c r="E452">
        <f>IFERROR(__xludf.DUMMYFUNCTION("""COMPUTED_VALUE"""),"チャレンジ")</f>
        <v/>
      </c>
      <c r="F452">
        <f>IFERROR(__xludf.DUMMYFUNCTION("""COMPUTED_VALUE"""),"quest_event_dan1_challenge01")</f>
        <v/>
      </c>
      <c r="G452">
        <f>IFERROR(__xludf.DUMMYFUNCTION("""COMPUTED_VALUE"""),"チャレンジクエスト")</f>
        <v/>
      </c>
      <c r="H452">
        <f>IFERROR(__xludf.DUMMYFUNCTION("""COMPUTED_VALUE"""),"03")</f>
        <v/>
      </c>
      <c r="I452">
        <f>IFERROR(__xludf.DUMMYFUNCTION("""COMPUTED_VALUE"""),"event_dan1_challenge01_00003")</f>
        <v/>
      </c>
    </row>
    <row r="453">
      <c r="A453">
        <f>IFERROR(__xludf.DUMMYFUNCTION("""COMPUTED_VALUE"""),"dan1")</f>
        <v/>
      </c>
      <c r="B453">
        <f>IFERROR(__xludf.DUMMYFUNCTION("""COMPUTED_VALUE"""),"ダンダダン")</f>
        <v/>
      </c>
      <c r="C453">
        <f>IFERROR(__xludf.DUMMYFUNCTION("""COMPUTED_VALUE"""),"challenge01")</f>
        <v/>
      </c>
      <c r="D453">
        <f>IFERROR(__xludf.DUMMYFUNCTION("""COMPUTED_VALUE"""),"event")</f>
        <v/>
      </c>
      <c r="E453">
        <f>IFERROR(__xludf.DUMMYFUNCTION("""COMPUTED_VALUE"""),"チャレンジ")</f>
        <v/>
      </c>
      <c r="F453">
        <f>IFERROR(__xludf.DUMMYFUNCTION("""COMPUTED_VALUE"""),"quest_event_dan1_challenge01")</f>
        <v/>
      </c>
      <c r="G453">
        <f>IFERROR(__xludf.DUMMYFUNCTION("""COMPUTED_VALUE"""),"チャレンジクエスト")</f>
        <v/>
      </c>
      <c r="H453">
        <f>IFERROR(__xludf.DUMMYFUNCTION("""COMPUTED_VALUE"""),"04")</f>
        <v/>
      </c>
      <c r="I453">
        <f>IFERROR(__xludf.DUMMYFUNCTION("""COMPUTED_VALUE"""),"event_dan1_challenge01_00004")</f>
        <v/>
      </c>
    </row>
    <row r="454">
      <c r="A454">
        <f>IFERROR(__xludf.DUMMYFUNCTION("""COMPUTED_VALUE"""),"dan1")</f>
        <v/>
      </c>
      <c r="B454">
        <f>IFERROR(__xludf.DUMMYFUNCTION("""COMPUTED_VALUE"""),"ダンダダン")</f>
        <v/>
      </c>
      <c r="C454">
        <f>IFERROR(__xludf.DUMMYFUNCTION("""COMPUTED_VALUE"""),"savage")</f>
        <v/>
      </c>
      <c r="D454">
        <f>IFERROR(__xludf.DUMMYFUNCTION("""COMPUTED_VALUE"""),"event")</f>
        <v/>
      </c>
      <c r="E454">
        <f>IFERROR(__xludf.DUMMYFUNCTION("""COMPUTED_VALUE"""),"高難易度")</f>
        <v/>
      </c>
      <c r="F454">
        <f>IFERROR(__xludf.DUMMYFUNCTION("""COMPUTED_VALUE"""),"quest_event_dan1_savage")</f>
        <v/>
      </c>
      <c r="G454">
        <f>IFERROR(__xludf.DUMMYFUNCTION("""COMPUTED_VALUE"""),"高難易度クエスト")</f>
        <v/>
      </c>
      <c r="H454">
        <f>IFERROR(__xludf.DUMMYFUNCTION("""COMPUTED_VALUE"""),"01")</f>
        <v/>
      </c>
      <c r="I454">
        <f>IFERROR(__xludf.DUMMYFUNCTION("""COMPUTED_VALUE"""),"event_dan1_savage_00001")</f>
        <v/>
      </c>
      <c r="K454">
        <f>IFERROR(__xludf.DUMMYFUNCTION("""COMPUTED_VALUE"""),"dan1_savage_quest_select_cell")</f>
        <v/>
      </c>
    </row>
    <row r="455">
      <c r="A455">
        <f>IFERROR(__xludf.DUMMYFUNCTION("""COMPUTED_VALUE"""),"dan1")</f>
        <v/>
      </c>
      <c r="B455">
        <f>IFERROR(__xludf.DUMMYFUNCTION("""COMPUTED_VALUE"""),"ダンダダン")</f>
        <v/>
      </c>
      <c r="C455">
        <f>IFERROR(__xludf.DUMMYFUNCTION("""COMPUTED_VALUE"""),"savage")</f>
        <v/>
      </c>
      <c r="D455">
        <f>IFERROR(__xludf.DUMMYFUNCTION("""COMPUTED_VALUE"""),"event")</f>
        <v/>
      </c>
      <c r="E455">
        <f>IFERROR(__xludf.DUMMYFUNCTION("""COMPUTED_VALUE"""),"高難易度")</f>
        <v/>
      </c>
      <c r="F455">
        <f>IFERROR(__xludf.DUMMYFUNCTION("""COMPUTED_VALUE"""),"quest_event_dan1_savage")</f>
        <v/>
      </c>
      <c r="G455">
        <f>IFERROR(__xludf.DUMMYFUNCTION("""COMPUTED_VALUE"""),"高難易度クエスト")</f>
        <v/>
      </c>
      <c r="H455">
        <f>IFERROR(__xludf.DUMMYFUNCTION("""COMPUTED_VALUE"""),"02")</f>
        <v/>
      </c>
      <c r="I455">
        <f>IFERROR(__xludf.DUMMYFUNCTION("""COMPUTED_VALUE"""),"event_dan1_savage_00002")</f>
        <v/>
      </c>
    </row>
    <row r="457">
      <c r="A457">
        <f>IFERROR(__xludf.DUMMYFUNCTION("""COMPUTED_VALUE"""),"mag1")</f>
        <v/>
      </c>
      <c r="B457">
        <f>IFERROR(__xludf.DUMMYFUNCTION("""COMPUTED_VALUE"""),"株式会社マジルミエ")</f>
        <v/>
      </c>
      <c r="C457">
        <f>IFERROR(__xludf.DUMMYFUNCTION("""COMPUTED_VALUE"""),"1day")</f>
        <v/>
      </c>
      <c r="D457">
        <f>IFERROR(__xludf.DUMMYFUNCTION("""COMPUTED_VALUE"""),"event")</f>
        <v/>
      </c>
      <c r="E457">
        <f>IFERROR(__xludf.DUMMYFUNCTION("""COMPUTED_VALUE"""),"デイリー")</f>
        <v/>
      </c>
      <c r="F457">
        <f>IFERROR(__xludf.DUMMYFUNCTION("""COMPUTED_VALUE"""),"quest_event_mag1_1day")</f>
        <v/>
      </c>
      <c r="G457">
        <f>IFERROR(__xludf.DUMMYFUNCTION("""COMPUTED_VALUE"""),"何とかやってます")</f>
        <v/>
      </c>
      <c r="H457">
        <f>IFERROR(__xludf.DUMMYFUNCTION("""COMPUTED_VALUE"""),"01")</f>
        <v/>
      </c>
      <c r="I457">
        <f>IFERROR(__xludf.DUMMYFUNCTION("""COMPUTED_VALUE"""),"event_mag1_1day_00001")</f>
        <v/>
      </c>
      <c r="K457">
        <f>IFERROR(__xludf.DUMMYFUNCTION("""COMPUTED_VALUE"""),"mag1_1day_quest_select_cell")</f>
        <v/>
      </c>
    </row>
    <row r="458">
      <c r="A458">
        <f>IFERROR(__xludf.DUMMYFUNCTION("""COMPUTED_VALUE"""),"mag1")</f>
        <v/>
      </c>
      <c r="B458">
        <f>IFERROR(__xludf.DUMMYFUNCTION("""COMPUTED_VALUE"""),"株式会社マジルミエ")</f>
        <v/>
      </c>
      <c r="C458">
        <f>IFERROR(__xludf.DUMMYFUNCTION("""COMPUTED_VALUE"""),"charaget01")</f>
        <v/>
      </c>
      <c r="D458">
        <f>IFERROR(__xludf.DUMMYFUNCTION("""COMPUTED_VALUE"""),"event")</f>
        <v/>
      </c>
      <c r="E458">
        <f>IFERROR(__xludf.DUMMYFUNCTION("""COMPUTED_VALUE"""),"ストーリー")</f>
        <v/>
      </c>
      <c r="F458">
        <f>IFERROR(__xludf.DUMMYFUNCTION("""COMPUTED_VALUE"""),"quest_event_mag1_charaget01")</f>
        <v/>
      </c>
      <c r="G458">
        <f>IFERROR(__xludf.DUMMYFUNCTION("""COMPUTED_VALUE"""),"うちの美学")</f>
        <v/>
      </c>
      <c r="H458">
        <f>IFERROR(__xludf.DUMMYFUNCTION("""COMPUTED_VALUE"""),"01")</f>
        <v/>
      </c>
      <c r="I458">
        <f>IFERROR(__xludf.DUMMYFUNCTION("""COMPUTED_VALUE"""),"event_mag1_charaget01_00001")</f>
        <v/>
      </c>
      <c r="K458">
        <f>IFERROR(__xludf.DUMMYFUNCTION("""COMPUTED_VALUE"""),"mag1_charaget01_quest_select_cell")</f>
        <v/>
      </c>
    </row>
    <row r="459">
      <c r="A459">
        <f>IFERROR(__xludf.DUMMYFUNCTION("""COMPUTED_VALUE"""),"mag1")</f>
        <v/>
      </c>
      <c r="B459">
        <f>IFERROR(__xludf.DUMMYFUNCTION("""COMPUTED_VALUE"""),"株式会社マジルミエ")</f>
        <v/>
      </c>
      <c r="C459">
        <f>IFERROR(__xludf.DUMMYFUNCTION("""COMPUTED_VALUE"""),"charaget01")</f>
        <v/>
      </c>
      <c r="D459">
        <f>IFERROR(__xludf.DUMMYFUNCTION("""COMPUTED_VALUE"""),"event")</f>
        <v/>
      </c>
      <c r="E459">
        <f>IFERROR(__xludf.DUMMYFUNCTION("""COMPUTED_VALUE"""),"ストーリー")</f>
        <v/>
      </c>
      <c r="F459">
        <f>IFERROR(__xludf.DUMMYFUNCTION("""COMPUTED_VALUE"""),"quest_event_mag1_charaget01")</f>
        <v/>
      </c>
      <c r="G459">
        <f>IFERROR(__xludf.DUMMYFUNCTION("""COMPUTED_VALUE"""),"うちの美学")</f>
        <v/>
      </c>
      <c r="H459">
        <f>IFERROR(__xludf.DUMMYFUNCTION("""COMPUTED_VALUE"""),"02")</f>
        <v/>
      </c>
      <c r="I459">
        <f>IFERROR(__xludf.DUMMYFUNCTION("""COMPUTED_VALUE"""),"event_mag1_charaget01_00002")</f>
        <v/>
      </c>
    </row>
    <row r="460">
      <c r="A460">
        <f>IFERROR(__xludf.DUMMYFUNCTION("""COMPUTED_VALUE"""),"mag1")</f>
        <v/>
      </c>
      <c r="B460">
        <f>IFERROR(__xludf.DUMMYFUNCTION("""COMPUTED_VALUE"""),"株式会社マジルミエ")</f>
        <v/>
      </c>
      <c r="C460">
        <f>IFERROR(__xludf.DUMMYFUNCTION("""COMPUTED_VALUE"""),"charaget01")</f>
        <v/>
      </c>
      <c r="D460">
        <f>IFERROR(__xludf.DUMMYFUNCTION("""COMPUTED_VALUE"""),"event")</f>
        <v/>
      </c>
      <c r="E460">
        <f>IFERROR(__xludf.DUMMYFUNCTION("""COMPUTED_VALUE"""),"ストーリー")</f>
        <v/>
      </c>
      <c r="F460">
        <f>IFERROR(__xludf.DUMMYFUNCTION("""COMPUTED_VALUE"""),"quest_event_mag1_charaget01")</f>
        <v/>
      </c>
      <c r="G460">
        <f>IFERROR(__xludf.DUMMYFUNCTION("""COMPUTED_VALUE"""),"うちの美学")</f>
        <v/>
      </c>
      <c r="H460">
        <f>IFERROR(__xludf.DUMMYFUNCTION("""COMPUTED_VALUE"""),"03")</f>
        <v/>
      </c>
      <c r="I460">
        <f>IFERROR(__xludf.DUMMYFUNCTION("""COMPUTED_VALUE"""),"event_mag1_charaget01_00003")</f>
        <v/>
      </c>
    </row>
    <row r="461">
      <c r="A461">
        <f>IFERROR(__xludf.DUMMYFUNCTION("""COMPUTED_VALUE"""),"mag1")</f>
        <v/>
      </c>
      <c r="B461">
        <f>IFERROR(__xludf.DUMMYFUNCTION("""COMPUTED_VALUE"""),"株式会社マジルミエ")</f>
        <v/>
      </c>
      <c r="C461">
        <f>IFERROR(__xludf.DUMMYFUNCTION("""COMPUTED_VALUE"""),"charaget01")</f>
        <v/>
      </c>
      <c r="D461">
        <f>IFERROR(__xludf.DUMMYFUNCTION("""COMPUTED_VALUE"""),"event")</f>
        <v/>
      </c>
      <c r="E461">
        <f>IFERROR(__xludf.DUMMYFUNCTION("""COMPUTED_VALUE"""),"ストーリー")</f>
        <v/>
      </c>
      <c r="F461">
        <f>IFERROR(__xludf.DUMMYFUNCTION("""COMPUTED_VALUE"""),"quest_event_mag1_charaget01")</f>
        <v/>
      </c>
      <c r="G461">
        <f>IFERROR(__xludf.DUMMYFUNCTION("""COMPUTED_VALUE"""),"うちの美学")</f>
        <v/>
      </c>
      <c r="H461">
        <f>IFERROR(__xludf.DUMMYFUNCTION("""COMPUTED_VALUE"""),"04")</f>
        <v/>
      </c>
      <c r="I461">
        <f>IFERROR(__xludf.DUMMYFUNCTION("""COMPUTED_VALUE"""),"event_mag1_charaget01_00004")</f>
        <v/>
      </c>
    </row>
    <row r="462">
      <c r="A462">
        <f>IFERROR(__xludf.DUMMYFUNCTION("""COMPUTED_VALUE"""),"mag1")</f>
        <v/>
      </c>
      <c r="B462">
        <f>IFERROR(__xludf.DUMMYFUNCTION("""COMPUTED_VALUE"""),"株式会社マジルミエ")</f>
        <v/>
      </c>
      <c r="C462">
        <f>IFERROR(__xludf.DUMMYFUNCTION("""COMPUTED_VALUE"""),"charaget01")</f>
        <v/>
      </c>
      <c r="D462">
        <f>IFERROR(__xludf.DUMMYFUNCTION("""COMPUTED_VALUE"""),"event")</f>
        <v/>
      </c>
      <c r="E462">
        <f>IFERROR(__xludf.DUMMYFUNCTION("""COMPUTED_VALUE"""),"ストーリー")</f>
        <v/>
      </c>
      <c r="F462">
        <f>IFERROR(__xludf.DUMMYFUNCTION("""COMPUTED_VALUE"""),"quest_event_mag1_charaget01")</f>
        <v/>
      </c>
      <c r="G462">
        <f>IFERROR(__xludf.DUMMYFUNCTION("""COMPUTED_VALUE"""),"うちの美学")</f>
        <v/>
      </c>
      <c r="H462">
        <f>IFERROR(__xludf.DUMMYFUNCTION("""COMPUTED_VALUE"""),"05")</f>
        <v/>
      </c>
      <c r="I462">
        <f>IFERROR(__xludf.DUMMYFUNCTION("""COMPUTED_VALUE"""),"event_mag1_charaget01_00005")</f>
        <v/>
      </c>
    </row>
    <row r="463">
      <c r="A463">
        <f>IFERROR(__xludf.DUMMYFUNCTION("""COMPUTED_VALUE"""),"mag1")</f>
        <v/>
      </c>
      <c r="B463">
        <f>IFERROR(__xludf.DUMMYFUNCTION("""COMPUTED_VALUE"""),"株式会社マジルミエ")</f>
        <v/>
      </c>
      <c r="C463">
        <f>IFERROR(__xludf.DUMMYFUNCTION("""COMPUTED_VALUE"""),"charaget01")</f>
        <v/>
      </c>
      <c r="D463">
        <f>IFERROR(__xludf.DUMMYFUNCTION("""COMPUTED_VALUE"""),"event")</f>
        <v/>
      </c>
      <c r="E463">
        <f>IFERROR(__xludf.DUMMYFUNCTION("""COMPUTED_VALUE"""),"ストーリー")</f>
        <v/>
      </c>
      <c r="F463">
        <f>IFERROR(__xludf.DUMMYFUNCTION("""COMPUTED_VALUE"""),"quest_event_mag1_charaget01")</f>
        <v/>
      </c>
      <c r="G463">
        <f>IFERROR(__xludf.DUMMYFUNCTION("""COMPUTED_VALUE"""),"うちの美学")</f>
        <v/>
      </c>
      <c r="H463">
        <f>IFERROR(__xludf.DUMMYFUNCTION("""COMPUTED_VALUE"""),"06")</f>
        <v/>
      </c>
      <c r="I463">
        <f>IFERROR(__xludf.DUMMYFUNCTION("""COMPUTED_VALUE"""),"event_mag1_charaget01_00006")</f>
        <v/>
      </c>
    </row>
    <row r="464">
      <c r="A464">
        <f>IFERROR(__xludf.DUMMYFUNCTION("""COMPUTED_VALUE"""),"mag1")</f>
        <v/>
      </c>
      <c r="B464">
        <f>IFERROR(__xludf.DUMMYFUNCTION("""COMPUTED_VALUE"""),"株式会社マジルミエ")</f>
        <v/>
      </c>
      <c r="C464">
        <f>IFERROR(__xludf.DUMMYFUNCTION("""COMPUTED_VALUE"""),"charaget01")</f>
        <v/>
      </c>
      <c r="D464">
        <f>IFERROR(__xludf.DUMMYFUNCTION("""COMPUTED_VALUE"""),"event")</f>
        <v/>
      </c>
      <c r="E464">
        <f>IFERROR(__xludf.DUMMYFUNCTION("""COMPUTED_VALUE"""),"ストーリー")</f>
        <v/>
      </c>
      <c r="F464">
        <f>IFERROR(__xludf.DUMMYFUNCTION("""COMPUTED_VALUE"""),"quest_event_mag1_charaget01")</f>
        <v/>
      </c>
      <c r="G464">
        <f>IFERROR(__xludf.DUMMYFUNCTION("""COMPUTED_VALUE"""),"うちの美学")</f>
        <v/>
      </c>
      <c r="H464">
        <f>IFERROR(__xludf.DUMMYFUNCTION("""COMPUTED_VALUE"""),"07")</f>
        <v/>
      </c>
      <c r="I464">
        <f>IFERROR(__xludf.DUMMYFUNCTION("""COMPUTED_VALUE"""),"event_mag1_charaget01_00007")</f>
        <v/>
      </c>
    </row>
    <row r="465">
      <c r="A465">
        <f>IFERROR(__xludf.DUMMYFUNCTION("""COMPUTED_VALUE"""),"mag1")</f>
        <v/>
      </c>
      <c r="B465">
        <f>IFERROR(__xludf.DUMMYFUNCTION("""COMPUTED_VALUE"""),"株式会社マジルミエ")</f>
        <v/>
      </c>
      <c r="C465">
        <f>IFERROR(__xludf.DUMMYFUNCTION("""COMPUTED_VALUE"""),"charaget01")</f>
        <v/>
      </c>
      <c r="D465">
        <f>IFERROR(__xludf.DUMMYFUNCTION("""COMPUTED_VALUE"""),"event")</f>
        <v/>
      </c>
      <c r="E465">
        <f>IFERROR(__xludf.DUMMYFUNCTION("""COMPUTED_VALUE"""),"ストーリー")</f>
        <v/>
      </c>
      <c r="F465">
        <f>IFERROR(__xludf.DUMMYFUNCTION("""COMPUTED_VALUE"""),"quest_event_mag1_charaget01")</f>
        <v/>
      </c>
      <c r="G465">
        <f>IFERROR(__xludf.DUMMYFUNCTION("""COMPUTED_VALUE"""),"うちの美学")</f>
        <v/>
      </c>
      <c r="H465">
        <f>IFERROR(__xludf.DUMMYFUNCTION("""COMPUTED_VALUE"""),"08")</f>
        <v/>
      </c>
      <c r="I465">
        <f>IFERROR(__xludf.DUMMYFUNCTION("""COMPUTED_VALUE"""),"event_mag1_charaget01_00008")</f>
        <v/>
      </c>
    </row>
    <row r="466">
      <c r="A466">
        <f>IFERROR(__xludf.DUMMYFUNCTION("""COMPUTED_VALUE"""),"mag1")</f>
        <v/>
      </c>
      <c r="B466">
        <f>IFERROR(__xludf.DUMMYFUNCTION("""COMPUTED_VALUE"""),"株式会社マジルミエ")</f>
        <v/>
      </c>
      <c r="C466">
        <f>IFERROR(__xludf.DUMMYFUNCTION("""COMPUTED_VALUE"""),"charaget02")</f>
        <v/>
      </c>
      <c r="D466">
        <f>IFERROR(__xludf.DUMMYFUNCTION("""COMPUTED_VALUE"""),"event")</f>
        <v/>
      </c>
      <c r="E466">
        <f>IFERROR(__xludf.DUMMYFUNCTION("""COMPUTED_VALUE"""),"ストーリー")</f>
        <v/>
      </c>
      <c r="F466">
        <f>IFERROR(__xludf.DUMMYFUNCTION("""COMPUTED_VALUE"""),"quest_event_mag1_charaget02")</f>
        <v/>
      </c>
      <c r="G466">
        <f>IFERROR(__xludf.DUMMYFUNCTION("""COMPUTED_VALUE"""),"よく見てる")</f>
        <v/>
      </c>
      <c r="H466">
        <f>IFERROR(__xludf.DUMMYFUNCTION("""COMPUTED_VALUE"""),"01")</f>
        <v/>
      </c>
      <c r="I466">
        <f>IFERROR(__xludf.DUMMYFUNCTION("""COMPUTED_VALUE"""),"event_mag1_charaget02_00001")</f>
        <v/>
      </c>
      <c r="K466">
        <f>IFERROR(__xludf.DUMMYFUNCTION("""COMPUTED_VALUE"""),"mag1_charaget02_quest_select_cell")</f>
        <v/>
      </c>
    </row>
    <row r="467">
      <c r="A467">
        <f>IFERROR(__xludf.DUMMYFUNCTION("""COMPUTED_VALUE"""),"mag1")</f>
        <v/>
      </c>
      <c r="B467">
        <f>IFERROR(__xludf.DUMMYFUNCTION("""COMPUTED_VALUE"""),"株式会社マジルミエ")</f>
        <v/>
      </c>
      <c r="C467">
        <f>IFERROR(__xludf.DUMMYFUNCTION("""COMPUTED_VALUE"""),"charaget02")</f>
        <v/>
      </c>
      <c r="D467">
        <f>IFERROR(__xludf.DUMMYFUNCTION("""COMPUTED_VALUE"""),"event")</f>
        <v/>
      </c>
      <c r="E467">
        <f>IFERROR(__xludf.DUMMYFUNCTION("""COMPUTED_VALUE"""),"ストーリー")</f>
        <v/>
      </c>
      <c r="F467">
        <f>IFERROR(__xludf.DUMMYFUNCTION("""COMPUTED_VALUE"""),"quest_event_mag1_charaget02")</f>
        <v/>
      </c>
      <c r="G467">
        <f>IFERROR(__xludf.DUMMYFUNCTION("""COMPUTED_VALUE"""),"よく見てる")</f>
        <v/>
      </c>
      <c r="H467">
        <f>IFERROR(__xludf.DUMMYFUNCTION("""COMPUTED_VALUE"""),"02")</f>
        <v/>
      </c>
      <c r="I467">
        <f>IFERROR(__xludf.DUMMYFUNCTION("""COMPUTED_VALUE"""),"event_mag1_charaget02_00002")</f>
        <v/>
      </c>
    </row>
    <row r="468">
      <c r="A468">
        <f>IFERROR(__xludf.DUMMYFUNCTION("""COMPUTED_VALUE"""),"mag1")</f>
        <v/>
      </c>
      <c r="B468">
        <f>IFERROR(__xludf.DUMMYFUNCTION("""COMPUTED_VALUE"""),"株式会社マジルミエ")</f>
        <v/>
      </c>
      <c r="C468">
        <f>IFERROR(__xludf.DUMMYFUNCTION("""COMPUTED_VALUE"""),"charaget02")</f>
        <v/>
      </c>
      <c r="D468">
        <f>IFERROR(__xludf.DUMMYFUNCTION("""COMPUTED_VALUE"""),"event")</f>
        <v/>
      </c>
      <c r="E468">
        <f>IFERROR(__xludf.DUMMYFUNCTION("""COMPUTED_VALUE"""),"ストーリー")</f>
        <v/>
      </c>
      <c r="F468">
        <f>IFERROR(__xludf.DUMMYFUNCTION("""COMPUTED_VALUE"""),"quest_event_mag1_charaget02")</f>
        <v/>
      </c>
      <c r="G468">
        <f>IFERROR(__xludf.DUMMYFUNCTION("""COMPUTED_VALUE"""),"よく見てる")</f>
        <v/>
      </c>
      <c r="H468">
        <f>IFERROR(__xludf.DUMMYFUNCTION("""COMPUTED_VALUE"""),"03")</f>
        <v/>
      </c>
      <c r="I468">
        <f>IFERROR(__xludf.DUMMYFUNCTION("""COMPUTED_VALUE"""),"event_mag1_charaget02_00003")</f>
        <v/>
      </c>
    </row>
    <row r="469">
      <c r="A469">
        <f>IFERROR(__xludf.DUMMYFUNCTION("""COMPUTED_VALUE"""),"mag1")</f>
        <v/>
      </c>
      <c r="B469">
        <f>IFERROR(__xludf.DUMMYFUNCTION("""COMPUTED_VALUE"""),"株式会社マジルミエ")</f>
        <v/>
      </c>
      <c r="C469">
        <f>IFERROR(__xludf.DUMMYFUNCTION("""COMPUTED_VALUE"""),"charaget02")</f>
        <v/>
      </c>
      <c r="D469">
        <f>IFERROR(__xludf.DUMMYFUNCTION("""COMPUTED_VALUE"""),"event")</f>
        <v/>
      </c>
      <c r="E469">
        <f>IFERROR(__xludf.DUMMYFUNCTION("""COMPUTED_VALUE"""),"ストーリー")</f>
        <v/>
      </c>
      <c r="F469">
        <f>IFERROR(__xludf.DUMMYFUNCTION("""COMPUTED_VALUE"""),"quest_event_mag1_charaget02")</f>
        <v/>
      </c>
      <c r="G469">
        <f>IFERROR(__xludf.DUMMYFUNCTION("""COMPUTED_VALUE"""),"よく見てる")</f>
        <v/>
      </c>
      <c r="H469">
        <f>IFERROR(__xludf.DUMMYFUNCTION("""COMPUTED_VALUE"""),"04")</f>
        <v/>
      </c>
      <c r="I469">
        <f>IFERROR(__xludf.DUMMYFUNCTION("""COMPUTED_VALUE"""),"event_mag1_charaget02_00004")</f>
        <v/>
      </c>
    </row>
    <row r="470">
      <c r="A470">
        <f>IFERROR(__xludf.DUMMYFUNCTION("""COMPUTED_VALUE"""),"mag1")</f>
        <v/>
      </c>
      <c r="B470">
        <f>IFERROR(__xludf.DUMMYFUNCTION("""COMPUTED_VALUE"""),"株式会社マジルミエ")</f>
        <v/>
      </c>
      <c r="C470">
        <f>IFERROR(__xludf.DUMMYFUNCTION("""COMPUTED_VALUE"""),"charaget02")</f>
        <v/>
      </c>
      <c r="D470">
        <f>IFERROR(__xludf.DUMMYFUNCTION("""COMPUTED_VALUE"""),"event")</f>
        <v/>
      </c>
      <c r="E470">
        <f>IFERROR(__xludf.DUMMYFUNCTION("""COMPUTED_VALUE"""),"ストーリー")</f>
        <v/>
      </c>
      <c r="F470">
        <f>IFERROR(__xludf.DUMMYFUNCTION("""COMPUTED_VALUE"""),"quest_event_mag1_charaget02")</f>
        <v/>
      </c>
      <c r="G470">
        <f>IFERROR(__xludf.DUMMYFUNCTION("""COMPUTED_VALUE"""),"よく見てる")</f>
        <v/>
      </c>
      <c r="H470">
        <f>IFERROR(__xludf.DUMMYFUNCTION("""COMPUTED_VALUE"""),"05")</f>
        <v/>
      </c>
      <c r="I470">
        <f>IFERROR(__xludf.DUMMYFUNCTION("""COMPUTED_VALUE"""),"event_mag1_charaget02_00005")</f>
        <v/>
      </c>
    </row>
    <row r="471">
      <c r="A471">
        <f>IFERROR(__xludf.DUMMYFUNCTION("""COMPUTED_VALUE"""),"mag1")</f>
        <v/>
      </c>
      <c r="B471">
        <f>IFERROR(__xludf.DUMMYFUNCTION("""COMPUTED_VALUE"""),"株式会社マジルミエ")</f>
        <v/>
      </c>
      <c r="C471">
        <f>IFERROR(__xludf.DUMMYFUNCTION("""COMPUTED_VALUE"""),"charaget02")</f>
        <v/>
      </c>
      <c r="D471">
        <f>IFERROR(__xludf.DUMMYFUNCTION("""COMPUTED_VALUE"""),"event")</f>
        <v/>
      </c>
      <c r="E471">
        <f>IFERROR(__xludf.DUMMYFUNCTION("""COMPUTED_VALUE"""),"ストーリー")</f>
        <v/>
      </c>
      <c r="F471">
        <f>IFERROR(__xludf.DUMMYFUNCTION("""COMPUTED_VALUE"""),"quest_event_mag1_charaget02")</f>
        <v/>
      </c>
      <c r="G471">
        <f>IFERROR(__xludf.DUMMYFUNCTION("""COMPUTED_VALUE"""),"よく見てる")</f>
        <v/>
      </c>
      <c r="H471">
        <f>IFERROR(__xludf.DUMMYFUNCTION("""COMPUTED_VALUE"""),"06")</f>
        <v/>
      </c>
      <c r="I471">
        <f>IFERROR(__xludf.DUMMYFUNCTION("""COMPUTED_VALUE"""),"event_mag1_charaget02_00006")</f>
        <v/>
      </c>
    </row>
    <row r="472">
      <c r="A472">
        <f>IFERROR(__xludf.DUMMYFUNCTION("""COMPUTED_VALUE"""),"mag1")</f>
        <v/>
      </c>
      <c r="B472">
        <f>IFERROR(__xludf.DUMMYFUNCTION("""COMPUTED_VALUE"""),"株式会社マジルミエ")</f>
        <v/>
      </c>
      <c r="C472">
        <f>IFERROR(__xludf.DUMMYFUNCTION("""COMPUTED_VALUE"""),"charaget02")</f>
        <v/>
      </c>
      <c r="D472">
        <f>IFERROR(__xludf.DUMMYFUNCTION("""COMPUTED_VALUE"""),"event")</f>
        <v/>
      </c>
      <c r="E472">
        <f>IFERROR(__xludf.DUMMYFUNCTION("""COMPUTED_VALUE"""),"ストーリー")</f>
        <v/>
      </c>
      <c r="F472">
        <f>IFERROR(__xludf.DUMMYFUNCTION("""COMPUTED_VALUE"""),"quest_event_mag1_charaget02")</f>
        <v/>
      </c>
      <c r="G472">
        <f>IFERROR(__xludf.DUMMYFUNCTION("""COMPUTED_VALUE"""),"よく見てる")</f>
        <v/>
      </c>
      <c r="H472">
        <f>IFERROR(__xludf.DUMMYFUNCTION("""COMPUTED_VALUE"""),"07")</f>
        <v/>
      </c>
      <c r="I472">
        <f>IFERROR(__xludf.DUMMYFUNCTION("""COMPUTED_VALUE"""),"event_mag1_charaget02_00007")</f>
        <v/>
      </c>
    </row>
    <row r="473">
      <c r="A473">
        <f>IFERROR(__xludf.DUMMYFUNCTION("""COMPUTED_VALUE"""),"mag1")</f>
        <v/>
      </c>
      <c r="B473">
        <f>IFERROR(__xludf.DUMMYFUNCTION("""COMPUTED_VALUE"""),"株式会社マジルミエ")</f>
        <v/>
      </c>
      <c r="C473">
        <f>IFERROR(__xludf.DUMMYFUNCTION("""COMPUTED_VALUE"""),"charaget02")</f>
        <v/>
      </c>
      <c r="D473">
        <f>IFERROR(__xludf.DUMMYFUNCTION("""COMPUTED_VALUE"""),"event")</f>
        <v/>
      </c>
      <c r="E473">
        <f>IFERROR(__xludf.DUMMYFUNCTION("""COMPUTED_VALUE"""),"ストーリー")</f>
        <v/>
      </c>
      <c r="F473">
        <f>IFERROR(__xludf.DUMMYFUNCTION("""COMPUTED_VALUE"""),"quest_event_mag1_charaget02")</f>
        <v/>
      </c>
      <c r="G473">
        <f>IFERROR(__xludf.DUMMYFUNCTION("""COMPUTED_VALUE"""),"よく見てる")</f>
        <v/>
      </c>
      <c r="H473">
        <f>IFERROR(__xludf.DUMMYFUNCTION("""COMPUTED_VALUE"""),"08")</f>
        <v/>
      </c>
      <c r="I473">
        <f>IFERROR(__xludf.DUMMYFUNCTION("""COMPUTED_VALUE"""),"event_mag1_charaget02_00008")</f>
        <v/>
      </c>
    </row>
    <row r="474">
      <c r="A474">
        <f>IFERROR(__xludf.DUMMYFUNCTION("""COMPUTED_VALUE"""),"mag1")</f>
        <v/>
      </c>
      <c r="B474">
        <f>IFERROR(__xludf.DUMMYFUNCTION("""COMPUTED_VALUE"""),"株式会社マジルミエ")</f>
        <v/>
      </c>
      <c r="C474">
        <f>IFERROR(__xludf.DUMMYFUNCTION("""COMPUTED_VALUE"""),"challenge01")</f>
        <v/>
      </c>
      <c r="D474">
        <f>IFERROR(__xludf.DUMMYFUNCTION("""COMPUTED_VALUE"""),"event")</f>
        <v/>
      </c>
      <c r="E474">
        <f>IFERROR(__xludf.DUMMYFUNCTION("""COMPUTED_VALUE"""),"チャレンジ")</f>
        <v/>
      </c>
      <c r="F474">
        <f>IFERROR(__xludf.DUMMYFUNCTION("""COMPUTED_VALUE"""),"quest_event_mag1_challenge01")</f>
        <v/>
      </c>
      <c r="G474">
        <f>IFERROR(__xludf.DUMMYFUNCTION("""COMPUTED_VALUE"""),"色々な魔法少女")</f>
        <v/>
      </c>
      <c r="H474">
        <f>IFERROR(__xludf.DUMMYFUNCTION("""COMPUTED_VALUE"""),"01")</f>
        <v/>
      </c>
      <c r="I474">
        <f>IFERROR(__xludf.DUMMYFUNCTION("""COMPUTED_VALUE"""),"event_mag1_challenge01_00001")</f>
        <v/>
      </c>
      <c r="K474">
        <f>IFERROR(__xludf.DUMMYFUNCTION("""COMPUTED_VALUE"""),"mag1_challenge01_quest_select_cell")</f>
        <v/>
      </c>
    </row>
    <row r="475">
      <c r="A475">
        <f>IFERROR(__xludf.DUMMYFUNCTION("""COMPUTED_VALUE"""),"mag1")</f>
        <v/>
      </c>
      <c r="B475">
        <f>IFERROR(__xludf.DUMMYFUNCTION("""COMPUTED_VALUE"""),"株式会社マジルミエ")</f>
        <v/>
      </c>
      <c r="C475">
        <f>IFERROR(__xludf.DUMMYFUNCTION("""COMPUTED_VALUE"""),"challenge01")</f>
        <v/>
      </c>
      <c r="D475">
        <f>IFERROR(__xludf.DUMMYFUNCTION("""COMPUTED_VALUE"""),"event")</f>
        <v/>
      </c>
      <c r="E475">
        <f>IFERROR(__xludf.DUMMYFUNCTION("""COMPUTED_VALUE"""),"チャレンジ")</f>
        <v/>
      </c>
      <c r="F475">
        <f>IFERROR(__xludf.DUMMYFUNCTION("""COMPUTED_VALUE"""),"quest_event_mag1_challenge01")</f>
        <v/>
      </c>
      <c r="G475">
        <f>IFERROR(__xludf.DUMMYFUNCTION("""COMPUTED_VALUE"""),"色々な魔法少女")</f>
        <v/>
      </c>
      <c r="H475">
        <f>IFERROR(__xludf.DUMMYFUNCTION("""COMPUTED_VALUE"""),"02")</f>
        <v/>
      </c>
      <c r="I475">
        <f>IFERROR(__xludf.DUMMYFUNCTION("""COMPUTED_VALUE"""),"event_mag1_challenge01_00002")</f>
        <v/>
      </c>
    </row>
    <row r="476">
      <c r="A476">
        <f>IFERROR(__xludf.DUMMYFUNCTION("""COMPUTED_VALUE"""),"mag1")</f>
        <v/>
      </c>
      <c r="B476">
        <f>IFERROR(__xludf.DUMMYFUNCTION("""COMPUTED_VALUE"""),"株式会社マジルミエ")</f>
        <v/>
      </c>
      <c r="C476">
        <f>IFERROR(__xludf.DUMMYFUNCTION("""COMPUTED_VALUE"""),"challenge01")</f>
        <v/>
      </c>
      <c r="D476">
        <f>IFERROR(__xludf.DUMMYFUNCTION("""COMPUTED_VALUE"""),"event")</f>
        <v/>
      </c>
      <c r="E476">
        <f>IFERROR(__xludf.DUMMYFUNCTION("""COMPUTED_VALUE"""),"チャレンジ")</f>
        <v/>
      </c>
      <c r="F476">
        <f>IFERROR(__xludf.DUMMYFUNCTION("""COMPUTED_VALUE"""),"quest_event_mag1_challenge01")</f>
        <v/>
      </c>
      <c r="G476">
        <f>IFERROR(__xludf.DUMMYFUNCTION("""COMPUTED_VALUE"""),"色々な魔法少女")</f>
        <v/>
      </c>
      <c r="H476">
        <f>IFERROR(__xludf.DUMMYFUNCTION("""COMPUTED_VALUE"""),"03")</f>
        <v/>
      </c>
      <c r="I476">
        <f>IFERROR(__xludf.DUMMYFUNCTION("""COMPUTED_VALUE"""),"event_mag1_challenge01_00003")</f>
        <v/>
      </c>
    </row>
    <row r="477">
      <c r="A477">
        <f>IFERROR(__xludf.DUMMYFUNCTION("""COMPUTED_VALUE"""),"mag1")</f>
        <v/>
      </c>
      <c r="B477">
        <f>IFERROR(__xludf.DUMMYFUNCTION("""COMPUTED_VALUE"""),"株式会社マジルミエ")</f>
        <v/>
      </c>
      <c r="C477">
        <f>IFERROR(__xludf.DUMMYFUNCTION("""COMPUTED_VALUE"""),"challenge01")</f>
        <v/>
      </c>
      <c r="D477">
        <f>IFERROR(__xludf.DUMMYFUNCTION("""COMPUTED_VALUE"""),"event")</f>
        <v/>
      </c>
      <c r="E477">
        <f>IFERROR(__xludf.DUMMYFUNCTION("""COMPUTED_VALUE"""),"チャレンジ")</f>
        <v/>
      </c>
      <c r="F477">
        <f>IFERROR(__xludf.DUMMYFUNCTION("""COMPUTED_VALUE"""),"quest_event_mag1_challenge01")</f>
        <v/>
      </c>
      <c r="G477">
        <f>IFERROR(__xludf.DUMMYFUNCTION("""COMPUTED_VALUE"""),"色々な魔法少女")</f>
        <v/>
      </c>
      <c r="H477">
        <f>IFERROR(__xludf.DUMMYFUNCTION("""COMPUTED_VALUE"""),"04")</f>
        <v/>
      </c>
      <c r="I477">
        <f>IFERROR(__xludf.DUMMYFUNCTION("""COMPUTED_VALUE"""),"event_mag1_challenge01_00004")</f>
        <v/>
      </c>
    </row>
    <row r="478">
      <c r="A478">
        <f>IFERROR(__xludf.DUMMYFUNCTION("""COMPUTED_VALUE"""),"mag1")</f>
        <v/>
      </c>
      <c r="B478">
        <f>IFERROR(__xludf.DUMMYFUNCTION("""COMPUTED_VALUE"""),"株式会社マジルミエ")</f>
        <v/>
      </c>
      <c r="C478">
        <f>IFERROR(__xludf.DUMMYFUNCTION("""COMPUTED_VALUE"""),"savage")</f>
        <v/>
      </c>
      <c r="D478">
        <f>IFERROR(__xludf.DUMMYFUNCTION("""COMPUTED_VALUE"""),"event")</f>
        <v/>
      </c>
      <c r="E478">
        <f>IFERROR(__xludf.DUMMYFUNCTION("""COMPUTED_VALUE"""),"高難易度")</f>
        <v/>
      </c>
      <c r="F478">
        <f>IFERROR(__xludf.DUMMYFUNCTION("""COMPUTED_VALUE"""),"quest_event_mag1_savage")</f>
        <v/>
      </c>
      <c r="G478">
        <f>IFERROR(__xludf.DUMMYFUNCTION("""COMPUTED_VALUE"""),"「怪異」現象")</f>
        <v/>
      </c>
      <c r="H478">
        <f>IFERROR(__xludf.DUMMYFUNCTION("""COMPUTED_VALUE"""),"01")</f>
        <v/>
      </c>
      <c r="I478">
        <f>IFERROR(__xludf.DUMMYFUNCTION("""COMPUTED_VALUE"""),"event_mag1_savage_00001")</f>
        <v/>
      </c>
      <c r="K478">
        <f>IFERROR(__xludf.DUMMYFUNCTION("""COMPUTED_VALUE"""),"mag1_savage_quest_select_cell")</f>
        <v/>
      </c>
    </row>
    <row r="479">
      <c r="A479">
        <f>IFERROR(__xludf.DUMMYFUNCTION("""COMPUTED_VALUE"""),"mag1")</f>
        <v/>
      </c>
      <c r="B479">
        <f>IFERROR(__xludf.DUMMYFUNCTION("""COMPUTED_VALUE"""),"株式会社マジルミエ")</f>
        <v/>
      </c>
      <c r="C479">
        <f>IFERROR(__xludf.DUMMYFUNCTION("""COMPUTED_VALUE"""),"savage")</f>
        <v/>
      </c>
      <c r="D479">
        <f>IFERROR(__xludf.DUMMYFUNCTION("""COMPUTED_VALUE"""),"event")</f>
        <v/>
      </c>
      <c r="E479">
        <f>IFERROR(__xludf.DUMMYFUNCTION("""COMPUTED_VALUE"""),"高難易度")</f>
        <v/>
      </c>
      <c r="F479">
        <f>IFERROR(__xludf.DUMMYFUNCTION("""COMPUTED_VALUE"""),"quest_event_mag1_savage")</f>
        <v/>
      </c>
      <c r="G479">
        <f>IFERROR(__xludf.DUMMYFUNCTION("""COMPUTED_VALUE"""),"「怪異」現象")</f>
        <v/>
      </c>
      <c r="H479">
        <f>IFERROR(__xludf.DUMMYFUNCTION("""COMPUTED_VALUE"""),"02")</f>
        <v/>
      </c>
      <c r="I479">
        <f>IFERROR(__xludf.DUMMYFUNCTION("""COMPUTED_VALUE"""),"event_mag1_savage_00002")</f>
        <v/>
      </c>
    </row>
    <row r="481">
      <c r="A481">
        <f>IFERROR(__xludf.DUMMYFUNCTION("""COMPUTED_VALUE"""),"yuw1")</f>
        <v/>
      </c>
      <c r="B481">
        <f>IFERROR(__xludf.DUMMYFUNCTION("""COMPUTED_VALUE"""),"2.5次元の誘惑")</f>
        <v/>
      </c>
      <c r="C481">
        <f>IFERROR(__xludf.DUMMYFUNCTION("""COMPUTED_VALUE"""),"1day")</f>
        <v/>
      </c>
      <c r="D481">
        <f>IFERROR(__xludf.DUMMYFUNCTION("""COMPUTED_VALUE"""),"event")</f>
        <v/>
      </c>
      <c r="E481">
        <f>IFERROR(__xludf.DUMMYFUNCTION("""COMPUTED_VALUE"""),"デイリー")</f>
        <v/>
      </c>
      <c r="F481">
        <f>IFERROR(__xludf.DUMMYFUNCTION("""COMPUTED_VALUE"""),"quest_event_yuw1_1day")</f>
        <v/>
      </c>
      <c r="G481">
        <f>IFERROR(__xludf.DUMMYFUNCTION("""COMPUTED_VALUE"""),"はじめての撮影会")</f>
        <v/>
      </c>
      <c r="H481">
        <f>IFERROR(__xludf.DUMMYFUNCTION("""COMPUTED_VALUE"""),"01")</f>
        <v/>
      </c>
      <c r="I481">
        <f>IFERROR(__xludf.DUMMYFUNCTION("""COMPUTED_VALUE"""),"event_yuw1_1day_00001")</f>
        <v/>
      </c>
      <c r="K481">
        <f>IFERROR(__xludf.DUMMYFUNCTION("""COMPUTED_VALUE"""),"yuw1_1day_quest_select_cell")</f>
        <v/>
      </c>
    </row>
    <row r="482">
      <c r="A482">
        <f>IFERROR(__xludf.DUMMYFUNCTION("""COMPUTED_VALUE"""),"yuw1")</f>
        <v/>
      </c>
      <c r="B482">
        <f>IFERROR(__xludf.DUMMYFUNCTION("""COMPUTED_VALUE"""),"2.5次元の誘惑")</f>
        <v/>
      </c>
      <c r="C482">
        <f>IFERROR(__xludf.DUMMYFUNCTION("""COMPUTED_VALUE"""),"charaget01")</f>
        <v/>
      </c>
      <c r="D482">
        <f>IFERROR(__xludf.DUMMYFUNCTION("""COMPUTED_VALUE"""),"event")</f>
        <v/>
      </c>
      <c r="E482">
        <f>IFERROR(__xludf.DUMMYFUNCTION("""COMPUTED_VALUE"""),"ストーリー")</f>
        <v/>
      </c>
      <c r="F482">
        <f>IFERROR(__xludf.DUMMYFUNCTION("""COMPUTED_VALUE"""),"quest_event_yuw1_charaget01")</f>
        <v/>
      </c>
      <c r="G482">
        <f>IFERROR(__xludf.DUMMYFUNCTION("""COMPUTED_VALUE"""),"コスプレをしに来たんだよ")</f>
        <v/>
      </c>
      <c r="H482">
        <f>IFERROR(__xludf.DUMMYFUNCTION("""COMPUTED_VALUE"""),"01")</f>
        <v/>
      </c>
      <c r="I482">
        <f>IFERROR(__xludf.DUMMYFUNCTION("""COMPUTED_VALUE"""),"event_yuw1_charaget01_00001")</f>
        <v/>
      </c>
      <c r="K482">
        <f>IFERROR(__xludf.DUMMYFUNCTION("""COMPUTED_VALUE"""),"yuw1_charaget01_quest_select_cell")</f>
        <v/>
      </c>
    </row>
    <row r="483">
      <c r="A483">
        <f>IFERROR(__xludf.DUMMYFUNCTION("""COMPUTED_VALUE"""),"yuw1")</f>
        <v/>
      </c>
      <c r="B483">
        <f>IFERROR(__xludf.DUMMYFUNCTION("""COMPUTED_VALUE"""),"2.5次元の誘惑")</f>
        <v/>
      </c>
      <c r="C483">
        <f>IFERROR(__xludf.DUMMYFUNCTION("""COMPUTED_VALUE"""),"charaget01")</f>
        <v/>
      </c>
      <c r="D483">
        <f>IFERROR(__xludf.DUMMYFUNCTION("""COMPUTED_VALUE"""),"event")</f>
        <v/>
      </c>
      <c r="E483">
        <f>IFERROR(__xludf.DUMMYFUNCTION("""COMPUTED_VALUE"""),"ストーリー")</f>
        <v/>
      </c>
      <c r="F483">
        <f>IFERROR(__xludf.DUMMYFUNCTION("""COMPUTED_VALUE"""),"quest_event_yuw1_charaget01")</f>
        <v/>
      </c>
      <c r="G483">
        <f>IFERROR(__xludf.DUMMYFUNCTION("""COMPUTED_VALUE"""),"コスプレをしに来たんだよ")</f>
        <v/>
      </c>
      <c r="H483">
        <f>IFERROR(__xludf.DUMMYFUNCTION("""COMPUTED_VALUE"""),"02")</f>
        <v/>
      </c>
      <c r="I483">
        <f>IFERROR(__xludf.DUMMYFUNCTION("""COMPUTED_VALUE"""),"event_yuw1_charaget01_00002")</f>
        <v/>
      </c>
    </row>
    <row r="484">
      <c r="A484">
        <f>IFERROR(__xludf.DUMMYFUNCTION("""COMPUTED_VALUE"""),"yuw1")</f>
        <v/>
      </c>
      <c r="B484">
        <f>IFERROR(__xludf.DUMMYFUNCTION("""COMPUTED_VALUE"""),"2.5次元の誘惑")</f>
        <v/>
      </c>
      <c r="C484">
        <f>IFERROR(__xludf.DUMMYFUNCTION("""COMPUTED_VALUE"""),"charaget01")</f>
        <v/>
      </c>
      <c r="D484">
        <f>IFERROR(__xludf.DUMMYFUNCTION("""COMPUTED_VALUE"""),"event")</f>
        <v/>
      </c>
      <c r="E484">
        <f>IFERROR(__xludf.DUMMYFUNCTION("""COMPUTED_VALUE"""),"ストーリー")</f>
        <v/>
      </c>
      <c r="F484">
        <f>IFERROR(__xludf.DUMMYFUNCTION("""COMPUTED_VALUE"""),"quest_event_yuw1_charaget01")</f>
        <v/>
      </c>
      <c r="G484">
        <f>IFERROR(__xludf.DUMMYFUNCTION("""COMPUTED_VALUE"""),"コスプレをしに来たんだよ")</f>
        <v/>
      </c>
      <c r="H484">
        <f>IFERROR(__xludf.DUMMYFUNCTION("""COMPUTED_VALUE"""),"03")</f>
        <v/>
      </c>
      <c r="I484">
        <f>IFERROR(__xludf.DUMMYFUNCTION("""COMPUTED_VALUE"""),"event_yuw1_charaget01_00003")</f>
        <v/>
      </c>
    </row>
    <row r="485">
      <c r="A485">
        <f>IFERROR(__xludf.DUMMYFUNCTION("""COMPUTED_VALUE"""),"yuw1")</f>
        <v/>
      </c>
      <c r="B485">
        <f>IFERROR(__xludf.DUMMYFUNCTION("""COMPUTED_VALUE"""),"2.5次元の誘惑")</f>
        <v/>
      </c>
      <c r="C485">
        <f>IFERROR(__xludf.DUMMYFUNCTION("""COMPUTED_VALUE"""),"charaget01")</f>
        <v/>
      </c>
      <c r="D485">
        <f>IFERROR(__xludf.DUMMYFUNCTION("""COMPUTED_VALUE"""),"event")</f>
        <v/>
      </c>
      <c r="E485">
        <f>IFERROR(__xludf.DUMMYFUNCTION("""COMPUTED_VALUE"""),"ストーリー")</f>
        <v/>
      </c>
      <c r="F485">
        <f>IFERROR(__xludf.DUMMYFUNCTION("""COMPUTED_VALUE"""),"quest_event_yuw1_charaget01")</f>
        <v/>
      </c>
      <c r="G485">
        <f>IFERROR(__xludf.DUMMYFUNCTION("""COMPUTED_VALUE"""),"コスプレをしに来たんだよ")</f>
        <v/>
      </c>
      <c r="H485">
        <f>IFERROR(__xludf.DUMMYFUNCTION("""COMPUTED_VALUE"""),"04")</f>
        <v/>
      </c>
      <c r="I485">
        <f>IFERROR(__xludf.DUMMYFUNCTION("""COMPUTED_VALUE"""),"event_yuw1_charaget01_00004")</f>
        <v/>
      </c>
    </row>
    <row r="486">
      <c r="A486">
        <f>IFERROR(__xludf.DUMMYFUNCTION("""COMPUTED_VALUE"""),"yuw1")</f>
        <v/>
      </c>
      <c r="B486">
        <f>IFERROR(__xludf.DUMMYFUNCTION("""COMPUTED_VALUE"""),"2.5次元の誘惑")</f>
        <v/>
      </c>
      <c r="C486">
        <f>IFERROR(__xludf.DUMMYFUNCTION("""COMPUTED_VALUE"""),"charaget01")</f>
        <v/>
      </c>
      <c r="D486">
        <f>IFERROR(__xludf.DUMMYFUNCTION("""COMPUTED_VALUE"""),"event")</f>
        <v/>
      </c>
      <c r="E486">
        <f>IFERROR(__xludf.DUMMYFUNCTION("""COMPUTED_VALUE"""),"ストーリー")</f>
        <v/>
      </c>
      <c r="F486">
        <f>IFERROR(__xludf.DUMMYFUNCTION("""COMPUTED_VALUE"""),"quest_event_yuw1_charaget01")</f>
        <v/>
      </c>
      <c r="G486">
        <f>IFERROR(__xludf.DUMMYFUNCTION("""COMPUTED_VALUE"""),"コスプレをしに来たんだよ")</f>
        <v/>
      </c>
      <c r="H486">
        <f>IFERROR(__xludf.DUMMYFUNCTION("""COMPUTED_VALUE"""),"05")</f>
        <v/>
      </c>
      <c r="I486">
        <f>IFERROR(__xludf.DUMMYFUNCTION("""COMPUTED_VALUE"""),"event_yuw1_charaget01_00005")</f>
        <v/>
      </c>
    </row>
    <row r="487">
      <c r="A487">
        <f>IFERROR(__xludf.DUMMYFUNCTION("""COMPUTED_VALUE"""),"yuw1")</f>
        <v/>
      </c>
      <c r="B487">
        <f>IFERROR(__xludf.DUMMYFUNCTION("""COMPUTED_VALUE"""),"2.5次元の誘惑")</f>
        <v/>
      </c>
      <c r="C487">
        <f>IFERROR(__xludf.DUMMYFUNCTION("""COMPUTED_VALUE"""),"charaget01")</f>
        <v/>
      </c>
      <c r="D487">
        <f>IFERROR(__xludf.DUMMYFUNCTION("""COMPUTED_VALUE"""),"event")</f>
        <v/>
      </c>
      <c r="E487">
        <f>IFERROR(__xludf.DUMMYFUNCTION("""COMPUTED_VALUE"""),"ストーリー")</f>
        <v/>
      </c>
      <c r="F487">
        <f>IFERROR(__xludf.DUMMYFUNCTION("""COMPUTED_VALUE"""),"quest_event_yuw1_charaget01")</f>
        <v/>
      </c>
      <c r="G487">
        <f>IFERROR(__xludf.DUMMYFUNCTION("""COMPUTED_VALUE"""),"コスプレをしに来たんだよ")</f>
        <v/>
      </c>
      <c r="H487">
        <f>IFERROR(__xludf.DUMMYFUNCTION("""COMPUTED_VALUE"""),"06")</f>
        <v/>
      </c>
      <c r="I487">
        <f>IFERROR(__xludf.DUMMYFUNCTION("""COMPUTED_VALUE"""),"event_yuw1_charaget01_00006")</f>
        <v/>
      </c>
    </row>
    <row r="488">
      <c r="A488">
        <f>IFERROR(__xludf.DUMMYFUNCTION("""COMPUTED_VALUE"""),"yuw1")</f>
        <v/>
      </c>
      <c r="B488">
        <f>IFERROR(__xludf.DUMMYFUNCTION("""COMPUTED_VALUE"""),"2.5次元の誘惑")</f>
        <v/>
      </c>
      <c r="C488">
        <f>IFERROR(__xludf.DUMMYFUNCTION("""COMPUTED_VALUE"""),"charaget01")</f>
        <v/>
      </c>
      <c r="D488">
        <f>IFERROR(__xludf.DUMMYFUNCTION("""COMPUTED_VALUE"""),"event")</f>
        <v/>
      </c>
      <c r="E488">
        <f>IFERROR(__xludf.DUMMYFUNCTION("""COMPUTED_VALUE"""),"ストーリー")</f>
        <v/>
      </c>
      <c r="F488">
        <f>IFERROR(__xludf.DUMMYFUNCTION("""COMPUTED_VALUE"""),"quest_event_yuw1_charaget01")</f>
        <v/>
      </c>
      <c r="G488">
        <f>IFERROR(__xludf.DUMMYFUNCTION("""COMPUTED_VALUE"""),"コスプレをしに来たんだよ")</f>
        <v/>
      </c>
      <c r="H488">
        <f>IFERROR(__xludf.DUMMYFUNCTION("""COMPUTED_VALUE"""),"07")</f>
        <v/>
      </c>
      <c r="I488">
        <f>IFERROR(__xludf.DUMMYFUNCTION("""COMPUTED_VALUE"""),"event_yuw1_charaget01_00007")</f>
        <v/>
      </c>
    </row>
    <row r="489">
      <c r="A489">
        <f>IFERROR(__xludf.DUMMYFUNCTION("""COMPUTED_VALUE"""),"yuw1")</f>
        <v/>
      </c>
      <c r="B489">
        <f>IFERROR(__xludf.DUMMYFUNCTION("""COMPUTED_VALUE"""),"2.5次元の誘惑")</f>
        <v/>
      </c>
      <c r="C489">
        <f>IFERROR(__xludf.DUMMYFUNCTION("""COMPUTED_VALUE"""),"charaget01")</f>
        <v/>
      </c>
      <c r="D489">
        <f>IFERROR(__xludf.DUMMYFUNCTION("""COMPUTED_VALUE"""),"event")</f>
        <v/>
      </c>
      <c r="E489">
        <f>IFERROR(__xludf.DUMMYFUNCTION("""COMPUTED_VALUE"""),"ストーリー")</f>
        <v/>
      </c>
      <c r="F489">
        <f>IFERROR(__xludf.DUMMYFUNCTION("""COMPUTED_VALUE"""),"quest_event_yuw1_charaget01")</f>
        <v/>
      </c>
      <c r="G489">
        <f>IFERROR(__xludf.DUMMYFUNCTION("""COMPUTED_VALUE"""),"コスプレをしに来たんだよ")</f>
        <v/>
      </c>
      <c r="H489">
        <f>IFERROR(__xludf.DUMMYFUNCTION("""COMPUTED_VALUE"""),"08")</f>
        <v/>
      </c>
      <c r="I489">
        <f>IFERROR(__xludf.DUMMYFUNCTION("""COMPUTED_VALUE"""),"event_yuw1_charaget01_00008")</f>
        <v/>
      </c>
    </row>
    <row r="490">
      <c r="A490">
        <f>IFERROR(__xludf.DUMMYFUNCTION("""COMPUTED_VALUE"""),"yuw1")</f>
        <v/>
      </c>
      <c r="B490">
        <f>IFERROR(__xludf.DUMMYFUNCTION("""COMPUTED_VALUE"""),"2.5次元の誘惑")</f>
        <v/>
      </c>
      <c r="C490">
        <f>IFERROR(__xludf.DUMMYFUNCTION("""COMPUTED_VALUE"""),"charaget02")</f>
        <v/>
      </c>
      <c r="D490">
        <f>IFERROR(__xludf.DUMMYFUNCTION("""COMPUTED_VALUE"""),"event")</f>
        <v/>
      </c>
      <c r="E490">
        <f>IFERROR(__xludf.DUMMYFUNCTION("""COMPUTED_VALUE"""),"ストーリー")</f>
        <v/>
      </c>
      <c r="F490">
        <f>IFERROR(__xludf.DUMMYFUNCTION("""COMPUTED_VALUE"""),"quest_event_yuw1_charaget02")</f>
        <v/>
      </c>
      <c r="G490">
        <f>IFERROR(__xludf.DUMMYFUNCTION("""COMPUTED_VALUE"""),"俺はずっとオタクなだけです")</f>
        <v/>
      </c>
      <c r="H490">
        <f>IFERROR(__xludf.DUMMYFUNCTION("""COMPUTED_VALUE"""),"01")</f>
        <v/>
      </c>
      <c r="I490">
        <f>IFERROR(__xludf.DUMMYFUNCTION("""COMPUTED_VALUE"""),"event_yuw1_charaget02_00001")</f>
        <v/>
      </c>
      <c r="K490">
        <f>IFERROR(__xludf.DUMMYFUNCTION("""COMPUTED_VALUE"""),"yuw1_charaget02_quest_select_cell")</f>
        <v/>
      </c>
    </row>
    <row r="491">
      <c r="A491">
        <f>IFERROR(__xludf.DUMMYFUNCTION("""COMPUTED_VALUE"""),"yuw1")</f>
        <v/>
      </c>
      <c r="B491">
        <f>IFERROR(__xludf.DUMMYFUNCTION("""COMPUTED_VALUE"""),"2.5次元の誘惑")</f>
        <v/>
      </c>
      <c r="C491">
        <f>IFERROR(__xludf.DUMMYFUNCTION("""COMPUTED_VALUE"""),"charaget02")</f>
        <v/>
      </c>
      <c r="D491">
        <f>IFERROR(__xludf.DUMMYFUNCTION("""COMPUTED_VALUE"""),"event")</f>
        <v/>
      </c>
      <c r="E491">
        <f>IFERROR(__xludf.DUMMYFUNCTION("""COMPUTED_VALUE"""),"ストーリー")</f>
        <v/>
      </c>
      <c r="F491">
        <f>IFERROR(__xludf.DUMMYFUNCTION("""COMPUTED_VALUE"""),"quest_event_yuw1_charaget02")</f>
        <v/>
      </c>
      <c r="G491">
        <f>IFERROR(__xludf.DUMMYFUNCTION("""COMPUTED_VALUE"""),"俺はずっとオタクなだけです")</f>
        <v/>
      </c>
      <c r="H491">
        <f>IFERROR(__xludf.DUMMYFUNCTION("""COMPUTED_VALUE"""),"02")</f>
        <v/>
      </c>
      <c r="I491">
        <f>IFERROR(__xludf.DUMMYFUNCTION("""COMPUTED_VALUE"""),"event_yuw1_charaget02_00002")</f>
        <v/>
      </c>
    </row>
    <row r="492">
      <c r="A492">
        <f>IFERROR(__xludf.DUMMYFUNCTION("""COMPUTED_VALUE"""),"yuw1")</f>
        <v/>
      </c>
      <c r="B492">
        <f>IFERROR(__xludf.DUMMYFUNCTION("""COMPUTED_VALUE"""),"2.5次元の誘惑")</f>
        <v/>
      </c>
      <c r="C492">
        <f>IFERROR(__xludf.DUMMYFUNCTION("""COMPUTED_VALUE"""),"charaget02")</f>
        <v/>
      </c>
      <c r="D492">
        <f>IFERROR(__xludf.DUMMYFUNCTION("""COMPUTED_VALUE"""),"event")</f>
        <v/>
      </c>
      <c r="E492">
        <f>IFERROR(__xludf.DUMMYFUNCTION("""COMPUTED_VALUE"""),"ストーリー")</f>
        <v/>
      </c>
      <c r="F492">
        <f>IFERROR(__xludf.DUMMYFUNCTION("""COMPUTED_VALUE"""),"quest_event_yuw1_charaget02")</f>
        <v/>
      </c>
      <c r="G492">
        <f>IFERROR(__xludf.DUMMYFUNCTION("""COMPUTED_VALUE"""),"俺はずっとオタクなだけです")</f>
        <v/>
      </c>
      <c r="H492">
        <f>IFERROR(__xludf.DUMMYFUNCTION("""COMPUTED_VALUE"""),"03")</f>
        <v/>
      </c>
      <c r="I492">
        <f>IFERROR(__xludf.DUMMYFUNCTION("""COMPUTED_VALUE"""),"event_yuw1_charaget02_00003")</f>
        <v/>
      </c>
    </row>
    <row r="493">
      <c r="A493">
        <f>IFERROR(__xludf.DUMMYFUNCTION("""COMPUTED_VALUE"""),"yuw1")</f>
        <v/>
      </c>
      <c r="B493">
        <f>IFERROR(__xludf.DUMMYFUNCTION("""COMPUTED_VALUE"""),"2.5次元の誘惑")</f>
        <v/>
      </c>
      <c r="C493">
        <f>IFERROR(__xludf.DUMMYFUNCTION("""COMPUTED_VALUE"""),"charaget02")</f>
        <v/>
      </c>
      <c r="D493">
        <f>IFERROR(__xludf.DUMMYFUNCTION("""COMPUTED_VALUE"""),"event")</f>
        <v/>
      </c>
      <c r="E493">
        <f>IFERROR(__xludf.DUMMYFUNCTION("""COMPUTED_VALUE"""),"ストーリー")</f>
        <v/>
      </c>
      <c r="F493">
        <f>IFERROR(__xludf.DUMMYFUNCTION("""COMPUTED_VALUE"""),"quest_event_yuw1_charaget02")</f>
        <v/>
      </c>
      <c r="G493">
        <f>IFERROR(__xludf.DUMMYFUNCTION("""COMPUTED_VALUE"""),"俺はずっとオタクなだけです")</f>
        <v/>
      </c>
      <c r="H493">
        <f>IFERROR(__xludf.DUMMYFUNCTION("""COMPUTED_VALUE"""),"04")</f>
        <v/>
      </c>
      <c r="I493">
        <f>IFERROR(__xludf.DUMMYFUNCTION("""COMPUTED_VALUE"""),"event_yuw1_charaget02_00004")</f>
        <v/>
      </c>
    </row>
    <row r="494">
      <c r="A494">
        <f>IFERROR(__xludf.DUMMYFUNCTION("""COMPUTED_VALUE"""),"yuw1")</f>
        <v/>
      </c>
      <c r="B494">
        <f>IFERROR(__xludf.DUMMYFUNCTION("""COMPUTED_VALUE"""),"2.5次元の誘惑")</f>
        <v/>
      </c>
      <c r="C494">
        <f>IFERROR(__xludf.DUMMYFUNCTION("""COMPUTED_VALUE"""),"charaget02")</f>
        <v/>
      </c>
      <c r="D494">
        <f>IFERROR(__xludf.DUMMYFUNCTION("""COMPUTED_VALUE"""),"event")</f>
        <v/>
      </c>
      <c r="E494">
        <f>IFERROR(__xludf.DUMMYFUNCTION("""COMPUTED_VALUE"""),"ストーリー")</f>
        <v/>
      </c>
      <c r="F494">
        <f>IFERROR(__xludf.DUMMYFUNCTION("""COMPUTED_VALUE"""),"quest_event_yuw1_charaget02")</f>
        <v/>
      </c>
      <c r="G494">
        <f>IFERROR(__xludf.DUMMYFUNCTION("""COMPUTED_VALUE"""),"俺はずっとオタクなだけです")</f>
        <v/>
      </c>
      <c r="H494">
        <f>IFERROR(__xludf.DUMMYFUNCTION("""COMPUTED_VALUE"""),"05")</f>
        <v/>
      </c>
      <c r="I494">
        <f>IFERROR(__xludf.DUMMYFUNCTION("""COMPUTED_VALUE"""),"event_yuw1_charaget02_00005")</f>
        <v/>
      </c>
    </row>
    <row r="495">
      <c r="A495">
        <f>IFERROR(__xludf.DUMMYFUNCTION("""COMPUTED_VALUE"""),"yuw1")</f>
        <v/>
      </c>
      <c r="B495">
        <f>IFERROR(__xludf.DUMMYFUNCTION("""COMPUTED_VALUE"""),"2.5次元の誘惑")</f>
        <v/>
      </c>
      <c r="C495">
        <f>IFERROR(__xludf.DUMMYFUNCTION("""COMPUTED_VALUE"""),"charaget02")</f>
        <v/>
      </c>
      <c r="D495">
        <f>IFERROR(__xludf.DUMMYFUNCTION("""COMPUTED_VALUE"""),"event")</f>
        <v/>
      </c>
      <c r="E495">
        <f>IFERROR(__xludf.DUMMYFUNCTION("""COMPUTED_VALUE"""),"ストーリー")</f>
        <v/>
      </c>
      <c r="F495">
        <f>IFERROR(__xludf.DUMMYFUNCTION("""COMPUTED_VALUE"""),"quest_event_yuw1_charaget02")</f>
        <v/>
      </c>
      <c r="G495">
        <f>IFERROR(__xludf.DUMMYFUNCTION("""COMPUTED_VALUE"""),"俺はずっとオタクなだけです")</f>
        <v/>
      </c>
      <c r="H495">
        <f>IFERROR(__xludf.DUMMYFUNCTION("""COMPUTED_VALUE"""),"06")</f>
        <v/>
      </c>
      <c r="I495">
        <f>IFERROR(__xludf.DUMMYFUNCTION("""COMPUTED_VALUE"""),"event_yuw1_charaget02_00006")</f>
        <v/>
      </c>
    </row>
    <row r="496">
      <c r="A496">
        <f>IFERROR(__xludf.DUMMYFUNCTION("""COMPUTED_VALUE"""),"yuw1")</f>
        <v/>
      </c>
      <c r="B496">
        <f>IFERROR(__xludf.DUMMYFUNCTION("""COMPUTED_VALUE"""),"2.5次元の誘惑")</f>
        <v/>
      </c>
      <c r="C496">
        <f>IFERROR(__xludf.DUMMYFUNCTION("""COMPUTED_VALUE"""),"charaget02")</f>
        <v/>
      </c>
      <c r="D496">
        <f>IFERROR(__xludf.DUMMYFUNCTION("""COMPUTED_VALUE"""),"event")</f>
        <v/>
      </c>
      <c r="E496">
        <f>IFERROR(__xludf.DUMMYFUNCTION("""COMPUTED_VALUE"""),"ストーリー")</f>
        <v/>
      </c>
      <c r="F496">
        <f>IFERROR(__xludf.DUMMYFUNCTION("""COMPUTED_VALUE"""),"quest_event_yuw1_charaget02")</f>
        <v/>
      </c>
      <c r="G496">
        <f>IFERROR(__xludf.DUMMYFUNCTION("""COMPUTED_VALUE"""),"俺はずっとオタクなだけです")</f>
        <v/>
      </c>
      <c r="H496">
        <f>IFERROR(__xludf.DUMMYFUNCTION("""COMPUTED_VALUE"""),"07")</f>
        <v/>
      </c>
      <c r="I496">
        <f>IFERROR(__xludf.DUMMYFUNCTION("""COMPUTED_VALUE"""),"event_yuw1_charaget02_00007")</f>
        <v/>
      </c>
    </row>
    <row r="497">
      <c r="A497">
        <f>IFERROR(__xludf.DUMMYFUNCTION("""COMPUTED_VALUE"""),"yuw1")</f>
        <v/>
      </c>
      <c r="B497">
        <f>IFERROR(__xludf.DUMMYFUNCTION("""COMPUTED_VALUE"""),"2.5次元の誘惑")</f>
        <v/>
      </c>
      <c r="C497">
        <f>IFERROR(__xludf.DUMMYFUNCTION("""COMPUTED_VALUE"""),"charaget02")</f>
        <v/>
      </c>
      <c r="D497">
        <f>IFERROR(__xludf.DUMMYFUNCTION("""COMPUTED_VALUE"""),"event")</f>
        <v/>
      </c>
      <c r="E497">
        <f>IFERROR(__xludf.DUMMYFUNCTION("""COMPUTED_VALUE"""),"ストーリー")</f>
        <v/>
      </c>
      <c r="F497">
        <f>IFERROR(__xludf.DUMMYFUNCTION("""COMPUTED_VALUE"""),"quest_event_yuw1_charaget02")</f>
        <v/>
      </c>
      <c r="G497">
        <f>IFERROR(__xludf.DUMMYFUNCTION("""COMPUTED_VALUE"""),"俺はずっとオタクなだけです")</f>
        <v/>
      </c>
      <c r="H497">
        <f>IFERROR(__xludf.DUMMYFUNCTION("""COMPUTED_VALUE"""),"08")</f>
        <v/>
      </c>
      <c r="I497">
        <f>IFERROR(__xludf.DUMMYFUNCTION("""COMPUTED_VALUE"""),"event_yuw1_charaget02_00008")</f>
        <v/>
      </c>
    </row>
    <row r="498">
      <c r="A498">
        <f>IFERROR(__xludf.DUMMYFUNCTION("""COMPUTED_VALUE"""),"yuw1")</f>
        <v/>
      </c>
      <c r="B498">
        <f>IFERROR(__xludf.DUMMYFUNCTION("""COMPUTED_VALUE"""),"2.5次元の誘惑")</f>
        <v/>
      </c>
      <c r="C498">
        <f>IFERROR(__xludf.DUMMYFUNCTION("""COMPUTED_VALUE"""),"challenge01")</f>
        <v/>
      </c>
      <c r="D498">
        <f>IFERROR(__xludf.DUMMYFUNCTION("""COMPUTED_VALUE"""),"event")</f>
        <v/>
      </c>
      <c r="E498">
        <f>IFERROR(__xludf.DUMMYFUNCTION("""COMPUTED_VALUE"""),"チャレンジ")</f>
        <v/>
      </c>
      <c r="F498">
        <f>IFERROR(__xludf.DUMMYFUNCTION("""COMPUTED_VALUE"""),"quest_event_yuw1_challenge01")</f>
        <v/>
      </c>
      <c r="G498">
        <f>IFERROR(__xludf.DUMMYFUNCTION("""COMPUTED_VALUE"""),"幸せです…")</f>
        <v/>
      </c>
      <c r="H498">
        <f>IFERROR(__xludf.DUMMYFUNCTION("""COMPUTED_VALUE"""),"01")</f>
        <v/>
      </c>
      <c r="I498">
        <f>IFERROR(__xludf.DUMMYFUNCTION("""COMPUTED_VALUE"""),"event_yuw1_challenge01_00001")</f>
        <v/>
      </c>
      <c r="K498">
        <f>IFERROR(__xludf.DUMMYFUNCTION("""COMPUTED_VALUE"""),"yuw1_challenge01_quest_select_cell")</f>
        <v/>
      </c>
    </row>
    <row r="499">
      <c r="A499">
        <f>IFERROR(__xludf.DUMMYFUNCTION("""COMPUTED_VALUE"""),"yuw1")</f>
        <v/>
      </c>
      <c r="B499">
        <f>IFERROR(__xludf.DUMMYFUNCTION("""COMPUTED_VALUE"""),"2.5次元の誘惑")</f>
        <v/>
      </c>
      <c r="C499">
        <f>IFERROR(__xludf.DUMMYFUNCTION("""COMPUTED_VALUE"""),"challenge01")</f>
        <v/>
      </c>
      <c r="D499">
        <f>IFERROR(__xludf.DUMMYFUNCTION("""COMPUTED_VALUE"""),"event")</f>
        <v/>
      </c>
      <c r="E499">
        <f>IFERROR(__xludf.DUMMYFUNCTION("""COMPUTED_VALUE"""),"チャレンジ")</f>
        <v/>
      </c>
      <c r="F499">
        <f>IFERROR(__xludf.DUMMYFUNCTION("""COMPUTED_VALUE"""),"quest_event_yuw1_challenge01")</f>
        <v/>
      </c>
      <c r="G499">
        <f>IFERROR(__xludf.DUMMYFUNCTION("""COMPUTED_VALUE"""),"幸せです…")</f>
        <v/>
      </c>
      <c r="H499">
        <f>IFERROR(__xludf.DUMMYFUNCTION("""COMPUTED_VALUE"""),"02")</f>
        <v/>
      </c>
      <c r="I499">
        <f>IFERROR(__xludf.DUMMYFUNCTION("""COMPUTED_VALUE"""),"event_yuw1_challenge01_00002")</f>
        <v/>
      </c>
    </row>
    <row r="500">
      <c r="A500">
        <f>IFERROR(__xludf.DUMMYFUNCTION("""COMPUTED_VALUE"""),"yuw1")</f>
        <v/>
      </c>
      <c r="B500">
        <f>IFERROR(__xludf.DUMMYFUNCTION("""COMPUTED_VALUE"""),"2.5次元の誘惑")</f>
        <v/>
      </c>
      <c r="C500">
        <f>IFERROR(__xludf.DUMMYFUNCTION("""COMPUTED_VALUE"""),"challenge01")</f>
        <v/>
      </c>
      <c r="D500">
        <f>IFERROR(__xludf.DUMMYFUNCTION("""COMPUTED_VALUE"""),"event")</f>
        <v/>
      </c>
      <c r="E500">
        <f>IFERROR(__xludf.DUMMYFUNCTION("""COMPUTED_VALUE"""),"チャレンジ")</f>
        <v/>
      </c>
      <c r="F500">
        <f>IFERROR(__xludf.DUMMYFUNCTION("""COMPUTED_VALUE"""),"quest_event_yuw1_challenge01")</f>
        <v/>
      </c>
      <c r="G500">
        <f>IFERROR(__xludf.DUMMYFUNCTION("""COMPUTED_VALUE"""),"幸せです…")</f>
        <v/>
      </c>
      <c r="H500">
        <f>IFERROR(__xludf.DUMMYFUNCTION("""COMPUTED_VALUE"""),"03")</f>
        <v/>
      </c>
      <c r="I500">
        <f>IFERROR(__xludf.DUMMYFUNCTION("""COMPUTED_VALUE"""),"event_yuw1_challenge01_00003")</f>
        <v/>
      </c>
    </row>
    <row r="501">
      <c r="A501">
        <f>IFERROR(__xludf.DUMMYFUNCTION("""COMPUTED_VALUE"""),"yuw1")</f>
        <v/>
      </c>
      <c r="B501">
        <f>IFERROR(__xludf.DUMMYFUNCTION("""COMPUTED_VALUE"""),"2.5次元の誘惑")</f>
        <v/>
      </c>
      <c r="C501">
        <f>IFERROR(__xludf.DUMMYFUNCTION("""COMPUTED_VALUE"""),"challenge01")</f>
        <v/>
      </c>
      <c r="D501">
        <f>IFERROR(__xludf.DUMMYFUNCTION("""COMPUTED_VALUE"""),"event")</f>
        <v/>
      </c>
      <c r="E501">
        <f>IFERROR(__xludf.DUMMYFUNCTION("""COMPUTED_VALUE"""),"チャレンジ")</f>
        <v/>
      </c>
      <c r="F501">
        <f>IFERROR(__xludf.DUMMYFUNCTION("""COMPUTED_VALUE"""),"quest_event_yuw1_challenge01")</f>
        <v/>
      </c>
      <c r="G501">
        <f>IFERROR(__xludf.DUMMYFUNCTION("""COMPUTED_VALUE"""),"幸せです…")</f>
        <v/>
      </c>
      <c r="H501">
        <f>IFERROR(__xludf.DUMMYFUNCTION("""COMPUTED_VALUE"""),"04")</f>
        <v/>
      </c>
      <c r="I501">
        <f>IFERROR(__xludf.DUMMYFUNCTION("""COMPUTED_VALUE"""),"event_yuw1_challenge01_00004")</f>
        <v/>
      </c>
    </row>
    <row r="502">
      <c r="A502">
        <f>IFERROR(__xludf.DUMMYFUNCTION("""COMPUTED_VALUE"""),"yuw1")</f>
        <v/>
      </c>
      <c r="B502">
        <f>IFERROR(__xludf.DUMMYFUNCTION("""COMPUTED_VALUE"""),"2.5次元の誘惑")</f>
        <v/>
      </c>
      <c r="C502">
        <f>IFERROR(__xludf.DUMMYFUNCTION("""COMPUTED_VALUE"""),"savage")</f>
        <v/>
      </c>
      <c r="D502">
        <f>IFERROR(__xludf.DUMMYFUNCTION("""COMPUTED_VALUE"""),"event")</f>
        <v/>
      </c>
      <c r="E502">
        <f>IFERROR(__xludf.DUMMYFUNCTION("""COMPUTED_VALUE"""),"高難易度")</f>
        <v/>
      </c>
      <c r="F502">
        <f>IFERROR(__xludf.DUMMYFUNCTION("""COMPUTED_VALUE"""),"quest_event_yuw1_savage")</f>
        <v/>
      </c>
      <c r="G502">
        <f>IFERROR(__xludf.DUMMYFUNCTION("""COMPUTED_VALUE"""),"これがこの世界の頂上")</f>
        <v/>
      </c>
      <c r="H502">
        <f>IFERROR(__xludf.DUMMYFUNCTION("""COMPUTED_VALUE"""),"01")</f>
        <v/>
      </c>
      <c r="I502">
        <f>IFERROR(__xludf.DUMMYFUNCTION("""COMPUTED_VALUE"""),"event_yuw1_savage_00001")</f>
        <v/>
      </c>
      <c r="K502">
        <f>IFERROR(__xludf.DUMMYFUNCTION("""COMPUTED_VALUE"""),"yuw1_savage_quest_select_cell")</f>
        <v/>
      </c>
    </row>
    <row r="503">
      <c r="A503">
        <f>IFERROR(__xludf.DUMMYFUNCTION("""COMPUTED_VALUE"""),"yuw1")</f>
        <v/>
      </c>
      <c r="B503">
        <f>IFERROR(__xludf.DUMMYFUNCTION("""COMPUTED_VALUE"""),"2.5次元の誘惑")</f>
        <v/>
      </c>
      <c r="C503">
        <f>IFERROR(__xludf.DUMMYFUNCTION("""COMPUTED_VALUE"""),"savage")</f>
        <v/>
      </c>
      <c r="D503">
        <f>IFERROR(__xludf.DUMMYFUNCTION("""COMPUTED_VALUE"""),"event")</f>
        <v/>
      </c>
      <c r="E503">
        <f>IFERROR(__xludf.DUMMYFUNCTION("""COMPUTED_VALUE"""),"高難易度")</f>
        <v/>
      </c>
      <c r="F503">
        <f>IFERROR(__xludf.DUMMYFUNCTION("""COMPUTED_VALUE"""),"quest_event_yuw1_savage")</f>
        <v/>
      </c>
      <c r="G503">
        <f>IFERROR(__xludf.DUMMYFUNCTION("""COMPUTED_VALUE"""),"これがこの世界の頂上")</f>
        <v/>
      </c>
      <c r="H503">
        <f>IFERROR(__xludf.DUMMYFUNCTION("""COMPUTED_VALUE"""),"02")</f>
        <v/>
      </c>
      <c r="I503">
        <f>IFERROR(__xludf.DUMMYFUNCTION("""COMPUTED_VALUE"""),"event_yuw1_savage_00002")</f>
        <v/>
      </c>
    </row>
    <row r="504">
      <c r="A504">
        <f>IFERROR(__xludf.DUMMYFUNCTION("""COMPUTED_VALUE"""),"yuw1")</f>
        <v/>
      </c>
      <c r="B504">
        <f>IFERROR(__xludf.DUMMYFUNCTION("""COMPUTED_VALUE"""),"2.5次元の誘惑")</f>
        <v/>
      </c>
      <c r="C504">
        <f>IFERROR(__xludf.DUMMYFUNCTION("""COMPUTED_VALUE"""),"savage")</f>
        <v/>
      </c>
      <c r="D504">
        <f>IFERROR(__xludf.DUMMYFUNCTION("""COMPUTED_VALUE"""),"event")</f>
        <v/>
      </c>
      <c r="E504">
        <f>IFERROR(__xludf.DUMMYFUNCTION("""COMPUTED_VALUE"""),"高難易度")</f>
        <v/>
      </c>
      <c r="F504">
        <f>IFERROR(__xludf.DUMMYFUNCTION("""COMPUTED_VALUE"""),"quest_event_yuw1_savage")</f>
        <v/>
      </c>
      <c r="G504">
        <f>IFERROR(__xludf.DUMMYFUNCTION("""COMPUTED_VALUE"""),"これがこの世界の頂上")</f>
        <v/>
      </c>
      <c r="H504">
        <f>IFERROR(__xludf.DUMMYFUNCTION("""COMPUTED_VALUE"""),"03")</f>
        <v/>
      </c>
      <c r="I504">
        <f>IFERROR(__xludf.DUMMYFUNCTION("""COMPUTED_VALUE"""),"event_yuw1_savage_00003")</f>
        <v/>
      </c>
    </row>
    <row r="505">
      <c r="A505">
        <f>IFERROR(__xludf.DUMMYFUNCTION("""COMPUTED_VALUE"""),"yuw1")</f>
        <v/>
      </c>
      <c r="B505">
        <f>IFERROR(__xludf.DUMMYFUNCTION("""COMPUTED_VALUE"""),"2.5次元の誘惑")</f>
        <v/>
      </c>
      <c r="C505">
        <f>IFERROR(__xludf.DUMMYFUNCTION("""COMPUTED_VALUE"""),"savage02")</f>
        <v/>
      </c>
      <c r="D505">
        <f>IFERROR(__xludf.DUMMYFUNCTION("""COMPUTED_VALUE"""),"event")</f>
        <v/>
      </c>
      <c r="E505">
        <f>IFERROR(__xludf.DUMMYFUNCTION("""COMPUTED_VALUE"""),"高難易度")</f>
        <v/>
      </c>
      <c r="F505">
        <f>IFERROR(__xludf.DUMMYFUNCTION("""COMPUTED_VALUE"""),"quest_event_yuw1_savage02")</f>
        <v/>
      </c>
      <c r="G505">
        <f>IFERROR(__xludf.DUMMYFUNCTION("""COMPUTED_VALUE"""),"クリスマスバトル!!")</f>
        <v/>
      </c>
      <c r="H505">
        <f>IFERROR(__xludf.DUMMYFUNCTION("""COMPUTED_VALUE"""),"01")</f>
        <v/>
      </c>
      <c r="I505">
        <f>IFERROR(__xludf.DUMMYFUNCTION("""COMPUTED_VALUE"""),"event_yuw1_savage02_00001")</f>
        <v/>
      </c>
      <c r="K505">
        <f>IFERROR(__xludf.DUMMYFUNCTION("""COMPUTED_VALUE"""),"yuw1_savage02_quest_select_cell")</f>
        <v/>
      </c>
    </row>
    <row r="506">
      <c r="A506">
        <f>IFERROR(__xludf.DUMMYFUNCTION("""COMPUTED_VALUE"""),"yuw1")</f>
        <v/>
      </c>
      <c r="B506">
        <f>IFERROR(__xludf.DUMMYFUNCTION("""COMPUTED_VALUE"""),"2.5次元の誘惑")</f>
        <v/>
      </c>
      <c r="C506">
        <f>IFERROR(__xludf.DUMMYFUNCTION("""COMPUTED_VALUE"""),"savage02")</f>
        <v/>
      </c>
      <c r="D506">
        <f>IFERROR(__xludf.DUMMYFUNCTION("""COMPUTED_VALUE"""),"event")</f>
        <v/>
      </c>
      <c r="E506">
        <f>IFERROR(__xludf.DUMMYFUNCTION("""COMPUTED_VALUE"""),"高難易度")</f>
        <v/>
      </c>
      <c r="F506">
        <f>IFERROR(__xludf.DUMMYFUNCTION("""COMPUTED_VALUE"""),"quest_event_yuw1_savage02")</f>
        <v/>
      </c>
      <c r="G506">
        <f>IFERROR(__xludf.DUMMYFUNCTION("""COMPUTED_VALUE"""),"クリスマスバトル!!")</f>
        <v/>
      </c>
      <c r="H506">
        <f>IFERROR(__xludf.DUMMYFUNCTION("""COMPUTED_VALUE"""),"02")</f>
        <v/>
      </c>
      <c r="I506">
        <f>IFERROR(__xludf.DUMMYFUNCTION("""COMPUTED_VALUE"""),"event_yuw1_savage02_00002")</f>
        <v/>
      </c>
    </row>
    <row r="508">
      <c r="A508">
        <f>IFERROR(__xludf.DUMMYFUNCTION("""COMPUTED_VALUE"""),"sur1")</f>
        <v/>
      </c>
      <c r="B508">
        <f>IFERROR(__xludf.DUMMYFUNCTION("""COMPUTED_VALUE"""),"魔都精兵のスレイブ")</f>
        <v/>
      </c>
      <c r="C508">
        <f>IFERROR(__xludf.DUMMYFUNCTION("""COMPUTED_VALUE"""),"1day")</f>
        <v/>
      </c>
      <c r="D508">
        <f>IFERROR(__xludf.DUMMYFUNCTION("""COMPUTED_VALUE"""),"event")</f>
        <v/>
      </c>
      <c r="E508">
        <f>IFERROR(__xludf.DUMMYFUNCTION("""COMPUTED_VALUE"""),"デイリー")</f>
        <v/>
      </c>
      <c r="F508">
        <f>IFERROR(__xludf.DUMMYFUNCTION("""COMPUTED_VALUE"""),"quest_event_sur1_1day")</f>
        <v/>
      </c>
      <c r="G508">
        <f>IFERROR(__xludf.DUMMYFUNCTION("""COMPUTED_VALUE"""),"精兵と管理人")</f>
        <v/>
      </c>
      <c r="H508">
        <f>IFERROR(__xludf.DUMMYFUNCTION("""COMPUTED_VALUE"""),"01")</f>
        <v/>
      </c>
      <c r="I508">
        <f>IFERROR(__xludf.DUMMYFUNCTION("""COMPUTED_VALUE"""),"event_sur1_1day_00001")</f>
        <v/>
      </c>
      <c r="K508">
        <f>IFERROR(__xludf.DUMMYFUNCTION("""COMPUTED_VALUE"""),"sur1_1day_quest_select_cell")</f>
        <v/>
      </c>
    </row>
    <row r="509">
      <c r="A509">
        <f>IFERROR(__xludf.DUMMYFUNCTION("""COMPUTED_VALUE"""),"sur1")</f>
        <v/>
      </c>
      <c r="B509">
        <f>IFERROR(__xludf.DUMMYFUNCTION("""COMPUTED_VALUE"""),"魔都精兵のスレイブ")</f>
        <v/>
      </c>
      <c r="C509">
        <f>IFERROR(__xludf.DUMMYFUNCTION("""COMPUTED_VALUE"""),"charaget01")</f>
        <v/>
      </c>
      <c r="D509">
        <f>IFERROR(__xludf.DUMMYFUNCTION("""COMPUTED_VALUE"""),"event")</f>
        <v/>
      </c>
      <c r="E509">
        <f>IFERROR(__xludf.DUMMYFUNCTION("""COMPUTED_VALUE"""),"ストーリー")</f>
        <v/>
      </c>
      <c r="F509">
        <f>IFERROR(__xludf.DUMMYFUNCTION("""COMPUTED_VALUE"""),"quest_event_sur1_charaget01")</f>
        <v/>
      </c>
      <c r="G509">
        <f>IFERROR(__xludf.DUMMYFUNCTION("""COMPUTED_VALUE"""),"スレイブの誕生")</f>
        <v/>
      </c>
      <c r="H509">
        <f>IFERROR(__xludf.DUMMYFUNCTION("""COMPUTED_VALUE"""),"01")</f>
        <v/>
      </c>
      <c r="I509">
        <f>IFERROR(__xludf.DUMMYFUNCTION("""COMPUTED_VALUE"""),"event_sur1_charaget01_00001")</f>
        <v/>
      </c>
      <c r="K509">
        <f>IFERROR(__xludf.DUMMYFUNCTION("""COMPUTED_VALUE"""),"sur1_charaget01_quest_select_cell")</f>
        <v/>
      </c>
    </row>
    <row r="510">
      <c r="A510">
        <f>IFERROR(__xludf.DUMMYFUNCTION("""COMPUTED_VALUE"""),"sur1")</f>
        <v/>
      </c>
      <c r="B510">
        <f>IFERROR(__xludf.DUMMYFUNCTION("""COMPUTED_VALUE"""),"魔都精兵のスレイブ")</f>
        <v/>
      </c>
      <c r="C510">
        <f>IFERROR(__xludf.DUMMYFUNCTION("""COMPUTED_VALUE"""),"charaget01")</f>
        <v/>
      </c>
      <c r="D510">
        <f>IFERROR(__xludf.DUMMYFUNCTION("""COMPUTED_VALUE"""),"event")</f>
        <v/>
      </c>
      <c r="E510">
        <f>IFERROR(__xludf.DUMMYFUNCTION("""COMPUTED_VALUE"""),"ストーリー")</f>
        <v/>
      </c>
      <c r="F510">
        <f>IFERROR(__xludf.DUMMYFUNCTION("""COMPUTED_VALUE"""),"quest_event_sur1_charaget01")</f>
        <v/>
      </c>
      <c r="G510">
        <f>IFERROR(__xludf.DUMMYFUNCTION("""COMPUTED_VALUE"""),"スレイブの誕生")</f>
        <v/>
      </c>
      <c r="H510">
        <f>IFERROR(__xludf.DUMMYFUNCTION("""COMPUTED_VALUE"""),"02")</f>
        <v/>
      </c>
      <c r="I510">
        <f>IFERROR(__xludf.DUMMYFUNCTION("""COMPUTED_VALUE"""),"event_sur1_charaget01_00002")</f>
        <v/>
      </c>
    </row>
    <row r="511">
      <c r="A511">
        <f>IFERROR(__xludf.DUMMYFUNCTION("""COMPUTED_VALUE"""),"sur1")</f>
        <v/>
      </c>
      <c r="B511">
        <f>IFERROR(__xludf.DUMMYFUNCTION("""COMPUTED_VALUE"""),"魔都精兵のスレイブ")</f>
        <v/>
      </c>
      <c r="C511">
        <f>IFERROR(__xludf.DUMMYFUNCTION("""COMPUTED_VALUE"""),"charaget01")</f>
        <v/>
      </c>
      <c r="D511">
        <f>IFERROR(__xludf.DUMMYFUNCTION("""COMPUTED_VALUE"""),"event")</f>
        <v/>
      </c>
      <c r="E511">
        <f>IFERROR(__xludf.DUMMYFUNCTION("""COMPUTED_VALUE"""),"ストーリー")</f>
        <v/>
      </c>
      <c r="F511">
        <f>IFERROR(__xludf.DUMMYFUNCTION("""COMPUTED_VALUE"""),"quest_event_sur1_charaget01")</f>
        <v/>
      </c>
      <c r="G511">
        <f>IFERROR(__xludf.DUMMYFUNCTION("""COMPUTED_VALUE"""),"スレイブの誕生")</f>
        <v/>
      </c>
      <c r="H511">
        <f>IFERROR(__xludf.DUMMYFUNCTION("""COMPUTED_VALUE"""),"03")</f>
        <v/>
      </c>
      <c r="I511">
        <f>IFERROR(__xludf.DUMMYFUNCTION("""COMPUTED_VALUE"""),"event_sur1_charaget01_00003")</f>
        <v/>
      </c>
    </row>
    <row r="512">
      <c r="A512">
        <f>IFERROR(__xludf.DUMMYFUNCTION("""COMPUTED_VALUE"""),"sur1")</f>
        <v/>
      </c>
      <c r="B512">
        <f>IFERROR(__xludf.DUMMYFUNCTION("""COMPUTED_VALUE"""),"魔都精兵のスレイブ")</f>
        <v/>
      </c>
      <c r="C512">
        <f>IFERROR(__xludf.DUMMYFUNCTION("""COMPUTED_VALUE"""),"charaget01")</f>
        <v/>
      </c>
      <c r="D512">
        <f>IFERROR(__xludf.DUMMYFUNCTION("""COMPUTED_VALUE"""),"event")</f>
        <v/>
      </c>
      <c r="E512">
        <f>IFERROR(__xludf.DUMMYFUNCTION("""COMPUTED_VALUE"""),"ストーリー")</f>
        <v/>
      </c>
      <c r="F512">
        <f>IFERROR(__xludf.DUMMYFUNCTION("""COMPUTED_VALUE"""),"quest_event_sur1_charaget01")</f>
        <v/>
      </c>
      <c r="G512">
        <f>IFERROR(__xludf.DUMMYFUNCTION("""COMPUTED_VALUE"""),"スレイブの誕生")</f>
        <v/>
      </c>
      <c r="H512">
        <f>IFERROR(__xludf.DUMMYFUNCTION("""COMPUTED_VALUE"""),"04")</f>
        <v/>
      </c>
      <c r="I512">
        <f>IFERROR(__xludf.DUMMYFUNCTION("""COMPUTED_VALUE"""),"event_sur1_charaget01_00004")</f>
        <v/>
      </c>
    </row>
    <row r="513">
      <c r="A513">
        <f>IFERROR(__xludf.DUMMYFUNCTION("""COMPUTED_VALUE"""),"sur1")</f>
        <v/>
      </c>
      <c r="B513">
        <f>IFERROR(__xludf.DUMMYFUNCTION("""COMPUTED_VALUE"""),"魔都精兵のスレイブ")</f>
        <v/>
      </c>
      <c r="C513">
        <f>IFERROR(__xludf.DUMMYFUNCTION("""COMPUTED_VALUE"""),"charaget01")</f>
        <v/>
      </c>
      <c r="D513">
        <f>IFERROR(__xludf.DUMMYFUNCTION("""COMPUTED_VALUE"""),"event")</f>
        <v/>
      </c>
      <c r="E513">
        <f>IFERROR(__xludf.DUMMYFUNCTION("""COMPUTED_VALUE"""),"ストーリー")</f>
        <v/>
      </c>
      <c r="F513">
        <f>IFERROR(__xludf.DUMMYFUNCTION("""COMPUTED_VALUE"""),"quest_event_sur1_charaget01")</f>
        <v/>
      </c>
      <c r="G513">
        <f>IFERROR(__xludf.DUMMYFUNCTION("""COMPUTED_VALUE"""),"スレイブの誕生")</f>
        <v/>
      </c>
      <c r="H513">
        <f>IFERROR(__xludf.DUMMYFUNCTION("""COMPUTED_VALUE"""),"05")</f>
        <v/>
      </c>
      <c r="I513">
        <f>IFERROR(__xludf.DUMMYFUNCTION("""COMPUTED_VALUE"""),"event_sur1_charaget01_00005")</f>
        <v/>
      </c>
    </row>
    <row r="514">
      <c r="A514">
        <f>IFERROR(__xludf.DUMMYFUNCTION("""COMPUTED_VALUE"""),"sur1")</f>
        <v/>
      </c>
      <c r="B514">
        <f>IFERROR(__xludf.DUMMYFUNCTION("""COMPUTED_VALUE"""),"魔都精兵のスレイブ")</f>
        <v/>
      </c>
      <c r="C514">
        <f>IFERROR(__xludf.DUMMYFUNCTION("""COMPUTED_VALUE"""),"charaget01")</f>
        <v/>
      </c>
      <c r="D514">
        <f>IFERROR(__xludf.DUMMYFUNCTION("""COMPUTED_VALUE"""),"event")</f>
        <v/>
      </c>
      <c r="E514">
        <f>IFERROR(__xludf.DUMMYFUNCTION("""COMPUTED_VALUE"""),"ストーリー")</f>
        <v/>
      </c>
      <c r="F514">
        <f>IFERROR(__xludf.DUMMYFUNCTION("""COMPUTED_VALUE"""),"quest_event_sur1_charaget01")</f>
        <v/>
      </c>
      <c r="G514">
        <f>IFERROR(__xludf.DUMMYFUNCTION("""COMPUTED_VALUE"""),"スレイブの誕生")</f>
        <v/>
      </c>
      <c r="H514">
        <f>IFERROR(__xludf.DUMMYFUNCTION("""COMPUTED_VALUE"""),"06")</f>
        <v/>
      </c>
      <c r="I514">
        <f>IFERROR(__xludf.DUMMYFUNCTION("""COMPUTED_VALUE"""),"event_sur1_charaget01_00006")</f>
        <v/>
      </c>
    </row>
    <row r="515">
      <c r="A515">
        <f>IFERROR(__xludf.DUMMYFUNCTION("""COMPUTED_VALUE"""),"sur1")</f>
        <v/>
      </c>
      <c r="B515">
        <f>IFERROR(__xludf.DUMMYFUNCTION("""COMPUTED_VALUE"""),"魔都精兵のスレイブ")</f>
        <v/>
      </c>
      <c r="C515">
        <f>IFERROR(__xludf.DUMMYFUNCTION("""COMPUTED_VALUE"""),"charaget01")</f>
        <v/>
      </c>
      <c r="D515">
        <f>IFERROR(__xludf.DUMMYFUNCTION("""COMPUTED_VALUE"""),"event")</f>
        <v/>
      </c>
      <c r="E515">
        <f>IFERROR(__xludf.DUMMYFUNCTION("""COMPUTED_VALUE"""),"ストーリー")</f>
        <v/>
      </c>
      <c r="F515">
        <f>IFERROR(__xludf.DUMMYFUNCTION("""COMPUTED_VALUE"""),"quest_event_sur1_charaget01")</f>
        <v/>
      </c>
      <c r="G515">
        <f>IFERROR(__xludf.DUMMYFUNCTION("""COMPUTED_VALUE"""),"スレイブの誕生")</f>
        <v/>
      </c>
      <c r="H515">
        <f>IFERROR(__xludf.DUMMYFUNCTION("""COMPUTED_VALUE"""),"07")</f>
        <v/>
      </c>
      <c r="I515">
        <f>IFERROR(__xludf.DUMMYFUNCTION("""COMPUTED_VALUE"""),"event_sur1_charaget01_00007")</f>
        <v/>
      </c>
    </row>
    <row r="516">
      <c r="A516">
        <f>IFERROR(__xludf.DUMMYFUNCTION("""COMPUTED_VALUE"""),"sur1")</f>
        <v/>
      </c>
      <c r="B516">
        <f>IFERROR(__xludf.DUMMYFUNCTION("""COMPUTED_VALUE"""),"魔都精兵のスレイブ")</f>
        <v/>
      </c>
      <c r="C516">
        <f>IFERROR(__xludf.DUMMYFUNCTION("""COMPUTED_VALUE"""),"charaget01")</f>
        <v/>
      </c>
      <c r="D516">
        <f>IFERROR(__xludf.DUMMYFUNCTION("""COMPUTED_VALUE"""),"event")</f>
        <v/>
      </c>
      <c r="E516">
        <f>IFERROR(__xludf.DUMMYFUNCTION("""COMPUTED_VALUE"""),"ストーリー")</f>
        <v/>
      </c>
      <c r="F516">
        <f>IFERROR(__xludf.DUMMYFUNCTION("""COMPUTED_VALUE"""),"quest_event_sur1_charaget01")</f>
        <v/>
      </c>
      <c r="G516">
        <f>IFERROR(__xludf.DUMMYFUNCTION("""COMPUTED_VALUE"""),"スレイブの誕生")</f>
        <v/>
      </c>
      <c r="H516">
        <f>IFERROR(__xludf.DUMMYFUNCTION("""COMPUTED_VALUE"""),"08")</f>
        <v/>
      </c>
      <c r="I516">
        <f>IFERROR(__xludf.DUMMYFUNCTION("""COMPUTED_VALUE"""),"event_sur1_charaget01_00008")</f>
        <v/>
      </c>
    </row>
    <row r="517">
      <c r="A517">
        <f>IFERROR(__xludf.DUMMYFUNCTION("""COMPUTED_VALUE"""),"sur1")</f>
        <v/>
      </c>
      <c r="B517">
        <f>IFERROR(__xludf.DUMMYFUNCTION("""COMPUTED_VALUE"""),"魔都精兵のスレイブ")</f>
        <v/>
      </c>
      <c r="C517">
        <f>IFERROR(__xludf.DUMMYFUNCTION("""COMPUTED_VALUE"""),"charaget02")</f>
        <v/>
      </c>
      <c r="D517">
        <f>IFERROR(__xludf.DUMMYFUNCTION("""COMPUTED_VALUE"""),"event")</f>
        <v/>
      </c>
      <c r="E517">
        <f>IFERROR(__xludf.DUMMYFUNCTION("""COMPUTED_VALUE"""),"ストーリー")</f>
        <v/>
      </c>
      <c r="F517">
        <f>IFERROR(__xludf.DUMMYFUNCTION("""COMPUTED_VALUE"""),"quest_event_sur1_charaget02")</f>
        <v/>
      </c>
      <c r="G517">
        <f>IFERROR(__xludf.DUMMYFUNCTION("""COMPUTED_VALUE"""),"隠れ里の戦い")</f>
        <v/>
      </c>
      <c r="H517">
        <f>IFERROR(__xludf.DUMMYFUNCTION("""COMPUTED_VALUE"""),"01")</f>
        <v/>
      </c>
      <c r="I517">
        <f>IFERROR(__xludf.DUMMYFUNCTION("""COMPUTED_VALUE"""),"event_sur1_charaget02_00001")</f>
        <v/>
      </c>
      <c r="K517">
        <f>IFERROR(__xludf.DUMMYFUNCTION("""COMPUTED_VALUE"""),"sur1_charaget02_quest_select_cell")</f>
        <v/>
      </c>
    </row>
    <row r="518">
      <c r="A518">
        <f>IFERROR(__xludf.DUMMYFUNCTION("""COMPUTED_VALUE"""),"sur1")</f>
        <v/>
      </c>
      <c r="B518">
        <f>IFERROR(__xludf.DUMMYFUNCTION("""COMPUTED_VALUE"""),"魔都精兵のスレイブ")</f>
        <v/>
      </c>
      <c r="C518">
        <f>IFERROR(__xludf.DUMMYFUNCTION("""COMPUTED_VALUE"""),"charaget02")</f>
        <v/>
      </c>
      <c r="D518">
        <f>IFERROR(__xludf.DUMMYFUNCTION("""COMPUTED_VALUE"""),"event")</f>
        <v/>
      </c>
      <c r="E518">
        <f>IFERROR(__xludf.DUMMYFUNCTION("""COMPUTED_VALUE"""),"ストーリー")</f>
        <v/>
      </c>
      <c r="F518">
        <f>IFERROR(__xludf.DUMMYFUNCTION("""COMPUTED_VALUE"""),"quest_event_sur1_charaget02")</f>
        <v/>
      </c>
      <c r="G518">
        <f>IFERROR(__xludf.DUMMYFUNCTION("""COMPUTED_VALUE"""),"隠れ里の戦い")</f>
        <v/>
      </c>
      <c r="H518">
        <f>IFERROR(__xludf.DUMMYFUNCTION("""COMPUTED_VALUE"""),"02")</f>
        <v/>
      </c>
      <c r="I518">
        <f>IFERROR(__xludf.DUMMYFUNCTION("""COMPUTED_VALUE"""),"event_sur1_charaget02_00002")</f>
        <v/>
      </c>
    </row>
    <row r="519">
      <c r="A519">
        <f>IFERROR(__xludf.DUMMYFUNCTION("""COMPUTED_VALUE"""),"sur1")</f>
        <v/>
      </c>
      <c r="B519">
        <f>IFERROR(__xludf.DUMMYFUNCTION("""COMPUTED_VALUE"""),"魔都精兵のスレイブ")</f>
        <v/>
      </c>
      <c r="C519">
        <f>IFERROR(__xludf.DUMMYFUNCTION("""COMPUTED_VALUE"""),"charaget02")</f>
        <v/>
      </c>
      <c r="D519">
        <f>IFERROR(__xludf.DUMMYFUNCTION("""COMPUTED_VALUE"""),"event")</f>
        <v/>
      </c>
      <c r="E519">
        <f>IFERROR(__xludf.DUMMYFUNCTION("""COMPUTED_VALUE"""),"ストーリー")</f>
        <v/>
      </c>
      <c r="F519">
        <f>IFERROR(__xludf.DUMMYFUNCTION("""COMPUTED_VALUE"""),"quest_event_sur1_charaget02")</f>
        <v/>
      </c>
      <c r="G519">
        <f>IFERROR(__xludf.DUMMYFUNCTION("""COMPUTED_VALUE"""),"隠れ里の戦い")</f>
        <v/>
      </c>
      <c r="H519">
        <f>IFERROR(__xludf.DUMMYFUNCTION("""COMPUTED_VALUE"""),"03")</f>
        <v/>
      </c>
      <c r="I519">
        <f>IFERROR(__xludf.DUMMYFUNCTION("""COMPUTED_VALUE"""),"event_sur1_charaget02_00003")</f>
        <v/>
      </c>
    </row>
    <row r="520">
      <c r="A520">
        <f>IFERROR(__xludf.DUMMYFUNCTION("""COMPUTED_VALUE"""),"sur1")</f>
        <v/>
      </c>
      <c r="B520">
        <f>IFERROR(__xludf.DUMMYFUNCTION("""COMPUTED_VALUE"""),"魔都精兵のスレイブ")</f>
        <v/>
      </c>
      <c r="C520">
        <f>IFERROR(__xludf.DUMMYFUNCTION("""COMPUTED_VALUE"""),"charaget02")</f>
        <v/>
      </c>
      <c r="D520">
        <f>IFERROR(__xludf.DUMMYFUNCTION("""COMPUTED_VALUE"""),"event")</f>
        <v/>
      </c>
      <c r="E520">
        <f>IFERROR(__xludf.DUMMYFUNCTION("""COMPUTED_VALUE"""),"ストーリー")</f>
        <v/>
      </c>
      <c r="F520">
        <f>IFERROR(__xludf.DUMMYFUNCTION("""COMPUTED_VALUE"""),"quest_event_sur1_charaget02")</f>
        <v/>
      </c>
      <c r="G520">
        <f>IFERROR(__xludf.DUMMYFUNCTION("""COMPUTED_VALUE"""),"隠れ里の戦い")</f>
        <v/>
      </c>
      <c r="H520">
        <f>IFERROR(__xludf.DUMMYFUNCTION("""COMPUTED_VALUE"""),"04")</f>
        <v/>
      </c>
      <c r="I520">
        <f>IFERROR(__xludf.DUMMYFUNCTION("""COMPUTED_VALUE"""),"event_sur1_charaget02_00004")</f>
        <v/>
      </c>
    </row>
    <row r="521">
      <c r="A521">
        <f>IFERROR(__xludf.DUMMYFUNCTION("""COMPUTED_VALUE"""),"sur1")</f>
        <v/>
      </c>
      <c r="B521">
        <f>IFERROR(__xludf.DUMMYFUNCTION("""COMPUTED_VALUE"""),"魔都精兵のスレイブ")</f>
        <v/>
      </c>
      <c r="C521">
        <f>IFERROR(__xludf.DUMMYFUNCTION("""COMPUTED_VALUE"""),"charaget02")</f>
        <v/>
      </c>
      <c r="D521">
        <f>IFERROR(__xludf.DUMMYFUNCTION("""COMPUTED_VALUE"""),"event")</f>
        <v/>
      </c>
      <c r="E521">
        <f>IFERROR(__xludf.DUMMYFUNCTION("""COMPUTED_VALUE"""),"ストーリー")</f>
        <v/>
      </c>
      <c r="F521">
        <f>IFERROR(__xludf.DUMMYFUNCTION("""COMPUTED_VALUE"""),"quest_event_sur1_charaget02")</f>
        <v/>
      </c>
      <c r="G521">
        <f>IFERROR(__xludf.DUMMYFUNCTION("""COMPUTED_VALUE"""),"隠れ里の戦い")</f>
        <v/>
      </c>
      <c r="H521">
        <f>IFERROR(__xludf.DUMMYFUNCTION("""COMPUTED_VALUE"""),"05")</f>
        <v/>
      </c>
      <c r="I521">
        <f>IFERROR(__xludf.DUMMYFUNCTION("""COMPUTED_VALUE"""),"event_sur1_charaget02_00005")</f>
        <v/>
      </c>
    </row>
    <row r="522">
      <c r="A522">
        <f>IFERROR(__xludf.DUMMYFUNCTION("""COMPUTED_VALUE"""),"sur1")</f>
        <v/>
      </c>
      <c r="B522">
        <f>IFERROR(__xludf.DUMMYFUNCTION("""COMPUTED_VALUE"""),"魔都精兵のスレイブ")</f>
        <v/>
      </c>
      <c r="C522">
        <f>IFERROR(__xludf.DUMMYFUNCTION("""COMPUTED_VALUE"""),"charaget02")</f>
        <v/>
      </c>
      <c r="D522">
        <f>IFERROR(__xludf.DUMMYFUNCTION("""COMPUTED_VALUE"""),"event")</f>
        <v/>
      </c>
      <c r="E522">
        <f>IFERROR(__xludf.DUMMYFUNCTION("""COMPUTED_VALUE"""),"ストーリー")</f>
        <v/>
      </c>
      <c r="F522">
        <f>IFERROR(__xludf.DUMMYFUNCTION("""COMPUTED_VALUE"""),"quest_event_sur1_charaget02")</f>
        <v/>
      </c>
      <c r="G522">
        <f>IFERROR(__xludf.DUMMYFUNCTION("""COMPUTED_VALUE"""),"隠れ里の戦い")</f>
        <v/>
      </c>
      <c r="H522">
        <f>IFERROR(__xludf.DUMMYFUNCTION("""COMPUTED_VALUE"""),"06")</f>
        <v/>
      </c>
      <c r="I522">
        <f>IFERROR(__xludf.DUMMYFUNCTION("""COMPUTED_VALUE"""),"event_sur1_charaget02_00006")</f>
        <v/>
      </c>
    </row>
    <row r="523">
      <c r="A523">
        <f>IFERROR(__xludf.DUMMYFUNCTION("""COMPUTED_VALUE"""),"sur1")</f>
        <v/>
      </c>
      <c r="B523">
        <f>IFERROR(__xludf.DUMMYFUNCTION("""COMPUTED_VALUE"""),"魔都精兵のスレイブ")</f>
        <v/>
      </c>
      <c r="C523">
        <f>IFERROR(__xludf.DUMMYFUNCTION("""COMPUTED_VALUE"""),"charaget02")</f>
        <v/>
      </c>
      <c r="D523">
        <f>IFERROR(__xludf.DUMMYFUNCTION("""COMPUTED_VALUE"""),"event")</f>
        <v/>
      </c>
      <c r="E523">
        <f>IFERROR(__xludf.DUMMYFUNCTION("""COMPUTED_VALUE"""),"ストーリー")</f>
        <v/>
      </c>
      <c r="F523">
        <f>IFERROR(__xludf.DUMMYFUNCTION("""COMPUTED_VALUE"""),"quest_event_sur1_charaget02")</f>
        <v/>
      </c>
      <c r="G523">
        <f>IFERROR(__xludf.DUMMYFUNCTION("""COMPUTED_VALUE"""),"隠れ里の戦い")</f>
        <v/>
      </c>
      <c r="H523">
        <f>IFERROR(__xludf.DUMMYFUNCTION("""COMPUTED_VALUE"""),"07")</f>
        <v/>
      </c>
      <c r="I523">
        <f>IFERROR(__xludf.DUMMYFUNCTION("""COMPUTED_VALUE"""),"event_sur1_charaget02_00007")</f>
        <v/>
      </c>
    </row>
    <row r="524">
      <c r="A524">
        <f>IFERROR(__xludf.DUMMYFUNCTION("""COMPUTED_VALUE"""),"sur1")</f>
        <v/>
      </c>
      <c r="B524">
        <f>IFERROR(__xludf.DUMMYFUNCTION("""COMPUTED_VALUE"""),"魔都精兵のスレイブ")</f>
        <v/>
      </c>
      <c r="C524">
        <f>IFERROR(__xludf.DUMMYFUNCTION("""COMPUTED_VALUE"""),"charaget02")</f>
        <v/>
      </c>
      <c r="D524">
        <f>IFERROR(__xludf.DUMMYFUNCTION("""COMPUTED_VALUE"""),"event")</f>
        <v/>
      </c>
      <c r="E524">
        <f>IFERROR(__xludf.DUMMYFUNCTION("""COMPUTED_VALUE"""),"ストーリー")</f>
        <v/>
      </c>
      <c r="F524">
        <f>IFERROR(__xludf.DUMMYFUNCTION("""COMPUTED_VALUE"""),"quest_event_sur1_charaget02")</f>
        <v/>
      </c>
      <c r="G524">
        <f>IFERROR(__xludf.DUMMYFUNCTION("""COMPUTED_VALUE"""),"隠れ里の戦い")</f>
        <v/>
      </c>
      <c r="H524">
        <f>IFERROR(__xludf.DUMMYFUNCTION("""COMPUTED_VALUE"""),"08")</f>
        <v/>
      </c>
      <c r="I524">
        <f>IFERROR(__xludf.DUMMYFUNCTION("""COMPUTED_VALUE"""),"event_sur1_charaget02_00008")</f>
        <v/>
      </c>
    </row>
    <row r="525">
      <c r="A525">
        <f>IFERROR(__xludf.DUMMYFUNCTION("""COMPUTED_VALUE"""),"sur1")</f>
        <v/>
      </c>
      <c r="B525">
        <f>IFERROR(__xludf.DUMMYFUNCTION("""COMPUTED_VALUE"""),"魔都精兵のスレイブ")</f>
        <v/>
      </c>
      <c r="C525">
        <f>IFERROR(__xludf.DUMMYFUNCTION("""COMPUTED_VALUE"""),"challenge01")</f>
        <v/>
      </c>
      <c r="D525">
        <f>IFERROR(__xludf.DUMMYFUNCTION("""COMPUTED_VALUE"""),"event")</f>
        <v/>
      </c>
      <c r="E525">
        <f>IFERROR(__xludf.DUMMYFUNCTION("""COMPUTED_VALUE"""),"チャレンジ")</f>
        <v/>
      </c>
      <c r="F525">
        <f>IFERROR(__xludf.DUMMYFUNCTION("""COMPUTED_VALUE"""),"quest_event_sur1_challenge01")</f>
        <v/>
      </c>
      <c r="G525">
        <f>IFERROR(__xludf.DUMMYFUNCTION("""COMPUTED_VALUE"""),"魔都防衛隊")</f>
        <v/>
      </c>
      <c r="H525">
        <f>IFERROR(__xludf.DUMMYFUNCTION("""COMPUTED_VALUE"""),"01")</f>
        <v/>
      </c>
      <c r="I525">
        <f>IFERROR(__xludf.DUMMYFUNCTION("""COMPUTED_VALUE"""),"event_sur1_challenge01_00001")</f>
        <v/>
      </c>
      <c r="K525">
        <f>IFERROR(__xludf.DUMMYFUNCTION("""COMPUTED_VALUE"""),"sur1_challenge01_quest_select_cell")</f>
        <v/>
      </c>
    </row>
    <row r="526">
      <c r="A526">
        <f>IFERROR(__xludf.DUMMYFUNCTION("""COMPUTED_VALUE"""),"sur1")</f>
        <v/>
      </c>
      <c r="B526">
        <f>IFERROR(__xludf.DUMMYFUNCTION("""COMPUTED_VALUE"""),"魔都精兵のスレイブ")</f>
        <v/>
      </c>
      <c r="C526">
        <f>IFERROR(__xludf.DUMMYFUNCTION("""COMPUTED_VALUE"""),"challenge01")</f>
        <v/>
      </c>
      <c r="D526">
        <f>IFERROR(__xludf.DUMMYFUNCTION("""COMPUTED_VALUE"""),"event")</f>
        <v/>
      </c>
      <c r="E526">
        <f>IFERROR(__xludf.DUMMYFUNCTION("""COMPUTED_VALUE"""),"チャレンジ")</f>
        <v/>
      </c>
      <c r="F526">
        <f>IFERROR(__xludf.DUMMYFUNCTION("""COMPUTED_VALUE"""),"quest_event_sur1_challenge01")</f>
        <v/>
      </c>
      <c r="G526">
        <f>IFERROR(__xludf.DUMMYFUNCTION("""COMPUTED_VALUE"""),"魔都防衛隊")</f>
        <v/>
      </c>
      <c r="H526">
        <f>IFERROR(__xludf.DUMMYFUNCTION("""COMPUTED_VALUE"""),"02")</f>
        <v/>
      </c>
      <c r="I526">
        <f>IFERROR(__xludf.DUMMYFUNCTION("""COMPUTED_VALUE"""),"event_sur1_challenge01_00002")</f>
        <v/>
      </c>
    </row>
    <row r="527">
      <c r="A527">
        <f>IFERROR(__xludf.DUMMYFUNCTION("""COMPUTED_VALUE"""),"sur1")</f>
        <v/>
      </c>
      <c r="B527">
        <f>IFERROR(__xludf.DUMMYFUNCTION("""COMPUTED_VALUE"""),"魔都精兵のスレイブ")</f>
        <v/>
      </c>
      <c r="C527">
        <f>IFERROR(__xludf.DUMMYFUNCTION("""COMPUTED_VALUE"""),"challenge01")</f>
        <v/>
      </c>
      <c r="D527">
        <f>IFERROR(__xludf.DUMMYFUNCTION("""COMPUTED_VALUE"""),"event")</f>
        <v/>
      </c>
      <c r="E527">
        <f>IFERROR(__xludf.DUMMYFUNCTION("""COMPUTED_VALUE"""),"チャレンジ")</f>
        <v/>
      </c>
      <c r="F527">
        <f>IFERROR(__xludf.DUMMYFUNCTION("""COMPUTED_VALUE"""),"quest_event_sur1_challenge01")</f>
        <v/>
      </c>
      <c r="G527">
        <f>IFERROR(__xludf.DUMMYFUNCTION("""COMPUTED_VALUE"""),"魔都防衛隊")</f>
        <v/>
      </c>
      <c r="H527">
        <f>IFERROR(__xludf.DUMMYFUNCTION("""COMPUTED_VALUE"""),"03")</f>
        <v/>
      </c>
      <c r="I527">
        <f>IFERROR(__xludf.DUMMYFUNCTION("""COMPUTED_VALUE"""),"event_sur1_challenge01_00003")</f>
        <v/>
      </c>
    </row>
    <row r="528">
      <c r="A528">
        <f>IFERROR(__xludf.DUMMYFUNCTION("""COMPUTED_VALUE"""),"sur1")</f>
        <v/>
      </c>
      <c r="B528">
        <f>IFERROR(__xludf.DUMMYFUNCTION("""COMPUTED_VALUE"""),"魔都精兵のスレイブ")</f>
        <v/>
      </c>
      <c r="C528">
        <f>IFERROR(__xludf.DUMMYFUNCTION("""COMPUTED_VALUE"""),"challenge01")</f>
        <v/>
      </c>
      <c r="D528">
        <f>IFERROR(__xludf.DUMMYFUNCTION("""COMPUTED_VALUE"""),"event")</f>
        <v/>
      </c>
      <c r="E528">
        <f>IFERROR(__xludf.DUMMYFUNCTION("""COMPUTED_VALUE"""),"チャレンジ")</f>
        <v/>
      </c>
      <c r="F528">
        <f>IFERROR(__xludf.DUMMYFUNCTION("""COMPUTED_VALUE"""),"quest_event_sur1_challenge01")</f>
        <v/>
      </c>
      <c r="G528">
        <f>IFERROR(__xludf.DUMMYFUNCTION("""COMPUTED_VALUE"""),"魔都防衛隊")</f>
        <v/>
      </c>
      <c r="H528">
        <f>IFERROR(__xludf.DUMMYFUNCTION("""COMPUTED_VALUE"""),"04")</f>
        <v/>
      </c>
      <c r="I528">
        <f>IFERROR(__xludf.DUMMYFUNCTION("""COMPUTED_VALUE"""),"event_sur1_challenge01_00004")</f>
        <v/>
      </c>
    </row>
    <row r="529">
      <c r="A529">
        <f>IFERROR(__xludf.DUMMYFUNCTION("""COMPUTED_VALUE"""),"sur1")</f>
        <v/>
      </c>
      <c r="B529">
        <f>IFERROR(__xludf.DUMMYFUNCTION("""COMPUTED_VALUE"""),"魔都精兵のスレイブ")</f>
        <v/>
      </c>
      <c r="C529">
        <f>IFERROR(__xludf.DUMMYFUNCTION("""COMPUTED_VALUE"""),"savage")</f>
        <v/>
      </c>
      <c r="D529">
        <f>IFERROR(__xludf.DUMMYFUNCTION("""COMPUTED_VALUE"""),"event")</f>
        <v/>
      </c>
      <c r="E529">
        <f>IFERROR(__xludf.DUMMYFUNCTION("""COMPUTED_VALUE"""),"高難易度")</f>
        <v/>
      </c>
      <c r="F529">
        <f>IFERROR(__xludf.DUMMYFUNCTION("""COMPUTED_VALUE"""),"quest_event_sur1_savage")</f>
        <v/>
      </c>
      <c r="G529">
        <f>IFERROR(__xludf.DUMMYFUNCTION("""COMPUTED_VALUE"""),"スレイブと組長")</f>
        <v/>
      </c>
      <c r="H529">
        <f>IFERROR(__xludf.DUMMYFUNCTION("""COMPUTED_VALUE"""),"01")</f>
        <v/>
      </c>
      <c r="I529">
        <f>IFERROR(__xludf.DUMMYFUNCTION("""COMPUTED_VALUE"""),"event_sur1_savage_00001")</f>
        <v/>
      </c>
      <c r="K529">
        <f>IFERROR(__xludf.DUMMYFUNCTION("""COMPUTED_VALUE"""),"sur1_savage_quest_select_cell")</f>
        <v/>
      </c>
    </row>
    <row r="530">
      <c r="A530">
        <f>IFERROR(__xludf.DUMMYFUNCTION("""COMPUTED_VALUE"""),"sur1")</f>
        <v/>
      </c>
      <c r="B530">
        <f>IFERROR(__xludf.DUMMYFUNCTION("""COMPUTED_VALUE"""),"魔都精兵のスレイブ")</f>
        <v/>
      </c>
      <c r="C530">
        <f>IFERROR(__xludf.DUMMYFUNCTION("""COMPUTED_VALUE"""),"savage")</f>
        <v/>
      </c>
      <c r="D530">
        <f>IFERROR(__xludf.DUMMYFUNCTION("""COMPUTED_VALUE"""),"event")</f>
        <v/>
      </c>
      <c r="E530">
        <f>IFERROR(__xludf.DUMMYFUNCTION("""COMPUTED_VALUE"""),"高難易度")</f>
        <v/>
      </c>
      <c r="F530">
        <f>IFERROR(__xludf.DUMMYFUNCTION("""COMPUTED_VALUE"""),"quest_event_sur1_savage")</f>
        <v/>
      </c>
      <c r="G530">
        <f>IFERROR(__xludf.DUMMYFUNCTION("""COMPUTED_VALUE"""),"スレイブと組長")</f>
        <v/>
      </c>
      <c r="H530">
        <f>IFERROR(__xludf.DUMMYFUNCTION("""COMPUTED_VALUE"""),"02")</f>
        <v/>
      </c>
      <c r="I530">
        <f>IFERROR(__xludf.DUMMYFUNCTION("""COMPUTED_VALUE"""),"event_sur1_savage_00002")</f>
        <v/>
      </c>
    </row>
    <row r="531">
      <c r="A531">
        <f>IFERROR(__xludf.DUMMYFUNCTION("""COMPUTED_VALUE"""),"sur1")</f>
        <v/>
      </c>
      <c r="B531">
        <f>IFERROR(__xludf.DUMMYFUNCTION("""COMPUTED_VALUE"""),"魔都精兵のスレイブ")</f>
        <v/>
      </c>
      <c r="C531">
        <f>IFERROR(__xludf.DUMMYFUNCTION("""COMPUTED_VALUE"""),"savage")</f>
        <v/>
      </c>
      <c r="D531">
        <f>IFERROR(__xludf.DUMMYFUNCTION("""COMPUTED_VALUE"""),"event")</f>
        <v/>
      </c>
      <c r="E531">
        <f>IFERROR(__xludf.DUMMYFUNCTION("""COMPUTED_VALUE"""),"高難易度")</f>
        <v/>
      </c>
      <c r="F531">
        <f>IFERROR(__xludf.DUMMYFUNCTION("""COMPUTED_VALUE"""),"quest_event_sur1_savage")</f>
        <v/>
      </c>
      <c r="G531">
        <f>IFERROR(__xludf.DUMMYFUNCTION("""COMPUTED_VALUE"""),"スレイブと組長")</f>
        <v/>
      </c>
      <c r="H531">
        <f>IFERROR(__xludf.DUMMYFUNCTION("""COMPUTED_VALUE"""),"03")</f>
        <v/>
      </c>
      <c r="I531">
        <f>IFERROR(__xludf.DUMMYFUNCTION("""COMPUTED_VALUE"""),"event_sur1_savage_00003")</f>
        <v/>
      </c>
    </row>
    <row r="533">
      <c r="A533">
        <f>IFERROR(__xludf.DUMMYFUNCTION("""COMPUTED_VALUE"""),"osh1")</f>
        <v/>
      </c>
      <c r="B533">
        <f>IFERROR(__xludf.DUMMYFUNCTION("""COMPUTED_VALUE"""),"【推しの子】")</f>
        <v/>
      </c>
      <c r="C533">
        <f>IFERROR(__xludf.DUMMYFUNCTION("""COMPUTED_VALUE"""),"1day")</f>
        <v/>
      </c>
      <c r="D533">
        <f>IFERROR(__xludf.DUMMYFUNCTION("""COMPUTED_VALUE"""),"event")</f>
        <v/>
      </c>
      <c r="E533">
        <f>IFERROR(__xludf.DUMMYFUNCTION("""COMPUTED_VALUE"""),"デイリー")</f>
        <v/>
      </c>
      <c r="F533">
        <f>IFERROR(__xludf.DUMMYFUNCTION("""COMPUTED_VALUE"""),"quest_event_osh1_1day")</f>
        <v/>
      </c>
      <c r="G533">
        <f>IFERROR(__xludf.DUMMYFUNCTION("""COMPUTED_VALUE"""),"ファンと推し合戦!")</f>
        <v/>
      </c>
      <c r="H533">
        <f>IFERROR(__xludf.DUMMYFUNCTION("""COMPUTED_VALUE"""),"01")</f>
        <v/>
      </c>
      <c r="I533">
        <f>IFERROR(__xludf.DUMMYFUNCTION("""COMPUTED_VALUE"""),"event_osh1_1day_00001")</f>
        <v/>
      </c>
      <c r="K533">
        <f>IFERROR(__xludf.DUMMYFUNCTION("""COMPUTED_VALUE"""),"osh1_1day_quest_select_cell")</f>
        <v/>
      </c>
    </row>
    <row r="534">
      <c r="A534">
        <f>IFERROR(__xludf.DUMMYFUNCTION("""COMPUTED_VALUE"""),"osh1")</f>
        <v/>
      </c>
      <c r="B534">
        <f>IFERROR(__xludf.DUMMYFUNCTION("""COMPUTED_VALUE"""),"【推しの子】")</f>
        <v/>
      </c>
      <c r="C534">
        <f>IFERROR(__xludf.DUMMYFUNCTION("""COMPUTED_VALUE"""),"charaget01")</f>
        <v/>
      </c>
      <c r="D534">
        <f>IFERROR(__xludf.DUMMYFUNCTION("""COMPUTED_VALUE"""),"event")</f>
        <v/>
      </c>
      <c r="E534">
        <f>IFERROR(__xludf.DUMMYFUNCTION("""COMPUTED_VALUE"""),"ストーリー")</f>
        <v/>
      </c>
      <c r="F534">
        <f>IFERROR(__xludf.DUMMYFUNCTION("""COMPUTED_VALUE"""),"quest_event_osh1_charaget01")</f>
        <v/>
      </c>
      <c r="G534">
        <f>IFERROR(__xludf.DUMMYFUNCTION("""COMPUTED_VALUE"""),"芸能界へ!")</f>
        <v/>
      </c>
      <c r="H534">
        <f>IFERROR(__xludf.DUMMYFUNCTION("""COMPUTED_VALUE"""),"01")</f>
        <v/>
      </c>
      <c r="I534">
        <f>IFERROR(__xludf.DUMMYFUNCTION("""COMPUTED_VALUE"""),"event_osh1_charaget01_00001")</f>
        <v/>
      </c>
      <c r="K534">
        <f>IFERROR(__xludf.DUMMYFUNCTION("""COMPUTED_VALUE"""),"osh1_charaget01_quest_select_cell")</f>
        <v/>
      </c>
    </row>
    <row r="535">
      <c r="A535">
        <f>IFERROR(__xludf.DUMMYFUNCTION("""COMPUTED_VALUE"""),"osh1")</f>
        <v/>
      </c>
      <c r="B535">
        <f>IFERROR(__xludf.DUMMYFUNCTION("""COMPUTED_VALUE"""),"【推しの子】")</f>
        <v/>
      </c>
      <c r="C535">
        <f>IFERROR(__xludf.DUMMYFUNCTION("""COMPUTED_VALUE"""),"charaget01")</f>
        <v/>
      </c>
      <c r="D535">
        <f>IFERROR(__xludf.DUMMYFUNCTION("""COMPUTED_VALUE"""),"event")</f>
        <v/>
      </c>
      <c r="E535">
        <f>IFERROR(__xludf.DUMMYFUNCTION("""COMPUTED_VALUE"""),"ストーリー")</f>
        <v/>
      </c>
      <c r="F535">
        <f>IFERROR(__xludf.DUMMYFUNCTION("""COMPUTED_VALUE"""),"quest_event_osh1_charaget01")</f>
        <v/>
      </c>
      <c r="G535">
        <f>IFERROR(__xludf.DUMMYFUNCTION("""COMPUTED_VALUE"""),"芸能界へ!")</f>
        <v/>
      </c>
      <c r="H535">
        <f>IFERROR(__xludf.DUMMYFUNCTION("""COMPUTED_VALUE"""),"02")</f>
        <v/>
      </c>
      <c r="I535">
        <f>IFERROR(__xludf.DUMMYFUNCTION("""COMPUTED_VALUE"""),"event_osh1_charaget01_00002")</f>
        <v/>
      </c>
    </row>
    <row r="536">
      <c r="A536">
        <f>IFERROR(__xludf.DUMMYFUNCTION("""COMPUTED_VALUE"""),"osh1")</f>
        <v/>
      </c>
      <c r="B536">
        <f>IFERROR(__xludf.DUMMYFUNCTION("""COMPUTED_VALUE"""),"【推しの子】")</f>
        <v/>
      </c>
      <c r="C536">
        <f>IFERROR(__xludf.DUMMYFUNCTION("""COMPUTED_VALUE"""),"charaget01")</f>
        <v/>
      </c>
      <c r="D536">
        <f>IFERROR(__xludf.DUMMYFUNCTION("""COMPUTED_VALUE"""),"event")</f>
        <v/>
      </c>
      <c r="E536">
        <f>IFERROR(__xludf.DUMMYFUNCTION("""COMPUTED_VALUE"""),"ストーリー")</f>
        <v/>
      </c>
      <c r="F536">
        <f>IFERROR(__xludf.DUMMYFUNCTION("""COMPUTED_VALUE"""),"quest_event_osh1_charaget01")</f>
        <v/>
      </c>
      <c r="G536">
        <f>IFERROR(__xludf.DUMMYFUNCTION("""COMPUTED_VALUE"""),"芸能界へ!")</f>
        <v/>
      </c>
      <c r="H536">
        <f>IFERROR(__xludf.DUMMYFUNCTION("""COMPUTED_VALUE"""),"03")</f>
        <v/>
      </c>
      <c r="I536">
        <f>IFERROR(__xludf.DUMMYFUNCTION("""COMPUTED_VALUE"""),"event_osh1_charaget01_00003")</f>
        <v/>
      </c>
    </row>
    <row r="537">
      <c r="A537">
        <f>IFERROR(__xludf.DUMMYFUNCTION("""COMPUTED_VALUE"""),"osh1")</f>
        <v/>
      </c>
      <c r="B537">
        <f>IFERROR(__xludf.DUMMYFUNCTION("""COMPUTED_VALUE"""),"【推しの子】")</f>
        <v/>
      </c>
      <c r="C537">
        <f>IFERROR(__xludf.DUMMYFUNCTION("""COMPUTED_VALUE"""),"challenge01")</f>
        <v/>
      </c>
      <c r="D537">
        <f>IFERROR(__xludf.DUMMYFUNCTION("""COMPUTED_VALUE"""),"event")</f>
        <v/>
      </c>
      <c r="E537">
        <f>IFERROR(__xludf.DUMMYFUNCTION("""COMPUTED_VALUE"""),"収集")</f>
        <v/>
      </c>
      <c r="F537">
        <f>IFERROR(__xludf.DUMMYFUNCTION("""COMPUTED_VALUE"""),"quest_event_osh1_challenge01")</f>
        <v/>
      </c>
      <c r="G537">
        <f>IFERROR(__xludf.DUMMYFUNCTION("""COMPUTED_VALUE"""),"推しの子になってやる")</f>
        <v/>
      </c>
      <c r="H537">
        <f>IFERROR(__xludf.DUMMYFUNCTION("""COMPUTED_VALUE"""),"01")</f>
        <v/>
      </c>
      <c r="I537">
        <f>IFERROR(__xludf.DUMMYFUNCTION("""COMPUTED_VALUE"""),"event_osh1_challenge01_00001")</f>
        <v/>
      </c>
      <c r="K537">
        <f>IFERROR(__xludf.DUMMYFUNCTION("""COMPUTED_VALUE"""),"osh1_challenge01_quest_select_cell")</f>
        <v/>
      </c>
    </row>
    <row r="538">
      <c r="A538">
        <f>IFERROR(__xludf.DUMMYFUNCTION("""COMPUTED_VALUE"""),"osh1")</f>
        <v/>
      </c>
      <c r="B538">
        <f>IFERROR(__xludf.DUMMYFUNCTION("""COMPUTED_VALUE"""),"【推しの子】")</f>
        <v/>
      </c>
      <c r="C538">
        <f>IFERROR(__xludf.DUMMYFUNCTION("""COMPUTED_VALUE"""),"challenge01")</f>
        <v/>
      </c>
      <c r="D538">
        <f>IFERROR(__xludf.DUMMYFUNCTION("""COMPUTED_VALUE"""),"event")</f>
        <v/>
      </c>
      <c r="E538">
        <f>IFERROR(__xludf.DUMMYFUNCTION("""COMPUTED_VALUE"""),"収集")</f>
        <v/>
      </c>
      <c r="F538">
        <f>IFERROR(__xludf.DUMMYFUNCTION("""COMPUTED_VALUE"""),"quest_event_osh1_challenge01")</f>
        <v/>
      </c>
      <c r="G538">
        <f>IFERROR(__xludf.DUMMYFUNCTION("""COMPUTED_VALUE"""),"推しの子になってやる")</f>
        <v/>
      </c>
      <c r="H538">
        <f>IFERROR(__xludf.DUMMYFUNCTION("""COMPUTED_VALUE"""),"02")</f>
        <v/>
      </c>
      <c r="I538">
        <f>IFERROR(__xludf.DUMMYFUNCTION("""COMPUTED_VALUE"""),"event_osh1_challenge01_00002")</f>
        <v/>
      </c>
    </row>
    <row r="539">
      <c r="A539">
        <f>IFERROR(__xludf.DUMMYFUNCTION("""COMPUTED_VALUE"""),"osh1")</f>
        <v/>
      </c>
      <c r="B539">
        <f>IFERROR(__xludf.DUMMYFUNCTION("""COMPUTED_VALUE"""),"【推しの子】")</f>
        <v/>
      </c>
      <c r="C539">
        <f>IFERROR(__xludf.DUMMYFUNCTION("""COMPUTED_VALUE"""),"challenge01")</f>
        <v/>
      </c>
      <c r="D539">
        <f>IFERROR(__xludf.DUMMYFUNCTION("""COMPUTED_VALUE"""),"event")</f>
        <v/>
      </c>
      <c r="E539">
        <f>IFERROR(__xludf.DUMMYFUNCTION("""COMPUTED_VALUE"""),"収集")</f>
        <v/>
      </c>
      <c r="F539">
        <f>IFERROR(__xludf.DUMMYFUNCTION("""COMPUTED_VALUE"""),"quest_event_osh1_challenge01")</f>
        <v/>
      </c>
      <c r="G539">
        <f>IFERROR(__xludf.DUMMYFUNCTION("""COMPUTED_VALUE"""),"推しの子になってやる")</f>
        <v/>
      </c>
      <c r="H539">
        <f>IFERROR(__xludf.DUMMYFUNCTION("""COMPUTED_VALUE"""),"03")</f>
        <v/>
      </c>
      <c r="I539">
        <f>IFERROR(__xludf.DUMMYFUNCTION("""COMPUTED_VALUE"""),"event_osh1_challenge01_00003")</f>
        <v/>
      </c>
    </row>
    <row r="540">
      <c r="A540">
        <f>IFERROR(__xludf.DUMMYFUNCTION("""COMPUTED_VALUE"""),"osh1")</f>
        <v/>
      </c>
      <c r="B540">
        <f>IFERROR(__xludf.DUMMYFUNCTION("""COMPUTED_VALUE"""),"【推しの子】")</f>
        <v/>
      </c>
      <c r="C540">
        <f>IFERROR(__xludf.DUMMYFUNCTION("""COMPUTED_VALUE"""),"challenge01")</f>
        <v/>
      </c>
      <c r="D540">
        <f>IFERROR(__xludf.DUMMYFUNCTION("""COMPUTED_VALUE"""),"event")</f>
        <v/>
      </c>
      <c r="E540">
        <f>IFERROR(__xludf.DUMMYFUNCTION("""COMPUTED_VALUE"""),"収集")</f>
        <v/>
      </c>
      <c r="F540">
        <f>IFERROR(__xludf.DUMMYFUNCTION("""COMPUTED_VALUE"""),"quest_event_osh1_challenge01")</f>
        <v/>
      </c>
      <c r="G540">
        <f>IFERROR(__xludf.DUMMYFUNCTION("""COMPUTED_VALUE"""),"推しの子になってやる")</f>
        <v/>
      </c>
      <c r="H540">
        <f>IFERROR(__xludf.DUMMYFUNCTION("""COMPUTED_VALUE"""),"04")</f>
        <v/>
      </c>
      <c r="I540">
        <f>IFERROR(__xludf.DUMMYFUNCTION("""COMPUTED_VALUE"""),"event_osh1_challenge01_00004")</f>
        <v/>
      </c>
    </row>
    <row r="541">
      <c r="A541">
        <f>IFERROR(__xludf.DUMMYFUNCTION("""COMPUTED_VALUE"""),"osh1")</f>
        <v/>
      </c>
      <c r="B541">
        <f>IFERROR(__xludf.DUMMYFUNCTION("""COMPUTED_VALUE"""),"【推しの子】")</f>
        <v/>
      </c>
      <c r="C541">
        <f>IFERROR(__xludf.DUMMYFUNCTION("""COMPUTED_VALUE"""),"charaget02")</f>
        <v/>
      </c>
      <c r="D541">
        <f>IFERROR(__xludf.DUMMYFUNCTION("""COMPUTED_VALUE"""),"event")</f>
        <v/>
      </c>
      <c r="E541">
        <f>IFERROR(__xludf.DUMMYFUNCTION("""COMPUTED_VALUE"""),"強化")</f>
        <v/>
      </c>
      <c r="F541">
        <f>IFERROR(__xludf.DUMMYFUNCTION("""COMPUTED_VALUE"""),"quest_event_osh1_charaget02")</f>
        <v/>
      </c>
      <c r="G541">
        <f>IFERROR(__xludf.DUMMYFUNCTION("""COMPUTED_VALUE"""),"ぴえヨンのブートクエスト")</f>
        <v/>
      </c>
      <c r="H541">
        <f>IFERROR(__xludf.DUMMYFUNCTION("""COMPUTED_VALUE"""),"01")</f>
        <v/>
      </c>
      <c r="I541">
        <f>IFERROR(__xludf.DUMMYFUNCTION("""COMPUTED_VALUE"""),"event_osh1_charaget02_00001")</f>
        <v/>
      </c>
      <c r="K541">
        <f>IFERROR(__xludf.DUMMYFUNCTION("""COMPUTED_VALUE"""),"osh1_charaget02_quest_select_cell")</f>
        <v/>
      </c>
    </row>
    <row r="542">
      <c r="A542">
        <f>IFERROR(__xludf.DUMMYFUNCTION("""COMPUTED_VALUE"""),"osh1")</f>
        <v/>
      </c>
      <c r="B542">
        <f>IFERROR(__xludf.DUMMYFUNCTION("""COMPUTED_VALUE"""),"【推しの子】")</f>
        <v/>
      </c>
      <c r="C542">
        <f>IFERROR(__xludf.DUMMYFUNCTION("""COMPUTED_VALUE"""),"charaget02")</f>
        <v/>
      </c>
      <c r="D542">
        <f>IFERROR(__xludf.DUMMYFUNCTION("""COMPUTED_VALUE"""),"event")</f>
        <v/>
      </c>
      <c r="E542">
        <f>IFERROR(__xludf.DUMMYFUNCTION("""COMPUTED_VALUE"""),"強化")</f>
        <v/>
      </c>
      <c r="F542">
        <f>IFERROR(__xludf.DUMMYFUNCTION("""COMPUTED_VALUE"""),"quest_event_osh1_charaget02")</f>
        <v/>
      </c>
      <c r="G542">
        <f>IFERROR(__xludf.DUMMYFUNCTION("""COMPUTED_VALUE"""),"ぴえヨンのブートクエスト")</f>
        <v/>
      </c>
      <c r="H542">
        <f>IFERROR(__xludf.DUMMYFUNCTION("""COMPUTED_VALUE"""),"02")</f>
        <v/>
      </c>
      <c r="I542">
        <f>IFERROR(__xludf.DUMMYFUNCTION("""COMPUTED_VALUE"""),"event_osh1_charaget02_00002")</f>
        <v/>
      </c>
    </row>
    <row r="543">
      <c r="A543">
        <f>IFERROR(__xludf.DUMMYFUNCTION("""COMPUTED_VALUE"""),"osh1")</f>
        <v/>
      </c>
      <c r="B543">
        <f>IFERROR(__xludf.DUMMYFUNCTION("""COMPUTED_VALUE"""),"【推しの子】")</f>
        <v/>
      </c>
      <c r="C543">
        <f>IFERROR(__xludf.DUMMYFUNCTION("""COMPUTED_VALUE"""),"charaget02")</f>
        <v/>
      </c>
      <c r="D543">
        <f>IFERROR(__xludf.DUMMYFUNCTION("""COMPUTED_VALUE"""),"event")</f>
        <v/>
      </c>
      <c r="E543">
        <f>IFERROR(__xludf.DUMMYFUNCTION("""COMPUTED_VALUE"""),"強化")</f>
        <v/>
      </c>
      <c r="F543">
        <f>IFERROR(__xludf.DUMMYFUNCTION("""COMPUTED_VALUE"""),"quest_event_osh1_charaget02")</f>
        <v/>
      </c>
      <c r="G543">
        <f>IFERROR(__xludf.DUMMYFUNCTION("""COMPUTED_VALUE"""),"ぴえヨンのブートクエスト")</f>
        <v/>
      </c>
      <c r="H543">
        <f>IFERROR(__xludf.DUMMYFUNCTION("""COMPUTED_VALUE"""),"03")</f>
        <v/>
      </c>
      <c r="I543">
        <f>IFERROR(__xludf.DUMMYFUNCTION("""COMPUTED_VALUE"""),"event_osh1_charaget02_00003")</f>
        <v/>
      </c>
    </row>
    <row r="544">
      <c r="A544">
        <f>IFERROR(__xludf.DUMMYFUNCTION("""COMPUTED_VALUE"""),"osh1")</f>
        <v/>
      </c>
      <c r="B544">
        <f>IFERROR(__xludf.DUMMYFUNCTION("""COMPUTED_VALUE"""),"【推しの子】")</f>
        <v/>
      </c>
      <c r="C544">
        <f>IFERROR(__xludf.DUMMYFUNCTION("""COMPUTED_VALUE"""),"charaget02")</f>
        <v/>
      </c>
      <c r="D544">
        <f>IFERROR(__xludf.DUMMYFUNCTION("""COMPUTED_VALUE"""),"event")</f>
        <v/>
      </c>
      <c r="E544">
        <f>IFERROR(__xludf.DUMMYFUNCTION("""COMPUTED_VALUE"""),"強化")</f>
        <v/>
      </c>
      <c r="F544">
        <f>IFERROR(__xludf.DUMMYFUNCTION("""COMPUTED_VALUE"""),"quest_event_osh1_charaget02")</f>
        <v/>
      </c>
      <c r="G544">
        <f>IFERROR(__xludf.DUMMYFUNCTION("""COMPUTED_VALUE"""),"ぴえヨンのブートクエスト")</f>
        <v/>
      </c>
      <c r="H544">
        <f>IFERROR(__xludf.DUMMYFUNCTION("""COMPUTED_VALUE"""),"04")</f>
        <v/>
      </c>
      <c r="I544">
        <f>IFERROR(__xludf.DUMMYFUNCTION("""COMPUTED_VALUE"""),"event_osh1_charaget02_00004")</f>
        <v/>
      </c>
    </row>
    <row r="545">
      <c r="A545">
        <f>IFERROR(__xludf.DUMMYFUNCTION("""COMPUTED_VALUE"""),"osh1")</f>
        <v/>
      </c>
      <c r="B545">
        <f>IFERROR(__xludf.DUMMYFUNCTION("""COMPUTED_VALUE"""),"【推しの子】")</f>
        <v/>
      </c>
      <c r="C545">
        <f>IFERROR(__xludf.DUMMYFUNCTION("""COMPUTED_VALUE"""),"savage")</f>
        <v/>
      </c>
      <c r="D545">
        <f>IFERROR(__xludf.DUMMYFUNCTION("""COMPUTED_VALUE"""),"event")</f>
        <v/>
      </c>
      <c r="E545">
        <f>IFERROR(__xludf.DUMMYFUNCTION("""COMPUTED_VALUE"""),"高難易度")</f>
        <v/>
      </c>
      <c r="F545">
        <f>IFERROR(__xludf.DUMMYFUNCTION("""COMPUTED_VALUE"""),"quest_event_osh1_savage")</f>
        <v/>
      </c>
      <c r="G545">
        <f>IFERROR(__xludf.DUMMYFUNCTION("""COMPUTED_VALUE"""),"芸能界には才能が集まる")</f>
        <v/>
      </c>
      <c r="H545">
        <f>IFERROR(__xludf.DUMMYFUNCTION("""COMPUTED_VALUE"""),"01")</f>
        <v/>
      </c>
      <c r="I545">
        <f>IFERROR(__xludf.DUMMYFUNCTION("""COMPUTED_VALUE"""),"event_osh1_savage_00001")</f>
        <v/>
      </c>
      <c r="K545">
        <f>IFERROR(__xludf.DUMMYFUNCTION("""COMPUTED_VALUE"""),"osh1_savage_quest_select_cell")</f>
        <v/>
      </c>
    </row>
    <row r="546">
      <c r="A546">
        <f>IFERROR(__xludf.DUMMYFUNCTION("""COMPUTED_VALUE"""),"osh1")</f>
        <v/>
      </c>
      <c r="B546">
        <f>IFERROR(__xludf.DUMMYFUNCTION("""COMPUTED_VALUE"""),"【推しの子】")</f>
        <v/>
      </c>
      <c r="C546">
        <f>IFERROR(__xludf.DUMMYFUNCTION("""COMPUTED_VALUE"""),"savage")</f>
        <v/>
      </c>
      <c r="D546">
        <f>IFERROR(__xludf.DUMMYFUNCTION("""COMPUTED_VALUE"""),"event")</f>
        <v/>
      </c>
      <c r="E546">
        <f>IFERROR(__xludf.DUMMYFUNCTION("""COMPUTED_VALUE"""),"高難易度")</f>
        <v/>
      </c>
      <c r="F546">
        <f>IFERROR(__xludf.DUMMYFUNCTION("""COMPUTED_VALUE"""),"quest_event_osh1_savage")</f>
        <v/>
      </c>
      <c r="G546">
        <f>IFERROR(__xludf.DUMMYFUNCTION("""COMPUTED_VALUE"""),"芸能界には才能が集まる")</f>
        <v/>
      </c>
      <c r="H546">
        <f>IFERROR(__xludf.DUMMYFUNCTION("""COMPUTED_VALUE"""),"02")</f>
        <v/>
      </c>
      <c r="I546">
        <f>IFERROR(__xludf.DUMMYFUNCTION("""COMPUTED_VALUE"""),"event_osh1_savage_00002")</f>
        <v/>
      </c>
    </row>
    <row r="547">
      <c r="A547">
        <f>IFERROR(__xludf.DUMMYFUNCTION("""COMPUTED_VALUE"""),"osh1")</f>
        <v/>
      </c>
      <c r="B547">
        <f>IFERROR(__xludf.DUMMYFUNCTION("""COMPUTED_VALUE"""),"【推しの子】")</f>
        <v/>
      </c>
      <c r="C547">
        <f>IFERROR(__xludf.DUMMYFUNCTION("""COMPUTED_VALUE"""),"savage")</f>
        <v/>
      </c>
      <c r="D547">
        <f>IFERROR(__xludf.DUMMYFUNCTION("""COMPUTED_VALUE"""),"event")</f>
        <v/>
      </c>
      <c r="E547">
        <f>IFERROR(__xludf.DUMMYFUNCTION("""COMPUTED_VALUE"""),"高難易度")</f>
        <v/>
      </c>
      <c r="F547">
        <f>IFERROR(__xludf.DUMMYFUNCTION("""COMPUTED_VALUE"""),"quest_event_osh1_savage")</f>
        <v/>
      </c>
      <c r="G547">
        <f>IFERROR(__xludf.DUMMYFUNCTION("""COMPUTED_VALUE"""),"芸能界には才能が集まる")</f>
        <v/>
      </c>
      <c r="H547">
        <f>IFERROR(__xludf.DUMMYFUNCTION("""COMPUTED_VALUE"""),"03")</f>
        <v/>
      </c>
      <c r="I547">
        <f>IFERROR(__xludf.DUMMYFUNCTION("""COMPUTED_VALUE"""),"event_osh1_savage_00003")</f>
        <v/>
      </c>
    </row>
    <row r="549">
      <c r="A549">
        <f>IFERROR(__xludf.DUMMYFUNCTION("""COMPUTED_VALUE"""),"glo1")</f>
        <v/>
      </c>
      <c r="B549">
        <f>IFERROR(__xludf.DUMMYFUNCTION("""COMPUTED_VALUE"""),"GLOW")</f>
        <v/>
      </c>
      <c r="C549">
        <f>IFERROR(__xludf.DUMMYFUNCTION("""COMPUTED_VALUE"""),"1day")</f>
        <v/>
      </c>
      <c r="D549">
        <f>IFERROR(__xludf.DUMMYFUNCTION("""COMPUTED_VALUE"""),"event")</f>
        <v/>
      </c>
      <c r="E549">
        <f>IFERROR(__xludf.DUMMYFUNCTION("""COMPUTED_VALUE"""),"デイリー")</f>
        <v/>
      </c>
      <c r="F549">
        <f>IFERROR(__xludf.DUMMYFUNCTION("""COMPUTED_VALUE"""),"quest_event_glo1_1day")</f>
        <v/>
      </c>
      <c r="G549">
        <f>IFERROR(__xludf.DUMMYFUNCTION("""COMPUTED_VALUE"""),"開運!ジャンブル運試し")</f>
        <v/>
      </c>
      <c r="H549">
        <f>IFERROR(__xludf.DUMMYFUNCTION("""COMPUTED_VALUE"""),"02")</f>
        <v/>
      </c>
      <c r="I549">
        <f>IFERROR(__xludf.DUMMYFUNCTION("""COMPUTED_VALUE"""),"event_glo1_1day_00002")</f>
        <v/>
      </c>
      <c r="K549">
        <f>IFERROR(__xludf.DUMMYFUNCTION("""COMPUTED_VALUE"""),"glo1_1day_quest_select_cell")</f>
        <v/>
      </c>
    </row>
    <row r="551">
      <c r="A551">
        <f>IFERROR(__xludf.DUMMYFUNCTION("""COMPUTED_VALUE"""),"jig1")</f>
        <v/>
      </c>
      <c r="B551">
        <f>IFERROR(__xludf.DUMMYFUNCTION("""COMPUTED_VALUE"""),"地獄楽")</f>
        <v/>
      </c>
      <c r="C551">
        <f>IFERROR(__xludf.DUMMYFUNCTION("""COMPUTED_VALUE"""),"1day")</f>
        <v/>
      </c>
      <c r="D551">
        <f>IFERROR(__xludf.DUMMYFUNCTION("""COMPUTED_VALUE"""),"event")</f>
        <v/>
      </c>
      <c r="E551">
        <f>IFERROR(__xludf.DUMMYFUNCTION("""COMPUTED_VALUE"""),"デイリー")</f>
        <v/>
      </c>
      <c r="F551">
        <f>IFERROR(__xludf.DUMMYFUNCTION("""COMPUTED_VALUE"""),"quest_event_jig1_1day")</f>
        <v/>
      </c>
      <c r="G551">
        <f>IFERROR(__xludf.DUMMYFUNCTION("""COMPUTED_VALUE"""),"本能が告げている 危険だと")</f>
        <v/>
      </c>
      <c r="H551">
        <f>IFERROR(__xludf.DUMMYFUNCTION("""COMPUTED_VALUE"""),"01")</f>
        <v/>
      </c>
      <c r="I551">
        <f>IFERROR(__xludf.DUMMYFUNCTION("""COMPUTED_VALUE"""),"event_jig1_1day_00001")</f>
        <v/>
      </c>
      <c r="K551">
        <f>IFERROR(__xludf.DUMMYFUNCTION("""COMPUTED_VALUE"""),"jig1_1day_quest_select_cell")</f>
        <v/>
      </c>
    </row>
    <row r="552">
      <c r="A552">
        <f>IFERROR(__xludf.DUMMYFUNCTION("""COMPUTED_VALUE"""),"jig1")</f>
        <v/>
      </c>
      <c r="B552">
        <f>IFERROR(__xludf.DUMMYFUNCTION("""COMPUTED_VALUE"""),"地獄楽")</f>
        <v/>
      </c>
      <c r="C552">
        <f>IFERROR(__xludf.DUMMYFUNCTION("""COMPUTED_VALUE"""),"charaget01")</f>
        <v/>
      </c>
      <c r="D552">
        <f>IFERROR(__xludf.DUMMYFUNCTION("""COMPUTED_VALUE"""),"event")</f>
        <v/>
      </c>
      <c r="E552">
        <f>IFERROR(__xludf.DUMMYFUNCTION("""COMPUTED_VALUE"""),"ストーリー")</f>
        <v/>
      </c>
      <c r="F552">
        <f>IFERROR(__xludf.DUMMYFUNCTION("""COMPUTED_VALUE"""),"quest_event_jig1_charaget01")</f>
        <v/>
      </c>
      <c r="G552">
        <f>IFERROR(__xludf.DUMMYFUNCTION("""COMPUTED_VALUE"""),"必ず生きて帰る")</f>
        <v/>
      </c>
      <c r="H552">
        <f>IFERROR(__xludf.DUMMYFUNCTION("""COMPUTED_VALUE"""),"01")</f>
        <v/>
      </c>
      <c r="I552">
        <f>IFERROR(__xludf.DUMMYFUNCTION("""COMPUTED_VALUE"""),"event_jig1_charaget01_00001")</f>
        <v/>
      </c>
      <c r="K552">
        <f>IFERROR(__xludf.DUMMYFUNCTION("""COMPUTED_VALUE"""),"jig1_charaget01_quest_select_cell")</f>
        <v/>
      </c>
    </row>
    <row r="553">
      <c r="A553">
        <f>IFERROR(__xludf.DUMMYFUNCTION("""COMPUTED_VALUE"""),"jig1")</f>
        <v/>
      </c>
      <c r="B553">
        <f>IFERROR(__xludf.DUMMYFUNCTION("""COMPUTED_VALUE"""),"地獄楽")</f>
        <v/>
      </c>
      <c r="C553">
        <f>IFERROR(__xludf.DUMMYFUNCTION("""COMPUTED_VALUE"""),"charaget01")</f>
        <v/>
      </c>
      <c r="D553">
        <f>IFERROR(__xludf.DUMMYFUNCTION("""COMPUTED_VALUE"""),"event")</f>
        <v/>
      </c>
      <c r="E553">
        <f>IFERROR(__xludf.DUMMYFUNCTION("""COMPUTED_VALUE"""),"ストーリー")</f>
        <v/>
      </c>
      <c r="F553">
        <f>IFERROR(__xludf.DUMMYFUNCTION("""COMPUTED_VALUE"""),"quest_event_jig1_charaget01")</f>
        <v/>
      </c>
      <c r="G553">
        <f>IFERROR(__xludf.DUMMYFUNCTION("""COMPUTED_VALUE"""),"必ず生きて帰る")</f>
        <v/>
      </c>
      <c r="H553">
        <f>IFERROR(__xludf.DUMMYFUNCTION("""COMPUTED_VALUE"""),"02")</f>
        <v/>
      </c>
      <c r="I553">
        <f>IFERROR(__xludf.DUMMYFUNCTION("""COMPUTED_VALUE"""),"event_jig1_charaget01_00002")</f>
        <v/>
      </c>
    </row>
    <row r="554">
      <c r="A554">
        <f>IFERROR(__xludf.DUMMYFUNCTION("""COMPUTED_VALUE"""),"jig1")</f>
        <v/>
      </c>
      <c r="B554">
        <f>IFERROR(__xludf.DUMMYFUNCTION("""COMPUTED_VALUE"""),"地獄楽")</f>
        <v/>
      </c>
      <c r="C554">
        <f>IFERROR(__xludf.DUMMYFUNCTION("""COMPUTED_VALUE"""),"charaget01")</f>
        <v/>
      </c>
      <c r="D554">
        <f>IFERROR(__xludf.DUMMYFUNCTION("""COMPUTED_VALUE"""),"event")</f>
        <v/>
      </c>
      <c r="E554">
        <f>IFERROR(__xludf.DUMMYFUNCTION("""COMPUTED_VALUE"""),"ストーリー")</f>
        <v/>
      </c>
      <c r="F554">
        <f>IFERROR(__xludf.DUMMYFUNCTION("""COMPUTED_VALUE"""),"quest_event_jig1_charaget01")</f>
        <v/>
      </c>
      <c r="G554">
        <f>IFERROR(__xludf.DUMMYFUNCTION("""COMPUTED_VALUE"""),"必ず生きて帰る")</f>
        <v/>
      </c>
      <c r="H554">
        <f>IFERROR(__xludf.DUMMYFUNCTION("""COMPUTED_VALUE"""),"03")</f>
        <v/>
      </c>
      <c r="I554">
        <f>IFERROR(__xludf.DUMMYFUNCTION("""COMPUTED_VALUE"""),"event_jig1_charaget01_00003")</f>
        <v/>
      </c>
    </row>
    <row r="555">
      <c r="A555">
        <f>IFERROR(__xludf.DUMMYFUNCTION("""COMPUTED_VALUE"""),"jig1")</f>
        <v/>
      </c>
      <c r="B555">
        <f>IFERROR(__xludf.DUMMYFUNCTION("""COMPUTED_VALUE"""),"地獄楽")</f>
        <v/>
      </c>
      <c r="C555">
        <f>IFERROR(__xludf.DUMMYFUNCTION("""COMPUTED_VALUE"""),"charaget01")</f>
        <v/>
      </c>
      <c r="D555">
        <f>IFERROR(__xludf.DUMMYFUNCTION("""COMPUTED_VALUE"""),"event")</f>
        <v/>
      </c>
      <c r="E555">
        <f>IFERROR(__xludf.DUMMYFUNCTION("""COMPUTED_VALUE"""),"ストーリー")</f>
        <v/>
      </c>
      <c r="F555">
        <f>IFERROR(__xludf.DUMMYFUNCTION("""COMPUTED_VALUE"""),"quest_event_jig1_charaget01")</f>
        <v/>
      </c>
      <c r="G555">
        <f>IFERROR(__xludf.DUMMYFUNCTION("""COMPUTED_VALUE"""),"必ず生きて帰る")</f>
        <v/>
      </c>
      <c r="H555">
        <f>IFERROR(__xludf.DUMMYFUNCTION("""COMPUTED_VALUE"""),"04")</f>
        <v/>
      </c>
      <c r="I555">
        <f>IFERROR(__xludf.DUMMYFUNCTION("""COMPUTED_VALUE"""),"event_jig1_charaget01_00004")</f>
        <v/>
      </c>
    </row>
    <row r="556">
      <c r="A556">
        <f>IFERROR(__xludf.DUMMYFUNCTION("""COMPUTED_VALUE"""),"jig1")</f>
        <v/>
      </c>
      <c r="B556">
        <f>IFERROR(__xludf.DUMMYFUNCTION("""COMPUTED_VALUE"""),"地獄楽")</f>
        <v/>
      </c>
      <c r="C556">
        <f>IFERROR(__xludf.DUMMYFUNCTION("""COMPUTED_VALUE"""),"charaget01")</f>
        <v/>
      </c>
      <c r="D556">
        <f>IFERROR(__xludf.DUMMYFUNCTION("""COMPUTED_VALUE"""),"event")</f>
        <v/>
      </c>
      <c r="E556">
        <f>IFERROR(__xludf.DUMMYFUNCTION("""COMPUTED_VALUE"""),"ストーリー")</f>
        <v/>
      </c>
      <c r="F556">
        <f>IFERROR(__xludf.DUMMYFUNCTION("""COMPUTED_VALUE"""),"quest_event_jig1_charaget01")</f>
        <v/>
      </c>
      <c r="G556">
        <f>IFERROR(__xludf.DUMMYFUNCTION("""COMPUTED_VALUE"""),"必ず生きて帰る")</f>
        <v/>
      </c>
      <c r="H556">
        <f>IFERROR(__xludf.DUMMYFUNCTION("""COMPUTED_VALUE"""),"05")</f>
        <v/>
      </c>
      <c r="I556">
        <f>IFERROR(__xludf.DUMMYFUNCTION("""COMPUTED_VALUE"""),"event_jig1_charaget01_00005")</f>
        <v/>
      </c>
    </row>
    <row r="557">
      <c r="A557">
        <f>IFERROR(__xludf.DUMMYFUNCTION("""COMPUTED_VALUE"""),"jig1")</f>
        <v/>
      </c>
      <c r="B557">
        <f>IFERROR(__xludf.DUMMYFUNCTION("""COMPUTED_VALUE"""),"地獄楽")</f>
        <v/>
      </c>
      <c r="C557">
        <f>IFERROR(__xludf.DUMMYFUNCTION("""COMPUTED_VALUE"""),"charaget01")</f>
        <v/>
      </c>
      <c r="D557">
        <f>IFERROR(__xludf.DUMMYFUNCTION("""COMPUTED_VALUE"""),"event")</f>
        <v/>
      </c>
      <c r="E557">
        <f>IFERROR(__xludf.DUMMYFUNCTION("""COMPUTED_VALUE"""),"ストーリー")</f>
        <v/>
      </c>
      <c r="F557">
        <f>IFERROR(__xludf.DUMMYFUNCTION("""COMPUTED_VALUE"""),"quest_event_jig1_charaget01")</f>
        <v/>
      </c>
      <c r="G557">
        <f>IFERROR(__xludf.DUMMYFUNCTION("""COMPUTED_VALUE"""),"必ず生きて帰る")</f>
        <v/>
      </c>
      <c r="H557">
        <f>IFERROR(__xludf.DUMMYFUNCTION("""COMPUTED_VALUE"""),"06")</f>
        <v/>
      </c>
      <c r="I557">
        <f>IFERROR(__xludf.DUMMYFUNCTION("""COMPUTED_VALUE"""),"event_jig1_charaget01_00006")</f>
        <v/>
      </c>
    </row>
    <row r="558">
      <c r="A558">
        <f>IFERROR(__xludf.DUMMYFUNCTION("""COMPUTED_VALUE"""),"jig1")</f>
        <v/>
      </c>
      <c r="B558">
        <f>IFERROR(__xludf.DUMMYFUNCTION("""COMPUTED_VALUE"""),"地獄楽")</f>
        <v/>
      </c>
      <c r="C558">
        <f>IFERROR(__xludf.DUMMYFUNCTION("""COMPUTED_VALUE"""),"charaget01")</f>
        <v/>
      </c>
      <c r="D558">
        <f>IFERROR(__xludf.DUMMYFUNCTION("""COMPUTED_VALUE"""),"event")</f>
        <v/>
      </c>
      <c r="E558">
        <f>IFERROR(__xludf.DUMMYFUNCTION("""COMPUTED_VALUE"""),"ストーリー")</f>
        <v/>
      </c>
      <c r="F558">
        <f>IFERROR(__xludf.DUMMYFUNCTION("""COMPUTED_VALUE"""),"quest_event_jig1_charaget01")</f>
        <v/>
      </c>
      <c r="G558">
        <f>IFERROR(__xludf.DUMMYFUNCTION("""COMPUTED_VALUE"""),"必ず生きて帰る")</f>
        <v/>
      </c>
      <c r="H558">
        <f>IFERROR(__xludf.DUMMYFUNCTION("""COMPUTED_VALUE"""),"07")</f>
        <v/>
      </c>
      <c r="I558">
        <f>IFERROR(__xludf.DUMMYFUNCTION("""COMPUTED_VALUE"""),"event_jig1_charaget01_00007")</f>
        <v/>
      </c>
    </row>
    <row r="559">
      <c r="A559">
        <f>IFERROR(__xludf.DUMMYFUNCTION("""COMPUTED_VALUE"""),"jig1")</f>
        <v/>
      </c>
      <c r="B559">
        <f>IFERROR(__xludf.DUMMYFUNCTION("""COMPUTED_VALUE"""),"地獄楽")</f>
        <v/>
      </c>
      <c r="C559">
        <f>IFERROR(__xludf.DUMMYFUNCTION("""COMPUTED_VALUE"""),"charaget01")</f>
        <v/>
      </c>
      <c r="D559">
        <f>IFERROR(__xludf.DUMMYFUNCTION("""COMPUTED_VALUE"""),"event")</f>
        <v/>
      </c>
      <c r="E559">
        <f>IFERROR(__xludf.DUMMYFUNCTION("""COMPUTED_VALUE"""),"ストーリー")</f>
        <v/>
      </c>
      <c r="F559">
        <f>IFERROR(__xludf.DUMMYFUNCTION("""COMPUTED_VALUE"""),"quest_event_jig1_charaget01")</f>
        <v/>
      </c>
      <c r="G559">
        <f>IFERROR(__xludf.DUMMYFUNCTION("""COMPUTED_VALUE"""),"必ず生きて帰る")</f>
        <v/>
      </c>
      <c r="H559">
        <f>IFERROR(__xludf.DUMMYFUNCTION("""COMPUTED_VALUE"""),"08")</f>
        <v/>
      </c>
      <c r="I559">
        <f>IFERROR(__xludf.DUMMYFUNCTION("""COMPUTED_VALUE"""),"event_jig1_charaget01_00008")</f>
        <v/>
      </c>
    </row>
    <row r="560">
      <c r="A560">
        <f>IFERROR(__xludf.DUMMYFUNCTION("""COMPUTED_VALUE"""),"jig1")</f>
        <v/>
      </c>
      <c r="B560">
        <f>IFERROR(__xludf.DUMMYFUNCTION("""COMPUTED_VALUE"""),"地獄楽")</f>
        <v/>
      </c>
      <c r="C560">
        <f>IFERROR(__xludf.DUMMYFUNCTION("""COMPUTED_VALUE"""),"charaget02")</f>
        <v/>
      </c>
      <c r="D560">
        <f>IFERROR(__xludf.DUMMYFUNCTION("""COMPUTED_VALUE"""),"event")</f>
        <v/>
      </c>
      <c r="E560">
        <f>IFERROR(__xludf.DUMMYFUNCTION("""COMPUTED_VALUE"""),"ストーリー")</f>
        <v/>
      </c>
      <c r="F560">
        <f>IFERROR(__xludf.DUMMYFUNCTION("""COMPUTED_VALUE"""),"quest_event_jig1_charaget02")</f>
        <v/>
      </c>
      <c r="G560">
        <f>IFERROR(__xludf.DUMMYFUNCTION("""COMPUTED_VALUE"""),"朱印の者たち")</f>
        <v/>
      </c>
      <c r="H560">
        <f>IFERROR(__xludf.DUMMYFUNCTION("""COMPUTED_VALUE"""),"01")</f>
        <v/>
      </c>
      <c r="I560">
        <f>IFERROR(__xludf.DUMMYFUNCTION("""COMPUTED_VALUE"""),"event_jig1_charaget02_00001")</f>
        <v/>
      </c>
      <c r="K560">
        <f>IFERROR(__xludf.DUMMYFUNCTION("""COMPUTED_VALUE"""),"jig1_charaget02_quest_select_cell")</f>
        <v/>
      </c>
    </row>
    <row r="561">
      <c r="A561">
        <f>IFERROR(__xludf.DUMMYFUNCTION("""COMPUTED_VALUE"""),"jig1")</f>
        <v/>
      </c>
      <c r="B561">
        <f>IFERROR(__xludf.DUMMYFUNCTION("""COMPUTED_VALUE"""),"地獄楽")</f>
        <v/>
      </c>
      <c r="C561">
        <f>IFERROR(__xludf.DUMMYFUNCTION("""COMPUTED_VALUE"""),"charaget02")</f>
        <v/>
      </c>
      <c r="D561">
        <f>IFERROR(__xludf.DUMMYFUNCTION("""COMPUTED_VALUE"""),"event")</f>
        <v/>
      </c>
      <c r="E561">
        <f>IFERROR(__xludf.DUMMYFUNCTION("""COMPUTED_VALUE"""),"ストーリー")</f>
        <v/>
      </c>
      <c r="F561">
        <f>IFERROR(__xludf.DUMMYFUNCTION("""COMPUTED_VALUE"""),"quest_event_jig1_charaget02")</f>
        <v/>
      </c>
      <c r="G561">
        <f>IFERROR(__xludf.DUMMYFUNCTION("""COMPUTED_VALUE"""),"朱印の者たち")</f>
        <v/>
      </c>
      <c r="H561">
        <f>IFERROR(__xludf.DUMMYFUNCTION("""COMPUTED_VALUE"""),"02")</f>
        <v/>
      </c>
      <c r="I561">
        <f>IFERROR(__xludf.DUMMYFUNCTION("""COMPUTED_VALUE"""),"event_jig1_charaget02_00002")</f>
        <v/>
      </c>
    </row>
    <row r="562">
      <c r="A562">
        <f>IFERROR(__xludf.DUMMYFUNCTION("""COMPUTED_VALUE"""),"jig1")</f>
        <v/>
      </c>
      <c r="B562">
        <f>IFERROR(__xludf.DUMMYFUNCTION("""COMPUTED_VALUE"""),"地獄楽")</f>
        <v/>
      </c>
      <c r="C562">
        <f>IFERROR(__xludf.DUMMYFUNCTION("""COMPUTED_VALUE"""),"charaget02")</f>
        <v/>
      </c>
      <c r="D562">
        <f>IFERROR(__xludf.DUMMYFUNCTION("""COMPUTED_VALUE"""),"event")</f>
        <v/>
      </c>
      <c r="E562">
        <f>IFERROR(__xludf.DUMMYFUNCTION("""COMPUTED_VALUE"""),"ストーリー")</f>
        <v/>
      </c>
      <c r="F562">
        <f>IFERROR(__xludf.DUMMYFUNCTION("""COMPUTED_VALUE"""),"quest_event_jig1_charaget02")</f>
        <v/>
      </c>
      <c r="G562">
        <f>IFERROR(__xludf.DUMMYFUNCTION("""COMPUTED_VALUE"""),"朱印の者たち")</f>
        <v/>
      </c>
      <c r="H562">
        <f>IFERROR(__xludf.DUMMYFUNCTION("""COMPUTED_VALUE"""),"03")</f>
        <v/>
      </c>
      <c r="I562">
        <f>IFERROR(__xludf.DUMMYFUNCTION("""COMPUTED_VALUE"""),"event_jig1_charaget02_00003")</f>
        <v/>
      </c>
    </row>
    <row r="563">
      <c r="A563">
        <f>IFERROR(__xludf.DUMMYFUNCTION("""COMPUTED_VALUE"""),"jig1")</f>
        <v/>
      </c>
      <c r="B563">
        <f>IFERROR(__xludf.DUMMYFUNCTION("""COMPUTED_VALUE"""),"地獄楽")</f>
        <v/>
      </c>
      <c r="C563">
        <f>IFERROR(__xludf.DUMMYFUNCTION("""COMPUTED_VALUE"""),"charaget02")</f>
        <v/>
      </c>
      <c r="D563">
        <f>IFERROR(__xludf.DUMMYFUNCTION("""COMPUTED_VALUE"""),"event")</f>
        <v/>
      </c>
      <c r="E563">
        <f>IFERROR(__xludf.DUMMYFUNCTION("""COMPUTED_VALUE"""),"ストーリー")</f>
        <v/>
      </c>
      <c r="F563">
        <f>IFERROR(__xludf.DUMMYFUNCTION("""COMPUTED_VALUE"""),"quest_event_jig1_charaget02")</f>
        <v/>
      </c>
      <c r="G563">
        <f>IFERROR(__xludf.DUMMYFUNCTION("""COMPUTED_VALUE"""),"朱印の者たち")</f>
        <v/>
      </c>
      <c r="H563">
        <f>IFERROR(__xludf.DUMMYFUNCTION("""COMPUTED_VALUE"""),"04")</f>
        <v/>
      </c>
      <c r="I563">
        <f>IFERROR(__xludf.DUMMYFUNCTION("""COMPUTED_VALUE"""),"event_jig1_charaget02_00004")</f>
        <v/>
      </c>
    </row>
    <row r="564">
      <c r="A564">
        <f>IFERROR(__xludf.DUMMYFUNCTION("""COMPUTED_VALUE"""),"jig1")</f>
        <v/>
      </c>
      <c r="B564">
        <f>IFERROR(__xludf.DUMMYFUNCTION("""COMPUTED_VALUE"""),"地獄楽")</f>
        <v/>
      </c>
      <c r="C564">
        <f>IFERROR(__xludf.DUMMYFUNCTION("""COMPUTED_VALUE"""),"charaget02")</f>
        <v/>
      </c>
      <c r="D564">
        <f>IFERROR(__xludf.DUMMYFUNCTION("""COMPUTED_VALUE"""),"event")</f>
        <v/>
      </c>
      <c r="E564">
        <f>IFERROR(__xludf.DUMMYFUNCTION("""COMPUTED_VALUE"""),"ストーリー")</f>
        <v/>
      </c>
      <c r="F564">
        <f>IFERROR(__xludf.DUMMYFUNCTION("""COMPUTED_VALUE"""),"quest_event_jig1_charaget02")</f>
        <v/>
      </c>
      <c r="G564">
        <f>IFERROR(__xludf.DUMMYFUNCTION("""COMPUTED_VALUE"""),"朱印の者たち")</f>
        <v/>
      </c>
      <c r="H564">
        <f>IFERROR(__xludf.DUMMYFUNCTION("""COMPUTED_VALUE"""),"05")</f>
        <v/>
      </c>
      <c r="I564">
        <f>IFERROR(__xludf.DUMMYFUNCTION("""COMPUTED_VALUE"""),"event_jig1_charaget02_00005")</f>
        <v/>
      </c>
    </row>
    <row r="565">
      <c r="A565">
        <f>IFERROR(__xludf.DUMMYFUNCTION("""COMPUTED_VALUE"""),"jig1")</f>
        <v/>
      </c>
      <c r="B565">
        <f>IFERROR(__xludf.DUMMYFUNCTION("""COMPUTED_VALUE"""),"地獄楽")</f>
        <v/>
      </c>
      <c r="C565">
        <f>IFERROR(__xludf.DUMMYFUNCTION("""COMPUTED_VALUE"""),"charaget02")</f>
        <v/>
      </c>
      <c r="D565">
        <f>IFERROR(__xludf.DUMMYFUNCTION("""COMPUTED_VALUE"""),"event")</f>
        <v/>
      </c>
      <c r="E565">
        <f>IFERROR(__xludf.DUMMYFUNCTION("""COMPUTED_VALUE"""),"ストーリー")</f>
        <v/>
      </c>
      <c r="F565">
        <f>IFERROR(__xludf.DUMMYFUNCTION("""COMPUTED_VALUE"""),"quest_event_jig1_charaget02")</f>
        <v/>
      </c>
      <c r="G565">
        <f>IFERROR(__xludf.DUMMYFUNCTION("""COMPUTED_VALUE"""),"朱印の者たち")</f>
        <v/>
      </c>
      <c r="H565">
        <f>IFERROR(__xludf.DUMMYFUNCTION("""COMPUTED_VALUE"""),"06")</f>
        <v/>
      </c>
      <c r="I565">
        <f>IFERROR(__xludf.DUMMYFUNCTION("""COMPUTED_VALUE"""),"event_jig1_charaget02_00006")</f>
        <v/>
      </c>
    </row>
    <row r="566">
      <c r="A566">
        <f>IFERROR(__xludf.DUMMYFUNCTION("""COMPUTED_VALUE"""),"jig1")</f>
        <v/>
      </c>
      <c r="B566">
        <f>IFERROR(__xludf.DUMMYFUNCTION("""COMPUTED_VALUE"""),"地獄楽")</f>
        <v/>
      </c>
      <c r="C566">
        <f>IFERROR(__xludf.DUMMYFUNCTION("""COMPUTED_VALUE"""),"charaget02")</f>
        <v/>
      </c>
      <c r="D566">
        <f>IFERROR(__xludf.DUMMYFUNCTION("""COMPUTED_VALUE"""),"event")</f>
        <v/>
      </c>
      <c r="E566">
        <f>IFERROR(__xludf.DUMMYFUNCTION("""COMPUTED_VALUE"""),"ストーリー")</f>
        <v/>
      </c>
      <c r="F566">
        <f>IFERROR(__xludf.DUMMYFUNCTION("""COMPUTED_VALUE"""),"quest_event_jig1_charaget02")</f>
        <v/>
      </c>
      <c r="G566">
        <f>IFERROR(__xludf.DUMMYFUNCTION("""COMPUTED_VALUE"""),"朱印の者たち")</f>
        <v/>
      </c>
      <c r="H566">
        <f>IFERROR(__xludf.DUMMYFUNCTION("""COMPUTED_VALUE"""),"07")</f>
        <v/>
      </c>
      <c r="I566">
        <f>IFERROR(__xludf.DUMMYFUNCTION("""COMPUTED_VALUE"""),"event_jig1_charaget02_00007")</f>
        <v/>
      </c>
    </row>
    <row r="567">
      <c r="A567">
        <f>IFERROR(__xludf.DUMMYFUNCTION("""COMPUTED_VALUE"""),"jig1")</f>
        <v/>
      </c>
      <c r="B567">
        <f>IFERROR(__xludf.DUMMYFUNCTION("""COMPUTED_VALUE"""),"地獄楽")</f>
        <v/>
      </c>
      <c r="C567">
        <f>IFERROR(__xludf.DUMMYFUNCTION("""COMPUTED_VALUE"""),"charaget02")</f>
        <v/>
      </c>
      <c r="D567">
        <f>IFERROR(__xludf.DUMMYFUNCTION("""COMPUTED_VALUE"""),"event")</f>
        <v/>
      </c>
      <c r="E567">
        <f>IFERROR(__xludf.DUMMYFUNCTION("""COMPUTED_VALUE"""),"ストーリー")</f>
        <v/>
      </c>
      <c r="F567">
        <f>IFERROR(__xludf.DUMMYFUNCTION("""COMPUTED_VALUE"""),"quest_event_jig1_charaget02")</f>
        <v/>
      </c>
      <c r="G567">
        <f>IFERROR(__xludf.DUMMYFUNCTION("""COMPUTED_VALUE"""),"朱印の者たち")</f>
        <v/>
      </c>
      <c r="H567">
        <f>IFERROR(__xludf.DUMMYFUNCTION("""COMPUTED_VALUE"""),"08")</f>
        <v/>
      </c>
      <c r="I567">
        <f>IFERROR(__xludf.DUMMYFUNCTION("""COMPUTED_VALUE"""),"event_jig1_charaget02_00008")</f>
        <v/>
      </c>
    </row>
    <row r="568">
      <c r="A568">
        <f>IFERROR(__xludf.DUMMYFUNCTION("""COMPUTED_VALUE"""),"jig1")</f>
        <v/>
      </c>
      <c r="B568">
        <f>IFERROR(__xludf.DUMMYFUNCTION("""COMPUTED_VALUE"""),"地獄楽")</f>
        <v/>
      </c>
      <c r="C568">
        <f>IFERROR(__xludf.DUMMYFUNCTION("""COMPUTED_VALUE"""),"challenge01")</f>
        <v/>
      </c>
      <c r="D568">
        <f>IFERROR(__xludf.DUMMYFUNCTION("""COMPUTED_VALUE"""),"event")</f>
        <v/>
      </c>
      <c r="E568">
        <f>IFERROR(__xludf.DUMMYFUNCTION("""COMPUTED_VALUE"""),"チャレンジ")</f>
        <v/>
      </c>
      <c r="F568">
        <f>IFERROR(__xludf.DUMMYFUNCTION("""COMPUTED_VALUE"""),"quest_event_jig1_challenge01")</f>
        <v/>
      </c>
      <c r="G568">
        <f>IFERROR(__xludf.DUMMYFUNCTION("""COMPUTED_VALUE"""),"死罪人と首切り役人")</f>
        <v/>
      </c>
      <c r="H568">
        <f>IFERROR(__xludf.DUMMYFUNCTION("""COMPUTED_VALUE"""),"01")</f>
        <v/>
      </c>
      <c r="I568">
        <f>IFERROR(__xludf.DUMMYFUNCTION("""COMPUTED_VALUE"""),"event_jig1_challenge01_00001")</f>
        <v/>
      </c>
      <c r="K568">
        <f>IFERROR(__xludf.DUMMYFUNCTION("""COMPUTED_VALUE"""),"jig1_challenge01_quest_select_cell")</f>
        <v/>
      </c>
    </row>
    <row r="569">
      <c r="A569">
        <f>IFERROR(__xludf.DUMMYFUNCTION("""COMPUTED_VALUE"""),"jig1")</f>
        <v/>
      </c>
      <c r="B569">
        <f>IFERROR(__xludf.DUMMYFUNCTION("""COMPUTED_VALUE"""),"地獄楽")</f>
        <v/>
      </c>
      <c r="C569">
        <f>IFERROR(__xludf.DUMMYFUNCTION("""COMPUTED_VALUE"""),"challenge01")</f>
        <v/>
      </c>
      <c r="D569">
        <f>IFERROR(__xludf.DUMMYFUNCTION("""COMPUTED_VALUE"""),"event")</f>
        <v/>
      </c>
      <c r="E569">
        <f>IFERROR(__xludf.DUMMYFUNCTION("""COMPUTED_VALUE"""),"チャレンジ")</f>
        <v/>
      </c>
      <c r="F569">
        <f>IFERROR(__xludf.DUMMYFUNCTION("""COMPUTED_VALUE"""),"quest_event_jig1_challenge01")</f>
        <v/>
      </c>
      <c r="G569">
        <f>IFERROR(__xludf.DUMMYFUNCTION("""COMPUTED_VALUE"""),"死罪人と首切り役人")</f>
        <v/>
      </c>
      <c r="H569">
        <f>IFERROR(__xludf.DUMMYFUNCTION("""COMPUTED_VALUE"""),"02")</f>
        <v/>
      </c>
      <c r="I569">
        <f>IFERROR(__xludf.DUMMYFUNCTION("""COMPUTED_VALUE"""),"event_jig1_challenge01_00002")</f>
        <v/>
      </c>
    </row>
    <row r="570">
      <c r="A570">
        <f>IFERROR(__xludf.DUMMYFUNCTION("""COMPUTED_VALUE"""),"jig1")</f>
        <v/>
      </c>
      <c r="B570">
        <f>IFERROR(__xludf.DUMMYFUNCTION("""COMPUTED_VALUE"""),"地獄楽")</f>
        <v/>
      </c>
      <c r="C570">
        <f>IFERROR(__xludf.DUMMYFUNCTION("""COMPUTED_VALUE"""),"challenge01")</f>
        <v/>
      </c>
      <c r="D570">
        <f>IFERROR(__xludf.DUMMYFUNCTION("""COMPUTED_VALUE"""),"event")</f>
        <v/>
      </c>
      <c r="E570">
        <f>IFERROR(__xludf.DUMMYFUNCTION("""COMPUTED_VALUE"""),"チャレンジ")</f>
        <v/>
      </c>
      <c r="F570">
        <f>IFERROR(__xludf.DUMMYFUNCTION("""COMPUTED_VALUE"""),"quest_event_jig1_challenge01")</f>
        <v/>
      </c>
      <c r="G570">
        <f>IFERROR(__xludf.DUMMYFUNCTION("""COMPUTED_VALUE"""),"死罪人と首切り役人")</f>
        <v/>
      </c>
      <c r="H570">
        <f>IFERROR(__xludf.DUMMYFUNCTION("""COMPUTED_VALUE"""),"03")</f>
        <v/>
      </c>
      <c r="I570">
        <f>IFERROR(__xludf.DUMMYFUNCTION("""COMPUTED_VALUE"""),"event_jig1_challenge01_00003")</f>
        <v/>
      </c>
    </row>
    <row r="571">
      <c r="A571">
        <f>IFERROR(__xludf.DUMMYFUNCTION("""COMPUTED_VALUE"""),"jig1")</f>
        <v/>
      </c>
      <c r="B571">
        <f>IFERROR(__xludf.DUMMYFUNCTION("""COMPUTED_VALUE"""),"地獄楽")</f>
        <v/>
      </c>
      <c r="C571">
        <f>IFERROR(__xludf.DUMMYFUNCTION("""COMPUTED_VALUE"""),"challenge01")</f>
        <v/>
      </c>
      <c r="D571">
        <f>IFERROR(__xludf.DUMMYFUNCTION("""COMPUTED_VALUE"""),"event")</f>
        <v/>
      </c>
      <c r="E571">
        <f>IFERROR(__xludf.DUMMYFUNCTION("""COMPUTED_VALUE"""),"チャレンジ")</f>
        <v/>
      </c>
      <c r="F571">
        <f>IFERROR(__xludf.DUMMYFUNCTION("""COMPUTED_VALUE"""),"quest_event_jig1_challenge01")</f>
        <v/>
      </c>
      <c r="G571">
        <f>IFERROR(__xludf.DUMMYFUNCTION("""COMPUTED_VALUE"""),"死罪人と首切り役人")</f>
        <v/>
      </c>
      <c r="H571">
        <f>IFERROR(__xludf.DUMMYFUNCTION("""COMPUTED_VALUE"""),"04")</f>
        <v/>
      </c>
      <c r="I571">
        <f>IFERROR(__xludf.DUMMYFUNCTION("""COMPUTED_VALUE"""),"event_jig1_challenge01_00004")</f>
        <v/>
      </c>
    </row>
    <row r="572">
      <c r="A572">
        <f>IFERROR(__xludf.DUMMYFUNCTION("""COMPUTED_VALUE"""),"jig1")</f>
        <v/>
      </c>
      <c r="B572">
        <f>IFERROR(__xludf.DUMMYFUNCTION("""COMPUTED_VALUE"""),"地獄楽")</f>
        <v/>
      </c>
      <c r="C572">
        <f>IFERROR(__xludf.DUMMYFUNCTION("""COMPUTED_VALUE"""),"savage")</f>
        <v/>
      </c>
      <c r="D572">
        <f>IFERROR(__xludf.DUMMYFUNCTION("""COMPUTED_VALUE"""),"event")</f>
        <v/>
      </c>
      <c r="E572">
        <f>IFERROR(__xludf.DUMMYFUNCTION("""COMPUTED_VALUE"""),"高難易度")</f>
        <v/>
      </c>
      <c r="F572">
        <f>IFERROR(__xludf.DUMMYFUNCTION("""COMPUTED_VALUE"""),"quest_event_jig1_savage")</f>
        <v/>
      </c>
      <c r="G572">
        <f>IFERROR(__xludf.DUMMYFUNCTION("""COMPUTED_VALUE"""),"手負いの獣は恐ろしいぞ")</f>
        <v/>
      </c>
      <c r="H572">
        <f>IFERROR(__xludf.DUMMYFUNCTION("""COMPUTED_VALUE"""),"01")</f>
        <v/>
      </c>
      <c r="I572">
        <f>IFERROR(__xludf.DUMMYFUNCTION("""COMPUTED_VALUE"""),"event_jig1_savage_00001")</f>
        <v/>
      </c>
      <c r="K572">
        <f>IFERROR(__xludf.DUMMYFUNCTION("""COMPUTED_VALUE"""),"jig1_savage_quest_select_cell")</f>
        <v/>
      </c>
    </row>
    <row r="573">
      <c r="A573">
        <f>IFERROR(__xludf.DUMMYFUNCTION("""COMPUTED_VALUE"""),"jig1")</f>
        <v/>
      </c>
      <c r="B573">
        <f>IFERROR(__xludf.DUMMYFUNCTION("""COMPUTED_VALUE"""),"地獄楽")</f>
        <v/>
      </c>
      <c r="C573">
        <f>IFERROR(__xludf.DUMMYFUNCTION("""COMPUTED_VALUE"""),"savage")</f>
        <v/>
      </c>
      <c r="D573">
        <f>IFERROR(__xludf.DUMMYFUNCTION("""COMPUTED_VALUE"""),"event")</f>
        <v/>
      </c>
      <c r="E573">
        <f>IFERROR(__xludf.DUMMYFUNCTION("""COMPUTED_VALUE"""),"高難易度")</f>
        <v/>
      </c>
      <c r="F573">
        <f>IFERROR(__xludf.DUMMYFUNCTION("""COMPUTED_VALUE"""),"quest_event_jig1_savage")</f>
        <v/>
      </c>
      <c r="G573">
        <f>IFERROR(__xludf.DUMMYFUNCTION("""COMPUTED_VALUE"""),"手負いの獣は恐ろしいぞ")</f>
        <v/>
      </c>
      <c r="H573">
        <f>IFERROR(__xludf.DUMMYFUNCTION("""COMPUTED_VALUE"""),"02")</f>
        <v/>
      </c>
      <c r="I573">
        <f>IFERROR(__xludf.DUMMYFUNCTION("""COMPUTED_VALUE"""),"event_jig1_savage_00002")</f>
        <v/>
      </c>
    </row>
    <row r="574">
      <c r="A574">
        <f>IFERROR(__xludf.DUMMYFUNCTION("""COMPUTED_VALUE"""),"jig1")</f>
        <v/>
      </c>
      <c r="B574">
        <f>IFERROR(__xludf.DUMMYFUNCTION("""COMPUTED_VALUE"""),"地獄楽")</f>
        <v/>
      </c>
      <c r="C574">
        <f>IFERROR(__xludf.DUMMYFUNCTION("""COMPUTED_VALUE"""),"savage")</f>
        <v/>
      </c>
      <c r="D574">
        <f>IFERROR(__xludf.DUMMYFUNCTION("""COMPUTED_VALUE"""),"event")</f>
        <v/>
      </c>
      <c r="E574">
        <f>IFERROR(__xludf.DUMMYFUNCTION("""COMPUTED_VALUE"""),"高難易度")</f>
        <v/>
      </c>
      <c r="F574">
        <f>IFERROR(__xludf.DUMMYFUNCTION("""COMPUTED_VALUE"""),"quest_event_jig1_savage")</f>
        <v/>
      </c>
      <c r="G574">
        <f>IFERROR(__xludf.DUMMYFUNCTION("""COMPUTED_VALUE"""),"手負いの獣は恐ろしいぞ")</f>
        <v/>
      </c>
      <c r="H574">
        <f>IFERROR(__xludf.DUMMYFUNCTION("""COMPUTED_VALUE"""),"03")</f>
        <v/>
      </c>
      <c r="I574">
        <f>IFERROR(__xludf.DUMMYFUNCTION("""COMPUTED_VALUE"""),"event_jig1_savage_00003")</f>
        <v/>
      </c>
    </row>
    <row r="576">
      <c r="A576">
        <f>IFERROR(__xludf.DUMMYFUNCTION("""COMPUTED_VALUE"""),"you1")</f>
        <v/>
      </c>
      <c r="B576">
        <f>IFERROR(__xludf.DUMMYFUNCTION("""COMPUTED_VALUE"""),"幼稚園WARS")</f>
        <v/>
      </c>
      <c r="C576">
        <f>IFERROR(__xludf.DUMMYFUNCTION("""COMPUTED_VALUE"""),"1day")</f>
        <v/>
      </c>
      <c r="D576">
        <f>IFERROR(__xludf.DUMMYFUNCTION("""COMPUTED_VALUE"""),"event")</f>
        <v/>
      </c>
      <c r="E576">
        <f>IFERROR(__xludf.DUMMYFUNCTION("""COMPUTED_VALUE"""),"デイリー")</f>
        <v/>
      </c>
      <c r="F576">
        <f>IFERROR(__xludf.DUMMYFUNCTION("""COMPUTED_VALUE"""),"quest_event_you1_1day")</f>
        <v/>
      </c>
      <c r="G576">
        <f>IFERROR(__xludf.DUMMYFUNCTION("""COMPUTED_VALUE"""),"お遊戯の時間です")</f>
        <v/>
      </c>
      <c r="H576">
        <f>IFERROR(__xludf.DUMMYFUNCTION("""COMPUTED_VALUE"""),"01")</f>
        <v/>
      </c>
      <c r="I576">
        <f>IFERROR(__xludf.DUMMYFUNCTION("""COMPUTED_VALUE"""),"event_you1_1day_00001")</f>
        <v/>
      </c>
      <c r="K576">
        <f>IFERROR(__xludf.DUMMYFUNCTION("""COMPUTED_VALUE"""),"you1_1day_quest_select_cell")</f>
        <v/>
      </c>
      <c r="L576">
        <f>IFERROR(__xludf.DUMMYFUNCTION("""COMPUTED_VALUE"""),2.0260201E8)</f>
        <v/>
      </c>
    </row>
    <row r="577">
      <c r="A577">
        <f>IFERROR(__xludf.DUMMYFUNCTION("""COMPUTED_VALUE"""),"you1")</f>
        <v/>
      </c>
      <c r="B577">
        <f>IFERROR(__xludf.DUMMYFUNCTION("""COMPUTED_VALUE"""),"幼稚園WARS")</f>
        <v/>
      </c>
      <c r="C577">
        <f>IFERROR(__xludf.DUMMYFUNCTION("""COMPUTED_VALUE"""),"charaget01")</f>
        <v/>
      </c>
      <c r="D577">
        <f>IFERROR(__xludf.DUMMYFUNCTION("""COMPUTED_VALUE"""),"event")</f>
        <v/>
      </c>
      <c r="E577">
        <f>IFERROR(__xludf.DUMMYFUNCTION("""COMPUTED_VALUE"""),"ストーリー")</f>
        <v/>
      </c>
      <c r="F577">
        <f>IFERROR(__xludf.DUMMYFUNCTION("""COMPUTED_VALUE"""),"quest_event_you1_charaget01")</f>
        <v/>
      </c>
      <c r="G577">
        <f>IFERROR(__xludf.DUMMYFUNCTION("""COMPUTED_VALUE"""),"先輩は敬いたまえ")</f>
        <v/>
      </c>
      <c r="H577">
        <f>IFERROR(__xludf.DUMMYFUNCTION("""COMPUTED_VALUE"""),"01")</f>
        <v/>
      </c>
      <c r="I577">
        <f>IFERROR(__xludf.DUMMYFUNCTION("""COMPUTED_VALUE"""),"event_you1_charaget01_00001")</f>
        <v/>
      </c>
      <c r="K577">
        <f>IFERROR(__xludf.DUMMYFUNCTION("""COMPUTED_VALUE"""),"you1_charaget01_quest_select_cell")</f>
        <v/>
      </c>
      <c r="L577">
        <f>IFERROR(__xludf.DUMMYFUNCTION("""COMPUTED_VALUE"""),2.0260201E8)</f>
        <v/>
      </c>
    </row>
    <row r="578">
      <c r="A578">
        <f>IFERROR(__xludf.DUMMYFUNCTION("""COMPUTED_VALUE"""),"you1")</f>
        <v/>
      </c>
      <c r="B578">
        <f>IFERROR(__xludf.DUMMYFUNCTION("""COMPUTED_VALUE"""),"幼稚園WARS")</f>
        <v/>
      </c>
      <c r="C578">
        <f>IFERROR(__xludf.DUMMYFUNCTION("""COMPUTED_VALUE"""),"charaget01")</f>
        <v/>
      </c>
      <c r="D578">
        <f>IFERROR(__xludf.DUMMYFUNCTION("""COMPUTED_VALUE"""),"event")</f>
        <v/>
      </c>
      <c r="E578">
        <f>IFERROR(__xludf.DUMMYFUNCTION("""COMPUTED_VALUE"""),"ストーリー")</f>
        <v/>
      </c>
      <c r="F578">
        <f>IFERROR(__xludf.DUMMYFUNCTION("""COMPUTED_VALUE"""),"quest_event_you1_charaget01")</f>
        <v/>
      </c>
      <c r="G578">
        <f>IFERROR(__xludf.DUMMYFUNCTION("""COMPUTED_VALUE"""),"先輩は敬いたまえ")</f>
        <v/>
      </c>
      <c r="H578">
        <f>IFERROR(__xludf.DUMMYFUNCTION("""COMPUTED_VALUE"""),"02")</f>
        <v/>
      </c>
      <c r="I578">
        <f>IFERROR(__xludf.DUMMYFUNCTION("""COMPUTED_VALUE"""),"event_you1_charaget01_00002")</f>
        <v/>
      </c>
      <c r="L578">
        <f>IFERROR(__xludf.DUMMYFUNCTION("""COMPUTED_VALUE"""),2.0260201E8)</f>
        <v/>
      </c>
    </row>
    <row r="579">
      <c r="A579">
        <f>IFERROR(__xludf.DUMMYFUNCTION("""COMPUTED_VALUE"""),"you1")</f>
        <v/>
      </c>
      <c r="B579">
        <f>IFERROR(__xludf.DUMMYFUNCTION("""COMPUTED_VALUE"""),"幼稚園WARS")</f>
        <v/>
      </c>
      <c r="C579">
        <f>IFERROR(__xludf.DUMMYFUNCTION("""COMPUTED_VALUE"""),"charaget01")</f>
        <v/>
      </c>
      <c r="D579">
        <f>IFERROR(__xludf.DUMMYFUNCTION("""COMPUTED_VALUE"""),"event")</f>
        <v/>
      </c>
      <c r="E579">
        <f>IFERROR(__xludf.DUMMYFUNCTION("""COMPUTED_VALUE"""),"ストーリー")</f>
        <v/>
      </c>
      <c r="F579">
        <f>IFERROR(__xludf.DUMMYFUNCTION("""COMPUTED_VALUE"""),"quest_event_you1_charaget01")</f>
        <v/>
      </c>
      <c r="G579">
        <f>IFERROR(__xludf.DUMMYFUNCTION("""COMPUTED_VALUE"""),"先輩は敬いたまえ")</f>
        <v/>
      </c>
      <c r="H579">
        <f>IFERROR(__xludf.DUMMYFUNCTION("""COMPUTED_VALUE"""),"03")</f>
        <v/>
      </c>
      <c r="I579">
        <f>IFERROR(__xludf.DUMMYFUNCTION("""COMPUTED_VALUE"""),"event_you1_charaget01_00003")</f>
        <v/>
      </c>
      <c r="L579">
        <f>IFERROR(__xludf.DUMMYFUNCTION("""COMPUTED_VALUE"""),2.0260201E8)</f>
        <v/>
      </c>
    </row>
    <row r="580">
      <c r="A580">
        <f>IFERROR(__xludf.DUMMYFUNCTION("""COMPUTED_VALUE"""),"you1")</f>
        <v/>
      </c>
      <c r="B580">
        <f>IFERROR(__xludf.DUMMYFUNCTION("""COMPUTED_VALUE"""),"幼稚園WARS")</f>
        <v/>
      </c>
      <c r="C580">
        <f>IFERROR(__xludf.DUMMYFUNCTION("""COMPUTED_VALUE"""),"charaget01")</f>
        <v/>
      </c>
      <c r="D580">
        <f>IFERROR(__xludf.DUMMYFUNCTION("""COMPUTED_VALUE"""),"event")</f>
        <v/>
      </c>
      <c r="E580">
        <f>IFERROR(__xludf.DUMMYFUNCTION("""COMPUTED_VALUE"""),"ストーリー")</f>
        <v/>
      </c>
      <c r="F580">
        <f>IFERROR(__xludf.DUMMYFUNCTION("""COMPUTED_VALUE"""),"quest_event_you1_charaget01")</f>
        <v/>
      </c>
      <c r="G580">
        <f>IFERROR(__xludf.DUMMYFUNCTION("""COMPUTED_VALUE"""),"先輩は敬いたまえ")</f>
        <v/>
      </c>
      <c r="H580">
        <f>IFERROR(__xludf.DUMMYFUNCTION("""COMPUTED_VALUE"""),"04")</f>
        <v/>
      </c>
      <c r="I580">
        <f>IFERROR(__xludf.DUMMYFUNCTION("""COMPUTED_VALUE"""),"event_you1_charaget01_00004")</f>
        <v/>
      </c>
      <c r="L580">
        <f>IFERROR(__xludf.DUMMYFUNCTION("""COMPUTED_VALUE"""),2.0260201E8)</f>
        <v/>
      </c>
    </row>
    <row r="581">
      <c r="A581">
        <f>IFERROR(__xludf.DUMMYFUNCTION("""COMPUTED_VALUE"""),"you1")</f>
        <v/>
      </c>
      <c r="B581">
        <f>IFERROR(__xludf.DUMMYFUNCTION("""COMPUTED_VALUE"""),"幼稚園WARS")</f>
        <v/>
      </c>
      <c r="C581">
        <f>IFERROR(__xludf.DUMMYFUNCTION("""COMPUTED_VALUE"""),"charaget01")</f>
        <v/>
      </c>
      <c r="D581">
        <f>IFERROR(__xludf.DUMMYFUNCTION("""COMPUTED_VALUE"""),"event")</f>
        <v/>
      </c>
      <c r="E581">
        <f>IFERROR(__xludf.DUMMYFUNCTION("""COMPUTED_VALUE"""),"ストーリー")</f>
        <v/>
      </c>
      <c r="F581">
        <f>IFERROR(__xludf.DUMMYFUNCTION("""COMPUTED_VALUE"""),"quest_event_you1_charaget01")</f>
        <v/>
      </c>
      <c r="G581">
        <f>IFERROR(__xludf.DUMMYFUNCTION("""COMPUTED_VALUE"""),"先輩は敬いたまえ")</f>
        <v/>
      </c>
      <c r="H581">
        <f>IFERROR(__xludf.DUMMYFUNCTION("""COMPUTED_VALUE"""),"05")</f>
        <v/>
      </c>
      <c r="I581">
        <f>IFERROR(__xludf.DUMMYFUNCTION("""COMPUTED_VALUE"""),"event_you1_charaget01_00005")</f>
        <v/>
      </c>
      <c r="L581">
        <f>IFERROR(__xludf.DUMMYFUNCTION("""COMPUTED_VALUE"""),2.0260201E8)</f>
        <v/>
      </c>
    </row>
    <row r="582">
      <c r="A582">
        <f>IFERROR(__xludf.DUMMYFUNCTION("""COMPUTED_VALUE"""),"you1")</f>
        <v/>
      </c>
      <c r="B582">
        <f>IFERROR(__xludf.DUMMYFUNCTION("""COMPUTED_VALUE"""),"幼稚園WARS")</f>
        <v/>
      </c>
      <c r="C582">
        <f>IFERROR(__xludf.DUMMYFUNCTION("""COMPUTED_VALUE"""),"charaget01")</f>
        <v/>
      </c>
      <c r="D582">
        <f>IFERROR(__xludf.DUMMYFUNCTION("""COMPUTED_VALUE"""),"event")</f>
        <v/>
      </c>
      <c r="E582">
        <f>IFERROR(__xludf.DUMMYFUNCTION("""COMPUTED_VALUE"""),"ストーリー")</f>
        <v/>
      </c>
      <c r="F582">
        <f>IFERROR(__xludf.DUMMYFUNCTION("""COMPUTED_VALUE"""),"quest_event_you1_charaget01")</f>
        <v/>
      </c>
      <c r="G582">
        <f>IFERROR(__xludf.DUMMYFUNCTION("""COMPUTED_VALUE"""),"先輩は敬いたまえ")</f>
        <v/>
      </c>
      <c r="H582">
        <f>IFERROR(__xludf.DUMMYFUNCTION("""COMPUTED_VALUE"""),"06")</f>
        <v/>
      </c>
      <c r="I582">
        <f>IFERROR(__xludf.DUMMYFUNCTION("""COMPUTED_VALUE"""),"event_you1_charaget01_00006")</f>
        <v/>
      </c>
      <c r="L582">
        <f>IFERROR(__xludf.DUMMYFUNCTION("""COMPUTED_VALUE"""),2.0260201E8)</f>
        <v/>
      </c>
    </row>
    <row r="583">
      <c r="A583">
        <f>IFERROR(__xludf.DUMMYFUNCTION("""COMPUTED_VALUE"""),"you1")</f>
        <v/>
      </c>
      <c r="B583">
        <f>IFERROR(__xludf.DUMMYFUNCTION("""COMPUTED_VALUE"""),"幼稚園WARS")</f>
        <v/>
      </c>
      <c r="C583">
        <f>IFERROR(__xludf.DUMMYFUNCTION("""COMPUTED_VALUE"""),"charaget02")</f>
        <v/>
      </c>
      <c r="D583">
        <f>IFERROR(__xludf.DUMMYFUNCTION("""COMPUTED_VALUE"""),"event")</f>
        <v/>
      </c>
      <c r="E583">
        <f>IFERROR(__xludf.DUMMYFUNCTION("""COMPUTED_VALUE"""),"ストーリー")</f>
        <v/>
      </c>
      <c r="F583">
        <f>IFERROR(__xludf.DUMMYFUNCTION("""COMPUTED_VALUE"""),"quest_event_you1_charaget02")</f>
        <v/>
      </c>
      <c r="G583">
        <f>IFERROR(__xludf.DUMMYFUNCTION("""COMPUTED_VALUE"""),"兄を助けてくれないか?")</f>
        <v/>
      </c>
      <c r="H583">
        <f>IFERROR(__xludf.DUMMYFUNCTION("""COMPUTED_VALUE"""),"01")</f>
        <v/>
      </c>
      <c r="I583">
        <f>IFERROR(__xludf.DUMMYFUNCTION("""COMPUTED_VALUE"""),"event_you1_charaget02_00001")</f>
        <v/>
      </c>
      <c r="K583">
        <f>IFERROR(__xludf.DUMMYFUNCTION("""COMPUTED_VALUE"""),"you1_charaget02_quest_select_cell")</f>
        <v/>
      </c>
      <c r="L583">
        <f>IFERROR(__xludf.DUMMYFUNCTION("""COMPUTED_VALUE"""),2.0260201E8)</f>
        <v/>
      </c>
    </row>
    <row r="584">
      <c r="A584">
        <f>IFERROR(__xludf.DUMMYFUNCTION("""COMPUTED_VALUE"""),"you1")</f>
        <v/>
      </c>
      <c r="B584">
        <f>IFERROR(__xludf.DUMMYFUNCTION("""COMPUTED_VALUE"""),"幼稚園WARS")</f>
        <v/>
      </c>
      <c r="C584">
        <f>IFERROR(__xludf.DUMMYFUNCTION("""COMPUTED_VALUE"""),"charaget02")</f>
        <v/>
      </c>
      <c r="D584">
        <f>IFERROR(__xludf.DUMMYFUNCTION("""COMPUTED_VALUE"""),"event")</f>
        <v/>
      </c>
      <c r="E584">
        <f>IFERROR(__xludf.DUMMYFUNCTION("""COMPUTED_VALUE"""),"ストーリー")</f>
        <v/>
      </c>
      <c r="F584">
        <f>IFERROR(__xludf.DUMMYFUNCTION("""COMPUTED_VALUE"""),"quest_event_you1_charaget02")</f>
        <v/>
      </c>
      <c r="G584">
        <f>IFERROR(__xludf.DUMMYFUNCTION("""COMPUTED_VALUE"""),"兄を助けてくれないか?")</f>
        <v/>
      </c>
      <c r="H584">
        <f>IFERROR(__xludf.DUMMYFUNCTION("""COMPUTED_VALUE"""),"02")</f>
        <v/>
      </c>
      <c r="I584">
        <f>IFERROR(__xludf.DUMMYFUNCTION("""COMPUTED_VALUE"""),"event_you1_charaget02_00002")</f>
        <v/>
      </c>
      <c r="L584">
        <f>IFERROR(__xludf.DUMMYFUNCTION("""COMPUTED_VALUE"""),2.0260201E8)</f>
        <v/>
      </c>
    </row>
    <row r="585">
      <c r="A585">
        <f>IFERROR(__xludf.DUMMYFUNCTION("""COMPUTED_VALUE"""),"you1")</f>
        <v/>
      </c>
      <c r="B585">
        <f>IFERROR(__xludf.DUMMYFUNCTION("""COMPUTED_VALUE"""),"幼稚園WARS")</f>
        <v/>
      </c>
      <c r="C585">
        <f>IFERROR(__xludf.DUMMYFUNCTION("""COMPUTED_VALUE"""),"charaget02")</f>
        <v/>
      </c>
      <c r="D585">
        <f>IFERROR(__xludf.DUMMYFUNCTION("""COMPUTED_VALUE"""),"event")</f>
        <v/>
      </c>
      <c r="E585">
        <f>IFERROR(__xludf.DUMMYFUNCTION("""COMPUTED_VALUE"""),"ストーリー")</f>
        <v/>
      </c>
      <c r="F585">
        <f>IFERROR(__xludf.DUMMYFUNCTION("""COMPUTED_VALUE"""),"quest_event_you1_charaget02")</f>
        <v/>
      </c>
      <c r="G585">
        <f>IFERROR(__xludf.DUMMYFUNCTION("""COMPUTED_VALUE"""),"兄を助けてくれないか?")</f>
        <v/>
      </c>
      <c r="H585">
        <f>IFERROR(__xludf.DUMMYFUNCTION("""COMPUTED_VALUE"""),"03")</f>
        <v/>
      </c>
      <c r="I585">
        <f>IFERROR(__xludf.DUMMYFUNCTION("""COMPUTED_VALUE"""),"event_you1_charaget02_00003")</f>
        <v/>
      </c>
      <c r="L585">
        <f>IFERROR(__xludf.DUMMYFUNCTION("""COMPUTED_VALUE"""),2.0260201E8)</f>
        <v/>
      </c>
    </row>
    <row r="586">
      <c r="A586">
        <f>IFERROR(__xludf.DUMMYFUNCTION("""COMPUTED_VALUE"""),"you1")</f>
        <v/>
      </c>
      <c r="B586">
        <f>IFERROR(__xludf.DUMMYFUNCTION("""COMPUTED_VALUE"""),"幼稚園WARS")</f>
        <v/>
      </c>
      <c r="C586">
        <f>IFERROR(__xludf.DUMMYFUNCTION("""COMPUTED_VALUE"""),"charaget02")</f>
        <v/>
      </c>
      <c r="D586">
        <f>IFERROR(__xludf.DUMMYFUNCTION("""COMPUTED_VALUE"""),"event")</f>
        <v/>
      </c>
      <c r="E586">
        <f>IFERROR(__xludf.DUMMYFUNCTION("""COMPUTED_VALUE"""),"ストーリー")</f>
        <v/>
      </c>
      <c r="F586">
        <f>IFERROR(__xludf.DUMMYFUNCTION("""COMPUTED_VALUE"""),"quest_event_you1_charaget02")</f>
        <v/>
      </c>
      <c r="G586">
        <f>IFERROR(__xludf.DUMMYFUNCTION("""COMPUTED_VALUE"""),"兄を助けてくれないか?")</f>
        <v/>
      </c>
      <c r="H586">
        <f>IFERROR(__xludf.DUMMYFUNCTION("""COMPUTED_VALUE"""),"04")</f>
        <v/>
      </c>
      <c r="I586">
        <f>IFERROR(__xludf.DUMMYFUNCTION("""COMPUTED_VALUE"""),"event_you1_charaget02_00004")</f>
        <v/>
      </c>
      <c r="L586">
        <f>IFERROR(__xludf.DUMMYFUNCTION("""COMPUTED_VALUE"""),2.0260201E8)</f>
        <v/>
      </c>
    </row>
    <row r="587">
      <c r="A587">
        <f>IFERROR(__xludf.DUMMYFUNCTION("""COMPUTED_VALUE"""),"you1")</f>
        <v/>
      </c>
      <c r="B587">
        <f>IFERROR(__xludf.DUMMYFUNCTION("""COMPUTED_VALUE"""),"幼稚園WARS")</f>
        <v/>
      </c>
      <c r="C587">
        <f>IFERROR(__xludf.DUMMYFUNCTION("""COMPUTED_VALUE"""),"charaget02")</f>
        <v/>
      </c>
      <c r="D587">
        <f>IFERROR(__xludf.DUMMYFUNCTION("""COMPUTED_VALUE"""),"event")</f>
        <v/>
      </c>
      <c r="E587">
        <f>IFERROR(__xludf.DUMMYFUNCTION("""COMPUTED_VALUE"""),"ストーリー")</f>
        <v/>
      </c>
      <c r="F587">
        <f>IFERROR(__xludf.DUMMYFUNCTION("""COMPUTED_VALUE"""),"quest_event_you1_charaget02")</f>
        <v/>
      </c>
      <c r="G587">
        <f>IFERROR(__xludf.DUMMYFUNCTION("""COMPUTED_VALUE"""),"兄を助けてくれないか?")</f>
        <v/>
      </c>
      <c r="H587">
        <f>IFERROR(__xludf.DUMMYFUNCTION("""COMPUTED_VALUE"""),"05")</f>
        <v/>
      </c>
      <c r="I587">
        <f>IFERROR(__xludf.DUMMYFUNCTION("""COMPUTED_VALUE"""),"event_you1_charaget02_00005")</f>
        <v/>
      </c>
      <c r="L587">
        <f>IFERROR(__xludf.DUMMYFUNCTION("""COMPUTED_VALUE"""),2.0260201E8)</f>
        <v/>
      </c>
    </row>
    <row r="588">
      <c r="A588">
        <f>IFERROR(__xludf.DUMMYFUNCTION("""COMPUTED_VALUE"""),"you1")</f>
        <v/>
      </c>
      <c r="B588">
        <f>IFERROR(__xludf.DUMMYFUNCTION("""COMPUTED_VALUE"""),"幼稚園WARS")</f>
        <v/>
      </c>
      <c r="C588">
        <f>IFERROR(__xludf.DUMMYFUNCTION("""COMPUTED_VALUE"""),"charaget02")</f>
        <v/>
      </c>
      <c r="D588">
        <f>IFERROR(__xludf.DUMMYFUNCTION("""COMPUTED_VALUE"""),"event")</f>
        <v/>
      </c>
      <c r="E588">
        <f>IFERROR(__xludf.DUMMYFUNCTION("""COMPUTED_VALUE"""),"ストーリー")</f>
        <v/>
      </c>
      <c r="F588">
        <f>IFERROR(__xludf.DUMMYFUNCTION("""COMPUTED_VALUE"""),"quest_event_you1_charaget02")</f>
        <v/>
      </c>
      <c r="G588">
        <f>IFERROR(__xludf.DUMMYFUNCTION("""COMPUTED_VALUE"""),"兄を助けてくれないか?")</f>
        <v/>
      </c>
      <c r="H588">
        <f>IFERROR(__xludf.DUMMYFUNCTION("""COMPUTED_VALUE"""),"06")</f>
        <v/>
      </c>
      <c r="I588">
        <f>IFERROR(__xludf.DUMMYFUNCTION("""COMPUTED_VALUE"""),"event_you1_charaget02_00006")</f>
        <v/>
      </c>
      <c r="L588">
        <f>IFERROR(__xludf.DUMMYFUNCTION("""COMPUTED_VALUE"""),2.0260201E8)</f>
        <v/>
      </c>
    </row>
    <row r="589">
      <c r="A589">
        <f>IFERROR(__xludf.DUMMYFUNCTION("""COMPUTED_VALUE"""),"you1")</f>
        <v/>
      </c>
      <c r="B589">
        <f>IFERROR(__xludf.DUMMYFUNCTION("""COMPUTED_VALUE"""),"幼稚園WARS")</f>
        <v/>
      </c>
      <c r="C589">
        <f>IFERROR(__xludf.DUMMYFUNCTION("""COMPUTED_VALUE"""),"challenge")</f>
        <v/>
      </c>
      <c r="D589">
        <f>IFERROR(__xludf.DUMMYFUNCTION("""COMPUTED_VALUE"""),"event")</f>
        <v/>
      </c>
      <c r="E589">
        <f>IFERROR(__xludf.DUMMYFUNCTION("""COMPUTED_VALUE"""),"チャレンジ")</f>
        <v/>
      </c>
      <c r="F589">
        <f>IFERROR(__xludf.DUMMYFUNCTION("""COMPUTED_VALUE"""),"quest_event_you1_challenge")</f>
        <v/>
      </c>
      <c r="G589">
        <f>IFERROR(__xludf.DUMMYFUNCTION("""COMPUTED_VALUE"""),"世界一安全な幼稚園")</f>
        <v/>
      </c>
      <c r="H589">
        <f>IFERROR(__xludf.DUMMYFUNCTION("""COMPUTED_VALUE"""),"01")</f>
        <v/>
      </c>
      <c r="I589">
        <f>IFERROR(__xludf.DUMMYFUNCTION("""COMPUTED_VALUE"""),"event_you1_challenge_00001")</f>
        <v/>
      </c>
      <c r="K589">
        <f>IFERROR(__xludf.DUMMYFUNCTION("""COMPUTED_VALUE"""),"you1_challenge_quest_select_cell")</f>
        <v/>
      </c>
      <c r="L589">
        <f>IFERROR(__xludf.DUMMYFUNCTION("""COMPUTED_VALUE"""),2.0260201E8)</f>
        <v/>
      </c>
    </row>
    <row r="590">
      <c r="A590">
        <f>IFERROR(__xludf.DUMMYFUNCTION("""COMPUTED_VALUE"""),"you1")</f>
        <v/>
      </c>
      <c r="B590">
        <f>IFERROR(__xludf.DUMMYFUNCTION("""COMPUTED_VALUE"""),"幼稚園WARS")</f>
        <v/>
      </c>
      <c r="C590">
        <f>IFERROR(__xludf.DUMMYFUNCTION("""COMPUTED_VALUE"""),"challenge")</f>
        <v/>
      </c>
      <c r="D590">
        <f>IFERROR(__xludf.DUMMYFUNCTION("""COMPUTED_VALUE"""),"event")</f>
        <v/>
      </c>
      <c r="E590">
        <f>IFERROR(__xludf.DUMMYFUNCTION("""COMPUTED_VALUE"""),"チャレンジ")</f>
        <v/>
      </c>
      <c r="F590">
        <f>IFERROR(__xludf.DUMMYFUNCTION("""COMPUTED_VALUE"""),"quest_event_you1_challenge")</f>
        <v/>
      </c>
      <c r="G590">
        <f>IFERROR(__xludf.DUMMYFUNCTION("""COMPUTED_VALUE"""),"世界一安全な幼稚園")</f>
        <v/>
      </c>
      <c r="H590">
        <f>IFERROR(__xludf.DUMMYFUNCTION("""COMPUTED_VALUE"""),"02")</f>
        <v/>
      </c>
      <c r="I590">
        <f>IFERROR(__xludf.DUMMYFUNCTION("""COMPUTED_VALUE"""),"event_you1_challenge_00002")</f>
        <v/>
      </c>
      <c r="L590">
        <f>IFERROR(__xludf.DUMMYFUNCTION("""COMPUTED_VALUE"""),2.0260201E8)</f>
        <v/>
      </c>
    </row>
    <row r="591">
      <c r="A591">
        <f>IFERROR(__xludf.DUMMYFUNCTION("""COMPUTED_VALUE"""),"you1")</f>
        <v/>
      </c>
      <c r="B591">
        <f>IFERROR(__xludf.DUMMYFUNCTION("""COMPUTED_VALUE"""),"幼稚園WARS")</f>
        <v/>
      </c>
      <c r="C591">
        <f>IFERROR(__xludf.DUMMYFUNCTION("""COMPUTED_VALUE"""),"challenge")</f>
        <v/>
      </c>
      <c r="D591">
        <f>IFERROR(__xludf.DUMMYFUNCTION("""COMPUTED_VALUE"""),"event")</f>
        <v/>
      </c>
      <c r="E591">
        <f>IFERROR(__xludf.DUMMYFUNCTION("""COMPUTED_VALUE"""),"チャレンジ")</f>
        <v/>
      </c>
      <c r="F591">
        <f>IFERROR(__xludf.DUMMYFUNCTION("""COMPUTED_VALUE"""),"quest_event_you1_challenge")</f>
        <v/>
      </c>
      <c r="G591">
        <f>IFERROR(__xludf.DUMMYFUNCTION("""COMPUTED_VALUE"""),"世界一安全な幼稚園")</f>
        <v/>
      </c>
      <c r="H591">
        <f>IFERROR(__xludf.DUMMYFUNCTION("""COMPUTED_VALUE"""),"03")</f>
        <v/>
      </c>
      <c r="I591">
        <f>IFERROR(__xludf.DUMMYFUNCTION("""COMPUTED_VALUE"""),"event_you1_challenge_00003")</f>
        <v/>
      </c>
      <c r="L591">
        <f>IFERROR(__xludf.DUMMYFUNCTION("""COMPUTED_VALUE"""),2.0260201E8)</f>
        <v/>
      </c>
    </row>
    <row r="592">
      <c r="A592">
        <f>IFERROR(__xludf.DUMMYFUNCTION("""COMPUTED_VALUE"""),"you1")</f>
        <v/>
      </c>
      <c r="B592">
        <f>IFERROR(__xludf.DUMMYFUNCTION("""COMPUTED_VALUE"""),"幼稚園WARS")</f>
        <v/>
      </c>
      <c r="C592">
        <f>IFERROR(__xludf.DUMMYFUNCTION("""COMPUTED_VALUE"""),"challenge")</f>
        <v/>
      </c>
      <c r="D592">
        <f>IFERROR(__xludf.DUMMYFUNCTION("""COMPUTED_VALUE"""),"event")</f>
        <v/>
      </c>
      <c r="E592">
        <f>IFERROR(__xludf.DUMMYFUNCTION("""COMPUTED_VALUE"""),"チャレンジ")</f>
        <v/>
      </c>
      <c r="F592">
        <f>IFERROR(__xludf.DUMMYFUNCTION("""COMPUTED_VALUE"""),"quest_event_you1_challenge")</f>
        <v/>
      </c>
      <c r="G592">
        <f>IFERROR(__xludf.DUMMYFUNCTION("""COMPUTED_VALUE"""),"世界一安全な幼稚園")</f>
        <v/>
      </c>
      <c r="H592">
        <f>IFERROR(__xludf.DUMMYFUNCTION("""COMPUTED_VALUE"""),"04")</f>
        <v/>
      </c>
      <c r="I592">
        <f>IFERROR(__xludf.DUMMYFUNCTION("""COMPUTED_VALUE"""),"event_you1_challenge_00004")</f>
        <v/>
      </c>
      <c r="L592">
        <f>IFERROR(__xludf.DUMMYFUNCTION("""COMPUTED_VALUE"""),2.0260201E8)</f>
        <v/>
      </c>
    </row>
    <row r="593">
      <c r="A593">
        <f>IFERROR(__xludf.DUMMYFUNCTION("""COMPUTED_VALUE"""),"you1")</f>
        <v/>
      </c>
      <c r="B593">
        <f>IFERROR(__xludf.DUMMYFUNCTION("""COMPUTED_VALUE"""),"幼稚園WARS")</f>
        <v/>
      </c>
      <c r="C593">
        <f>IFERROR(__xludf.DUMMYFUNCTION("""COMPUTED_VALUE"""),"savage")</f>
        <v/>
      </c>
      <c r="D593">
        <f>IFERROR(__xludf.DUMMYFUNCTION("""COMPUTED_VALUE"""),"event")</f>
        <v/>
      </c>
      <c r="E593">
        <f>IFERROR(__xludf.DUMMYFUNCTION("""COMPUTED_VALUE"""),"高難易度")</f>
        <v/>
      </c>
      <c r="F593">
        <f>IFERROR(__xludf.DUMMYFUNCTION("""COMPUTED_VALUE"""),"quest_event_you1_savage")</f>
        <v/>
      </c>
      <c r="G593">
        <f>IFERROR(__xludf.DUMMYFUNCTION("""COMPUTED_VALUE"""),"正義だけじゃ何も守れない")</f>
        <v/>
      </c>
      <c r="H593">
        <f>IFERROR(__xludf.DUMMYFUNCTION("""COMPUTED_VALUE"""),"01")</f>
        <v/>
      </c>
      <c r="I593">
        <f>IFERROR(__xludf.DUMMYFUNCTION("""COMPUTED_VALUE"""),"event_you1_savage_00001")</f>
        <v/>
      </c>
      <c r="K593">
        <f>IFERROR(__xludf.DUMMYFUNCTION("""COMPUTED_VALUE"""),"you1_savage_quest_select_cell")</f>
        <v/>
      </c>
      <c r="L593">
        <f>IFERROR(__xludf.DUMMYFUNCTION("""COMPUTED_VALUE"""),2.0260201E8)</f>
        <v/>
      </c>
    </row>
    <row r="594">
      <c r="A594">
        <f>IFERROR(__xludf.DUMMYFUNCTION("""COMPUTED_VALUE"""),"you1")</f>
        <v/>
      </c>
      <c r="B594">
        <f>IFERROR(__xludf.DUMMYFUNCTION("""COMPUTED_VALUE"""),"幼稚園WARS")</f>
        <v/>
      </c>
      <c r="C594">
        <f>IFERROR(__xludf.DUMMYFUNCTION("""COMPUTED_VALUE"""),"savage")</f>
        <v/>
      </c>
      <c r="D594">
        <f>IFERROR(__xludf.DUMMYFUNCTION("""COMPUTED_VALUE"""),"event")</f>
        <v/>
      </c>
      <c r="E594">
        <f>IFERROR(__xludf.DUMMYFUNCTION("""COMPUTED_VALUE"""),"高難易度")</f>
        <v/>
      </c>
      <c r="F594">
        <f>IFERROR(__xludf.DUMMYFUNCTION("""COMPUTED_VALUE"""),"quest_event_you1_savage")</f>
        <v/>
      </c>
      <c r="G594">
        <f>IFERROR(__xludf.DUMMYFUNCTION("""COMPUTED_VALUE"""),"正義だけじゃ何も守れない")</f>
        <v/>
      </c>
      <c r="H594">
        <f>IFERROR(__xludf.DUMMYFUNCTION("""COMPUTED_VALUE"""),"02")</f>
        <v/>
      </c>
      <c r="I594">
        <f>IFERROR(__xludf.DUMMYFUNCTION("""COMPUTED_VALUE"""),"event_you1_savage_00002")</f>
        <v/>
      </c>
      <c r="L594">
        <f>IFERROR(__xludf.DUMMYFUNCTION("""COMPUTED_VALUE"""),2.0260201E8)</f>
        <v/>
      </c>
    </row>
    <row r="595">
      <c r="A595">
        <f>IFERROR(__xludf.DUMMYFUNCTION("""COMPUTED_VALUE"""),"you1")</f>
        <v/>
      </c>
      <c r="B595">
        <f>IFERROR(__xludf.DUMMYFUNCTION("""COMPUTED_VALUE"""),"幼稚園WARS")</f>
        <v/>
      </c>
      <c r="C595">
        <f>IFERROR(__xludf.DUMMYFUNCTION("""COMPUTED_VALUE"""),"savage")</f>
        <v/>
      </c>
      <c r="D595">
        <f>IFERROR(__xludf.DUMMYFUNCTION("""COMPUTED_VALUE"""),"event")</f>
        <v/>
      </c>
      <c r="E595">
        <f>IFERROR(__xludf.DUMMYFUNCTION("""COMPUTED_VALUE"""),"高難易度")</f>
        <v/>
      </c>
      <c r="F595">
        <f>IFERROR(__xludf.DUMMYFUNCTION("""COMPUTED_VALUE"""),"quest_event_you1_savage")</f>
        <v/>
      </c>
      <c r="G595">
        <f>IFERROR(__xludf.DUMMYFUNCTION("""COMPUTED_VALUE"""),"正義だけじゃ何も守れない")</f>
        <v/>
      </c>
      <c r="H595">
        <f>IFERROR(__xludf.DUMMYFUNCTION("""COMPUTED_VALUE"""),"03")</f>
        <v/>
      </c>
      <c r="I595">
        <f>IFERROR(__xludf.DUMMYFUNCTION("""COMPUTED_VALUE"""),"event_you1_savage_00003")</f>
        <v/>
      </c>
      <c r="L595">
        <f>IFERROR(__xludf.DUMMYFUNCTION("""COMPUTED_VALUE"""),2.0260201E8)</f>
        <v/>
      </c>
    </row>
    <row r="597">
      <c r="A597">
        <f>IFERROR(__xludf.DUMMYFUNCTION("""COMPUTED_VALUE"""),"kim1")</f>
        <v/>
      </c>
      <c r="B597">
        <f>IFERROR(__xludf.DUMMYFUNCTION("""COMPUTED_VALUE"""),"君のことが大大大大大好きな100人の彼女")</f>
        <v/>
      </c>
      <c r="C597">
        <f>IFERROR(__xludf.DUMMYFUNCTION("""COMPUTED_VALUE"""),"1day")</f>
        <v/>
      </c>
      <c r="D597">
        <f>IFERROR(__xludf.DUMMYFUNCTION("""COMPUTED_VALUE"""),"event")</f>
        <v/>
      </c>
      <c r="E597">
        <f>IFERROR(__xludf.DUMMYFUNCTION("""COMPUTED_VALUE"""),"デイリー")</f>
        <v/>
      </c>
      <c r="F597">
        <f>IFERROR(__xludf.DUMMYFUNCTION("""COMPUTED_VALUE"""),"quest_event_kim1_1day")</f>
        <v/>
      </c>
      <c r="G597">
        <f>IFERROR(__xludf.DUMMYFUNCTION("""COMPUTED_VALUE"""),"恋は盲目")</f>
        <v/>
      </c>
      <c r="H597">
        <f>IFERROR(__xludf.DUMMYFUNCTION("""COMPUTED_VALUE"""),"01")</f>
        <v/>
      </c>
      <c r="I597">
        <f>IFERROR(__xludf.DUMMYFUNCTION("""COMPUTED_VALUE"""),"event_kim1_1day_00001")</f>
        <v/>
      </c>
      <c r="K597">
        <f>IFERROR(__xludf.DUMMYFUNCTION("""COMPUTED_VALUE"""),"kim1_1day_quest_select_cell")</f>
        <v/>
      </c>
      <c r="L597">
        <f>IFERROR(__xludf.DUMMYFUNCTION("""COMPUTED_VALUE"""),2.0260202E8)</f>
        <v/>
      </c>
    </row>
    <row r="598">
      <c r="A598">
        <f>IFERROR(__xludf.DUMMYFUNCTION("""COMPUTED_VALUE"""),"kim1")</f>
        <v/>
      </c>
      <c r="B598">
        <f>IFERROR(__xludf.DUMMYFUNCTION("""COMPUTED_VALUE"""),"君のことが大大大大大好きな100人の彼女")</f>
        <v/>
      </c>
      <c r="C598">
        <f>IFERROR(__xludf.DUMMYFUNCTION("""COMPUTED_VALUE"""),"charaget01")</f>
        <v/>
      </c>
      <c r="D598">
        <f>IFERROR(__xludf.DUMMYFUNCTION("""COMPUTED_VALUE"""),"event")</f>
        <v/>
      </c>
      <c r="E598">
        <f>IFERROR(__xludf.DUMMYFUNCTION("""COMPUTED_VALUE"""),"収集")</f>
        <v/>
      </c>
      <c r="F598">
        <f>IFERROR(__xludf.DUMMYFUNCTION("""COMPUTED_VALUE"""),"quest_event_kim1_charaget01")</f>
        <v/>
      </c>
      <c r="G598">
        <f>IFERROR(__xludf.DUMMYFUNCTION("""COMPUTED_VALUE"""),"キスゾンビ♡パニック")</f>
        <v/>
      </c>
      <c r="H598">
        <f>IFERROR(__xludf.DUMMYFUNCTION("""COMPUTED_VALUE"""),"01")</f>
        <v/>
      </c>
      <c r="I598">
        <f>IFERROR(__xludf.DUMMYFUNCTION("""COMPUTED_VALUE"""),"event_kim1_charaget01_00001")</f>
        <v/>
      </c>
      <c r="K598">
        <f>IFERROR(__xludf.DUMMYFUNCTION("""COMPUTED_VALUE"""),"kim1_charaget01_quest_select_cell")</f>
        <v/>
      </c>
      <c r="L598">
        <f>IFERROR(__xludf.DUMMYFUNCTION("""COMPUTED_VALUE"""),2.0260202E8)</f>
        <v/>
      </c>
    </row>
    <row r="599">
      <c r="A599">
        <f>IFERROR(__xludf.DUMMYFUNCTION("""COMPUTED_VALUE"""),"kim1")</f>
        <v/>
      </c>
      <c r="B599">
        <f>IFERROR(__xludf.DUMMYFUNCTION("""COMPUTED_VALUE"""),"君のことが大大大大大好きな100人の彼女")</f>
        <v/>
      </c>
      <c r="C599">
        <f>IFERROR(__xludf.DUMMYFUNCTION("""COMPUTED_VALUE"""),"charaget01")</f>
        <v/>
      </c>
      <c r="D599">
        <f>IFERROR(__xludf.DUMMYFUNCTION("""COMPUTED_VALUE"""),"event")</f>
        <v/>
      </c>
      <c r="E599">
        <f>IFERROR(__xludf.DUMMYFUNCTION("""COMPUTED_VALUE"""),"収集")</f>
        <v/>
      </c>
      <c r="F599">
        <f>IFERROR(__xludf.DUMMYFUNCTION("""COMPUTED_VALUE"""),"quest_event_kim1_charaget01")</f>
        <v/>
      </c>
      <c r="G599">
        <f>IFERROR(__xludf.DUMMYFUNCTION("""COMPUTED_VALUE"""),"キスゾンビ♡パニック")</f>
        <v/>
      </c>
      <c r="H599">
        <f>IFERROR(__xludf.DUMMYFUNCTION("""COMPUTED_VALUE"""),"02")</f>
        <v/>
      </c>
      <c r="I599">
        <f>IFERROR(__xludf.DUMMYFUNCTION("""COMPUTED_VALUE"""),"event_kim1_charaget01_00002")</f>
        <v/>
      </c>
      <c r="L599">
        <f>IFERROR(__xludf.DUMMYFUNCTION("""COMPUTED_VALUE"""),2.0260202E8)</f>
        <v/>
      </c>
    </row>
    <row r="600">
      <c r="A600">
        <f>IFERROR(__xludf.DUMMYFUNCTION("""COMPUTED_VALUE"""),"kim1")</f>
        <v/>
      </c>
      <c r="B600">
        <f>IFERROR(__xludf.DUMMYFUNCTION("""COMPUTED_VALUE"""),"君のことが大大大大大好きな100人の彼女")</f>
        <v/>
      </c>
      <c r="C600">
        <f>IFERROR(__xludf.DUMMYFUNCTION("""COMPUTED_VALUE"""),"charaget01")</f>
        <v/>
      </c>
      <c r="D600">
        <f>IFERROR(__xludf.DUMMYFUNCTION("""COMPUTED_VALUE"""),"event")</f>
        <v/>
      </c>
      <c r="E600">
        <f>IFERROR(__xludf.DUMMYFUNCTION("""COMPUTED_VALUE"""),"収集")</f>
        <v/>
      </c>
      <c r="F600">
        <f>IFERROR(__xludf.DUMMYFUNCTION("""COMPUTED_VALUE"""),"quest_event_kim1_charaget01")</f>
        <v/>
      </c>
      <c r="G600">
        <f>IFERROR(__xludf.DUMMYFUNCTION("""COMPUTED_VALUE"""),"キスゾンビ♡パニック")</f>
        <v/>
      </c>
      <c r="H600">
        <f>IFERROR(__xludf.DUMMYFUNCTION("""COMPUTED_VALUE"""),"03")</f>
        <v/>
      </c>
      <c r="I600">
        <f>IFERROR(__xludf.DUMMYFUNCTION("""COMPUTED_VALUE"""),"event_kim1_charaget01_00003")</f>
        <v/>
      </c>
      <c r="L600">
        <f>IFERROR(__xludf.DUMMYFUNCTION("""COMPUTED_VALUE"""),2.0260202E8)</f>
        <v/>
      </c>
    </row>
    <row r="601">
      <c r="A601">
        <f>IFERROR(__xludf.DUMMYFUNCTION("""COMPUTED_VALUE"""),"kim1")</f>
        <v/>
      </c>
      <c r="B601">
        <f>IFERROR(__xludf.DUMMYFUNCTION("""COMPUTED_VALUE"""),"君のことが大大大大大好きな100人の彼女")</f>
        <v/>
      </c>
      <c r="C601">
        <f>IFERROR(__xludf.DUMMYFUNCTION("""COMPUTED_VALUE"""),"charaget01")</f>
        <v/>
      </c>
      <c r="D601">
        <f>IFERROR(__xludf.DUMMYFUNCTION("""COMPUTED_VALUE"""),"event")</f>
        <v/>
      </c>
      <c r="E601">
        <f>IFERROR(__xludf.DUMMYFUNCTION("""COMPUTED_VALUE"""),"収集")</f>
        <v/>
      </c>
      <c r="F601">
        <f>IFERROR(__xludf.DUMMYFUNCTION("""COMPUTED_VALUE"""),"quest_event_kim1_charaget01")</f>
        <v/>
      </c>
      <c r="G601">
        <f>IFERROR(__xludf.DUMMYFUNCTION("""COMPUTED_VALUE"""),"キスゾンビ♡パニック")</f>
        <v/>
      </c>
      <c r="H601">
        <f>IFERROR(__xludf.DUMMYFUNCTION("""COMPUTED_VALUE"""),"04")</f>
        <v/>
      </c>
      <c r="I601">
        <f>IFERROR(__xludf.DUMMYFUNCTION("""COMPUTED_VALUE"""),"event_kim1_charaget01_00004")</f>
        <v/>
      </c>
      <c r="L601">
        <f>IFERROR(__xludf.DUMMYFUNCTION("""COMPUTED_VALUE"""),2.0260202E8)</f>
        <v/>
      </c>
    </row>
    <row r="602">
      <c r="A602">
        <f>IFERROR(__xludf.DUMMYFUNCTION("""COMPUTED_VALUE"""),"kim1")</f>
        <v/>
      </c>
      <c r="B602">
        <f>IFERROR(__xludf.DUMMYFUNCTION("""COMPUTED_VALUE"""),"君のことが大大大大大好きな100人の彼女")</f>
        <v/>
      </c>
      <c r="C602">
        <f>IFERROR(__xludf.DUMMYFUNCTION("""COMPUTED_VALUE"""),"charaget02")</f>
        <v/>
      </c>
      <c r="D602">
        <f>IFERROR(__xludf.DUMMYFUNCTION("""COMPUTED_VALUE"""),"event")</f>
        <v/>
      </c>
      <c r="E602">
        <f>IFERROR(__xludf.DUMMYFUNCTION("""COMPUTED_VALUE"""),"ストーリー")</f>
        <v/>
      </c>
      <c r="F602">
        <f>IFERROR(__xludf.DUMMYFUNCTION("""COMPUTED_VALUE"""),"quest_event_kim1_charaget02")</f>
        <v/>
      </c>
      <c r="G602">
        <f>IFERROR(__xludf.DUMMYFUNCTION("""COMPUTED_VALUE"""),"最高の恋愛パートナー")</f>
        <v/>
      </c>
      <c r="H602">
        <f>IFERROR(__xludf.DUMMYFUNCTION("""COMPUTED_VALUE"""),"01")</f>
        <v/>
      </c>
      <c r="I602">
        <f>IFERROR(__xludf.DUMMYFUNCTION("""COMPUTED_VALUE"""),"event_kim1_charaget02_00001")</f>
        <v/>
      </c>
      <c r="K602">
        <f>IFERROR(__xludf.DUMMYFUNCTION("""COMPUTED_VALUE"""),"kim1_charaget02_quest_select_cell")</f>
        <v/>
      </c>
      <c r="L602">
        <f>IFERROR(__xludf.DUMMYFUNCTION("""COMPUTED_VALUE"""),2.0260202E8)</f>
        <v/>
      </c>
    </row>
    <row r="603">
      <c r="A603">
        <f>IFERROR(__xludf.DUMMYFUNCTION("""COMPUTED_VALUE"""),"kim1")</f>
        <v/>
      </c>
      <c r="B603">
        <f>IFERROR(__xludf.DUMMYFUNCTION("""COMPUTED_VALUE"""),"君のことが大大大大大好きな100人の彼女")</f>
        <v/>
      </c>
      <c r="C603">
        <f>IFERROR(__xludf.DUMMYFUNCTION("""COMPUTED_VALUE"""),"charaget02")</f>
        <v/>
      </c>
      <c r="D603">
        <f>IFERROR(__xludf.DUMMYFUNCTION("""COMPUTED_VALUE"""),"event")</f>
        <v/>
      </c>
      <c r="E603">
        <f>IFERROR(__xludf.DUMMYFUNCTION("""COMPUTED_VALUE"""),"ストーリー")</f>
        <v/>
      </c>
      <c r="F603">
        <f>IFERROR(__xludf.DUMMYFUNCTION("""COMPUTED_VALUE"""),"quest_event_kim1_charaget02")</f>
        <v/>
      </c>
      <c r="G603">
        <f>IFERROR(__xludf.DUMMYFUNCTION("""COMPUTED_VALUE"""),"最高の恋愛パートナー")</f>
        <v/>
      </c>
      <c r="H603">
        <f>IFERROR(__xludf.DUMMYFUNCTION("""COMPUTED_VALUE"""),"02")</f>
        <v/>
      </c>
      <c r="I603">
        <f>IFERROR(__xludf.DUMMYFUNCTION("""COMPUTED_VALUE"""),"event_kim1_charaget02_00002")</f>
        <v/>
      </c>
      <c r="L603">
        <f>IFERROR(__xludf.DUMMYFUNCTION("""COMPUTED_VALUE"""),2.0260202E8)</f>
        <v/>
      </c>
    </row>
    <row r="604">
      <c r="A604">
        <f>IFERROR(__xludf.DUMMYFUNCTION("""COMPUTED_VALUE"""),"kim1")</f>
        <v/>
      </c>
      <c r="B604">
        <f>IFERROR(__xludf.DUMMYFUNCTION("""COMPUTED_VALUE"""),"君のことが大大大大大好きな100人の彼女")</f>
        <v/>
      </c>
      <c r="C604">
        <f>IFERROR(__xludf.DUMMYFUNCTION("""COMPUTED_VALUE"""),"charaget02")</f>
        <v/>
      </c>
      <c r="D604">
        <f>IFERROR(__xludf.DUMMYFUNCTION("""COMPUTED_VALUE"""),"event")</f>
        <v/>
      </c>
      <c r="E604">
        <f>IFERROR(__xludf.DUMMYFUNCTION("""COMPUTED_VALUE"""),"ストーリー")</f>
        <v/>
      </c>
      <c r="F604">
        <f>IFERROR(__xludf.DUMMYFUNCTION("""COMPUTED_VALUE"""),"quest_event_kim1_charaget02")</f>
        <v/>
      </c>
      <c r="G604">
        <f>IFERROR(__xludf.DUMMYFUNCTION("""COMPUTED_VALUE"""),"最高の恋愛パートナー")</f>
        <v/>
      </c>
      <c r="H604">
        <f>IFERROR(__xludf.DUMMYFUNCTION("""COMPUTED_VALUE"""),"03")</f>
        <v/>
      </c>
      <c r="I604">
        <f>IFERROR(__xludf.DUMMYFUNCTION("""COMPUTED_VALUE"""),"event_kim1_charaget02_00003")</f>
        <v/>
      </c>
      <c r="L604">
        <f>IFERROR(__xludf.DUMMYFUNCTION("""COMPUTED_VALUE"""),2.0260202E8)</f>
        <v/>
      </c>
    </row>
    <row r="605">
      <c r="A605">
        <f>IFERROR(__xludf.DUMMYFUNCTION("""COMPUTED_VALUE"""),"kim1")</f>
        <v/>
      </c>
      <c r="B605">
        <f>IFERROR(__xludf.DUMMYFUNCTION("""COMPUTED_VALUE"""),"君のことが大大大大大好きな100人の彼女")</f>
        <v/>
      </c>
      <c r="C605">
        <f>IFERROR(__xludf.DUMMYFUNCTION("""COMPUTED_VALUE"""),"charaget02")</f>
        <v/>
      </c>
      <c r="D605">
        <f>IFERROR(__xludf.DUMMYFUNCTION("""COMPUTED_VALUE"""),"event")</f>
        <v/>
      </c>
      <c r="E605">
        <f>IFERROR(__xludf.DUMMYFUNCTION("""COMPUTED_VALUE"""),"ストーリー")</f>
        <v/>
      </c>
      <c r="F605">
        <f>IFERROR(__xludf.DUMMYFUNCTION("""COMPUTED_VALUE"""),"quest_event_kim1_charaget02")</f>
        <v/>
      </c>
      <c r="G605">
        <f>IFERROR(__xludf.DUMMYFUNCTION("""COMPUTED_VALUE"""),"最高の恋愛パートナー")</f>
        <v/>
      </c>
      <c r="H605">
        <f>IFERROR(__xludf.DUMMYFUNCTION("""COMPUTED_VALUE"""),"04")</f>
        <v/>
      </c>
      <c r="I605">
        <f>IFERROR(__xludf.DUMMYFUNCTION("""COMPUTED_VALUE"""),"event_kim1_charaget02_00004")</f>
        <v/>
      </c>
      <c r="L605">
        <f>IFERROR(__xludf.DUMMYFUNCTION("""COMPUTED_VALUE"""),2.0260202E8)</f>
        <v/>
      </c>
    </row>
    <row r="606">
      <c r="A606">
        <f>IFERROR(__xludf.DUMMYFUNCTION("""COMPUTED_VALUE"""),"kim1")</f>
        <v/>
      </c>
      <c r="B606">
        <f>IFERROR(__xludf.DUMMYFUNCTION("""COMPUTED_VALUE"""),"君のことが大大大大大好きな100人の彼女")</f>
        <v/>
      </c>
      <c r="C606">
        <f>IFERROR(__xludf.DUMMYFUNCTION("""COMPUTED_VALUE"""),"charaget02")</f>
        <v/>
      </c>
      <c r="D606">
        <f>IFERROR(__xludf.DUMMYFUNCTION("""COMPUTED_VALUE"""),"event")</f>
        <v/>
      </c>
      <c r="E606">
        <f>IFERROR(__xludf.DUMMYFUNCTION("""COMPUTED_VALUE"""),"ストーリー")</f>
        <v/>
      </c>
      <c r="F606">
        <f>IFERROR(__xludf.DUMMYFUNCTION("""COMPUTED_VALUE"""),"quest_event_kim1_charaget02")</f>
        <v/>
      </c>
      <c r="G606">
        <f>IFERROR(__xludf.DUMMYFUNCTION("""COMPUTED_VALUE"""),"最高の恋愛パートナー")</f>
        <v/>
      </c>
      <c r="H606">
        <f>IFERROR(__xludf.DUMMYFUNCTION("""COMPUTED_VALUE"""),"05")</f>
        <v/>
      </c>
      <c r="I606">
        <f>IFERROR(__xludf.DUMMYFUNCTION("""COMPUTED_VALUE"""),"event_kim1_charaget02_00005")</f>
        <v/>
      </c>
      <c r="L606">
        <f>IFERROR(__xludf.DUMMYFUNCTION("""COMPUTED_VALUE"""),2.0260202E8)</f>
        <v/>
      </c>
    </row>
    <row r="607">
      <c r="A607">
        <f>IFERROR(__xludf.DUMMYFUNCTION("""COMPUTED_VALUE"""),"kim1")</f>
        <v/>
      </c>
      <c r="B607">
        <f>IFERROR(__xludf.DUMMYFUNCTION("""COMPUTED_VALUE"""),"君のことが大大大大大好きな100人の彼女")</f>
        <v/>
      </c>
      <c r="C607">
        <f>IFERROR(__xludf.DUMMYFUNCTION("""COMPUTED_VALUE"""),"charaget02")</f>
        <v/>
      </c>
      <c r="D607">
        <f>IFERROR(__xludf.DUMMYFUNCTION("""COMPUTED_VALUE"""),"event")</f>
        <v/>
      </c>
      <c r="E607">
        <f>IFERROR(__xludf.DUMMYFUNCTION("""COMPUTED_VALUE"""),"ストーリー")</f>
        <v/>
      </c>
      <c r="F607">
        <f>IFERROR(__xludf.DUMMYFUNCTION("""COMPUTED_VALUE"""),"quest_event_kim1_charaget02")</f>
        <v/>
      </c>
      <c r="G607">
        <f>IFERROR(__xludf.DUMMYFUNCTION("""COMPUTED_VALUE"""),"最高の恋愛パートナー")</f>
        <v/>
      </c>
      <c r="H607">
        <f>IFERROR(__xludf.DUMMYFUNCTION("""COMPUTED_VALUE"""),"06")</f>
        <v/>
      </c>
      <c r="I607">
        <f>IFERROR(__xludf.DUMMYFUNCTION("""COMPUTED_VALUE"""),"event_kim1_charaget02_00006")</f>
        <v/>
      </c>
      <c r="L607">
        <f>IFERROR(__xludf.DUMMYFUNCTION("""COMPUTED_VALUE"""),2.0260202E8)</f>
        <v/>
      </c>
    </row>
    <row r="608">
      <c r="A608">
        <f>IFERROR(__xludf.DUMMYFUNCTION("""COMPUTED_VALUE"""),"kim1")</f>
        <v/>
      </c>
      <c r="B608">
        <f>IFERROR(__xludf.DUMMYFUNCTION("""COMPUTED_VALUE"""),"君のことが大大大大大好きな100人の彼女")</f>
        <v/>
      </c>
      <c r="C608">
        <f>IFERROR(__xludf.DUMMYFUNCTION("""COMPUTED_VALUE"""),"challenge01")</f>
        <v/>
      </c>
      <c r="D608">
        <f>IFERROR(__xludf.DUMMYFUNCTION("""COMPUTED_VALUE"""),"event")</f>
        <v/>
      </c>
      <c r="E608">
        <f>IFERROR(__xludf.DUMMYFUNCTION("""COMPUTED_VALUE"""),"チャレンジ")</f>
        <v/>
      </c>
      <c r="F608">
        <f>IFERROR(__xludf.DUMMYFUNCTION("""COMPUTED_VALUE"""),"quest_event_kim1_challenge01")</f>
        <v/>
      </c>
      <c r="G608">
        <f>IFERROR(__xludf.DUMMYFUNCTION("""COMPUTED_VALUE"""),"恋太郎ファミリー")</f>
        <v/>
      </c>
      <c r="H608">
        <f>IFERROR(__xludf.DUMMYFUNCTION("""COMPUTED_VALUE"""),"01")</f>
        <v/>
      </c>
      <c r="I608">
        <f>IFERROR(__xludf.DUMMYFUNCTION("""COMPUTED_VALUE"""),"event_kim1_challenge01_00001")</f>
        <v/>
      </c>
      <c r="K608">
        <f>IFERROR(__xludf.DUMMYFUNCTION("""COMPUTED_VALUE"""),"kim1_challenge01_quest_select_cell")</f>
        <v/>
      </c>
      <c r="L608">
        <f>IFERROR(__xludf.DUMMYFUNCTION("""COMPUTED_VALUE"""),2.0260202E8)</f>
        <v/>
      </c>
    </row>
    <row r="609">
      <c r="A609">
        <f>IFERROR(__xludf.DUMMYFUNCTION("""COMPUTED_VALUE"""),"kim1")</f>
        <v/>
      </c>
      <c r="B609">
        <f>IFERROR(__xludf.DUMMYFUNCTION("""COMPUTED_VALUE"""),"君のことが大大大大大好きな100人の彼女")</f>
        <v/>
      </c>
      <c r="C609">
        <f>IFERROR(__xludf.DUMMYFUNCTION("""COMPUTED_VALUE"""),"challenge01")</f>
        <v/>
      </c>
      <c r="D609">
        <f>IFERROR(__xludf.DUMMYFUNCTION("""COMPUTED_VALUE"""),"event")</f>
        <v/>
      </c>
      <c r="E609">
        <f>IFERROR(__xludf.DUMMYFUNCTION("""COMPUTED_VALUE"""),"チャレンジ")</f>
        <v/>
      </c>
      <c r="F609">
        <f>IFERROR(__xludf.DUMMYFUNCTION("""COMPUTED_VALUE"""),"quest_event_kim1_challenge01")</f>
        <v/>
      </c>
      <c r="G609">
        <f>IFERROR(__xludf.DUMMYFUNCTION("""COMPUTED_VALUE"""),"恋太郎ファミリー")</f>
        <v/>
      </c>
      <c r="H609">
        <f>IFERROR(__xludf.DUMMYFUNCTION("""COMPUTED_VALUE"""),"02")</f>
        <v/>
      </c>
      <c r="I609">
        <f>IFERROR(__xludf.DUMMYFUNCTION("""COMPUTED_VALUE"""),"event_kim1_challenge01_00002")</f>
        <v/>
      </c>
      <c r="L609">
        <f>IFERROR(__xludf.DUMMYFUNCTION("""COMPUTED_VALUE"""),2.0260202E8)</f>
        <v/>
      </c>
    </row>
    <row r="610">
      <c r="A610">
        <f>IFERROR(__xludf.DUMMYFUNCTION("""COMPUTED_VALUE"""),"kim1")</f>
        <v/>
      </c>
      <c r="B610">
        <f>IFERROR(__xludf.DUMMYFUNCTION("""COMPUTED_VALUE"""),"君のことが大大大大大好きな100人の彼女")</f>
        <v/>
      </c>
      <c r="C610">
        <f>IFERROR(__xludf.DUMMYFUNCTION("""COMPUTED_VALUE"""),"challenge01")</f>
        <v/>
      </c>
      <c r="D610">
        <f>IFERROR(__xludf.DUMMYFUNCTION("""COMPUTED_VALUE"""),"event")</f>
        <v/>
      </c>
      <c r="E610">
        <f>IFERROR(__xludf.DUMMYFUNCTION("""COMPUTED_VALUE"""),"チャレンジ")</f>
        <v/>
      </c>
      <c r="F610">
        <f>IFERROR(__xludf.DUMMYFUNCTION("""COMPUTED_VALUE"""),"quest_event_kim1_challenge01")</f>
        <v/>
      </c>
      <c r="G610">
        <f>IFERROR(__xludf.DUMMYFUNCTION("""COMPUTED_VALUE"""),"恋太郎ファミリー")</f>
        <v/>
      </c>
      <c r="H610">
        <f>IFERROR(__xludf.DUMMYFUNCTION("""COMPUTED_VALUE"""),"03")</f>
        <v/>
      </c>
      <c r="I610">
        <f>IFERROR(__xludf.DUMMYFUNCTION("""COMPUTED_VALUE"""),"event_kim1_challenge01_00003")</f>
        <v/>
      </c>
      <c r="L610">
        <f>IFERROR(__xludf.DUMMYFUNCTION("""COMPUTED_VALUE"""),2.0260202E8)</f>
        <v/>
      </c>
    </row>
    <row r="611">
      <c r="A611">
        <f>IFERROR(__xludf.DUMMYFUNCTION("""COMPUTED_VALUE"""),"kim1")</f>
        <v/>
      </c>
      <c r="B611">
        <f>IFERROR(__xludf.DUMMYFUNCTION("""COMPUTED_VALUE"""),"君のことが大大大大大好きな100人の彼女")</f>
        <v/>
      </c>
      <c r="C611">
        <f>IFERROR(__xludf.DUMMYFUNCTION("""COMPUTED_VALUE"""),"challenge01")</f>
        <v/>
      </c>
      <c r="D611">
        <f>IFERROR(__xludf.DUMMYFUNCTION("""COMPUTED_VALUE"""),"event")</f>
        <v/>
      </c>
      <c r="E611">
        <f>IFERROR(__xludf.DUMMYFUNCTION("""COMPUTED_VALUE"""),"チャレンジ")</f>
        <v/>
      </c>
      <c r="F611">
        <f>IFERROR(__xludf.DUMMYFUNCTION("""COMPUTED_VALUE"""),"quest_event_kim1_challenge01")</f>
        <v/>
      </c>
      <c r="G611">
        <f>IFERROR(__xludf.DUMMYFUNCTION("""COMPUTED_VALUE"""),"恋太郎ファミリー")</f>
        <v/>
      </c>
      <c r="H611">
        <f>IFERROR(__xludf.DUMMYFUNCTION("""COMPUTED_VALUE"""),"04")</f>
        <v/>
      </c>
      <c r="I611">
        <f>IFERROR(__xludf.DUMMYFUNCTION("""COMPUTED_VALUE"""),"event_kim1_challenge01_00004")</f>
        <v/>
      </c>
      <c r="L611">
        <f>IFERROR(__xludf.DUMMYFUNCTION("""COMPUTED_VALUE"""),2.0260202E8)</f>
        <v/>
      </c>
    </row>
    <row r="612">
      <c r="A612">
        <f>IFERROR(__xludf.DUMMYFUNCTION("""COMPUTED_VALUE"""),"kim1")</f>
        <v/>
      </c>
      <c r="B612">
        <f>IFERROR(__xludf.DUMMYFUNCTION("""COMPUTED_VALUE"""),"君のことが大大大大大好きな100人の彼女")</f>
        <v/>
      </c>
      <c r="C612">
        <f>IFERROR(__xludf.DUMMYFUNCTION("""COMPUTED_VALUE"""),"savage")</f>
        <v/>
      </c>
      <c r="D612">
        <f>IFERROR(__xludf.DUMMYFUNCTION("""COMPUTED_VALUE"""),"event")</f>
        <v/>
      </c>
      <c r="E612">
        <f>IFERROR(__xludf.DUMMYFUNCTION("""COMPUTED_VALUE"""),"高難易度")</f>
        <v/>
      </c>
      <c r="F612">
        <f>IFERROR(__xludf.DUMMYFUNCTION("""COMPUTED_VALUE"""),"quest_event_kim1_savage")</f>
        <v/>
      </c>
      <c r="G612">
        <f>IFERROR(__xludf.DUMMYFUNCTION("""COMPUTED_VALUE"""),"DEAD OR LOVE")</f>
        <v/>
      </c>
      <c r="H612">
        <f>IFERROR(__xludf.DUMMYFUNCTION("""COMPUTED_VALUE"""),"01")</f>
        <v/>
      </c>
      <c r="I612">
        <f>IFERROR(__xludf.DUMMYFUNCTION("""COMPUTED_VALUE"""),"event_kim1_savage_00001")</f>
        <v/>
      </c>
      <c r="K612">
        <f>IFERROR(__xludf.DUMMYFUNCTION("""COMPUTED_VALUE"""),"kim1_savage_quest_select_cell")</f>
        <v/>
      </c>
      <c r="L612">
        <f>IFERROR(__xludf.DUMMYFUNCTION("""COMPUTED_VALUE"""),2.0260202E8)</f>
        <v/>
      </c>
    </row>
    <row r="613">
      <c r="A613">
        <f>IFERROR(__xludf.DUMMYFUNCTION("""COMPUTED_VALUE"""),"kim1")</f>
        <v/>
      </c>
      <c r="B613">
        <f>IFERROR(__xludf.DUMMYFUNCTION("""COMPUTED_VALUE"""),"君のことが大大大大大好きな100人の彼女")</f>
        <v/>
      </c>
      <c r="C613">
        <f>IFERROR(__xludf.DUMMYFUNCTION("""COMPUTED_VALUE"""),"savage")</f>
        <v/>
      </c>
      <c r="D613">
        <f>IFERROR(__xludf.DUMMYFUNCTION("""COMPUTED_VALUE"""),"event")</f>
        <v/>
      </c>
      <c r="E613">
        <f>IFERROR(__xludf.DUMMYFUNCTION("""COMPUTED_VALUE"""),"高難易度")</f>
        <v/>
      </c>
      <c r="F613">
        <f>IFERROR(__xludf.DUMMYFUNCTION("""COMPUTED_VALUE"""),"quest_event_kim1_savage")</f>
        <v/>
      </c>
      <c r="G613">
        <f>IFERROR(__xludf.DUMMYFUNCTION("""COMPUTED_VALUE"""),"DEAD OR LOVE")</f>
        <v/>
      </c>
      <c r="H613">
        <f>IFERROR(__xludf.DUMMYFUNCTION("""COMPUTED_VALUE"""),"02")</f>
        <v/>
      </c>
      <c r="I613">
        <f>IFERROR(__xludf.DUMMYFUNCTION("""COMPUTED_VALUE"""),"event_kim1_savage_00002")</f>
        <v/>
      </c>
      <c r="L613">
        <f>IFERROR(__xludf.DUMMYFUNCTION("""COMPUTED_VALUE"""),2.0260202E8)</f>
        <v/>
      </c>
    </row>
    <row r="614">
      <c r="A614">
        <f>IFERROR(__xludf.DUMMYFUNCTION("""COMPUTED_VALUE"""),"kim1")</f>
        <v/>
      </c>
      <c r="B614">
        <f>IFERROR(__xludf.DUMMYFUNCTION("""COMPUTED_VALUE"""),"君のことが大大大大大好きな100人の彼女")</f>
        <v/>
      </c>
      <c r="C614">
        <f>IFERROR(__xludf.DUMMYFUNCTION("""COMPUTED_VALUE"""),"savage")</f>
        <v/>
      </c>
      <c r="D614">
        <f>IFERROR(__xludf.DUMMYFUNCTION("""COMPUTED_VALUE"""),"event")</f>
        <v/>
      </c>
      <c r="E614">
        <f>IFERROR(__xludf.DUMMYFUNCTION("""COMPUTED_VALUE"""),"高難易度")</f>
        <v/>
      </c>
      <c r="F614">
        <f>IFERROR(__xludf.DUMMYFUNCTION("""COMPUTED_VALUE"""),"quest_event_kim1_savage")</f>
        <v/>
      </c>
      <c r="G614">
        <f>IFERROR(__xludf.DUMMYFUNCTION("""COMPUTED_VALUE"""),"DEAD OR LOVE")</f>
        <v/>
      </c>
      <c r="H614">
        <f>IFERROR(__xludf.DUMMYFUNCTION("""COMPUTED_VALUE"""),"03")</f>
        <v/>
      </c>
      <c r="I614">
        <f>IFERROR(__xludf.DUMMYFUNCTION("""COMPUTED_VALUE"""),"event_kim1_savage_00003")</f>
        <v/>
      </c>
      <c r="L614">
        <f>IFERROR(__xludf.DUMMYFUNCTION("""COMPUTED_VALUE"""),2.0260202E8)</f>
        <v/>
      </c>
    </row>
    <row r="616">
      <c r="A616">
        <f>IFERROR(__xludf.DUMMYFUNCTION("""COMPUTED_VALUE"""),"hut1")</f>
        <v/>
      </c>
      <c r="B616">
        <f>IFERROR(__xludf.DUMMYFUNCTION("""COMPUTED_VALUE"""),"ふつうの軽音部")</f>
        <v/>
      </c>
      <c r="C616">
        <f>IFERROR(__xludf.DUMMYFUNCTION("""COMPUTED_VALUE"""),"1day")</f>
        <v/>
      </c>
      <c r="D616">
        <f>IFERROR(__xludf.DUMMYFUNCTION("""COMPUTED_VALUE"""),"event")</f>
        <v/>
      </c>
      <c r="E616">
        <f>IFERROR(__xludf.DUMMYFUNCTION("""COMPUTED_VALUE"""),"デイリー")</f>
        <v/>
      </c>
      <c r="F616">
        <f>IFERROR(__xludf.DUMMYFUNCTION("""COMPUTED_VALUE"""),"quest_event_hut1_1day")</f>
        <v/>
      </c>
      <c r="G616">
        <f>IFERROR(__xludf.DUMMYFUNCTION("""COMPUTED_VALUE"""),"軽音部に入部する")</f>
        <v/>
      </c>
      <c r="H616">
        <f>IFERROR(__xludf.DUMMYFUNCTION("""COMPUTED_VALUE"""),"01")</f>
        <v/>
      </c>
      <c r="I616">
        <f>IFERROR(__xludf.DUMMYFUNCTION("""COMPUTED_VALUE"""),"event_hut1_1day_00001")</f>
        <v/>
      </c>
      <c r="K616">
        <f>IFERROR(__xludf.DUMMYFUNCTION("""COMPUTED_VALUE"""),"hut1_1day_quest_select_cell")</f>
        <v/>
      </c>
      <c r="L616">
        <f>IFERROR(__xludf.DUMMYFUNCTION("""COMPUTED_VALUE"""),2.0260301E8)</f>
        <v/>
      </c>
    </row>
    <row r="617">
      <c r="A617">
        <f>IFERROR(__xludf.DUMMYFUNCTION("""COMPUTED_VALUE"""),"hut1")</f>
        <v/>
      </c>
      <c r="B617">
        <f>IFERROR(__xludf.DUMMYFUNCTION("""COMPUTED_VALUE"""),"ふつうの軽音部")</f>
        <v/>
      </c>
      <c r="C617">
        <f>IFERROR(__xludf.DUMMYFUNCTION("""COMPUTED_VALUE"""),"charaget01")</f>
        <v/>
      </c>
      <c r="D617">
        <f>IFERROR(__xludf.DUMMYFUNCTION("""COMPUTED_VALUE"""),"event")</f>
        <v/>
      </c>
      <c r="E617">
        <f>IFERROR(__xludf.DUMMYFUNCTION("""COMPUTED_VALUE"""),"収集")</f>
        <v/>
      </c>
      <c r="F617">
        <f>IFERROR(__xludf.DUMMYFUNCTION("""COMPUTED_VALUE"""),"quest_event_hut1_charaget01")</f>
        <v/>
      </c>
      <c r="G617">
        <f>IFERROR(__xludf.DUMMYFUNCTION("""COMPUTED_VALUE"""),"弾き語り修行をする")</f>
        <v/>
      </c>
      <c r="H617">
        <f>IFERROR(__xludf.DUMMYFUNCTION("""COMPUTED_VALUE"""),"01")</f>
        <v/>
      </c>
      <c r="I617">
        <f>IFERROR(__xludf.DUMMYFUNCTION("""COMPUTED_VALUE"""),"event_hut1_charaget01_00001")</f>
        <v/>
      </c>
      <c r="K617">
        <f>IFERROR(__xludf.DUMMYFUNCTION("""COMPUTED_VALUE"""),"hut1_charaget01_quest_select_cell")</f>
        <v/>
      </c>
      <c r="L617">
        <f>IFERROR(__xludf.DUMMYFUNCTION("""COMPUTED_VALUE"""),2.0260301E8)</f>
        <v/>
      </c>
    </row>
    <row r="618">
      <c r="A618">
        <f>IFERROR(__xludf.DUMMYFUNCTION("""COMPUTED_VALUE"""),"hut1")</f>
        <v/>
      </c>
      <c r="B618">
        <f>IFERROR(__xludf.DUMMYFUNCTION("""COMPUTED_VALUE"""),"ふつうの軽音部")</f>
        <v/>
      </c>
      <c r="C618">
        <f>IFERROR(__xludf.DUMMYFUNCTION("""COMPUTED_VALUE"""),"charaget01")</f>
        <v/>
      </c>
      <c r="D618">
        <f>IFERROR(__xludf.DUMMYFUNCTION("""COMPUTED_VALUE"""),"event")</f>
        <v/>
      </c>
      <c r="E618">
        <f>IFERROR(__xludf.DUMMYFUNCTION("""COMPUTED_VALUE"""),"収集")</f>
        <v/>
      </c>
      <c r="F618">
        <f>IFERROR(__xludf.DUMMYFUNCTION("""COMPUTED_VALUE"""),"quest_event_hut1_charaget01")</f>
        <v/>
      </c>
      <c r="G618">
        <f>IFERROR(__xludf.DUMMYFUNCTION("""COMPUTED_VALUE"""),"弾き語り修行をする")</f>
        <v/>
      </c>
      <c r="H618">
        <f>IFERROR(__xludf.DUMMYFUNCTION("""COMPUTED_VALUE"""),"02")</f>
        <v/>
      </c>
      <c r="I618">
        <f>IFERROR(__xludf.DUMMYFUNCTION("""COMPUTED_VALUE"""),"event_hut1_charaget01_00002")</f>
        <v/>
      </c>
      <c r="L618">
        <f>IFERROR(__xludf.DUMMYFUNCTION("""COMPUTED_VALUE"""),2.0260301E8)</f>
        <v/>
      </c>
    </row>
    <row r="619">
      <c r="A619">
        <f>IFERROR(__xludf.DUMMYFUNCTION("""COMPUTED_VALUE"""),"hut1")</f>
        <v/>
      </c>
      <c r="B619">
        <f>IFERROR(__xludf.DUMMYFUNCTION("""COMPUTED_VALUE"""),"ふつうの軽音部")</f>
        <v/>
      </c>
      <c r="C619">
        <f>IFERROR(__xludf.DUMMYFUNCTION("""COMPUTED_VALUE"""),"charaget01")</f>
        <v/>
      </c>
      <c r="D619">
        <f>IFERROR(__xludf.DUMMYFUNCTION("""COMPUTED_VALUE"""),"event")</f>
        <v/>
      </c>
      <c r="E619">
        <f>IFERROR(__xludf.DUMMYFUNCTION("""COMPUTED_VALUE"""),"収集")</f>
        <v/>
      </c>
      <c r="F619">
        <f>IFERROR(__xludf.DUMMYFUNCTION("""COMPUTED_VALUE"""),"quest_event_hut1_charaget01")</f>
        <v/>
      </c>
      <c r="G619">
        <f>IFERROR(__xludf.DUMMYFUNCTION("""COMPUTED_VALUE"""),"弾き語り修行をする")</f>
        <v/>
      </c>
      <c r="H619">
        <f>IFERROR(__xludf.DUMMYFUNCTION("""COMPUTED_VALUE"""),"03")</f>
        <v/>
      </c>
      <c r="I619">
        <f>IFERROR(__xludf.DUMMYFUNCTION("""COMPUTED_VALUE"""),"event_hut1_charaget01_00003")</f>
        <v/>
      </c>
      <c r="L619">
        <f>IFERROR(__xludf.DUMMYFUNCTION("""COMPUTED_VALUE"""),2.0260301E8)</f>
        <v/>
      </c>
    </row>
    <row r="620">
      <c r="A620">
        <f>IFERROR(__xludf.DUMMYFUNCTION("""COMPUTED_VALUE"""),"hut1")</f>
        <v/>
      </c>
      <c r="B620">
        <f>IFERROR(__xludf.DUMMYFUNCTION("""COMPUTED_VALUE"""),"ふつうの軽音部")</f>
        <v/>
      </c>
      <c r="C620">
        <f>IFERROR(__xludf.DUMMYFUNCTION("""COMPUTED_VALUE"""),"charaget01")</f>
        <v/>
      </c>
      <c r="D620">
        <f>IFERROR(__xludf.DUMMYFUNCTION("""COMPUTED_VALUE"""),"event")</f>
        <v/>
      </c>
      <c r="E620">
        <f>IFERROR(__xludf.DUMMYFUNCTION("""COMPUTED_VALUE"""),"収集")</f>
        <v/>
      </c>
      <c r="F620">
        <f>IFERROR(__xludf.DUMMYFUNCTION("""COMPUTED_VALUE"""),"quest_event_hut1_charaget01")</f>
        <v/>
      </c>
      <c r="G620">
        <f>IFERROR(__xludf.DUMMYFUNCTION("""COMPUTED_VALUE"""),"弾き語り修行をする")</f>
        <v/>
      </c>
      <c r="H620">
        <f>IFERROR(__xludf.DUMMYFUNCTION("""COMPUTED_VALUE"""),"04")</f>
        <v/>
      </c>
      <c r="I620">
        <f>IFERROR(__xludf.DUMMYFUNCTION("""COMPUTED_VALUE"""),"event_hut1_charaget01_00004")</f>
        <v/>
      </c>
      <c r="L620">
        <f>IFERROR(__xludf.DUMMYFUNCTION("""COMPUTED_VALUE"""),2.0260301E8)</f>
        <v/>
      </c>
    </row>
    <row r="621">
      <c r="A621">
        <f>IFERROR(__xludf.DUMMYFUNCTION("""COMPUTED_VALUE"""),"hut1")</f>
        <v/>
      </c>
      <c r="B621">
        <f>IFERROR(__xludf.DUMMYFUNCTION("""COMPUTED_VALUE"""),"ふつうの軽音部")</f>
        <v/>
      </c>
      <c r="C621">
        <f>IFERROR(__xludf.DUMMYFUNCTION("""COMPUTED_VALUE"""),"charaget02")</f>
        <v/>
      </c>
      <c r="D621">
        <f>IFERROR(__xludf.DUMMYFUNCTION("""COMPUTED_VALUE"""),"event")</f>
        <v/>
      </c>
      <c r="E621">
        <f>IFERROR(__xludf.DUMMYFUNCTION("""COMPUTED_VALUE"""),"ストーリー")</f>
        <v/>
      </c>
      <c r="F621">
        <f>IFERROR(__xludf.DUMMYFUNCTION("""COMPUTED_VALUE"""),"quest_event_hut1_charaget02")</f>
        <v/>
      </c>
      <c r="G621">
        <f>IFERROR(__xludf.DUMMYFUNCTION("""COMPUTED_VALUE"""),"バンドを結成する")</f>
        <v/>
      </c>
      <c r="H621">
        <f>IFERROR(__xludf.DUMMYFUNCTION("""COMPUTED_VALUE"""),"01")</f>
        <v/>
      </c>
      <c r="I621">
        <f>IFERROR(__xludf.DUMMYFUNCTION("""COMPUTED_VALUE"""),"event_hut1_charaget02_00001")</f>
        <v/>
      </c>
      <c r="K621">
        <f>IFERROR(__xludf.DUMMYFUNCTION("""COMPUTED_VALUE"""),"hut1_charaget02_quest_select_cell")</f>
        <v/>
      </c>
      <c r="L621">
        <f>IFERROR(__xludf.DUMMYFUNCTION("""COMPUTED_VALUE"""),2.0260301E8)</f>
        <v/>
      </c>
    </row>
    <row r="622">
      <c r="A622">
        <f>IFERROR(__xludf.DUMMYFUNCTION("""COMPUTED_VALUE"""),"hut1")</f>
        <v/>
      </c>
      <c r="B622">
        <f>IFERROR(__xludf.DUMMYFUNCTION("""COMPUTED_VALUE"""),"ふつうの軽音部")</f>
        <v/>
      </c>
      <c r="C622">
        <f>IFERROR(__xludf.DUMMYFUNCTION("""COMPUTED_VALUE"""),"charaget02")</f>
        <v/>
      </c>
      <c r="D622">
        <f>IFERROR(__xludf.DUMMYFUNCTION("""COMPUTED_VALUE"""),"event")</f>
        <v/>
      </c>
      <c r="E622">
        <f>IFERROR(__xludf.DUMMYFUNCTION("""COMPUTED_VALUE"""),"ストーリー")</f>
        <v/>
      </c>
      <c r="F622">
        <f>IFERROR(__xludf.DUMMYFUNCTION("""COMPUTED_VALUE"""),"quest_event_hut1_charaget02")</f>
        <v/>
      </c>
      <c r="G622">
        <f>IFERROR(__xludf.DUMMYFUNCTION("""COMPUTED_VALUE"""),"バンドを結成する")</f>
        <v/>
      </c>
      <c r="H622">
        <f>IFERROR(__xludf.DUMMYFUNCTION("""COMPUTED_VALUE"""),"02")</f>
        <v/>
      </c>
      <c r="I622">
        <f>IFERROR(__xludf.DUMMYFUNCTION("""COMPUTED_VALUE"""),"event_hut1_charaget02_00002")</f>
        <v/>
      </c>
      <c r="L622">
        <f>IFERROR(__xludf.DUMMYFUNCTION("""COMPUTED_VALUE"""),2.0260301E8)</f>
        <v/>
      </c>
    </row>
    <row r="623">
      <c r="A623">
        <f>IFERROR(__xludf.DUMMYFUNCTION("""COMPUTED_VALUE"""),"hut1")</f>
        <v/>
      </c>
      <c r="B623">
        <f>IFERROR(__xludf.DUMMYFUNCTION("""COMPUTED_VALUE"""),"ふつうの軽音部")</f>
        <v/>
      </c>
      <c r="C623">
        <f>IFERROR(__xludf.DUMMYFUNCTION("""COMPUTED_VALUE"""),"charaget02")</f>
        <v/>
      </c>
      <c r="D623">
        <f>IFERROR(__xludf.DUMMYFUNCTION("""COMPUTED_VALUE"""),"event")</f>
        <v/>
      </c>
      <c r="E623">
        <f>IFERROR(__xludf.DUMMYFUNCTION("""COMPUTED_VALUE"""),"ストーリー")</f>
        <v/>
      </c>
      <c r="F623">
        <f>IFERROR(__xludf.DUMMYFUNCTION("""COMPUTED_VALUE"""),"quest_event_hut1_charaget02")</f>
        <v/>
      </c>
      <c r="G623">
        <f>IFERROR(__xludf.DUMMYFUNCTION("""COMPUTED_VALUE"""),"バンドを結成する")</f>
        <v/>
      </c>
      <c r="H623">
        <f>IFERROR(__xludf.DUMMYFUNCTION("""COMPUTED_VALUE"""),"03")</f>
        <v/>
      </c>
      <c r="I623">
        <f>IFERROR(__xludf.DUMMYFUNCTION("""COMPUTED_VALUE"""),"event_hut1_charaget02_00003")</f>
        <v/>
      </c>
      <c r="L623">
        <f>IFERROR(__xludf.DUMMYFUNCTION("""COMPUTED_VALUE"""),2.0260301E8)</f>
        <v/>
      </c>
    </row>
    <row r="624">
      <c r="A624">
        <f>IFERROR(__xludf.DUMMYFUNCTION("""COMPUTED_VALUE"""),"hut1")</f>
        <v/>
      </c>
      <c r="B624">
        <f>IFERROR(__xludf.DUMMYFUNCTION("""COMPUTED_VALUE"""),"ふつうの軽音部")</f>
        <v/>
      </c>
      <c r="C624">
        <f>IFERROR(__xludf.DUMMYFUNCTION("""COMPUTED_VALUE"""),"charaget02")</f>
        <v/>
      </c>
      <c r="D624">
        <f>IFERROR(__xludf.DUMMYFUNCTION("""COMPUTED_VALUE"""),"event")</f>
        <v/>
      </c>
      <c r="E624">
        <f>IFERROR(__xludf.DUMMYFUNCTION("""COMPUTED_VALUE"""),"ストーリー")</f>
        <v/>
      </c>
      <c r="F624">
        <f>IFERROR(__xludf.DUMMYFUNCTION("""COMPUTED_VALUE"""),"quest_event_hut1_charaget02")</f>
        <v/>
      </c>
      <c r="G624">
        <f>IFERROR(__xludf.DUMMYFUNCTION("""COMPUTED_VALUE"""),"バンドを結成する")</f>
        <v/>
      </c>
      <c r="H624">
        <f>IFERROR(__xludf.DUMMYFUNCTION("""COMPUTED_VALUE"""),"04")</f>
        <v/>
      </c>
      <c r="I624">
        <f>IFERROR(__xludf.DUMMYFUNCTION("""COMPUTED_VALUE"""),"event_hut1_charaget02_00004")</f>
        <v/>
      </c>
      <c r="L624">
        <f>IFERROR(__xludf.DUMMYFUNCTION("""COMPUTED_VALUE"""),2.0260301E8)</f>
        <v/>
      </c>
    </row>
    <row r="625">
      <c r="A625">
        <f>IFERROR(__xludf.DUMMYFUNCTION("""COMPUTED_VALUE"""),"hut1")</f>
        <v/>
      </c>
      <c r="B625">
        <f>IFERROR(__xludf.DUMMYFUNCTION("""COMPUTED_VALUE"""),"ふつうの軽音部")</f>
        <v/>
      </c>
      <c r="C625">
        <f>IFERROR(__xludf.DUMMYFUNCTION("""COMPUTED_VALUE"""),"charaget02")</f>
        <v/>
      </c>
      <c r="D625">
        <f>IFERROR(__xludf.DUMMYFUNCTION("""COMPUTED_VALUE"""),"event")</f>
        <v/>
      </c>
      <c r="E625">
        <f>IFERROR(__xludf.DUMMYFUNCTION("""COMPUTED_VALUE"""),"ストーリー")</f>
        <v/>
      </c>
      <c r="F625">
        <f>IFERROR(__xludf.DUMMYFUNCTION("""COMPUTED_VALUE"""),"quest_event_hut1_charaget02")</f>
        <v/>
      </c>
      <c r="G625">
        <f>IFERROR(__xludf.DUMMYFUNCTION("""COMPUTED_VALUE"""),"バンドを結成する")</f>
        <v/>
      </c>
      <c r="H625">
        <f>IFERROR(__xludf.DUMMYFUNCTION("""COMPUTED_VALUE"""),"05")</f>
        <v/>
      </c>
      <c r="I625">
        <f>IFERROR(__xludf.DUMMYFUNCTION("""COMPUTED_VALUE"""),"event_hut1_charaget02_00005")</f>
        <v/>
      </c>
      <c r="L625">
        <f>IFERROR(__xludf.DUMMYFUNCTION("""COMPUTED_VALUE"""),2.0260301E8)</f>
        <v/>
      </c>
    </row>
    <row r="626">
      <c r="A626">
        <f>IFERROR(__xludf.DUMMYFUNCTION("""COMPUTED_VALUE"""),"hut1")</f>
        <v/>
      </c>
      <c r="B626">
        <f>IFERROR(__xludf.DUMMYFUNCTION("""COMPUTED_VALUE"""),"ふつうの軽音部")</f>
        <v/>
      </c>
      <c r="C626">
        <f>IFERROR(__xludf.DUMMYFUNCTION("""COMPUTED_VALUE"""),"charaget02")</f>
        <v/>
      </c>
      <c r="D626">
        <f>IFERROR(__xludf.DUMMYFUNCTION("""COMPUTED_VALUE"""),"event")</f>
        <v/>
      </c>
      <c r="E626">
        <f>IFERROR(__xludf.DUMMYFUNCTION("""COMPUTED_VALUE"""),"ストーリー")</f>
        <v/>
      </c>
      <c r="F626">
        <f>IFERROR(__xludf.DUMMYFUNCTION("""COMPUTED_VALUE"""),"quest_event_hut1_charaget02")</f>
        <v/>
      </c>
      <c r="G626">
        <f>IFERROR(__xludf.DUMMYFUNCTION("""COMPUTED_VALUE"""),"バンドを結成する")</f>
        <v/>
      </c>
      <c r="H626">
        <f>IFERROR(__xludf.DUMMYFUNCTION("""COMPUTED_VALUE"""),"06")</f>
        <v/>
      </c>
      <c r="I626">
        <f>IFERROR(__xludf.DUMMYFUNCTION("""COMPUTED_VALUE"""),"event_hut1_charaget02_00006")</f>
        <v/>
      </c>
      <c r="L626">
        <f>IFERROR(__xludf.DUMMYFUNCTION("""COMPUTED_VALUE"""),2.0260301E8)</f>
        <v/>
      </c>
    </row>
    <row r="627">
      <c r="A627">
        <f>IFERROR(__xludf.DUMMYFUNCTION("""COMPUTED_VALUE"""),"hut1")</f>
        <v/>
      </c>
      <c r="B627">
        <f>IFERROR(__xludf.DUMMYFUNCTION("""COMPUTED_VALUE"""),"ふつうの軽音部")</f>
        <v/>
      </c>
      <c r="C627">
        <f>IFERROR(__xludf.DUMMYFUNCTION("""COMPUTED_VALUE"""),"challenge")</f>
        <v/>
      </c>
      <c r="D627">
        <f>IFERROR(__xludf.DUMMYFUNCTION("""COMPUTED_VALUE"""),"event")</f>
        <v/>
      </c>
      <c r="E627">
        <f>IFERROR(__xludf.DUMMYFUNCTION("""COMPUTED_VALUE"""),"チャレンジ")</f>
        <v/>
      </c>
      <c r="F627">
        <f>IFERROR(__xludf.DUMMYFUNCTION("""COMPUTED_VALUE"""),"quest_event_hut1_challenge")</f>
        <v/>
      </c>
      <c r="G627">
        <f>IFERROR(__xludf.DUMMYFUNCTION("""COMPUTED_VALUE"""),"文化祭が始まる")</f>
        <v/>
      </c>
      <c r="H627">
        <f>IFERROR(__xludf.DUMMYFUNCTION("""COMPUTED_VALUE"""),"01")</f>
        <v/>
      </c>
      <c r="I627">
        <f>IFERROR(__xludf.DUMMYFUNCTION("""COMPUTED_VALUE"""),"event_hut1_challenge_00001")</f>
        <v/>
      </c>
      <c r="K627">
        <f>IFERROR(__xludf.DUMMYFUNCTION("""COMPUTED_VALUE"""),"hut1_challenge_quest_select_cell")</f>
        <v/>
      </c>
      <c r="L627">
        <f>IFERROR(__xludf.DUMMYFUNCTION("""COMPUTED_VALUE"""),2.0260301E8)</f>
        <v/>
      </c>
    </row>
    <row r="628">
      <c r="A628">
        <f>IFERROR(__xludf.DUMMYFUNCTION("""COMPUTED_VALUE"""),"hut1")</f>
        <v/>
      </c>
      <c r="B628">
        <f>IFERROR(__xludf.DUMMYFUNCTION("""COMPUTED_VALUE"""),"ふつうの軽音部")</f>
        <v/>
      </c>
      <c r="C628">
        <f>IFERROR(__xludf.DUMMYFUNCTION("""COMPUTED_VALUE"""),"challenge")</f>
        <v/>
      </c>
      <c r="D628">
        <f>IFERROR(__xludf.DUMMYFUNCTION("""COMPUTED_VALUE"""),"event")</f>
        <v/>
      </c>
      <c r="E628">
        <f>IFERROR(__xludf.DUMMYFUNCTION("""COMPUTED_VALUE"""),"チャレンジ")</f>
        <v/>
      </c>
      <c r="F628">
        <f>IFERROR(__xludf.DUMMYFUNCTION("""COMPUTED_VALUE"""),"quest_event_hut1_challenge")</f>
        <v/>
      </c>
      <c r="G628">
        <f>IFERROR(__xludf.DUMMYFUNCTION("""COMPUTED_VALUE"""),"文化祭が始まる")</f>
        <v/>
      </c>
      <c r="H628">
        <f>IFERROR(__xludf.DUMMYFUNCTION("""COMPUTED_VALUE"""),"02")</f>
        <v/>
      </c>
      <c r="I628">
        <f>IFERROR(__xludf.DUMMYFUNCTION("""COMPUTED_VALUE"""),"event_hut1_challenge_00002")</f>
        <v/>
      </c>
      <c r="L628">
        <f>IFERROR(__xludf.DUMMYFUNCTION("""COMPUTED_VALUE"""),2.0260301E8)</f>
        <v/>
      </c>
    </row>
    <row r="629">
      <c r="A629">
        <f>IFERROR(__xludf.DUMMYFUNCTION("""COMPUTED_VALUE"""),"hut1")</f>
        <v/>
      </c>
      <c r="B629">
        <f>IFERROR(__xludf.DUMMYFUNCTION("""COMPUTED_VALUE"""),"ふつうの軽音部")</f>
        <v/>
      </c>
      <c r="C629">
        <f>IFERROR(__xludf.DUMMYFUNCTION("""COMPUTED_VALUE"""),"challenge")</f>
        <v/>
      </c>
      <c r="D629">
        <f>IFERROR(__xludf.DUMMYFUNCTION("""COMPUTED_VALUE"""),"event")</f>
        <v/>
      </c>
      <c r="E629">
        <f>IFERROR(__xludf.DUMMYFUNCTION("""COMPUTED_VALUE"""),"チャレンジ")</f>
        <v/>
      </c>
      <c r="F629">
        <f>IFERROR(__xludf.DUMMYFUNCTION("""COMPUTED_VALUE"""),"quest_event_hut1_challenge")</f>
        <v/>
      </c>
      <c r="G629">
        <f>IFERROR(__xludf.DUMMYFUNCTION("""COMPUTED_VALUE"""),"文化祭が始まる")</f>
        <v/>
      </c>
      <c r="H629">
        <f>IFERROR(__xludf.DUMMYFUNCTION("""COMPUTED_VALUE"""),"03")</f>
        <v/>
      </c>
      <c r="I629">
        <f>IFERROR(__xludf.DUMMYFUNCTION("""COMPUTED_VALUE"""),"event_hut1_challenge_00003")</f>
        <v/>
      </c>
      <c r="L629">
        <f>IFERROR(__xludf.DUMMYFUNCTION("""COMPUTED_VALUE"""),2.0260301E8)</f>
        <v/>
      </c>
    </row>
    <row r="630">
      <c r="A630">
        <f>IFERROR(__xludf.DUMMYFUNCTION("""COMPUTED_VALUE"""),"hut1")</f>
        <v/>
      </c>
      <c r="B630">
        <f>IFERROR(__xludf.DUMMYFUNCTION("""COMPUTED_VALUE"""),"ふつうの軽音部")</f>
        <v/>
      </c>
      <c r="C630">
        <f>IFERROR(__xludf.DUMMYFUNCTION("""COMPUTED_VALUE"""),"challenge")</f>
        <v/>
      </c>
      <c r="D630">
        <f>IFERROR(__xludf.DUMMYFUNCTION("""COMPUTED_VALUE"""),"event")</f>
        <v/>
      </c>
      <c r="E630">
        <f>IFERROR(__xludf.DUMMYFUNCTION("""COMPUTED_VALUE"""),"チャレンジ")</f>
        <v/>
      </c>
      <c r="F630">
        <f>IFERROR(__xludf.DUMMYFUNCTION("""COMPUTED_VALUE"""),"quest_event_hut1_challenge")</f>
        <v/>
      </c>
      <c r="G630">
        <f>IFERROR(__xludf.DUMMYFUNCTION("""COMPUTED_VALUE"""),"文化祭が始まる")</f>
        <v/>
      </c>
      <c r="H630">
        <f>IFERROR(__xludf.DUMMYFUNCTION("""COMPUTED_VALUE"""),"04")</f>
        <v/>
      </c>
      <c r="I630">
        <f>IFERROR(__xludf.DUMMYFUNCTION("""COMPUTED_VALUE"""),"event_hut1_challenge_00004")</f>
        <v/>
      </c>
      <c r="L630">
        <f>IFERROR(__xludf.DUMMYFUNCTION("""COMPUTED_VALUE"""),2.0260301E8)</f>
        <v/>
      </c>
    </row>
    <row r="631">
      <c r="A631">
        <f>IFERROR(__xludf.DUMMYFUNCTION("""COMPUTED_VALUE"""),"hut1")</f>
        <v/>
      </c>
      <c r="B631">
        <f>IFERROR(__xludf.DUMMYFUNCTION("""COMPUTED_VALUE"""),"ふつうの軽音部")</f>
        <v/>
      </c>
      <c r="C631">
        <f>IFERROR(__xludf.DUMMYFUNCTION("""COMPUTED_VALUE"""),"savage")</f>
        <v/>
      </c>
      <c r="D631">
        <f>IFERROR(__xludf.DUMMYFUNCTION("""COMPUTED_VALUE"""),"event")</f>
        <v/>
      </c>
      <c r="E631">
        <f>IFERROR(__xludf.DUMMYFUNCTION("""COMPUTED_VALUE"""),"高難易度")</f>
        <v/>
      </c>
      <c r="F631">
        <f>IFERROR(__xludf.DUMMYFUNCTION("""COMPUTED_VALUE"""),"quest_event_hut1_savage")</f>
        <v/>
      </c>
      <c r="G631">
        <f>IFERROR(__xludf.DUMMYFUNCTION("""COMPUTED_VALUE"""),"ステージに立つ")</f>
        <v/>
      </c>
      <c r="H631">
        <f>IFERROR(__xludf.DUMMYFUNCTION("""COMPUTED_VALUE"""),"01")</f>
        <v/>
      </c>
      <c r="I631">
        <f>IFERROR(__xludf.DUMMYFUNCTION("""COMPUTED_VALUE"""),"event_hut1_savage_00001")</f>
        <v/>
      </c>
      <c r="K631">
        <f>IFERROR(__xludf.DUMMYFUNCTION("""COMPUTED_VALUE"""),"hut1_savage_quest_select_cell")</f>
        <v/>
      </c>
      <c r="L631">
        <f>IFERROR(__xludf.DUMMYFUNCTION("""COMPUTED_VALUE"""),2.0260301E8)</f>
        <v/>
      </c>
    </row>
    <row r="632">
      <c r="A632">
        <f>IFERROR(__xludf.DUMMYFUNCTION("""COMPUTED_VALUE"""),"hut1")</f>
        <v/>
      </c>
      <c r="B632">
        <f>IFERROR(__xludf.DUMMYFUNCTION("""COMPUTED_VALUE"""),"ふつうの軽音部")</f>
        <v/>
      </c>
      <c r="C632">
        <f>IFERROR(__xludf.DUMMYFUNCTION("""COMPUTED_VALUE"""),"savage")</f>
        <v/>
      </c>
      <c r="D632">
        <f>IFERROR(__xludf.DUMMYFUNCTION("""COMPUTED_VALUE"""),"event")</f>
        <v/>
      </c>
      <c r="E632">
        <f>IFERROR(__xludf.DUMMYFUNCTION("""COMPUTED_VALUE"""),"高難易度")</f>
        <v/>
      </c>
      <c r="F632">
        <f>IFERROR(__xludf.DUMMYFUNCTION("""COMPUTED_VALUE"""),"quest_event_hut1_savage")</f>
        <v/>
      </c>
      <c r="G632">
        <f>IFERROR(__xludf.DUMMYFUNCTION("""COMPUTED_VALUE"""),"ステージに立つ")</f>
        <v/>
      </c>
      <c r="H632">
        <f>IFERROR(__xludf.DUMMYFUNCTION("""COMPUTED_VALUE"""),"02")</f>
        <v/>
      </c>
      <c r="I632">
        <f>IFERROR(__xludf.DUMMYFUNCTION("""COMPUTED_VALUE"""),"event_hut1_savage_00002")</f>
        <v/>
      </c>
      <c r="L632">
        <f>IFERROR(__xludf.DUMMYFUNCTION("""COMPUTED_VALUE"""),2.0260301E8)</f>
        <v/>
      </c>
    </row>
    <row r="633">
      <c r="A633">
        <f>IFERROR(__xludf.DUMMYFUNCTION("""COMPUTED_VALUE"""),"hut1")</f>
        <v/>
      </c>
      <c r="B633">
        <f>IFERROR(__xludf.DUMMYFUNCTION("""COMPUTED_VALUE"""),"ふつうの軽音部")</f>
        <v/>
      </c>
      <c r="C633">
        <f>IFERROR(__xludf.DUMMYFUNCTION("""COMPUTED_VALUE"""),"savage")</f>
        <v/>
      </c>
      <c r="D633">
        <f>IFERROR(__xludf.DUMMYFUNCTION("""COMPUTED_VALUE"""),"event")</f>
        <v/>
      </c>
      <c r="E633">
        <f>IFERROR(__xludf.DUMMYFUNCTION("""COMPUTED_VALUE"""),"高難易度")</f>
        <v/>
      </c>
      <c r="F633">
        <f>IFERROR(__xludf.DUMMYFUNCTION("""COMPUTED_VALUE"""),"quest_event_hut1_savage")</f>
        <v/>
      </c>
      <c r="G633">
        <f>IFERROR(__xludf.DUMMYFUNCTION("""COMPUTED_VALUE"""),"ステージに立つ")</f>
        <v/>
      </c>
      <c r="H633">
        <f>IFERROR(__xludf.DUMMYFUNCTION("""COMPUTED_VALUE"""),"03")</f>
        <v/>
      </c>
      <c r="I633">
        <f>IFERROR(__xludf.DUMMYFUNCTION("""COMPUTED_VALUE"""),"event_hut1_savage_00003")</f>
        <v/>
      </c>
      <c r="L633">
        <f>IFERROR(__xludf.DUMMYFUNCTION("""COMPUTED_VALUE"""),2.0260301E8)</f>
        <v/>
      </c>
    </row>
    <row r="635">
      <c r="A635">
        <f>IFERROR(__xludf.DUMMYFUNCTION("""COMPUTED_VALUE"""),"f05anniv")</f>
        <v/>
      </c>
      <c r="B635">
        <f>IFERROR(__xludf.DUMMYFUNCTION("""COMPUTED_VALUE"""),"ハーフアニバーサリー 感謝祭！前半")</f>
        <v/>
      </c>
      <c r="C635">
        <f>IFERROR(__xludf.DUMMYFUNCTION("""COMPUTED_VALUE"""),"1day")</f>
        <v/>
      </c>
      <c r="D635">
        <f>IFERROR(__xludf.DUMMYFUNCTION("""COMPUTED_VALUE"""),"event")</f>
        <v/>
      </c>
      <c r="E635">
        <f>IFERROR(__xludf.DUMMYFUNCTION("""COMPUTED_VALUE"""),"デイリー")</f>
        <v/>
      </c>
      <c r="F635">
        <f>IFERROR(__xludf.DUMMYFUNCTION("""COMPUTED_VALUE"""),"quest_event_f05anniv_1day")</f>
        <v/>
      </c>
      <c r="G635">
        <f>IFERROR(__xludf.DUMMYFUNCTION("""COMPUTED_VALUE"""),"オープニング！")</f>
        <v/>
      </c>
      <c r="H635">
        <f>IFERROR(__xludf.DUMMYFUNCTION("""COMPUTED_VALUE"""),"01")</f>
        <v/>
      </c>
      <c r="I635">
        <f>IFERROR(__xludf.DUMMYFUNCTION("""COMPUTED_VALUE"""),"event_f05anniv_1day_00001")</f>
        <v/>
      </c>
      <c r="K635">
        <f>IFERROR(__xludf.DUMMYFUNCTION("""COMPUTED_VALUE"""),"f05anniv_1day_quest_select_cell")</f>
        <v/>
      </c>
      <c r="L635">
        <f>IFERROR(__xludf.DUMMYFUNCTION("""COMPUTED_VALUE"""),2.0260302E8)</f>
        <v/>
      </c>
      <c r="M635">
        <f>IFERROR(__xludf.DUMMYFUNCTION("""COMPUTED_VALUE"""),"イベント単位でひとまとめにしてます
なので、作品準拠のクエストは作品IDになります")</f>
        <v/>
      </c>
    </row>
    <row r="636">
      <c r="A636">
        <f>IFERROR(__xludf.DUMMYFUNCTION("""COMPUTED_VALUE"""),"f05anniv")</f>
        <v/>
      </c>
      <c r="B636">
        <f>IFERROR(__xludf.DUMMYFUNCTION("""COMPUTED_VALUE"""),"ハーフアニバーサリー 感謝祭！前半")</f>
        <v/>
      </c>
      <c r="C636">
        <f>IFERROR(__xludf.DUMMYFUNCTION("""COMPUTED_VALUE"""),"charaget01")</f>
        <v/>
      </c>
      <c r="D636">
        <f>IFERROR(__xludf.DUMMYFUNCTION("""COMPUTED_VALUE"""),"event")</f>
        <v/>
      </c>
      <c r="E636">
        <f>IFERROR(__xludf.DUMMYFUNCTION("""COMPUTED_VALUE"""),"収集")</f>
        <v/>
      </c>
      <c r="F636">
        <f>IFERROR(__xludf.DUMMYFUNCTION("""COMPUTED_VALUE"""),"quest_event_f05anniv_charaget01")</f>
        <v/>
      </c>
      <c r="G636">
        <f>IFERROR(__xludf.DUMMYFUNCTION("""COMPUTED_VALUE"""),"地中にはまるで世界が詰まってる")</f>
        <v/>
      </c>
      <c r="H636">
        <f>IFERROR(__xludf.DUMMYFUNCTION("""COMPUTED_VALUE"""),"01")</f>
        <v/>
      </c>
      <c r="I636">
        <f>IFERROR(__xludf.DUMMYFUNCTION("""COMPUTED_VALUE"""),"event_f05anniv_charaget01_00001")</f>
        <v/>
      </c>
      <c r="K636">
        <f>IFERROR(__xludf.DUMMYFUNCTION("""COMPUTED_VALUE"""),"f05anniv_charaget01_quest_select_cell")</f>
        <v/>
      </c>
      <c r="L636">
        <f>IFERROR(__xludf.DUMMYFUNCTION("""COMPUTED_VALUE"""),2.0260302E8)</f>
        <v/>
      </c>
    </row>
    <row r="637">
      <c r="A637">
        <f>IFERROR(__xludf.DUMMYFUNCTION("""COMPUTED_VALUE"""),"f05anniv")</f>
        <v/>
      </c>
      <c r="B637">
        <f>IFERROR(__xludf.DUMMYFUNCTION("""COMPUTED_VALUE"""),"ハーフアニバーサリー 感謝祭！前半")</f>
        <v/>
      </c>
      <c r="C637">
        <f>IFERROR(__xludf.DUMMYFUNCTION("""COMPUTED_VALUE"""),"charaget01")</f>
        <v/>
      </c>
      <c r="D637">
        <f>IFERROR(__xludf.DUMMYFUNCTION("""COMPUTED_VALUE"""),"event")</f>
        <v/>
      </c>
      <c r="E637">
        <f>IFERROR(__xludf.DUMMYFUNCTION("""COMPUTED_VALUE"""),"収集")</f>
        <v/>
      </c>
      <c r="F637">
        <f>IFERROR(__xludf.DUMMYFUNCTION("""COMPUTED_VALUE"""),"quest_event_f05anniv_charaget01")</f>
        <v/>
      </c>
      <c r="G637">
        <f>IFERROR(__xludf.DUMMYFUNCTION("""COMPUTED_VALUE"""),"地中にはまるで世界が詰まってる")</f>
        <v/>
      </c>
      <c r="H637">
        <f>IFERROR(__xludf.DUMMYFUNCTION("""COMPUTED_VALUE"""),"02")</f>
        <v/>
      </c>
      <c r="I637">
        <f>IFERROR(__xludf.DUMMYFUNCTION("""COMPUTED_VALUE"""),"event_f05anniv_charaget01_00002")</f>
        <v/>
      </c>
      <c r="L637">
        <f>IFERROR(__xludf.DUMMYFUNCTION("""COMPUTED_VALUE"""),2.0260302E8)</f>
        <v/>
      </c>
    </row>
    <row r="638">
      <c r="A638">
        <f>IFERROR(__xludf.DUMMYFUNCTION("""COMPUTED_VALUE"""),"f05anniv")</f>
        <v/>
      </c>
      <c r="B638">
        <f>IFERROR(__xludf.DUMMYFUNCTION("""COMPUTED_VALUE"""),"ハーフアニバーサリー 感謝祭！前半")</f>
        <v/>
      </c>
      <c r="C638">
        <f>IFERROR(__xludf.DUMMYFUNCTION("""COMPUTED_VALUE"""),"charaget01")</f>
        <v/>
      </c>
      <c r="D638">
        <f>IFERROR(__xludf.DUMMYFUNCTION("""COMPUTED_VALUE"""),"event")</f>
        <v/>
      </c>
      <c r="E638">
        <f>IFERROR(__xludf.DUMMYFUNCTION("""COMPUTED_VALUE"""),"収集")</f>
        <v/>
      </c>
      <c r="F638">
        <f>IFERROR(__xludf.DUMMYFUNCTION("""COMPUTED_VALUE"""),"quest_event_f05anniv_charaget01")</f>
        <v/>
      </c>
      <c r="G638">
        <f>IFERROR(__xludf.DUMMYFUNCTION("""COMPUTED_VALUE"""),"地中にはまるで世界が詰まってる")</f>
        <v/>
      </c>
      <c r="H638">
        <f>IFERROR(__xludf.DUMMYFUNCTION("""COMPUTED_VALUE"""),"03")</f>
        <v/>
      </c>
      <c r="I638">
        <f>IFERROR(__xludf.DUMMYFUNCTION("""COMPUTED_VALUE"""),"event_f05anniv_charaget01_00003")</f>
        <v/>
      </c>
      <c r="L638">
        <f>IFERROR(__xludf.DUMMYFUNCTION("""COMPUTED_VALUE"""),2.0260302E8)</f>
        <v/>
      </c>
    </row>
    <row r="639">
      <c r="A639">
        <f>IFERROR(__xludf.DUMMYFUNCTION("""COMPUTED_VALUE"""),"f05anniv")</f>
        <v/>
      </c>
      <c r="B639">
        <f>IFERROR(__xludf.DUMMYFUNCTION("""COMPUTED_VALUE"""),"ハーフアニバーサリー 感謝祭！前半")</f>
        <v/>
      </c>
      <c r="C639">
        <f>IFERROR(__xludf.DUMMYFUNCTION("""COMPUTED_VALUE"""),"charaget01")</f>
        <v/>
      </c>
      <c r="D639">
        <f>IFERROR(__xludf.DUMMYFUNCTION("""COMPUTED_VALUE"""),"event")</f>
        <v/>
      </c>
      <c r="E639">
        <f>IFERROR(__xludf.DUMMYFUNCTION("""COMPUTED_VALUE"""),"収集")</f>
        <v/>
      </c>
      <c r="F639">
        <f>IFERROR(__xludf.DUMMYFUNCTION("""COMPUTED_VALUE"""),"quest_event_f05anniv_charaget01")</f>
        <v/>
      </c>
      <c r="G639">
        <f>IFERROR(__xludf.DUMMYFUNCTION("""COMPUTED_VALUE"""),"地中にはまるで世界が詰まってる")</f>
        <v/>
      </c>
      <c r="H639">
        <f>IFERROR(__xludf.DUMMYFUNCTION("""COMPUTED_VALUE"""),"04")</f>
        <v/>
      </c>
      <c r="I639">
        <f>IFERROR(__xludf.DUMMYFUNCTION("""COMPUTED_VALUE"""),"event_f05anniv_charaget01_00004")</f>
        <v/>
      </c>
      <c r="L639">
        <f>IFERROR(__xludf.DUMMYFUNCTION("""COMPUTED_VALUE"""),2.0260302E8)</f>
        <v/>
      </c>
    </row>
    <row r="640">
      <c r="A640">
        <f>IFERROR(__xludf.DUMMYFUNCTION("""COMPUTED_VALUE"""),"f05anniv")</f>
        <v/>
      </c>
      <c r="B640">
        <f>IFERROR(__xludf.DUMMYFUNCTION("""COMPUTED_VALUE"""),"ハーフアニバーサリー 感謝祭！前半")</f>
        <v/>
      </c>
      <c r="C640">
        <f>IFERROR(__xludf.DUMMYFUNCTION("""COMPUTED_VALUE"""),"charaget02")</f>
        <v/>
      </c>
      <c r="D640">
        <f>IFERROR(__xludf.DUMMYFUNCTION("""COMPUTED_VALUE"""),"event")</f>
        <v/>
      </c>
      <c r="E640">
        <f>IFERROR(__xludf.DUMMYFUNCTION("""COMPUTED_VALUE"""),"ストーリー")</f>
        <v/>
      </c>
      <c r="F640">
        <f>IFERROR(__xludf.DUMMYFUNCTION("""COMPUTED_VALUE"""),"quest_event_f05anniv_charaget02")</f>
        <v/>
      </c>
      <c r="G640">
        <f>IFERROR(__xludf.DUMMYFUNCTION("""COMPUTED_VALUE"""),"世界を買えるカネを寄こせッ‼︎")</f>
        <v/>
      </c>
      <c r="H640">
        <f>IFERROR(__xludf.DUMMYFUNCTION("""COMPUTED_VALUE"""),"01")</f>
        <v/>
      </c>
      <c r="I640">
        <f>IFERROR(__xludf.DUMMYFUNCTION("""COMPUTED_VALUE"""),"event_f05anniv_charaget02_00001")</f>
        <v/>
      </c>
      <c r="K640">
        <f>IFERROR(__xludf.DUMMYFUNCTION("""COMPUTED_VALUE"""),"f05anniv_charaget02_quest_select_cell")</f>
        <v/>
      </c>
      <c r="L640">
        <f>IFERROR(__xludf.DUMMYFUNCTION("""COMPUTED_VALUE"""),2.0260302E8)</f>
        <v/>
      </c>
    </row>
    <row r="641">
      <c r="A641">
        <f>IFERROR(__xludf.DUMMYFUNCTION("""COMPUTED_VALUE"""),"f05anniv")</f>
        <v/>
      </c>
      <c r="B641">
        <f>IFERROR(__xludf.DUMMYFUNCTION("""COMPUTED_VALUE"""),"ハーフアニバーサリー 感謝祭！前半")</f>
        <v/>
      </c>
      <c r="C641">
        <f>IFERROR(__xludf.DUMMYFUNCTION("""COMPUTED_VALUE"""),"charaget02")</f>
        <v/>
      </c>
      <c r="D641">
        <f>IFERROR(__xludf.DUMMYFUNCTION("""COMPUTED_VALUE"""),"event")</f>
        <v/>
      </c>
      <c r="E641">
        <f>IFERROR(__xludf.DUMMYFUNCTION("""COMPUTED_VALUE"""),"ストーリー")</f>
        <v/>
      </c>
      <c r="F641">
        <f>IFERROR(__xludf.DUMMYFUNCTION("""COMPUTED_VALUE"""),"quest_event_f05anniv_charaget02")</f>
        <v/>
      </c>
      <c r="G641">
        <f>IFERROR(__xludf.DUMMYFUNCTION("""COMPUTED_VALUE"""),"世界を買えるカネを寄こせッ‼︎")</f>
        <v/>
      </c>
      <c r="H641">
        <f>IFERROR(__xludf.DUMMYFUNCTION("""COMPUTED_VALUE"""),"02")</f>
        <v/>
      </c>
      <c r="I641">
        <f>IFERROR(__xludf.DUMMYFUNCTION("""COMPUTED_VALUE"""),"event_f05anniv_charaget02_00002")</f>
        <v/>
      </c>
      <c r="L641">
        <f>IFERROR(__xludf.DUMMYFUNCTION("""COMPUTED_VALUE"""),2.0260302E8)</f>
        <v/>
      </c>
    </row>
    <row r="642">
      <c r="A642">
        <f>IFERROR(__xludf.DUMMYFUNCTION("""COMPUTED_VALUE"""),"f05anniv")</f>
        <v/>
      </c>
      <c r="B642">
        <f>IFERROR(__xludf.DUMMYFUNCTION("""COMPUTED_VALUE"""),"ハーフアニバーサリー 感謝祭！前半")</f>
        <v/>
      </c>
      <c r="C642">
        <f>IFERROR(__xludf.DUMMYFUNCTION("""COMPUTED_VALUE"""),"charaget02")</f>
        <v/>
      </c>
      <c r="D642">
        <f>IFERROR(__xludf.DUMMYFUNCTION("""COMPUTED_VALUE"""),"event")</f>
        <v/>
      </c>
      <c r="E642">
        <f>IFERROR(__xludf.DUMMYFUNCTION("""COMPUTED_VALUE"""),"ストーリー")</f>
        <v/>
      </c>
      <c r="F642">
        <f>IFERROR(__xludf.DUMMYFUNCTION("""COMPUTED_VALUE"""),"quest_event_f05anniv_charaget02")</f>
        <v/>
      </c>
      <c r="G642">
        <f>IFERROR(__xludf.DUMMYFUNCTION("""COMPUTED_VALUE"""),"世界を買えるカネを寄こせッ‼︎")</f>
        <v/>
      </c>
      <c r="H642">
        <f>IFERROR(__xludf.DUMMYFUNCTION("""COMPUTED_VALUE"""),"03")</f>
        <v/>
      </c>
      <c r="I642">
        <f>IFERROR(__xludf.DUMMYFUNCTION("""COMPUTED_VALUE"""),"event_f05anniv_charaget02_00003")</f>
        <v/>
      </c>
      <c r="L642">
        <f>IFERROR(__xludf.DUMMYFUNCTION("""COMPUTED_VALUE"""),2.0260302E8)</f>
        <v/>
      </c>
    </row>
    <row r="643">
      <c r="A643">
        <f>IFERROR(__xludf.DUMMYFUNCTION("""COMPUTED_VALUE"""),"f05anniv")</f>
        <v/>
      </c>
      <c r="B643">
        <f>IFERROR(__xludf.DUMMYFUNCTION("""COMPUTED_VALUE"""),"ハーフアニバーサリー 感謝祭！前半")</f>
        <v/>
      </c>
      <c r="C643">
        <f>IFERROR(__xludf.DUMMYFUNCTION("""COMPUTED_VALUE"""),"challenge01")</f>
        <v/>
      </c>
      <c r="D643">
        <f>IFERROR(__xludf.DUMMYFUNCTION("""COMPUTED_VALUE"""),"event")</f>
        <v/>
      </c>
      <c r="E643">
        <f>IFERROR(__xludf.DUMMYFUNCTION("""COMPUTED_VALUE"""),"チャレンジ")</f>
        <v/>
      </c>
      <c r="F643">
        <f>IFERROR(__xludf.DUMMYFUNCTION("""COMPUTED_VALUE"""),"quest_event_f05anniv_challenge01")</f>
        <v/>
      </c>
      <c r="G643">
        <f>IFERROR(__xludf.DUMMYFUNCTION("""COMPUTED_VALUE"""),"一日ひとつだけ強くなりますわ")</f>
        <v/>
      </c>
      <c r="H643">
        <f>IFERROR(__xludf.DUMMYFUNCTION("""COMPUTED_VALUE"""),"01")</f>
        <v/>
      </c>
      <c r="I643">
        <f>IFERROR(__xludf.DUMMYFUNCTION("""COMPUTED_VALUE"""),"event_f05anniv_challenge01_00001")</f>
        <v/>
      </c>
      <c r="K643">
        <f>IFERROR(__xludf.DUMMYFUNCTION("""COMPUTED_VALUE"""),"f05anniv_challenge01_quest_select_cell")</f>
        <v/>
      </c>
      <c r="L643">
        <f>IFERROR(__xludf.DUMMYFUNCTION("""COMPUTED_VALUE"""),2.0260302E8)</f>
        <v/>
      </c>
    </row>
    <row r="644">
      <c r="A644">
        <f>IFERROR(__xludf.DUMMYFUNCTION("""COMPUTED_VALUE"""),"f05anniv")</f>
        <v/>
      </c>
      <c r="B644">
        <f>IFERROR(__xludf.DUMMYFUNCTION("""COMPUTED_VALUE"""),"ハーフアニバーサリー 感謝祭！前半")</f>
        <v/>
      </c>
      <c r="C644">
        <f>IFERROR(__xludf.DUMMYFUNCTION("""COMPUTED_VALUE"""),"challenge01")</f>
        <v/>
      </c>
      <c r="D644">
        <f>IFERROR(__xludf.DUMMYFUNCTION("""COMPUTED_VALUE"""),"event")</f>
        <v/>
      </c>
      <c r="E644">
        <f>IFERROR(__xludf.DUMMYFUNCTION("""COMPUTED_VALUE"""),"チャレンジ")</f>
        <v/>
      </c>
      <c r="F644">
        <f>IFERROR(__xludf.DUMMYFUNCTION("""COMPUTED_VALUE"""),"quest_event_f05anniv_challenge01")</f>
        <v/>
      </c>
      <c r="G644">
        <f>IFERROR(__xludf.DUMMYFUNCTION("""COMPUTED_VALUE"""),"一日ひとつだけ強くなりますわ")</f>
        <v/>
      </c>
      <c r="H644">
        <f>IFERROR(__xludf.DUMMYFUNCTION("""COMPUTED_VALUE"""),"02")</f>
        <v/>
      </c>
      <c r="I644">
        <f>IFERROR(__xludf.DUMMYFUNCTION("""COMPUTED_VALUE"""),"event_f05anniv_challenge01_00002")</f>
        <v/>
      </c>
      <c r="L644">
        <f>IFERROR(__xludf.DUMMYFUNCTION("""COMPUTED_VALUE"""),2.0260302E8)</f>
        <v/>
      </c>
    </row>
    <row r="645">
      <c r="A645">
        <f>IFERROR(__xludf.DUMMYFUNCTION("""COMPUTED_VALUE"""),"f05anniv")</f>
        <v/>
      </c>
      <c r="B645">
        <f>IFERROR(__xludf.DUMMYFUNCTION("""COMPUTED_VALUE"""),"ハーフアニバーサリー 感謝祭！前半")</f>
        <v/>
      </c>
      <c r="C645">
        <f>IFERROR(__xludf.DUMMYFUNCTION("""COMPUTED_VALUE"""),"challenge01")</f>
        <v/>
      </c>
      <c r="D645">
        <f>IFERROR(__xludf.DUMMYFUNCTION("""COMPUTED_VALUE"""),"event")</f>
        <v/>
      </c>
      <c r="E645">
        <f>IFERROR(__xludf.DUMMYFUNCTION("""COMPUTED_VALUE"""),"チャレンジ")</f>
        <v/>
      </c>
      <c r="F645">
        <f>IFERROR(__xludf.DUMMYFUNCTION("""COMPUTED_VALUE"""),"quest_event_f05anniv_challenge01")</f>
        <v/>
      </c>
      <c r="G645">
        <f>IFERROR(__xludf.DUMMYFUNCTION("""COMPUTED_VALUE"""),"一日ひとつだけ強くなりますわ")</f>
        <v/>
      </c>
      <c r="H645">
        <f>IFERROR(__xludf.DUMMYFUNCTION("""COMPUTED_VALUE"""),"03")</f>
        <v/>
      </c>
      <c r="I645">
        <f>IFERROR(__xludf.DUMMYFUNCTION("""COMPUTED_VALUE"""),"event_f05anniv_challenge01_00003")</f>
        <v/>
      </c>
      <c r="L645">
        <f>IFERROR(__xludf.DUMMYFUNCTION("""COMPUTED_VALUE"""),2.0260302E8)</f>
        <v/>
      </c>
    </row>
    <row r="646">
      <c r="A646">
        <f>IFERROR(__xludf.DUMMYFUNCTION("""COMPUTED_VALUE"""),"f05anniv")</f>
        <v/>
      </c>
      <c r="B646">
        <f>IFERROR(__xludf.DUMMYFUNCTION("""COMPUTED_VALUE"""),"ハーフアニバーサリー 感謝祭！前半")</f>
        <v/>
      </c>
      <c r="C646">
        <f>IFERROR(__xludf.DUMMYFUNCTION("""COMPUTED_VALUE"""),"challenge01")</f>
        <v/>
      </c>
      <c r="D646">
        <f>IFERROR(__xludf.DUMMYFUNCTION("""COMPUTED_VALUE"""),"event")</f>
        <v/>
      </c>
      <c r="E646">
        <f>IFERROR(__xludf.DUMMYFUNCTION("""COMPUTED_VALUE"""),"チャレンジ")</f>
        <v/>
      </c>
      <c r="F646">
        <f>IFERROR(__xludf.DUMMYFUNCTION("""COMPUTED_VALUE"""),"quest_event_f05anniv_challenge01")</f>
        <v/>
      </c>
      <c r="G646">
        <f>IFERROR(__xludf.DUMMYFUNCTION("""COMPUTED_VALUE"""),"一日ひとつだけ強くなりますわ")</f>
        <v/>
      </c>
      <c r="H646">
        <f>IFERROR(__xludf.DUMMYFUNCTION("""COMPUTED_VALUE"""),"04")</f>
        <v/>
      </c>
      <c r="I646">
        <f>IFERROR(__xludf.DUMMYFUNCTION("""COMPUTED_VALUE"""),"event_f05anniv_challenge01_00004")</f>
        <v/>
      </c>
      <c r="L646">
        <f>IFERROR(__xludf.DUMMYFUNCTION("""COMPUTED_VALUE"""),2.0260302E8)</f>
        <v/>
      </c>
    </row>
    <row r="647">
      <c r="A647">
        <f>IFERROR(__xludf.DUMMYFUNCTION("""COMPUTED_VALUE"""),"f05anniv")</f>
        <v/>
      </c>
      <c r="B647">
        <f>IFERROR(__xludf.DUMMYFUNCTION("""COMPUTED_VALUE"""),"ハーフアニバーサリー 感謝祭！前半")</f>
        <v/>
      </c>
      <c r="C647">
        <f>IFERROR(__xludf.DUMMYFUNCTION("""COMPUTED_VALUE"""),"savage")</f>
        <v/>
      </c>
      <c r="D647">
        <f>IFERROR(__xludf.DUMMYFUNCTION("""COMPUTED_VALUE"""),"event")</f>
        <v/>
      </c>
      <c r="E647">
        <f>IFERROR(__xludf.DUMMYFUNCTION("""COMPUTED_VALUE"""),"高難易度")</f>
        <v/>
      </c>
      <c r="F647">
        <f>IFERROR(__xludf.DUMMYFUNCTION("""COMPUTED_VALUE"""),"quest_event_f05anniv_savage")</f>
        <v/>
      </c>
      <c r="G647">
        <f>IFERROR(__xludf.DUMMYFUNCTION("""COMPUTED_VALUE"""),"魔都激突戦！")</f>
        <v/>
      </c>
      <c r="H647">
        <f>IFERROR(__xludf.DUMMYFUNCTION("""COMPUTED_VALUE"""),"01")</f>
        <v/>
      </c>
      <c r="I647">
        <f>IFERROR(__xludf.DUMMYFUNCTION("""COMPUTED_VALUE"""),"event_f05anniv_savage_00001")</f>
        <v/>
      </c>
      <c r="K647">
        <f>IFERROR(__xludf.DUMMYFUNCTION("""COMPUTED_VALUE"""),"f05anniv_savage_quest_select_cell")</f>
        <v/>
      </c>
      <c r="L647">
        <f>IFERROR(__xludf.DUMMYFUNCTION("""COMPUTED_VALUE"""),2.0260302E8)</f>
        <v/>
      </c>
    </row>
    <row r="648">
      <c r="A648">
        <f>IFERROR(__xludf.DUMMYFUNCTION("""COMPUTED_VALUE"""),"f05anniv")</f>
        <v/>
      </c>
      <c r="B648">
        <f>IFERROR(__xludf.DUMMYFUNCTION("""COMPUTED_VALUE"""),"ハーフアニバーサリー 感謝祭！前半")</f>
        <v/>
      </c>
      <c r="C648">
        <f>IFERROR(__xludf.DUMMYFUNCTION("""COMPUTED_VALUE"""),"savage")</f>
        <v/>
      </c>
      <c r="D648">
        <f>IFERROR(__xludf.DUMMYFUNCTION("""COMPUTED_VALUE"""),"event")</f>
        <v/>
      </c>
      <c r="E648">
        <f>IFERROR(__xludf.DUMMYFUNCTION("""COMPUTED_VALUE"""),"高難易度")</f>
        <v/>
      </c>
      <c r="F648">
        <f>IFERROR(__xludf.DUMMYFUNCTION("""COMPUTED_VALUE"""),"quest_event_f05anniv_savage")</f>
        <v/>
      </c>
      <c r="G648">
        <f>IFERROR(__xludf.DUMMYFUNCTION("""COMPUTED_VALUE"""),"魔都激突戦！")</f>
        <v/>
      </c>
      <c r="H648">
        <f>IFERROR(__xludf.DUMMYFUNCTION("""COMPUTED_VALUE"""),"02")</f>
        <v/>
      </c>
      <c r="I648">
        <f>IFERROR(__xludf.DUMMYFUNCTION("""COMPUTED_VALUE"""),"event_f05anniv_savage_00002")</f>
        <v/>
      </c>
      <c r="L648">
        <f>IFERROR(__xludf.DUMMYFUNCTION("""COMPUTED_VALUE"""),2.0260302E8)</f>
        <v/>
      </c>
    </row>
    <row r="649">
      <c r="A649">
        <f>IFERROR(__xludf.DUMMYFUNCTION("""COMPUTED_VALUE"""),"f05anniv")</f>
        <v/>
      </c>
      <c r="B649">
        <f>IFERROR(__xludf.DUMMYFUNCTION("""COMPUTED_VALUE"""),"ハーフアニバーサリー 感謝祭！前半")</f>
        <v/>
      </c>
      <c r="C649">
        <f>IFERROR(__xludf.DUMMYFUNCTION("""COMPUTED_VALUE"""),"savage")</f>
        <v/>
      </c>
      <c r="D649">
        <f>IFERROR(__xludf.DUMMYFUNCTION("""COMPUTED_VALUE"""),"event")</f>
        <v/>
      </c>
      <c r="E649">
        <f>IFERROR(__xludf.DUMMYFUNCTION("""COMPUTED_VALUE"""),"高難易度")</f>
        <v/>
      </c>
      <c r="F649">
        <f>IFERROR(__xludf.DUMMYFUNCTION("""COMPUTED_VALUE"""),"quest_event_f05anniv_savage")</f>
        <v/>
      </c>
      <c r="G649">
        <f>IFERROR(__xludf.DUMMYFUNCTION("""COMPUTED_VALUE"""),"魔都激突戦！")</f>
        <v/>
      </c>
      <c r="H649">
        <f>IFERROR(__xludf.DUMMYFUNCTION("""COMPUTED_VALUE"""),"03")</f>
        <v/>
      </c>
      <c r="I649">
        <f>IFERROR(__xludf.DUMMYFUNCTION("""COMPUTED_VALUE"""),"event_f05anniv_savage_00003")</f>
        <v/>
      </c>
      <c r="L649">
        <f>IFERROR(__xludf.DUMMYFUNCTION("""COMPUTED_VALUE"""),2.0260302E8)</f>
        <v/>
      </c>
    </row>
    <row r="651">
      <c r="A651">
        <f>IFERROR(__xludf.DUMMYFUNCTION("""COMPUTED_VALUE"""),"l05anniv")</f>
        <v/>
      </c>
      <c r="B651">
        <f>IFERROR(__xludf.DUMMYFUNCTION("""COMPUTED_VALUE"""),"ハーフアニバーサリー 感謝祭！後半")</f>
        <v/>
      </c>
      <c r="C651">
        <f>IFERROR(__xludf.DUMMYFUNCTION("""COMPUTED_VALUE"""),"1day")</f>
        <v/>
      </c>
      <c r="D651">
        <f>IFERROR(__xludf.DUMMYFUNCTION("""COMPUTED_VALUE"""),"event")</f>
        <v/>
      </c>
      <c r="E651">
        <f>IFERROR(__xludf.DUMMYFUNCTION("""COMPUTED_VALUE"""),"イベント")</f>
        <v/>
      </c>
      <c r="F651">
        <f>IFERROR(__xludf.DUMMYFUNCTION("""COMPUTED_VALUE"""),"quest_event_l05anniv_1day")</f>
        <v/>
      </c>
      <c r="G651">
        <f>IFERROR(__xludf.DUMMYFUNCTION("""COMPUTED_VALUE"""),"フィナーレ！（仮名称）")</f>
        <v/>
      </c>
      <c r="H651">
        <f>IFERROR(__xludf.DUMMYFUNCTION("""COMPUTED_VALUE"""),"01")</f>
        <v/>
      </c>
      <c r="I651">
        <f>IFERROR(__xludf.DUMMYFUNCTION("""COMPUTED_VALUE"""),"event_l05anniv_1day_00001")</f>
        <v/>
      </c>
      <c r="K651">
        <f>IFERROR(__xludf.DUMMYFUNCTION("""COMPUTED_VALUE"""),"l05anniv_1day_quest_select_cell")</f>
        <v/>
      </c>
      <c r="L651">
        <f>IFERROR(__xludf.DUMMYFUNCTION("""COMPUTED_VALUE"""),2.02603025E8)</f>
        <v/>
      </c>
      <c r="M651">
        <f>IFERROR(__xludf.DUMMYFUNCTION("""COMPUTED_VALUE"""),"イベント単位でひとまとめにしてます
なので、作品準拠のクエストは作品IDになります")</f>
        <v/>
      </c>
    </row>
    <row r="652">
      <c r="A652">
        <f>IFERROR(__xludf.DUMMYFUNCTION("""COMPUTED_VALUE"""),"l05anniv")</f>
        <v/>
      </c>
      <c r="B652">
        <f>IFERROR(__xludf.DUMMYFUNCTION("""COMPUTED_VALUE"""),"ハーフアニバーサリー 感謝祭！後半")</f>
        <v/>
      </c>
      <c r="C652">
        <f>IFERROR(__xludf.DUMMYFUNCTION("""COMPUTED_VALUE"""),"charaget01")</f>
        <v/>
      </c>
      <c r="D652">
        <f>IFERROR(__xludf.DUMMYFUNCTION("""COMPUTED_VALUE"""),"event")</f>
        <v/>
      </c>
      <c r="E652">
        <f>IFERROR(__xludf.DUMMYFUNCTION("""COMPUTED_VALUE"""),"イベント")</f>
        <v/>
      </c>
      <c r="F652">
        <f>IFERROR(__xludf.DUMMYFUNCTION("""COMPUTED_VALUE"""),"quest_event_l05anniv_charaget01")</f>
        <v/>
      </c>
      <c r="G652">
        <f>IFERROR(__xludf.DUMMYFUNCTION("""COMPUTED_VALUE"""),"一番星のように眩しかった！")</f>
        <v/>
      </c>
      <c r="H652">
        <f>IFERROR(__xludf.DUMMYFUNCTION("""COMPUTED_VALUE"""),"01")</f>
        <v/>
      </c>
      <c r="I652">
        <f>IFERROR(__xludf.DUMMYFUNCTION("""COMPUTED_VALUE"""),"event_l05anniv_charaget01_00001")</f>
        <v/>
      </c>
      <c r="K652">
        <f>IFERROR(__xludf.DUMMYFUNCTION("""COMPUTED_VALUE"""),"l05anniv_charaget01_quest_select_cell")</f>
        <v/>
      </c>
      <c r="L652">
        <f>IFERROR(__xludf.DUMMYFUNCTION("""COMPUTED_VALUE"""),2.02603025E8)</f>
        <v/>
      </c>
    </row>
    <row r="653">
      <c r="A653">
        <f>IFERROR(__xludf.DUMMYFUNCTION("""COMPUTED_VALUE"""),"l05anniv")</f>
        <v/>
      </c>
      <c r="B653">
        <f>IFERROR(__xludf.DUMMYFUNCTION("""COMPUTED_VALUE"""),"ハーフアニバーサリー 感謝祭！後半")</f>
        <v/>
      </c>
      <c r="C653">
        <f>IFERROR(__xludf.DUMMYFUNCTION("""COMPUTED_VALUE"""),"charaget01")</f>
        <v/>
      </c>
      <c r="D653">
        <f>IFERROR(__xludf.DUMMYFUNCTION("""COMPUTED_VALUE"""),"event")</f>
        <v/>
      </c>
      <c r="E653">
        <f>IFERROR(__xludf.DUMMYFUNCTION("""COMPUTED_VALUE"""),"イベント")</f>
        <v/>
      </c>
      <c r="F653">
        <f>IFERROR(__xludf.DUMMYFUNCTION("""COMPUTED_VALUE"""),"quest_event_l05anniv_charaget01")</f>
        <v/>
      </c>
      <c r="G653">
        <f>IFERROR(__xludf.DUMMYFUNCTION("""COMPUTED_VALUE"""),"一番星のように眩しかった！")</f>
        <v/>
      </c>
      <c r="H653">
        <f>IFERROR(__xludf.DUMMYFUNCTION("""COMPUTED_VALUE"""),"02")</f>
        <v/>
      </c>
      <c r="I653">
        <f>IFERROR(__xludf.DUMMYFUNCTION("""COMPUTED_VALUE"""),"event_l05anniv_charaget01_00002")</f>
        <v/>
      </c>
      <c r="L653">
        <f>IFERROR(__xludf.DUMMYFUNCTION("""COMPUTED_VALUE"""),2.02603025E8)</f>
        <v/>
      </c>
    </row>
    <row r="654">
      <c r="A654">
        <f>IFERROR(__xludf.DUMMYFUNCTION("""COMPUTED_VALUE"""),"l05anniv")</f>
        <v/>
      </c>
      <c r="B654">
        <f>IFERROR(__xludf.DUMMYFUNCTION("""COMPUTED_VALUE"""),"ハーフアニバーサリー 感謝祭！後半")</f>
        <v/>
      </c>
      <c r="C654">
        <f>IFERROR(__xludf.DUMMYFUNCTION("""COMPUTED_VALUE"""),"charaget01")</f>
        <v/>
      </c>
      <c r="D654">
        <f>IFERROR(__xludf.DUMMYFUNCTION("""COMPUTED_VALUE"""),"event")</f>
        <v/>
      </c>
      <c r="E654">
        <f>IFERROR(__xludf.DUMMYFUNCTION("""COMPUTED_VALUE"""),"イベント")</f>
        <v/>
      </c>
      <c r="F654">
        <f>IFERROR(__xludf.DUMMYFUNCTION("""COMPUTED_VALUE"""),"quest_event_l05anniv_charaget01")</f>
        <v/>
      </c>
      <c r="G654">
        <f>IFERROR(__xludf.DUMMYFUNCTION("""COMPUTED_VALUE"""),"一番星のように眩しかった！")</f>
        <v/>
      </c>
      <c r="H654">
        <f>IFERROR(__xludf.DUMMYFUNCTION("""COMPUTED_VALUE"""),"03")</f>
        <v/>
      </c>
      <c r="I654">
        <f>IFERROR(__xludf.DUMMYFUNCTION("""COMPUTED_VALUE"""),"event_l05anniv_charaget01_00003")</f>
        <v/>
      </c>
      <c r="L654">
        <f>IFERROR(__xludf.DUMMYFUNCTION("""COMPUTED_VALUE"""),2.02603025E8)</f>
        <v/>
      </c>
    </row>
    <row r="655">
      <c r="A655">
        <f>IFERROR(__xludf.DUMMYFUNCTION("""COMPUTED_VALUE"""),"l05anniv")</f>
        <v/>
      </c>
      <c r="B655">
        <f>IFERROR(__xludf.DUMMYFUNCTION("""COMPUTED_VALUE"""),"ハーフアニバーサリー 感謝祭！後半")</f>
        <v/>
      </c>
      <c r="C655">
        <f>IFERROR(__xludf.DUMMYFUNCTION("""COMPUTED_VALUE"""),"challenge01")</f>
        <v/>
      </c>
      <c r="D655">
        <f>IFERROR(__xludf.DUMMYFUNCTION("""COMPUTED_VALUE"""),"event")</f>
        <v/>
      </c>
      <c r="E655">
        <f>IFERROR(__xludf.DUMMYFUNCTION("""COMPUTED_VALUE"""),"イベント")</f>
        <v/>
      </c>
      <c r="F655">
        <f>IFERROR(__xludf.DUMMYFUNCTION("""COMPUTED_VALUE"""),"quest_event_l05anniv_challenge01")</f>
        <v/>
      </c>
      <c r="G655">
        <f>IFERROR(__xludf.DUMMYFUNCTION("""COMPUTED_VALUE"""),"今日の“拷問”は")</f>
        <v/>
      </c>
      <c r="H655">
        <f>IFERROR(__xludf.DUMMYFUNCTION("""COMPUTED_VALUE"""),"01")</f>
        <v/>
      </c>
      <c r="I655">
        <f>IFERROR(__xludf.DUMMYFUNCTION("""COMPUTED_VALUE"""),"event_l05anniv_challenge01_00001")</f>
        <v/>
      </c>
      <c r="K655">
        <f>IFERROR(__xludf.DUMMYFUNCTION("""COMPUTED_VALUE"""),"l05anniv_challenge01_quest_select_cell")</f>
        <v/>
      </c>
      <c r="L655">
        <f>IFERROR(__xludf.DUMMYFUNCTION("""COMPUTED_VALUE"""),2.02603025E8)</f>
        <v/>
      </c>
    </row>
    <row r="656">
      <c r="A656">
        <f>IFERROR(__xludf.DUMMYFUNCTION("""COMPUTED_VALUE"""),"l05anniv")</f>
        <v/>
      </c>
      <c r="B656">
        <f>IFERROR(__xludf.DUMMYFUNCTION("""COMPUTED_VALUE"""),"ハーフアニバーサリー 感謝祭！後半")</f>
        <v/>
      </c>
      <c r="C656">
        <f>IFERROR(__xludf.DUMMYFUNCTION("""COMPUTED_VALUE"""),"challenge01")</f>
        <v/>
      </c>
      <c r="D656">
        <f>IFERROR(__xludf.DUMMYFUNCTION("""COMPUTED_VALUE"""),"event")</f>
        <v/>
      </c>
      <c r="E656">
        <f>IFERROR(__xludf.DUMMYFUNCTION("""COMPUTED_VALUE"""),"イベント")</f>
        <v/>
      </c>
      <c r="F656">
        <f>IFERROR(__xludf.DUMMYFUNCTION("""COMPUTED_VALUE"""),"quest_event_l05anniv_challenge01")</f>
        <v/>
      </c>
      <c r="G656">
        <f>IFERROR(__xludf.DUMMYFUNCTION("""COMPUTED_VALUE"""),"今日の“拷問”は")</f>
        <v/>
      </c>
      <c r="H656">
        <f>IFERROR(__xludf.DUMMYFUNCTION("""COMPUTED_VALUE"""),"02")</f>
        <v/>
      </c>
      <c r="I656">
        <f>IFERROR(__xludf.DUMMYFUNCTION("""COMPUTED_VALUE"""),"event_l05anniv_challenge01_00002")</f>
        <v/>
      </c>
      <c r="L656">
        <f>IFERROR(__xludf.DUMMYFUNCTION("""COMPUTED_VALUE"""),2.02603025E8)</f>
        <v/>
      </c>
    </row>
    <row r="657">
      <c r="A657">
        <f>IFERROR(__xludf.DUMMYFUNCTION("""COMPUTED_VALUE"""),"l05anniv")</f>
        <v/>
      </c>
      <c r="B657">
        <f>IFERROR(__xludf.DUMMYFUNCTION("""COMPUTED_VALUE"""),"ハーフアニバーサリー 感謝祭！後半")</f>
        <v/>
      </c>
      <c r="C657">
        <f>IFERROR(__xludf.DUMMYFUNCTION("""COMPUTED_VALUE"""),"challenge01")</f>
        <v/>
      </c>
      <c r="D657">
        <f>IFERROR(__xludf.DUMMYFUNCTION("""COMPUTED_VALUE"""),"event")</f>
        <v/>
      </c>
      <c r="E657">
        <f>IFERROR(__xludf.DUMMYFUNCTION("""COMPUTED_VALUE"""),"イベント")</f>
        <v/>
      </c>
      <c r="F657">
        <f>IFERROR(__xludf.DUMMYFUNCTION("""COMPUTED_VALUE"""),"quest_event_l05anniv_challenge01")</f>
        <v/>
      </c>
      <c r="G657">
        <f>IFERROR(__xludf.DUMMYFUNCTION("""COMPUTED_VALUE"""),"今日の“拷問”は")</f>
        <v/>
      </c>
      <c r="H657">
        <f>IFERROR(__xludf.DUMMYFUNCTION("""COMPUTED_VALUE"""),"03")</f>
        <v/>
      </c>
      <c r="I657">
        <f>IFERROR(__xludf.DUMMYFUNCTION("""COMPUTED_VALUE"""),"event_l05anniv_challenge01_00003")</f>
        <v/>
      </c>
      <c r="L657">
        <f>IFERROR(__xludf.DUMMYFUNCTION("""COMPUTED_VALUE"""),2.02603025E8)</f>
        <v/>
      </c>
    </row>
    <row r="658">
      <c r="A658">
        <f>IFERROR(__xludf.DUMMYFUNCTION("""COMPUTED_VALUE"""),"l05anniv")</f>
        <v/>
      </c>
      <c r="B658">
        <f>IFERROR(__xludf.DUMMYFUNCTION("""COMPUTED_VALUE"""),"ハーフアニバーサリー 感謝祭！後半")</f>
        <v/>
      </c>
      <c r="C658">
        <f>IFERROR(__xludf.DUMMYFUNCTION("""COMPUTED_VALUE"""),"challenge01")</f>
        <v/>
      </c>
      <c r="D658">
        <f>IFERROR(__xludf.DUMMYFUNCTION("""COMPUTED_VALUE"""),"event")</f>
        <v/>
      </c>
      <c r="E658">
        <f>IFERROR(__xludf.DUMMYFUNCTION("""COMPUTED_VALUE"""),"イベント")</f>
        <v/>
      </c>
      <c r="F658">
        <f>IFERROR(__xludf.DUMMYFUNCTION("""COMPUTED_VALUE"""),"quest_event_l05anniv_challenge01")</f>
        <v/>
      </c>
      <c r="G658">
        <f>IFERROR(__xludf.DUMMYFUNCTION("""COMPUTED_VALUE"""),"今日の“拷問”は")</f>
        <v/>
      </c>
      <c r="H658">
        <f>IFERROR(__xludf.DUMMYFUNCTION("""COMPUTED_VALUE"""),"04")</f>
        <v/>
      </c>
      <c r="I658">
        <f>IFERROR(__xludf.DUMMYFUNCTION("""COMPUTED_VALUE"""),"event_l05anniv_challenge01_00004")</f>
        <v/>
      </c>
      <c r="L658">
        <f>IFERROR(__xludf.DUMMYFUNCTION("""COMPUTED_VALUE"""),2.02603025E8)</f>
        <v/>
      </c>
    </row>
    <row r="659">
      <c r="A659">
        <f>IFERROR(__xludf.DUMMYFUNCTION("""COMPUTED_VALUE"""),"l05anniv")</f>
        <v/>
      </c>
      <c r="B659">
        <f>IFERROR(__xludf.DUMMYFUNCTION("""COMPUTED_VALUE"""),"ハーフアニバーサリー 感謝祭！後半")</f>
        <v/>
      </c>
      <c r="C659">
        <f>IFERROR(__xludf.DUMMYFUNCTION("""COMPUTED_VALUE"""),"savage")</f>
        <v/>
      </c>
      <c r="D659">
        <f>IFERROR(__xludf.DUMMYFUNCTION("""COMPUTED_VALUE"""),"event")</f>
        <v/>
      </c>
      <c r="E659">
        <f>IFERROR(__xludf.DUMMYFUNCTION("""COMPUTED_VALUE"""),"イベント")</f>
        <v/>
      </c>
      <c r="F659">
        <f>IFERROR(__xludf.DUMMYFUNCTION("""COMPUTED_VALUE"""),"quest_event_l05anniv_savage")</f>
        <v/>
      </c>
      <c r="G659">
        <f>IFERROR(__xludf.DUMMYFUNCTION("""COMPUTED_VALUE"""),"立川基地激突戦！")</f>
        <v/>
      </c>
      <c r="H659">
        <f>IFERROR(__xludf.DUMMYFUNCTION("""COMPUTED_VALUE"""),"01")</f>
        <v/>
      </c>
      <c r="I659">
        <f>IFERROR(__xludf.DUMMYFUNCTION("""COMPUTED_VALUE"""),"event_l05anniv_savage_00001")</f>
        <v/>
      </c>
      <c r="K659">
        <f>IFERROR(__xludf.DUMMYFUNCTION("""COMPUTED_VALUE"""),"l05anniv_savage_quest_select_cell")</f>
        <v/>
      </c>
      <c r="L659">
        <f>IFERROR(__xludf.DUMMYFUNCTION("""COMPUTED_VALUE"""),2.02603025E8)</f>
        <v/>
      </c>
    </row>
    <row r="660">
      <c r="A660">
        <f>IFERROR(__xludf.DUMMYFUNCTION("""COMPUTED_VALUE"""),"l05anniv")</f>
        <v/>
      </c>
      <c r="B660">
        <f>IFERROR(__xludf.DUMMYFUNCTION("""COMPUTED_VALUE"""),"ハーフアニバーサリー 感謝祭！後半")</f>
        <v/>
      </c>
      <c r="C660">
        <f>IFERROR(__xludf.DUMMYFUNCTION("""COMPUTED_VALUE"""),"savage")</f>
        <v/>
      </c>
      <c r="D660">
        <f>IFERROR(__xludf.DUMMYFUNCTION("""COMPUTED_VALUE"""),"event")</f>
        <v/>
      </c>
      <c r="E660">
        <f>IFERROR(__xludf.DUMMYFUNCTION("""COMPUTED_VALUE"""),"イベント")</f>
        <v/>
      </c>
      <c r="F660">
        <f>IFERROR(__xludf.DUMMYFUNCTION("""COMPUTED_VALUE"""),"quest_event_l05anniv_savage")</f>
        <v/>
      </c>
      <c r="G660">
        <f>IFERROR(__xludf.DUMMYFUNCTION("""COMPUTED_VALUE"""),"立川基地激突戦！")</f>
        <v/>
      </c>
      <c r="H660">
        <f>IFERROR(__xludf.DUMMYFUNCTION("""COMPUTED_VALUE"""),"02")</f>
        <v/>
      </c>
      <c r="I660">
        <f>IFERROR(__xludf.DUMMYFUNCTION("""COMPUTED_VALUE"""),"event_l05anniv_savage_00002")</f>
        <v/>
      </c>
      <c r="L660">
        <f>IFERROR(__xludf.DUMMYFUNCTION("""COMPUTED_VALUE"""),2.02603025E8)</f>
        <v/>
      </c>
    </row>
    <row r="661">
      <c r="A661">
        <f>IFERROR(__xludf.DUMMYFUNCTION("""COMPUTED_VALUE"""),"l05anniv")</f>
        <v/>
      </c>
      <c r="B661">
        <f>IFERROR(__xludf.DUMMYFUNCTION("""COMPUTED_VALUE"""),"ハーフアニバーサリー 感謝祭！後半")</f>
        <v/>
      </c>
      <c r="C661">
        <f>IFERROR(__xludf.DUMMYFUNCTION("""COMPUTED_VALUE"""),"savage")</f>
        <v/>
      </c>
      <c r="D661">
        <f>IFERROR(__xludf.DUMMYFUNCTION("""COMPUTED_VALUE"""),"event")</f>
        <v/>
      </c>
      <c r="E661">
        <f>IFERROR(__xludf.DUMMYFUNCTION("""COMPUTED_VALUE"""),"イベント")</f>
        <v/>
      </c>
      <c r="F661">
        <f>IFERROR(__xludf.DUMMYFUNCTION("""COMPUTED_VALUE"""),"quest_event_l05anniv_savage")</f>
        <v/>
      </c>
      <c r="G661">
        <f>IFERROR(__xludf.DUMMYFUNCTION("""COMPUTED_VALUE"""),"立川基地激突戦！")</f>
        <v/>
      </c>
      <c r="H661">
        <f>IFERROR(__xludf.DUMMYFUNCTION("""COMPUTED_VALUE"""),"03")</f>
        <v/>
      </c>
      <c r="I661">
        <f>IFERROR(__xludf.DUMMYFUNCTION("""COMPUTED_VALUE"""),"event_l05anniv_savage_00003")</f>
        <v/>
      </c>
      <c r="L661">
        <f>IFERROR(__xludf.DUMMYFUNCTION("""COMPUTED_VALUE"""),2.02603025E8)</f>
        <v/>
      </c>
    </row>
    <row r="663">
      <c r="A663">
        <f>IFERROR(__xludf.DUMMYFUNCTION("""COMPUTED_VALUE"""),"aya")</f>
        <v/>
      </c>
      <c r="B663">
        <f>IFERROR(__xludf.DUMMYFUNCTION("""COMPUTED_VALUE"""),"あやかしトライアングル")</f>
        <v/>
      </c>
      <c r="C663">
        <f>IFERROR(__xludf.DUMMYFUNCTION("""COMPUTED_VALUE"""),"1day")</f>
        <v/>
      </c>
      <c r="D663">
        <f>IFERROR(__xludf.DUMMYFUNCTION("""COMPUTED_VALUE"""),"event")</f>
        <v/>
      </c>
      <c r="E663">
        <f>IFERROR(__xludf.DUMMYFUNCTION("""COMPUTED_VALUE"""),"デイリー")</f>
        <v/>
      </c>
      <c r="F663">
        <f>IFERROR(__xludf.DUMMYFUNCTION("""COMPUTED_VALUE"""),"quest_event_aya_1day")</f>
        <v/>
      </c>
      <c r="G663">
        <f>IFERROR(__xludf.DUMMYFUNCTION("""COMPUTED_VALUE"""),"秘術！！性・醒・流・転")</f>
        <v/>
      </c>
      <c r="H663">
        <f>IFERROR(__xludf.DUMMYFUNCTION("""COMPUTED_VALUE"""),"1")</f>
        <v/>
      </c>
      <c r="I663">
        <f>IFERROR(__xludf.DUMMYFUNCTION("""COMPUTED_VALUE"""),"event_aya_1day_0001")</f>
        <v/>
      </c>
    </row>
    <row r="664">
      <c r="A664">
        <f>IFERROR(__xludf.DUMMYFUNCTION("""COMPUTED_VALUE"""),"aya")</f>
        <v/>
      </c>
      <c r="B664">
        <f>IFERROR(__xludf.DUMMYFUNCTION("""COMPUTED_VALUE"""),"あやかしトライアングル")</f>
        <v/>
      </c>
      <c r="C664">
        <f>IFERROR(__xludf.DUMMYFUNCTION("""COMPUTED_VALUE"""),"charaget01")</f>
        <v/>
      </c>
      <c r="D664">
        <f>IFERROR(__xludf.DUMMYFUNCTION("""COMPUTED_VALUE"""),"event")</f>
        <v/>
      </c>
      <c r="E664">
        <f>IFERROR(__xludf.DUMMYFUNCTION("""COMPUTED_VALUE"""),"収集")</f>
        <v/>
      </c>
      <c r="F664">
        <f>IFERROR(__xludf.DUMMYFUNCTION("""COMPUTED_VALUE"""),"quest_event_aya_charaget01")</f>
        <v/>
      </c>
      <c r="G664">
        <f>IFERROR(__xludf.DUMMYFUNCTION("""COMPUTED_VALUE"""),"オモカゲ")</f>
        <v/>
      </c>
      <c r="H664">
        <f>IFERROR(__xludf.DUMMYFUNCTION("""COMPUTED_VALUE"""),"1")</f>
        <v/>
      </c>
      <c r="I664">
        <f>IFERROR(__xludf.DUMMYFUNCTION("""COMPUTED_VALUE"""),"event_aya_charaget01_0001")</f>
        <v/>
      </c>
    </row>
    <row r="665">
      <c r="A665">
        <f>IFERROR(__xludf.DUMMYFUNCTION("""COMPUTED_VALUE"""),"aya")</f>
        <v/>
      </c>
      <c r="B665">
        <f>IFERROR(__xludf.DUMMYFUNCTION("""COMPUTED_VALUE"""),"あやかしトライアングル")</f>
        <v/>
      </c>
      <c r="C665">
        <f>IFERROR(__xludf.DUMMYFUNCTION("""COMPUTED_VALUE"""),"charaget01")</f>
        <v/>
      </c>
      <c r="D665">
        <f>IFERROR(__xludf.DUMMYFUNCTION("""COMPUTED_VALUE"""),"event")</f>
        <v/>
      </c>
      <c r="E665">
        <f>IFERROR(__xludf.DUMMYFUNCTION("""COMPUTED_VALUE"""),"収集")</f>
        <v/>
      </c>
      <c r="F665">
        <f>IFERROR(__xludf.DUMMYFUNCTION("""COMPUTED_VALUE"""),"quest_event_aya_charaget01")</f>
        <v/>
      </c>
      <c r="G665">
        <f>IFERROR(__xludf.DUMMYFUNCTION("""COMPUTED_VALUE"""),"オモカゲ")</f>
        <v/>
      </c>
      <c r="H665">
        <f>IFERROR(__xludf.DUMMYFUNCTION("""COMPUTED_VALUE"""),"2")</f>
        <v/>
      </c>
      <c r="I665">
        <f>IFERROR(__xludf.DUMMYFUNCTION("""COMPUTED_VALUE"""),"event_aya_charaget01_0002")</f>
        <v/>
      </c>
    </row>
    <row r="666">
      <c r="A666">
        <f>IFERROR(__xludf.DUMMYFUNCTION("""COMPUTED_VALUE"""),"aya")</f>
        <v/>
      </c>
      <c r="B666">
        <f>IFERROR(__xludf.DUMMYFUNCTION("""COMPUTED_VALUE"""),"あやかしトライアングル")</f>
        <v/>
      </c>
      <c r="C666">
        <f>IFERROR(__xludf.DUMMYFUNCTION("""COMPUTED_VALUE"""),"charaget01")</f>
        <v/>
      </c>
      <c r="D666">
        <f>IFERROR(__xludf.DUMMYFUNCTION("""COMPUTED_VALUE"""),"event")</f>
        <v/>
      </c>
      <c r="E666">
        <f>IFERROR(__xludf.DUMMYFUNCTION("""COMPUTED_VALUE"""),"収集")</f>
        <v/>
      </c>
      <c r="F666">
        <f>IFERROR(__xludf.DUMMYFUNCTION("""COMPUTED_VALUE"""),"quest_event_aya_charaget01")</f>
        <v/>
      </c>
      <c r="G666">
        <f>IFERROR(__xludf.DUMMYFUNCTION("""COMPUTED_VALUE"""),"オモカゲ")</f>
        <v/>
      </c>
      <c r="H666">
        <f>IFERROR(__xludf.DUMMYFUNCTION("""COMPUTED_VALUE"""),"3")</f>
        <v/>
      </c>
      <c r="I666">
        <f>IFERROR(__xludf.DUMMYFUNCTION("""COMPUTED_VALUE"""),"event_aya_charaget01_0003")</f>
        <v/>
      </c>
    </row>
    <row r="667">
      <c r="A667">
        <f>IFERROR(__xludf.DUMMYFUNCTION("""COMPUTED_VALUE"""),"aya")</f>
        <v/>
      </c>
      <c r="B667">
        <f>IFERROR(__xludf.DUMMYFUNCTION("""COMPUTED_VALUE"""),"あやかしトライアングル")</f>
        <v/>
      </c>
      <c r="C667">
        <f>IFERROR(__xludf.DUMMYFUNCTION("""COMPUTED_VALUE"""),"charaget01")</f>
        <v/>
      </c>
      <c r="D667">
        <f>IFERROR(__xludf.DUMMYFUNCTION("""COMPUTED_VALUE"""),"event")</f>
        <v/>
      </c>
      <c r="E667">
        <f>IFERROR(__xludf.DUMMYFUNCTION("""COMPUTED_VALUE"""),"収集")</f>
        <v/>
      </c>
      <c r="F667">
        <f>IFERROR(__xludf.DUMMYFUNCTION("""COMPUTED_VALUE"""),"quest_event_aya_charaget01")</f>
        <v/>
      </c>
      <c r="G667">
        <f>IFERROR(__xludf.DUMMYFUNCTION("""COMPUTED_VALUE"""),"オモカゲ")</f>
        <v/>
      </c>
      <c r="H667">
        <f>IFERROR(__xludf.DUMMYFUNCTION("""COMPUTED_VALUE"""),"4")</f>
        <v/>
      </c>
      <c r="I667">
        <f>IFERROR(__xludf.DUMMYFUNCTION("""COMPUTED_VALUE"""),"event_aya_charaget01_0004")</f>
        <v/>
      </c>
    </row>
    <row r="668">
      <c r="A668">
        <f>IFERROR(__xludf.DUMMYFUNCTION("""COMPUTED_VALUE"""),"aya")</f>
        <v/>
      </c>
      <c r="B668">
        <f>IFERROR(__xludf.DUMMYFUNCTION("""COMPUTED_VALUE"""),"あやかしトライアングル")</f>
        <v/>
      </c>
      <c r="C668">
        <f>IFERROR(__xludf.DUMMYFUNCTION("""COMPUTED_VALUE"""),"charaget02")</f>
        <v/>
      </c>
      <c r="D668">
        <f>IFERROR(__xludf.DUMMYFUNCTION("""COMPUTED_VALUE"""),"event")</f>
        <v/>
      </c>
      <c r="E668">
        <f>IFERROR(__xludf.DUMMYFUNCTION("""COMPUTED_VALUE"""),"ストーリー")</f>
        <v/>
      </c>
      <c r="F668">
        <f>IFERROR(__xludf.DUMMYFUNCTION("""COMPUTED_VALUE"""),"quest_event_aya_charaget02")</f>
        <v/>
      </c>
      <c r="G668">
        <f>IFERROR(__xludf.DUMMYFUNCTION("""COMPUTED_VALUE"""),"覚醒の兆し")</f>
        <v/>
      </c>
      <c r="H668">
        <f>IFERROR(__xludf.DUMMYFUNCTION("""COMPUTED_VALUE"""),"1")</f>
        <v/>
      </c>
      <c r="I668">
        <f>IFERROR(__xludf.DUMMYFUNCTION("""COMPUTED_VALUE"""),"event_aya_charaget02_0001")</f>
        <v/>
      </c>
    </row>
    <row r="669">
      <c r="A669">
        <f>IFERROR(__xludf.DUMMYFUNCTION("""COMPUTED_VALUE"""),"aya")</f>
        <v/>
      </c>
      <c r="B669">
        <f>IFERROR(__xludf.DUMMYFUNCTION("""COMPUTED_VALUE"""),"あやかしトライアングル")</f>
        <v/>
      </c>
      <c r="C669">
        <f>IFERROR(__xludf.DUMMYFUNCTION("""COMPUTED_VALUE"""),"charaget02")</f>
        <v/>
      </c>
      <c r="D669">
        <f>IFERROR(__xludf.DUMMYFUNCTION("""COMPUTED_VALUE"""),"event")</f>
        <v/>
      </c>
      <c r="E669">
        <f>IFERROR(__xludf.DUMMYFUNCTION("""COMPUTED_VALUE"""),"ストーリー")</f>
        <v/>
      </c>
      <c r="F669">
        <f>IFERROR(__xludf.DUMMYFUNCTION("""COMPUTED_VALUE"""),"quest_event_aya_charaget02")</f>
        <v/>
      </c>
      <c r="G669">
        <f>IFERROR(__xludf.DUMMYFUNCTION("""COMPUTED_VALUE"""),"覚醒の兆し")</f>
        <v/>
      </c>
      <c r="H669">
        <f>IFERROR(__xludf.DUMMYFUNCTION("""COMPUTED_VALUE"""),"2")</f>
        <v/>
      </c>
      <c r="I669">
        <f>IFERROR(__xludf.DUMMYFUNCTION("""COMPUTED_VALUE"""),"event_aya_charaget02_0002")</f>
        <v/>
      </c>
    </row>
    <row r="670">
      <c r="A670">
        <f>IFERROR(__xludf.DUMMYFUNCTION("""COMPUTED_VALUE"""),"aya")</f>
        <v/>
      </c>
      <c r="B670">
        <f>IFERROR(__xludf.DUMMYFUNCTION("""COMPUTED_VALUE"""),"あやかしトライアングル")</f>
        <v/>
      </c>
      <c r="C670">
        <f>IFERROR(__xludf.DUMMYFUNCTION("""COMPUTED_VALUE"""),"charaget02")</f>
        <v/>
      </c>
      <c r="D670">
        <f>IFERROR(__xludf.DUMMYFUNCTION("""COMPUTED_VALUE"""),"event")</f>
        <v/>
      </c>
      <c r="E670">
        <f>IFERROR(__xludf.DUMMYFUNCTION("""COMPUTED_VALUE"""),"ストーリー")</f>
        <v/>
      </c>
      <c r="F670">
        <f>IFERROR(__xludf.DUMMYFUNCTION("""COMPUTED_VALUE"""),"quest_event_aya_charaget02")</f>
        <v/>
      </c>
      <c r="G670">
        <f>IFERROR(__xludf.DUMMYFUNCTION("""COMPUTED_VALUE"""),"覚醒の兆し")</f>
        <v/>
      </c>
      <c r="H670">
        <f>IFERROR(__xludf.DUMMYFUNCTION("""COMPUTED_VALUE"""),"3")</f>
        <v/>
      </c>
      <c r="I670">
        <f>IFERROR(__xludf.DUMMYFUNCTION("""COMPUTED_VALUE"""),"event_aya_charaget02_0003")</f>
        <v/>
      </c>
    </row>
    <row r="671">
      <c r="A671">
        <f>IFERROR(__xludf.DUMMYFUNCTION("""COMPUTED_VALUE"""),"aya")</f>
        <v/>
      </c>
      <c r="B671">
        <f>IFERROR(__xludf.DUMMYFUNCTION("""COMPUTED_VALUE"""),"あやかしトライアングル")</f>
        <v/>
      </c>
      <c r="C671">
        <f>IFERROR(__xludf.DUMMYFUNCTION("""COMPUTED_VALUE"""),"charaget02")</f>
        <v/>
      </c>
      <c r="D671">
        <f>IFERROR(__xludf.DUMMYFUNCTION("""COMPUTED_VALUE"""),"event")</f>
        <v/>
      </c>
      <c r="E671">
        <f>IFERROR(__xludf.DUMMYFUNCTION("""COMPUTED_VALUE"""),"ストーリー")</f>
        <v/>
      </c>
      <c r="F671">
        <f>IFERROR(__xludf.DUMMYFUNCTION("""COMPUTED_VALUE"""),"quest_event_aya_charaget02")</f>
        <v/>
      </c>
      <c r="G671">
        <f>IFERROR(__xludf.DUMMYFUNCTION("""COMPUTED_VALUE"""),"覚醒の兆し")</f>
        <v/>
      </c>
      <c r="H671">
        <f>IFERROR(__xludf.DUMMYFUNCTION("""COMPUTED_VALUE"""),"4")</f>
        <v/>
      </c>
      <c r="I671">
        <f>IFERROR(__xludf.DUMMYFUNCTION("""COMPUTED_VALUE"""),"event_aya_charaget02_0004")</f>
        <v/>
      </c>
    </row>
    <row r="672">
      <c r="A672">
        <f>IFERROR(__xludf.DUMMYFUNCTION("""COMPUTED_VALUE"""),"aya")</f>
        <v/>
      </c>
      <c r="B672">
        <f>IFERROR(__xludf.DUMMYFUNCTION("""COMPUTED_VALUE"""),"あやかしトライアングル")</f>
        <v/>
      </c>
      <c r="C672">
        <f>IFERROR(__xludf.DUMMYFUNCTION("""COMPUTED_VALUE"""),"charaget02")</f>
        <v/>
      </c>
      <c r="D672">
        <f>IFERROR(__xludf.DUMMYFUNCTION("""COMPUTED_VALUE"""),"event")</f>
        <v/>
      </c>
      <c r="E672">
        <f>IFERROR(__xludf.DUMMYFUNCTION("""COMPUTED_VALUE"""),"ストーリー")</f>
        <v/>
      </c>
      <c r="F672">
        <f>IFERROR(__xludf.DUMMYFUNCTION("""COMPUTED_VALUE"""),"quest_event_aya_charaget02")</f>
        <v/>
      </c>
      <c r="G672">
        <f>IFERROR(__xludf.DUMMYFUNCTION("""COMPUTED_VALUE"""),"覚醒の兆し")</f>
        <v/>
      </c>
      <c r="H672">
        <f>IFERROR(__xludf.DUMMYFUNCTION("""COMPUTED_VALUE"""),"5")</f>
        <v/>
      </c>
      <c r="I672">
        <f>IFERROR(__xludf.DUMMYFUNCTION("""COMPUTED_VALUE"""),"event_aya_charaget02_0005")</f>
        <v/>
      </c>
    </row>
    <row r="673">
      <c r="A673">
        <f>IFERROR(__xludf.DUMMYFUNCTION("""COMPUTED_VALUE"""),"aya")</f>
        <v/>
      </c>
      <c r="B673">
        <f>IFERROR(__xludf.DUMMYFUNCTION("""COMPUTED_VALUE"""),"あやかしトライアングル")</f>
        <v/>
      </c>
      <c r="C673">
        <f>IFERROR(__xludf.DUMMYFUNCTION("""COMPUTED_VALUE"""),"charaget02")</f>
        <v/>
      </c>
      <c r="D673">
        <f>IFERROR(__xludf.DUMMYFUNCTION("""COMPUTED_VALUE"""),"event")</f>
        <v/>
      </c>
      <c r="E673">
        <f>IFERROR(__xludf.DUMMYFUNCTION("""COMPUTED_VALUE"""),"ストーリー")</f>
        <v/>
      </c>
      <c r="F673">
        <f>IFERROR(__xludf.DUMMYFUNCTION("""COMPUTED_VALUE"""),"quest_event_aya_charaget02")</f>
        <v/>
      </c>
      <c r="G673">
        <f>IFERROR(__xludf.DUMMYFUNCTION("""COMPUTED_VALUE"""),"覚醒の兆し")</f>
        <v/>
      </c>
      <c r="H673">
        <f>IFERROR(__xludf.DUMMYFUNCTION("""COMPUTED_VALUE"""),"6")</f>
        <v/>
      </c>
      <c r="I673">
        <f>IFERROR(__xludf.DUMMYFUNCTION("""COMPUTED_VALUE"""),"event_aya_charaget02_0006")</f>
        <v/>
      </c>
    </row>
    <row r="674">
      <c r="A674">
        <f>IFERROR(__xludf.DUMMYFUNCTION("""COMPUTED_VALUE"""),"aya")</f>
        <v/>
      </c>
      <c r="B674">
        <f>IFERROR(__xludf.DUMMYFUNCTION("""COMPUTED_VALUE"""),"あやかしトライアングル")</f>
        <v/>
      </c>
      <c r="C674">
        <f>IFERROR(__xludf.DUMMYFUNCTION("""COMPUTED_VALUE"""),"charaget01")</f>
        <v/>
      </c>
      <c r="D674">
        <f>IFERROR(__xludf.DUMMYFUNCTION("""COMPUTED_VALUE"""),"event")</f>
        <v/>
      </c>
      <c r="E674">
        <f>IFERROR(__xludf.DUMMYFUNCTION("""COMPUTED_VALUE"""),"チャレンジ")</f>
        <v/>
      </c>
      <c r="F674">
        <f>IFERROR(__xludf.DUMMYFUNCTION("""COMPUTED_VALUE"""),"quest_event_aya_charaget01")</f>
        <v/>
      </c>
      <c r="G674">
        <f>IFERROR(__xludf.DUMMYFUNCTION("""COMPUTED_VALUE"""),"妖の王")</f>
        <v/>
      </c>
      <c r="H674">
        <f>IFERROR(__xludf.DUMMYFUNCTION("""COMPUTED_VALUE"""),"1")</f>
        <v/>
      </c>
      <c r="I674">
        <f>IFERROR(__xludf.DUMMYFUNCTION("""COMPUTED_VALUE"""),"event_aya_charaget01_0001")</f>
        <v/>
      </c>
    </row>
    <row r="675">
      <c r="A675">
        <f>IFERROR(__xludf.DUMMYFUNCTION("""COMPUTED_VALUE"""),"aya")</f>
        <v/>
      </c>
      <c r="B675">
        <f>IFERROR(__xludf.DUMMYFUNCTION("""COMPUTED_VALUE"""),"あやかしトライアングル")</f>
        <v/>
      </c>
      <c r="C675">
        <f>IFERROR(__xludf.DUMMYFUNCTION("""COMPUTED_VALUE"""),"charaget01")</f>
        <v/>
      </c>
      <c r="D675">
        <f>IFERROR(__xludf.DUMMYFUNCTION("""COMPUTED_VALUE"""),"event")</f>
        <v/>
      </c>
      <c r="E675">
        <f>IFERROR(__xludf.DUMMYFUNCTION("""COMPUTED_VALUE"""),"チャレンジ")</f>
        <v/>
      </c>
      <c r="F675">
        <f>IFERROR(__xludf.DUMMYFUNCTION("""COMPUTED_VALUE"""),"quest_event_aya_charaget01")</f>
        <v/>
      </c>
      <c r="G675">
        <f>IFERROR(__xludf.DUMMYFUNCTION("""COMPUTED_VALUE"""),"妖の王")</f>
        <v/>
      </c>
      <c r="H675">
        <f>IFERROR(__xludf.DUMMYFUNCTION("""COMPUTED_VALUE"""),"2")</f>
        <v/>
      </c>
      <c r="I675">
        <f>IFERROR(__xludf.DUMMYFUNCTION("""COMPUTED_VALUE"""),"event_aya_charaget01_0002")</f>
        <v/>
      </c>
    </row>
    <row r="676">
      <c r="A676">
        <f>IFERROR(__xludf.DUMMYFUNCTION("""COMPUTED_VALUE"""),"aya")</f>
        <v/>
      </c>
      <c r="B676">
        <f>IFERROR(__xludf.DUMMYFUNCTION("""COMPUTED_VALUE"""),"あやかしトライアングル")</f>
        <v/>
      </c>
      <c r="C676">
        <f>IFERROR(__xludf.DUMMYFUNCTION("""COMPUTED_VALUE"""),"charaget01")</f>
        <v/>
      </c>
      <c r="D676">
        <f>IFERROR(__xludf.DUMMYFUNCTION("""COMPUTED_VALUE"""),"event")</f>
        <v/>
      </c>
      <c r="E676">
        <f>IFERROR(__xludf.DUMMYFUNCTION("""COMPUTED_VALUE"""),"チャレンジ")</f>
        <v/>
      </c>
      <c r="F676">
        <f>IFERROR(__xludf.DUMMYFUNCTION("""COMPUTED_VALUE"""),"quest_event_aya_charaget01")</f>
        <v/>
      </c>
      <c r="G676">
        <f>IFERROR(__xludf.DUMMYFUNCTION("""COMPUTED_VALUE"""),"妖の王")</f>
        <v/>
      </c>
      <c r="H676">
        <f>IFERROR(__xludf.DUMMYFUNCTION("""COMPUTED_VALUE"""),"3")</f>
        <v/>
      </c>
      <c r="I676">
        <f>IFERROR(__xludf.DUMMYFUNCTION("""COMPUTED_VALUE"""),"event_aya_charaget01_0003")</f>
        <v/>
      </c>
    </row>
    <row r="677">
      <c r="A677">
        <f>IFERROR(__xludf.DUMMYFUNCTION("""COMPUTED_VALUE"""),"aya")</f>
        <v/>
      </c>
      <c r="B677">
        <f>IFERROR(__xludf.DUMMYFUNCTION("""COMPUTED_VALUE"""),"あやかしトライアングル")</f>
        <v/>
      </c>
      <c r="C677">
        <f>IFERROR(__xludf.DUMMYFUNCTION("""COMPUTED_VALUE"""),"charaget01")</f>
        <v/>
      </c>
      <c r="D677">
        <f>IFERROR(__xludf.DUMMYFUNCTION("""COMPUTED_VALUE"""),"event")</f>
        <v/>
      </c>
      <c r="E677">
        <f>IFERROR(__xludf.DUMMYFUNCTION("""COMPUTED_VALUE"""),"チャレンジ")</f>
        <v/>
      </c>
      <c r="F677">
        <f>IFERROR(__xludf.DUMMYFUNCTION("""COMPUTED_VALUE"""),"quest_event_aya_charaget01")</f>
        <v/>
      </c>
      <c r="G677">
        <f>IFERROR(__xludf.DUMMYFUNCTION("""COMPUTED_VALUE"""),"妖の王")</f>
        <v/>
      </c>
      <c r="H677">
        <f>IFERROR(__xludf.DUMMYFUNCTION("""COMPUTED_VALUE"""),"4")</f>
        <v/>
      </c>
      <c r="I677">
        <f>IFERROR(__xludf.DUMMYFUNCTION("""COMPUTED_VALUE"""),"event_aya_charaget01_0004")</f>
        <v/>
      </c>
    </row>
    <row r="678">
      <c r="A678">
        <f>IFERROR(__xludf.DUMMYFUNCTION("""COMPUTED_VALUE"""),"aya")</f>
        <v/>
      </c>
      <c r="B678">
        <f>IFERROR(__xludf.DUMMYFUNCTION("""COMPUTED_VALUE"""),"あやかしトライアングル")</f>
        <v/>
      </c>
      <c r="C678">
        <f>IFERROR(__xludf.DUMMYFUNCTION("""COMPUTED_VALUE"""),"savage")</f>
        <v/>
      </c>
      <c r="D678">
        <f>IFERROR(__xludf.DUMMYFUNCTION("""COMPUTED_VALUE"""),"event")</f>
        <v/>
      </c>
      <c r="E678">
        <f>IFERROR(__xludf.DUMMYFUNCTION("""COMPUTED_VALUE"""),"高難易度")</f>
        <v/>
      </c>
      <c r="F678">
        <f>IFERROR(__xludf.DUMMYFUNCTION("""COMPUTED_VALUE"""),"quest_event_aya_savage")</f>
        <v/>
      </c>
      <c r="G678">
        <f>IFERROR(__xludf.DUMMYFUNCTION("""COMPUTED_VALUE"""),"祓忍法")</f>
        <v/>
      </c>
      <c r="H678">
        <f>IFERROR(__xludf.DUMMYFUNCTION("""COMPUTED_VALUE"""),"1")</f>
        <v/>
      </c>
      <c r="I678">
        <f>IFERROR(__xludf.DUMMYFUNCTION("""COMPUTED_VALUE"""),"event_aya_savage_0001")</f>
        <v/>
      </c>
    </row>
    <row r="679">
      <c r="A679">
        <f>IFERROR(__xludf.DUMMYFUNCTION("""COMPUTED_VALUE"""),"aya")</f>
        <v/>
      </c>
      <c r="B679">
        <f>IFERROR(__xludf.DUMMYFUNCTION("""COMPUTED_VALUE"""),"あやかしトライアングル")</f>
        <v/>
      </c>
      <c r="C679">
        <f>IFERROR(__xludf.DUMMYFUNCTION("""COMPUTED_VALUE"""),"savage")</f>
        <v/>
      </c>
      <c r="D679">
        <f>IFERROR(__xludf.DUMMYFUNCTION("""COMPUTED_VALUE"""),"event")</f>
        <v/>
      </c>
      <c r="E679">
        <f>IFERROR(__xludf.DUMMYFUNCTION("""COMPUTED_VALUE"""),"高難易度")</f>
        <v/>
      </c>
      <c r="F679">
        <f>IFERROR(__xludf.DUMMYFUNCTION("""COMPUTED_VALUE"""),"quest_event_aya_savage")</f>
        <v/>
      </c>
      <c r="G679">
        <f>IFERROR(__xludf.DUMMYFUNCTION("""COMPUTED_VALUE"""),"祓忍法")</f>
        <v/>
      </c>
      <c r="H679">
        <f>IFERROR(__xludf.DUMMYFUNCTION("""COMPUTED_VALUE"""),"2")</f>
        <v/>
      </c>
      <c r="I679">
        <f>IFERROR(__xludf.DUMMYFUNCTION("""COMPUTED_VALUE"""),"event_aya_savage_0002")</f>
        <v/>
      </c>
    </row>
    <row r="680">
      <c r="A680">
        <f>IFERROR(__xludf.DUMMYFUNCTION("""COMPUTED_VALUE"""),"aya")</f>
        <v/>
      </c>
      <c r="B680">
        <f>IFERROR(__xludf.DUMMYFUNCTION("""COMPUTED_VALUE"""),"あやかしトライアングル")</f>
        <v/>
      </c>
      <c r="C680">
        <f>IFERROR(__xludf.DUMMYFUNCTION("""COMPUTED_VALUE"""),"savage")</f>
        <v/>
      </c>
      <c r="D680">
        <f>IFERROR(__xludf.DUMMYFUNCTION("""COMPUTED_VALUE"""),"event")</f>
        <v/>
      </c>
      <c r="E680">
        <f>IFERROR(__xludf.DUMMYFUNCTION("""COMPUTED_VALUE"""),"高難易度")</f>
        <v/>
      </c>
      <c r="F680">
        <f>IFERROR(__xludf.DUMMYFUNCTION("""COMPUTED_VALUE"""),"quest_event_aya_savage")</f>
        <v/>
      </c>
      <c r="G680">
        <f>IFERROR(__xludf.DUMMYFUNCTION("""COMPUTED_VALUE"""),"祓忍法")</f>
        <v/>
      </c>
      <c r="H680">
        <f>IFERROR(__xludf.DUMMYFUNCTION("""COMPUTED_VALUE"""),"3")</f>
        <v/>
      </c>
      <c r="I680">
        <f>IFERROR(__xludf.DUMMYFUNCTION("""COMPUTED_VALUE"""),"event_aya_savage_0003")</f>
        <v/>
      </c>
    </row>
    <row r="682">
      <c r="A682">
        <f>IFERROR(__xludf.DUMMYFUNCTION("""COMPUTED_VALUE"""),"mar")</f>
        <v/>
      </c>
      <c r="B682">
        <f>IFERROR(__xludf.DUMMYFUNCTION("""COMPUTED_VALUE"""),"マリッジトキシン")</f>
        <v/>
      </c>
      <c r="C682">
        <f>IFERROR(__xludf.DUMMYFUNCTION("""COMPUTED_VALUE"""),"1day")</f>
        <v/>
      </c>
      <c r="D682">
        <f>IFERROR(__xludf.DUMMYFUNCTION("""COMPUTED_VALUE"""),"event")</f>
        <v/>
      </c>
      <c r="E682">
        <f>IFERROR(__xludf.DUMMYFUNCTION("""COMPUTED_VALUE"""),"デイリー")</f>
        <v/>
      </c>
      <c r="F682">
        <f>IFERROR(__xludf.DUMMYFUNCTION("""COMPUTED_VALUE"""),"quest_event_mar_1day")</f>
        <v/>
      </c>
      <c r="G682">
        <f>IFERROR(__xludf.DUMMYFUNCTION("""COMPUTED_VALUE"""),"そんな提案[プロポーズ]初めて")</f>
        <v/>
      </c>
      <c r="H682">
        <f>IFERROR(__xludf.DUMMYFUNCTION("""COMPUTED_VALUE"""),"1")</f>
        <v/>
      </c>
      <c r="I682">
        <f>IFERROR(__xludf.DUMMYFUNCTION("""COMPUTED_VALUE"""),"event_mar_1day_0001")</f>
        <v/>
      </c>
    </row>
    <row r="683">
      <c r="A683">
        <f>IFERROR(__xludf.DUMMYFUNCTION("""COMPUTED_VALUE"""),"mar")</f>
        <v/>
      </c>
      <c r="B683">
        <f>IFERROR(__xludf.DUMMYFUNCTION("""COMPUTED_VALUE"""),"マリッジトキシン")</f>
        <v/>
      </c>
      <c r="C683">
        <f>IFERROR(__xludf.DUMMYFUNCTION("""COMPUTED_VALUE"""),"charaget01")</f>
        <v/>
      </c>
      <c r="D683">
        <f>IFERROR(__xludf.DUMMYFUNCTION("""COMPUTED_VALUE"""),"event")</f>
        <v/>
      </c>
      <c r="E683">
        <f>IFERROR(__xludf.DUMMYFUNCTION("""COMPUTED_VALUE"""),"ストーリー")</f>
        <v/>
      </c>
      <c r="F683">
        <f>IFERROR(__xludf.DUMMYFUNCTION("""COMPUTED_VALUE"""),"quest_event_mar_charaget01")</f>
        <v/>
      </c>
      <c r="G683">
        <f>IFERROR(__xludf.DUMMYFUNCTION("""COMPUTED_VALUE"""),"初めての相手")</f>
        <v/>
      </c>
      <c r="H683">
        <f>IFERROR(__xludf.DUMMYFUNCTION("""COMPUTED_VALUE"""),"1")</f>
        <v/>
      </c>
      <c r="I683">
        <f>IFERROR(__xludf.DUMMYFUNCTION("""COMPUTED_VALUE"""),"event_mar_charaget01_0001")</f>
        <v/>
      </c>
    </row>
    <row r="684">
      <c r="A684">
        <f>IFERROR(__xludf.DUMMYFUNCTION("""COMPUTED_VALUE"""),"mar")</f>
        <v/>
      </c>
      <c r="B684">
        <f>IFERROR(__xludf.DUMMYFUNCTION("""COMPUTED_VALUE"""),"マリッジトキシン")</f>
        <v/>
      </c>
      <c r="C684">
        <f>IFERROR(__xludf.DUMMYFUNCTION("""COMPUTED_VALUE"""),"charaget01")</f>
        <v/>
      </c>
      <c r="D684">
        <f>IFERROR(__xludf.DUMMYFUNCTION("""COMPUTED_VALUE"""),"event")</f>
        <v/>
      </c>
      <c r="E684">
        <f>IFERROR(__xludf.DUMMYFUNCTION("""COMPUTED_VALUE"""),"ストーリー")</f>
        <v/>
      </c>
      <c r="F684">
        <f>IFERROR(__xludf.DUMMYFUNCTION("""COMPUTED_VALUE"""),"quest_event_mar_charaget01")</f>
        <v/>
      </c>
      <c r="G684">
        <f>IFERROR(__xludf.DUMMYFUNCTION("""COMPUTED_VALUE"""),"初めての相手")</f>
        <v/>
      </c>
      <c r="H684">
        <f>IFERROR(__xludf.DUMMYFUNCTION("""COMPUTED_VALUE"""),"2")</f>
        <v/>
      </c>
      <c r="I684">
        <f>IFERROR(__xludf.DUMMYFUNCTION("""COMPUTED_VALUE"""),"event_mar_charaget01_0002")</f>
        <v/>
      </c>
    </row>
    <row r="685">
      <c r="A685">
        <f>IFERROR(__xludf.DUMMYFUNCTION("""COMPUTED_VALUE"""),"mar")</f>
        <v/>
      </c>
      <c r="B685">
        <f>IFERROR(__xludf.DUMMYFUNCTION("""COMPUTED_VALUE"""),"マリッジトキシン")</f>
        <v/>
      </c>
      <c r="C685">
        <f>IFERROR(__xludf.DUMMYFUNCTION("""COMPUTED_VALUE"""),"charaget01")</f>
        <v/>
      </c>
      <c r="D685">
        <f>IFERROR(__xludf.DUMMYFUNCTION("""COMPUTED_VALUE"""),"event")</f>
        <v/>
      </c>
      <c r="E685">
        <f>IFERROR(__xludf.DUMMYFUNCTION("""COMPUTED_VALUE"""),"ストーリー")</f>
        <v/>
      </c>
      <c r="F685">
        <f>IFERROR(__xludf.DUMMYFUNCTION("""COMPUTED_VALUE"""),"quest_event_mar_charaget01")</f>
        <v/>
      </c>
      <c r="G685">
        <f>IFERROR(__xludf.DUMMYFUNCTION("""COMPUTED_VALUE"""),"初めての相手")</f>
        <v/>
      </c>
      <c r="H685">
        <f>IFERROR(__xludf.DUMMYFUNCTION("""COMPUTED_VALUE"""),"3")</f>
        <v/>
      </c>
      <c r="I685">
        <f>IFERROR(__xludf.DUMMYFUNCTION("""COMPUTED_VALUE"""),"event_mar_charaget01_0003")</f>
        <v/>
      </c>
    </row>
    <row r="686">
      <c r="A686">
        <f>IFERROR(__xludf.DUMMYFUNCTION("""COMPUTED_VALUE"""),"mar")</f>
        <v/>
      </c>
      <c r="B686">
        <f>IFERROR(__xludf.DUMMYFUNCTION("""COMPUTED_VALUE"""),"マリッジトキシン")</f>
        <v/>
      </c>
      <c r="C686">
        <f>IFERROR(__xludf.DUMMYFUNCTION("""COMPUTED_VALUE"""),"charaget01")</f>
        <v/>
      </c>
      <c r="D686">
        <f>IFERROR(__xludf.DUMMYFUNCTION("""COMPUTED_VALUE"""),"event")</f>
        <v/>
      </c>
      <c r="E686">
        <f>IFERROR(__xludf.DUMMYFUNCTION("""COMPUTED_VALUE"""),"ストーリー")</f>
        <v/>
      </c>
      <c r="F686">
        <f>IFERROR(__xludf.DUMMYFUNCTION("""COMPUTED_VALUE"""),"quest_event_mar_charaget01")</f>
        <v/>
      </c>
      <c r="G686">
        <f>IFERROR(__xludf.DUMMYFUNCTION("""COMPUTED_VALUE"""),"初めての相手")</f>
        <v/>
      </c>
      <c r="H686">
        <f>IFERROR(__xludf.DUMMYFUNCTION("""COMPUTED_VALUE"""),"4")</f>
        <v/>
      </c>
      <c r="I686">
        <f>IFERROR(__xludf.DUMMYFUNCTION("""COMPUTED_VALUE"""),"event_mar_charaget01_0004")</f>
        <v/>
      </c>
    </row>
    <row r="687">
      <c r="A687">
        <f>IFERROR(__xludf.DUMMYFUNCTION("""COMPUTED_VALUE"""),"mar")</f>
        <v/>
      </c>
      <c r="B687">
        <f>IFERROR(__xludf.DUMMYFUNCTION("""COMPUTED_VALUE"""),"マリッジトキシン")</f>
        <v/>
      </c>
      <c r="C687">
        <f>IFERROR(__xludf.DUMMYFUNCTION("""COMPUTED_VALUE"""),"charaget01")</f>
        <v/>
      </c>
      <c r="D687">
        <f>IFERROR(__xludf.DUMMYFUNCTION("""COMPUTED_VALUE"""),"event")</f>
        <v/>
      </c>
      <c r="E687">
        <f>IFERROR(__xludf.DUMMYFUNCTION("""COMPUTED_VALUE"""),"ストーリー")</f>
        <v/>
      </c>
      <c r="F687">
        <f>IFERROR(__xludf.DUMMYFUNCTION("""COMPUTED_VALUE"""),"quest_event_mar_charaget01")</f>
        <v/>
      </c>
      <c r="G687">
        <f>IFERROR(__xludf.DUMMYFUNCTION("""COMPUTED_VALUE"""),"初めての相手")</f>
        <v/>
      </c>
      <c r="H687">
        <f>IFERROR(__xludf.DUMMYFUNCTION("""COMPUTED_VALUE"""),"5")</f>
        <v/>
      </c>
      <c r="I687">
        <f>IFERROR(__xludf.DUMMYFUNCTION("""COMPUTED_VALUE"""),"event_mar_charaget01_0005")</f>
        <v/>
      </c>
    </row>
    <row r="688">
      <c r="A688">
        <f>IFERROR(__xludf.DUMMYFUNCTION("""COMPUTED_VALUE"""),"mar")</f>
        <v/>
      </c>
      <c r="B688">
        <f>IFERROR(__xludf.DUMMYFUNCTION("""COMPUTED_VALUE"""),"マリッジトキシン")</f>
        <v/>
      </c>
      <c r="C688">
        <f>IFERROR(__xludf.DUMMYFUNCTION("""COMPUTED_VALUE"""),"charaget01")</f>
        <v/>
      </c>
      <c r="D688">
        <f>IFERROR(__xludf.DUMMYFUNCTION("""COMPUTED_VALUE"""),"event")</f>
        <v/>
      </c>
      <c r="E688">
        <f>IFERROR(__xludf.DUMMYFUNCTION("""COMPUTED_VALUE"""),"ストーリー")</f>
        <v/>
      </c>
      <c r="F688">
        <f>IFERROR(__xludf.DUMMYFUNCTION("""COMPUTED_VALUE"""),"quest_event_mar_charaget01")</f>
        <v/>
      </c>
      <c r="G688">
        <f>IFERROR(__xludf.DUMMYFUNCTION("""COMPUTED_VALUE"""),"初めての相手")</f>
        <v/>
      </c>
      <c r="H688">
        <f>IFERROR(__xludf.DUMMYFUNCTION("""COMPUTED_VALUE"""),"6")</f>
        <v/>
      </c>
      <c r="I688">
        <f>IFERROR(__xludf.DUMMYFUNCTION("""COMPUTED_VALUE"""),"event_mar_charaget01_0006")</f>
        <v/>
      </c>
    </row>
    <row r="689">
      <c r="A689">
        <f>IFERROR(__xludf.DUMMYFUNCTION("""COMPUTED_VALUE"""),"mar")</f>
        <v/>
      </c>
      <c r="B689">
        <f>IFERROR(__xludf.DUMMYFUNCTION("""COMPUTED_VALUE"""),"マリッジトキシン")</f>
        <v/>
      </c>
      <c r="C689">
        <f>IFERROR(__xludf.DUMMYFUNCTION("""COMPUTED_VALUE"""),"charaget01")</f>
        <v/>
      </c>
      <c r="D689">
        <f>IFERROR(__xludf.DUMMYFUNCTION("""COMPUTED_VALUE"""),"event")</f>
        <v/>
      </c>
      <c r="E689">
        <f>IFERROR(__xludf.DUMMYFUNCTION("""COMPUTED_VALUE"""),"ストーリー")</f>
        <v/>
      </c>
      <c r="F689">
        <f>IFERROR(__xludf.DUMMYFUNCTION("""COMPUTED_VALUE"""),"quest_event_mar_charaget01")</f>
        <v/>
      </c>
      <c r="G689">
        <f>IFERROR(__xludf.DUMMYFUNCTION("""COMPUTED_VALUE"""),"運命にド感謝")</f>
        <v/>
      </c>
      <c r="H689">
        <f>IFERROR(__xludf.DUMMYFUNCTION("""COMPUTED_VALUE"""),"1")</f>
        <v/>
      </c>
      <c r="I689">
        <f>IFERROR(__xludf.DUMMYFUNCTION("""COMPUTED_VALUE"""),"event_mar_charaget01_0001")</f>
        <v/>
      </c>
    </row>
    <row r="690">
      <c r="A690">
        <f>IFERROR(__xludf.DUMMYFUNCTION("""COMPUTED_VALUE"""),"mar")</f>
        <v/>
      </c>
      <c r="B690">
        <f>IFERROR(__xludf.DUMMYFUNCTION("""COMPUTED_VALUE"""),"マリッジトキシン")</f>
        <v/>
      </c>
      <c r="C690">
        <f>IFERROR(__xludf.DUMMYFUNCTION("""COMPUTED_VALUE"""),"charaget02")</f>
        <v/>
      </c>
      <c r="D690">
        <f>IFERROR(__xludf.DUMMYFUNCTION("""COMPUTED_VALUE"""),"event")</f>
        <v/>
      </c>
      <c r="E690">
        <f>IFERROR(__xludf.DUMMYFUNCTION("""COMPUTED_VALUE"""),"ストーリー")</f>
        <v/>
      </c>
      <c r="F690">
        <f>IFERROR(__xludf.DUMMYFUNCTION("""COMPUTED_VALUE"""),"quest_event_mar_charaget02")</f>
        <v/>
      </c>
      <c r="G690">
        <f>IFERROR(__xludf.DUMMYFUNCTION("""COMPUTED_VALUE"""),"運命にド感謝")</f>
        <v/>
      </c>
      <c r="H690">
        <f>IFERROR(__xludf.DUMMYFUNCTION("""COMPUTED_VALUE"""),"2")</f>
        <v/>
      </c>
      <c r="I690">
        <f>IFERROR(__xludf.DUMMYFUNCTION("""COMPUTED_VALUE"""),"event_mar_charaget02_0002")</f>
        <v/>
      </c>
    </row>
    <row r="691">
      <c r="A691">
        <f>IFERROR(__xludf.DUMMYFUNCTION("""COMPUTED_VALUE"""),"mar")</f>
        <v/>
      </c>
      <c r="B691">
        <f>IFERROR(__xludf.DUMMYFUNCTION("""COMPUTED_VALUE"""),"マリッジトキシン")</f>
        <v/>
      </c>
      <c r="C691">
        <f>IFERROR(__xludf.DUMMYFUNCTION("""COMPUTED_VALUE"""),"charaget02")</f>
        <v/>
      </c>
      <c r="D691">
        <f>IFERROR(__xludf.DUMMYFUNCTION("""COMPUTED_VALUE"""),"event")</f>
        <v/>
      </c>
      <c r="E691">
        <f>IFERROR(__xludf.DUMMYFUNCTION("""COMPUTED_VALUE"""),"ストーリー")</f>
        <v/>
      </c>
      <c r="F691">
        <f>IFERROR(__xludf.DUMMYFUNCTION("""COMPUTED_VALUE"""),"quest_event_mar_charaget02")</f>
        <v/>
      </c>
      <c r="G691">
        <f>IFERROR(__xludf.DUMMYFUNCTION("""COMPUTED_VALUE"""),"運命にド感謝")</f>
        <v/>
      </c>
      <c r="H691">
        <f>IFERROR(__xludf.DUMMYFUNCTION("""COMPUTED_VALUE"""),"3")</f>
        <v/>
      </c>
      <c r="I691">
        <f>IFERROR(__xludf.DUMMYFUNCTION("""COMPUTED_VALUE"""),"event_mar_charaget02_0003")</f>
        <v/>
      </c>
    </row>
    <row r="692">
      <c r="A692">
        <f>IFERROR(__xludf.DUMMYFUNCTION("""COMPUTED_VALUE"""),"mar")</f>
        <v/>
      </c>
      <c r="B692">
        <f>IFERROR(__xludf.DUMMYFUNCTION("""COMPUTED_VALUE"""),"マリッジトキシン")</f>
        <v/>
      </c>
      <c r="C692">
        <f>IFERROR(__xludf.DUMMYFUNCTION("""COMPUTED_VALUE"""),"charaget02")</f>
        <v/>
      </c>
      <c r="D692">
        <f>IFERROR(__xludf.DUMMYFUNCTION("""COMPUTED_VALUE"""),"event")</f>
        <v/>
      </c>
      <c r="E692">
        <f>IFERROR(__xludf.DUMMYFUNCTION("""COMPUTED_VALUE"""),"ストーリー")</f>
        <v/>
      </c>
      <c r="F692">
        <f>IFERROR(__xludf.DUMMYFUNCTION("""COMPUTED_VALUE"""),"quest_event_mar_charaget02")</f>
        <v/>
      </c>
      <c r="G692">
        <f>IFERROR(__xludf.DUMMYFUNCTION("""COMPUTED_VALUE"""),"運命にド感謝")</f>
        <v/>
      </c>
      <c r="H692">
        <f>IFERROR(__xludf.DUMMYFUNCTION("""COMPUTED_VALUE"""),"4")</f>
        <v/>
      </c>
      <c r="I692">
        <f>IFERROR(__xludf.DUMMYFUNCTION("""COMPUTED_VALUE"""),"event_mar_charaget02_0004")</f>
        <v/>
      </c>
    </row>
    <row r="693">
      <c r="A693">
        <f>IFERROR(__xludf.DUMMYFUNCTION("""COMPUTED_VALUE"""),"mar")</f>
        <v/>
      </c>
      <c r="B693">
        <f>IFERROR(__xludf.DUMMYFUNCTION("""COMPUTED_VALUE"""),"マリッジトキシン")</f>
        <v/>
      </c>
      <c r="C693">
        <f>IFERROR(__xludf.DUMMYFUNCTION("""COMPUTED_VALUE"""),"charaget02")</f>
        <v/>
      </c>
      <c r="D693">
        <f>IFERROR(__xludf.DUMMYFUNCTION("""COMPUTED_VALUE"""),"event")</f>
        <v/>
      </c>
      <c r="E693">
        <f>IFERROR(__xludf.DUMMYFUNCTION("""COMPUTED_VALUE"""),"ストーリー")</f>
        <v/>
      </c>
      <c r="F693">
        <f>IFERROR(__xludf.DUMMYFUNCTION("""COMPUTED_VALUE"""),"quest_event_mar_charaget02")</f>
        <v/>
      </c>
      <c r="G693">
        <f>IFERROR(__xludf.DUMMYFUNCTION("""COMPUTED_VALUE"""),"運命にド感謝")</f>
        <v/>
      </c>
      <c r="H693">
        <f>IFERROR(__xludf.DUMMYFUNCTION("""COMPUTED_VALUE"""),"5")</f>
        <v/>
      </c>
      <c r="I693">
        <f>IFERROR(__xludf.DUMMYFUNCTION("""COMPUTED_VALUE"""),"event_mar_charaget02_0005")</f>
        <v/>
      </c>
    </row>
    <row r="694">
      <c r="A694">
        <f>IFERROR(__xludf.DUMMYFUNCTION("""COMPUTED_VALUE"""),"mar")</f>
        <v/>
      </c>
      <c r="B694">
        <f>IFERROR(__xludf.DUMMYFUNCTION("""COMPUTED_VALUE"""),"マリッジトキシン")</f>
        <v/>
      </c>
      <c r="C694">
        <f>IFERROR(__xludf.DUMMYFUNCTION("""COMPUTED_VALUE"""),"charaget02")</f>
        <v/>
      </c>
      <c r="D694">
        <f>IFERROR(__xludf.DUMMYFUNCTION("""COMPUTED_VALUE"""),"event")</f>
        <v/>
      </c>
      <c r="E694">
        <f>IFERROR(__xludf.DUMMYFUNCTION("""COMPUTED_VALUE"""),"ストーリー")</f>
        <v/>
      </c>
      <c r="F694">
        <f>IFERROR(__xludf.DUMMYFUNCTION("""COMPUTED_VALUE"""),"quest_event_mar_charaget02")</f>
        <v/>
      </c>
      <c r="G694">
        <f>IFERROR(__xludf.DUMMYFUNCTION("""COMPUTED_VALUE"""),"運命にド感謝")</f>
        <v/>
      </c>
      <c r="H694">
        <f>IFERROR(__xludf.DUMMYFUNCTION("""COMPUTED_VALUE"""),"6")</f>
        <v/>
      </c>
      <c r="I694">
        <f>IFERROR(__xludf.DUMMYFUNCTION("""COMPUTED_VALUE"""),"event_mar_charaget02_0006")</f>
        <v/>
      </c>
    </row>
    <row r="695">
      <c r="A695">
        <f>IFERROR(__xludf.DUMMYFUNCTION("""COMPUTED_VALUE"""),"mar")</f>
        <v/>
      </c>
      <c r="B695">
        <f>IFERROR(__xludf.DUMMYFUNCTION("""COMPUTED_VALUE"""),"マリッジトキシン")</f>
        <v/>
      </c>
      <c r="C695">
        <f>IFERROR(__xludf.DUMMYFUNCTION("""COMPUTED_VALUE"""),"charaget01")</f>
        <v/>
      </c>
      <c r="D695">
        <f>IFERROR(__xludf.DUMMYFUNCTION("""COMPUTED_VALUE"""),"event")</f>
        <v/>
      </c>
      <c r="E695">
        <f>IFERROR(__xludf.DUMMYFUNCTION("""COMPUTED_VALUE"""),"チャレンジ")</f>
        <v/>
      </c>
      <c r="F695">
        <f>IFERROR(__xludf.DUMMYFUNCTION("""COMPUTED_VALUE"""),"quest_event_mar_charaget01")</f>
        <v/>
      </c>
      <c r="G695">
        <f>IFERROR(__xludf.DUMMYFUNCTION("""COMPUTED_VALUE"""),"友達になってくれ")</f>
        <v/>
      </c>
      <c r="H695">
        <f>IFERROR(__xludf.DUMMYFUNCTION("""COMPUTED_VALUE"""),"1")</f>
        <v/>
      </c>
      <c r="I695">
        <f>IFERROR(__xludf.DUMMYFUNCTION("""COMPUTED_VALUE"""),"event_mar_charaget01_0001")</f>
        <v/>
      </c>
    </row>
    <row r="696">
      <c r="A696">
        <f>IFERROR(__xludf.DUMMYFUNCTION("""COMPUTED_VALUE"""),"mar")</f>
        <v/>
      </c>
      <c r="B696">
        <f>IFERROR(__xludf.DUMMYFUNCTION("""COMPUTED_VALUE"""),"マリッジトキシン")</f>
        <v/>
      </c>
      <c r="C696">
        <f>IFERROR(__xludf.DUMMYFUNCTION("""COMPUTED_VALUE"""),"charaget01")</f>
        <v/>
      </c>
      <c r="D696">
        <f>IFERROR(__xludf.DUMMYFUNCTION("""COMPUTED_VALUE"""),"event")</f>
        <v/>
      </c>
      <c r="E696">
        <f>IFERROR(__xludf.DUMMYFUNCTION("""COMPUTED_VALUE"""),"チャレンジ")</f>
        <v/>
      </c>
      <c r="F696">
        <f>IFERROR(__xludf.DUMMYFUNCTION("""COMPUTED_VALUE"""),"quest_event_mar_charaget01")</f>
        <v/>
      </c>
      <c r="G696">
        <f>IFERROR(__xludf.DUMMYFUNCTION("""COMPUTED_VALUE"""),"友達になってくれ")</f>
        <v/>
      </c>
      <c r="H696">
        <f>IFERROR(__xludf.DUMMYFUNCTION("""COMPUTED_VALUE"""),"2")</f>
        <v/>
      </c>
      <c r="I696">
        <f>IFERROR(__xludf.DUMMYFUNCTION("""COMPUTED_VALUE"""),"event_mar_charaget01_0002")</f>
        <v/>
      </c>
    </row>
    <row r="697">
      <c r="A697">
        <f>IFERROR(__xludf.DUMMYFUNCTION("""COMPUTED_VALUE"""),"mar")</f>
        <v/>
      </c>
      <c r="B697">
        <f>IFERROR(__xludf.DUMMYFUNCTION("""COMPUTED_VALUE"""),"マリッジトキシン")</f>
        <v/>
      </c>
      <c r="C697">
        <f>IFERROR(__xludf.DUMMYFUNCTION("""COMPUTED_VALUE"""),"charaget01")</f>
        <v/>
      </c>
      <c r="D697">
        <f>IFERROR(__xludf.DUMMYFUNCTION("""COMPUTED_VALUE"""),"event")</f>
        <v/>
      </c>
      <c r="E697">
        <f>IFERROR(__xludf.DUMMYFUNCTION("""COMPUTED_VALUE"""),"チャレンジ")</f>
        <v/>
      </c>
      <c r="F697">
        <f>IFERROR(__xludf.DUMMYFUNCTION("""COMPUTED_VALUE"""),"quest_event_mar_charaget01")</f>
        <v/>
      </c>
      <c r="G697">
        <f>IFERROR(__xludf.DUMMYFUNCTION("""COMPUTED_VALUE"""),"友達になってくれ")</f>
        <v/>
      </c>
      <c r="H697">
        <f>IFERROR(__xludf.DUMMYFUNCTION("""COMPUTED_VALUE"""),"3")</f>
        <v/>
      </c>
      <c r="I697">
        <f>IFERROR(__xludf.DUMMYFUNCTION("""COMPUTED_VALUE"""),"event_mar_charaget01_0003")</f>
        <v/>
      </c>
    </row>
    <row r="698">
      <c r="A698">
        <f>IFERROR(__xludf.DUMMYFUNCTION("""COMPUTED_VALUE"""),"mar")</f>
        <v/>
      </c>
      <c r="B698">
        <f>IFERROR(__xludf.DUMMYFUNCTION("""COMPUTED_VALUE"""),"マリッジトキシン")</f>
        <v/>
      </c>
      <c r="C698">
        <f>IFERROR(__xludf.DUMMYFUNCTION("""COMPUTED_VALUE"""),"charaget01")</f>
        <v/>
      </c>
      <c r="D698">
        <f>IFERROR(__xludf.DUMMYFUNCTION("""COMPUTED_VALUE"""),"event")</f>
        <v/>
      </c>
      <c r="E698">
        <f>IFERROR(__xludf.DUMMYFUNCTION("""COMPUTED_VALUE"""),"チャレンジ")</f>
        <v/>
      </c>
      <c r="F698">
        <f>IFERROR(__xludf.DUMMYFUNCTION("""COMPUTED_VALUE"""),"quest_event_mar_charaget01")</f>
        <v/>
      </c>
      <c r="G698">
        <f>IFERROR(__xludf.DUMMYFUNCTION("""COMPUTED_VALUE"""),"友達になってくれ")</f>
        <v/>
      </c>
      <c r="H698">
        <f>IFERROR(__xludf.DUMMYFUNCTION("""COMPUTED_VALUE"""),"4")</f>
        <v/>
      </c>
      <c r="I698">
        <f>IFERROR(__xludf.DUMMYFUNCTION("""COMPUTED_VALUE"""),"event_mar_charaget01_0004")</f>
        <v/>
      </c>
    </row>
    <row r="699">
      <c r="A699">
        <f>IFERROR(__xludf.DUMMYFUNCTION("""COMPUTED_VALUE"""),"mar")</f>
        <v/>
      </c>
      <c r="B699">
        <f>IFERROR(__xludf.DUMMYFUNCTION("""COMPUTED_VALUE"""),"マリッジトキシン")</f>
        <v/>
      </c>
      <c r="C699">
        <f>IFERROR(__xludf.DUMMYFUNCTION("""COMPUTED_VALUE"""),"savage")</f>
        <v/>
      </c>
      <c r="D699">
        <f>IFERROR(__xludf.DUMMYFUNCTION("""COMPUTED_VALUE"""),"event")</f>
        <v/>
      </c>
      <c r="E699">
        <f>IFERROR(__xludf.DUMMYFUNCTION("""COMPUTED_VALUE"""),"高難易度")</f>
        <v/>
      </c>
      <c r="F699">
        <f>IFERROR(__xludf.DUMMYFUNCTION("""COMPUTED_VALUE"""),"quest_event_mar_savage")</f>
        <v/>
      </c>
      <c r="G699">
        <f>IFERROR(__xludf.DUMMYFUNCTION("""COMPUTED_VALUE"""),"毒使いの婚活")</f>
        <v/>
      </c>
      <c r="H699">
        <f>IFERROR(__xludf.DUMMYFUNCTION("""COMPUTED_VALUE"""),"1")</f>
        <v/>
      </c>
      <c r="I699">
        <f>IFERROR(__xludf.DUMMYFUNCTION("""COMPUTED_VALUE"""),"event_mar_savage_0001")</f>
        <v/>
      </c>
    </row>
    <row r="700">
      <c r="A700">
        <f>IFERROR(__xludf.DUMMYFUNCTION("""COMPUTED_VALUE"""),"mar")</f>
        <v/>
      </c>
      <c r="B700">
        <f>IFERROR(__xludf.DUMMYFUNCTION("""COMPUTED_VALUE"""),"マリッジトキシン")</f>
        <v/>
      </c>
      <c r="C700">
        <f>IFERROR(__xludf.DUMMYFUNCTION("""COMPUTED_VALUE"""),"savage")</f>
        <v/>
      </c>
      <c r="D700">
        <f>IFERROR(__xludf.DUMMYFUNCTION("""COMPUTED_VALUE"""),"event")</f>
        <v/>
      </c>
      <c r="E700">
        <f>IFERROR(__xludf.DUMMYFUNCTION("""COMPUTED_VALUE"""),"高難易度")</f>
        <v/>
      </c>
      <c r="F700">
        <f>IFERROR(__xludf.DUMMYFUNCTION("""COMPUTED_VALUE"""),"quest_event_mar_savage")</f>
        <v/>
      </c>
      <c r="G700">
        <f>IFERROR(__xludf.DUMMYFUNCTION("""COMPUTED_VALUE"""),"毒使いの婚活")</f>
        <v/>
      </c>
      <c r="H700">
        <f>IFERROR(__xludf.DUMMYFUNCTION("""COMPUTED_VALUE"""),"2")</f>
        <v/>
      </c>
      <c r="I700">
        <f>IFERROR(__xludf.DUMMYFUNCTION("""COMPUTED_VALUE"""),"event_mar_savage_0002")</f>
        <v/>
      </c>
    </row>
    <row r="701">
      <c r="A701">
        <f>IFERROR(__xludf.DUMMYFUNCTION("""COMPUTED_VALUE"""),"mar")</f>
        <v/>
      </c>
      <c r="B701">
        <f>IFERROR(__xludf.DUMMYFUNCTION("""COMPUTED_VALUE"""),"マリッジトキシン")</f>
        <v/>
      </c>
      <c r="C701">
        <f>IFERROR(__xludf.DUMMYFUNCTION("""COMPUTED_VALUE"""),"savage")</f>
        <v/>
      </c>
      <c r="D701">
        <f>IFERROR(__xludf.DUMMYFUNCTION("""COMPUTED_VALUE"""),"event")</f>
        <v/>
      </c>
      <c r="E701">
        <f>IFERROR(__xludf.DUMMYFUNCTION("""COMPUTED_VALUE"""),"高難易度")</f>
        <v/>
      </c>
      <c r="F701">
        <f>IFERROR(__xludf.DUMMYFUNCTION("""COMPUTED_VALUE"""),"quest_event_mar_savage")</f>
        <v/>
      </c>
      <c r="G701">
        <f>IFERROR(__xludf.DUMMYFUNCTION("""COMPUTED_VALUE"""),"毒使いの婚活")</f>
        <v/>
      </c>
      <c r="H701">
        <f>IFERROR(__xludf.DUMMYFUNCTION("""COMPUTED_VALUE"""),"3")</f>
        <v/>
      </c>
      <c r="I701">
        <f>IFERROR(__xludf.DUMMYFUNCTION("""COMPUTED_VALUE"""),"event_mar_savage_0003")</f>
        <v/>
      </c>
    </row>
    <row r="703">
      <c r="A703">
        <f>IFERROR(__xludf.DUMMYFUNCTION("""COMPUTED_VALUE"""),"gw1")</f>
        <v/>
      </c>
      <c r="B703">
        <f>IFERROR(__xludf.DUMMYFUNCTION("""COMPUTED_VALUE"""),"GWスペシャル 黄金祭")</f>
        <v/>
      </c>
      <c r="C703">
        <f>IFERROR(__xludf.DUMMYFUNCTION("""COMPUTED_VALUE"""),"charaget01")</f>
        <v/>
      </c>
      <c r="D703">
        <f>IFERROR(__xludf.DUMMYFUNCTION("""COMPUTED_VALUE"""),"event")</f>
        <v/>
      </c>
      <c r="E703">
        <f>IFERROR(__xludf.DUMMYFUNCTION("""COMPUTED_VALUE"""),"収集")</f>
        <v/>
      </c>
      <c r="F703">
        <f>IFERROR(__xludf.DUMMYFUNCTION("""COMPUTED_VALUE"""),"quest_event_gw1_charaget01")</f>
        <v/>
      </c>
      <c r="G703">
        <f>IFERROR(__xludf.DUMMYFUNCTION("""COMPUTED_VALUE"""),"GWスペシャル大集合")</f>
        <v/>
      </c>
      <c r="H703">
        <f>IFERROR(__xludf.DUMMYFUNCTION("""COMPUTED_VALUE"""),"1")</f>
        <v/>
      </c>
      <c r="I703">
        <f>IFERROR(__xludf.DUMMYFUNCTION("""COMPUTED_VALUE"""),"event_gw1_charaget01_0001")</f>
        <v/>
      </c>
    </row>
    <row r="704">
      <c r="A704">
        <f>IFERROR(__xludf.DUMMYFUNCTION("""COMPUTED_VALUE"""),"gw1")</f>
        <v/>
      </c>
      <c r="B704">
        <f>IFERROR(__xludf.DUMMYFUNCTION("""COMPUTED_VALUE"""),"GWスペシャル 黄金祭")</f>
        <v/>
      </c>
      <c r="C704">
        <f>IFERROR(__xludf.DUMMYFUNCTION("""COMPUTED_VALUE"""),"charaget01")</f>
        <v/>
      </c>
      <c r="D704">
        <f>IFERROR(__xludf.DUMMYFUNCTION("""COMPUTED_VALUE"""),"event")</f>
        <v/>
      </c>
      <c r="E704">
        <f>IFERROR(__xludf.DUMMYFUNCTION("""COMPUTED_VALUE"""),"収集")</f>
        <v/>
      </c>
      <c r="F704">
        <f>IFERROR(__xludf.DUMMYFUNCTION("""COMPUTED_VALUE"""),"quest_event_gw1_charaget01")</f>
        <v/>
      </c>
      <c r="G704">
        <f>IFERROR(__xludf.DUMMYFUNCTION("""COMPUTED_VALUE"""),"GWスペシャル大集合")</f>
        <v/>
      </c>
      <c r="H704">
        <f>IFERROR(__xludf.DUMMYFUNCTION("""COMPUTED_VALUE"""),"2")</f>
        <v/>
      </c>
      <c r="I704">
        <f>IFERROR(__xludf.DUMMYFUNCTION("""COMPUTED_VALUE"""),"event_gw1_charaget01_0002")</f>
        <v/>
      </c>
    </row>
    <row r="705">
      <c r="A705">
        <f>IFERROR(__xludf.DUMMYFUNCTION("""COMPUTED_VALUE"""),"gw1")</f>
        <v/>
      </c>
      <c r="B705">
        <f>IFERROR(__xludf.DUMMYFUNCTION("""COMPUTED_VALUE"""),"GWスペシャル 黄金祭")</f>
        <v/>
      </c>
      <c r="C705">
        <f>IFERROR(__xludf.DUMMYFUNCTION("""COMPUTED_VALUE"""),"charaget01")</f>
        <v/>
      </c>
      <c r="D705">
        <f>IFERROR(__xludf.DUMMYFUNCTION("""COMPUTED_VALUE"""),"event")</f>
        <v/>
      </c>
      <c r="E705">
        <f>IFERROR(__xludf.DUMMYFUNCTION("""COMPUTED_VALUE"""),"収集")</f>
        <v/>
      </c>
      <c r="F705">
        <f>IFERROR(__xludf.DUMMYFUNCTION("""COMPUTED_VALUE"""),"quest_event_gw1_charaget01")</f>
        <v/>
      </c>
      <c r="G705">
        <f>IFERROR(__xludf.DUMMYFUNCTION("""COMPUTED_VALUE"""),"GWスペシャル大集合")</f>
        <v/>
      </c>
      <c r="H705">
        <f>IFERROR(__xludf.DUMMYFUNCTION("""COMPUTED_VALUE"""),"3")</f>
        <v/>
      </c>
      <c r="I705">
        <f>IFERROR(__xludf.DUMMYFUNCTION("""COMPUTED_VALUE"""),"event_gw1_charaget01_0003")</f>
        <v/>
      </c>
    </row>
    <row r="707">
      <c r="B707">
        <f>IFERROR(__xludf.DUMMYFUNCTION("""COMPUTED_VALUE"""),"error")</f>
        <v/>
      </c>
      <c r="D707">
        <f>IFERROR(__xludf.DUMMYFUNCTION("""COMPUTED_VALUE"""),"event")</f>
        <v/>
      </c>
      <c r="E707">
        <f>IFERROR(__xludf.DUMMYFUNCTION("""COMPUTED_VALUE"""),"イベント")</f>
        <v/>
      </c>
      <c r="F707">
        <f>IFERROR(__xludf.DUMMYFUNCTION("""COMPUTED_VALUE"""),"quest_event__")</f>
        <v/>
      </c>
      <c r="I707">
        <f>IFERROR(__xludf.DUMMYFUNCTION("""COMPUTED_VALUE"""),"event___000")</f>
        <v/>
      </c>
    </row>
    <row r="708">
      <c r="B708">
        <f>IFERROR(__xludf.DUMMYFUNCTION("""COMPUTED_VALUE"""),"error")</f>
        <v/>
      </c>
      <c r="D708">
        <f>IFERROR(__xludf.DUMMYFUNCTION("""COMPUTED_VALUE"""),"event")</f>
        <v/>
      </c>
      <c r="E708">
        <f>IFERROR(__xludf.DUMMYFUNCTION("""COMPUTED_VALUE"""),"イベント")</f>
        <v/>
      </c>
      <c r="F708">
        <f>IFERROR(__xludf.DUMMYFUNCTION("""COMPUTED_VALUE"""),"quest_event__")</f>
        <v/>
      </c>
      <c r="I708">
        <f>IFERROR(__xludf.DUMMYFUNCTION("""COMPUTED_VALUE"""),"event___000")</f>
        <v/>
      </c>
    </row>
    <row r="709">
      <c r="B709">
        <f>IFERROR(__xludf.DUMMYFUNCTION("""COMPUTED_VALUE"""),"error")</f>
        <v/>
      </c>
      <c r="D709">
        <f>IFERROR(__xludf.DUMMYFUNCTION("""COMPUTED_VALUE"""),"event")</f>
        <v/>
      </c>
      <c r="E709">
        <f>IFERROR(__xludf.DUMMYFUNCTION("""COMPUTED_VALUE"""),"イベント")</f>
        <v/>
      </c>
      <c r="F709">
        <f>IFERROR(__xludf.DUMMYFUNCTION("""COMPUTED_VALUE"""),"quest_event__")</f>
        <v/>
      </c>
      <c r="I709">
        <f>IFERROR(__xludf.DUMMYFUNCTION("""COMPUTED_VALUE"""),"event___000")</f>
        <v/>
      </c>
    </row>
    <row r="710">
      <c r="B710">
        <f>IFERROR(__xludf.DUMMYFUNCTION("""COMPUTED_VALUE"""),"error")</f>
        <v/>
      </c>
      <c r="D710">
        <f>IFERROR(__xludf.DUMMYFUNCTION("""COMPUTED_VALUE"""),"event")</f>
        <v/>
      </c>
      <c r="E710">
        <f>IFERROR(__xludf.DUMMYFUNCTION("""COMPUTED_VALUE"""),"イベント")</f>
        <v/>
      </c>
      <c r="F710">
        <f>IFERROR(__xludf.DUMMYFUNCTION("""COMPUTED_VALUE"""),"quest_event__")</f>
        <v/>
      </c>
      <c r="I710">
        <f>IFERROR(__xludf.DUMMYFUNCTION("""COMPUTED_VALUE"""),"event___000")</f>
        <v/>
      </c>
    </row>
    <row r="711">
      <c r="B711">
        <f>IFERROR(__xludf.DUMMYFUNCTION("""COMPUTED_VALUE"""),"error")</f>
        <v/>
      </c>
      <c r="D711">
        <f>IFERROR(__xludf.DUMMYFUNCTION("""COMPUTED_VALUE"""),"event")</f>
        <v/>
      </c>
      <c r="E711">
        <f>IFERROR(__xludf.DUMMYFUNCTION("""COMPUTED_VALUE"""),"イベント")</f>
        <v/>
      </c>
      <c r="F711">
        <f>IFERROR(__xludf.DUMMYFUNCTION("""COMPUTED_VALUE"""),"quest_event__")</f>
        <v/>
      </c>
      <c r="I711">
        <f>IFERROR(__xludf.DUMMYFUNCTION("""COMPUTED_VALUE"""),"event___000")</f>
        <v/>
      </c>
    </row>
    <row r="712">
      <c r="B712">
        <f>IFERROR(__xludf.DUMMYFUNCTION("""COMPUTED_VALUE"""),"error")</f>
        <v/>
      </c>
      <c r="D712">
        <f>IFERROR(__xludf.DUMMYFUNCTION("""COMPUTED_VALUE"""),"event")</f>
        <v/>
      </c>
      <c r="E712">
        <f>IFERROR(__xludf.DUMMYFUNCTION("""COMPUTED_VALUE"""),"イベント")</f>
        <v/>
      </c>
      <c r="F712">
        <f>IFERROR(__xludf.DUMMYFUNCTION("""COMPUTED_VALUE"""),"quest_event__")</f>
        <v/>
      </c>
      <c r="I712">
        <f>IFERROR(__xludf.DUMMYFUNCTION("""COMPUTED_VALUE"""),"event___000")</f>
        <v/>
      </c>
    </row>
    <row r="713">
      <c r="B713">
        <f>IFERROR(__xludf.DUMMYFUNCTION("""COMPUTED_VALUE"""),"error")</f>
        <v/>
      </c>
      <c r="D713">
        <f>IFERROR(__xludf.DUMMYFUNCTION("""COMPUTED_VALUE"""),"event")</f>
        <v/>
      </c>
      <c r="E713">
        <f>IFERROR(__xludf.DUMMYFUNCTION("""COMPUTED_VALUE"""),"イベント")</f>
        <v/>
      </c>
      <c r="F713">
        <f>IFERROR(__xludf.DUMMYFUNCTION("""COMPUTED_VALUE"""),"quest_event__")</f>
        <v/>
      </c>
      <c r="I713">
        <f>IFERROR(__xludf.DUMMYFUNCTION("""COMPUTED_VALUE"""),"event___000")</f>
        <v/>
      </c>
    </row>
    <row r="714">
      <c r="B714">
        <f>IFERROR(__xludf.DUMMYFUNCTION("""COMPUTED_VALUE"""),"error")</f>
        <v/>
      </c>
      <c r="D714">
        <f>IFERROR(__xludf.DUMMYFUNCTION("""COMPUTED_VALUE"""),"event")</f>
        <v/>
      </c>
      <c r="E714">
        <f>IFERROR(__xludf.DUMMYFUNCTION("""COMPUTED_VALUE"""),"イベント")</f>
        <v/>
      </c>
      <c r="F714">
        <f>IFERROR(__xludf.DUMMYFUNCTION("""COMPUTED_VALUE"""),"quest_event__")</f>
        <v/>
      </c>
      <c r="I714">
        <f>IFERROR(__xludf.DUMMYFUNCTION("""COMPUTED_VALUE"""),"event___000")</f>
        <v/>
      </c>
    </row>
    <row r="715">
      <c r="B715">
        <f>IFERROR(__xludf.DUMMYFUNCTION("""COMPUTED_VALUE"""),"error")</f>
        <v/>
      </c>
      <c r="D715">
        <f>IFERROR(__xludf.DUMMYFUNCTION("""COMPUTED_VALUE"""),"event")</f>
        <v/>
      </c>
      <c r="E715">
        <f>IFERROR(__xludf.DUMMYFUNCTION("""COMPUTED_VALUE"""),"イベント")</f>
        <v/>
      </c>
      <c r="F715">
        <f>IFERROR(__xludf.DUMMYFUNCTION("""COMPUTED_VALUE"""),"quest_event__")</f>
        <v/>
      </c>
      <c r="I715">
        <f>IFERROR(__xludf.DUMMYFUNCTION("""COMPUTED_VALUE"""),"event___000")</f>
        <v/>
      </c>
    </row>
    <row r="716">
      <c r="B716">
        <f>IFERROR(__xludf.DUMMYFUNCTION("""COMPUTED_VALUE"""),"error")</f>
        <v/>
      </c>
      <c r="D716">
        <f>IFERROR(__xludf.DUMMYFUNCTION("""COMPUTED_VALUE"""),"event")</f>
        <v/>
      </c>
      <c r="E716">
        <f>IFERROR(__xludf.DUMMYFUNCTION("""COMPUTED_VALUE"""),"イベント")</f>
        <v/>
      </c>
      <c r="F716">
        <f>IFERROR(__xludf.DUMMYFUNCTION("""COMPUTED_VALUE"""),"quest_event__")</f>
        <v/>
      </c>
      <c r="I716">
        <f>IFERROR(__xludf.DUMMYFUNCTION("""COMPUTED_VALUE"""),"event___000")</f>
        <v/>
      </c>
    </row>
    <row r="717">
      <c r="B717">
        <f>IFERROR(__xludf.DUMMYFUNCTION("""COMPUTED_VALUE"""),"error")</f>
        <v/>
      </c>
      <c r="D717">
        <f>IFERROR(__xludf.DUMMYFUNCTION("""COMPUTED_VALUE"""),"event")</f>
        <v/>
      </c>
      <c r="E717">
        <f>IFERROR(__xludf.DUMMYFUNCTION("""COMPUTED_VALUE"""),"イベント")</f>
        <v/>
      </c>
      <c r="F717">
        <f>IFERROR(__xludf.DUMMYFUNCTION("""COMPUTED_VALUE"""),"quest_event__")</f>
        <v/>
      </c>
      <c r="I717">
        <f>IFERROR(__xludf.DUMMYFUNCTION("""COMPUTED_VALUE"""),"event___000")</f>
        <v/>
      </c>
    </row>
    <row r="718">
      <c r="A718">
        <f>IFERROR(__xludf.DUMMYFUNCTION("""COMPUTED_VALUE"""),"▼降臨バトル")</f>
        <v/>
      </c>
    </row>
    <row r="720">
      <c r="A720">
        <f>IFERROR(__xludf.DUMMYFUNCTION("""COMPUTED_VALUE"""),"kai")</f>
        <v/>
      </c>
      <c r="B720">
        <f>IFERROR(__xludf.DUMMYFUNCTION("""COMPUTED_VALUE"""),"怪獣８号")</f>
        <v/>
      </c>
      <c r="C720">
        <f>IFERROR(__xludf.DUMMYFUNCTION("""COMPUTED_VALUE"""),"null")</f>
        <v/>
      </c>
      <c r="D720">
        <f>IFERROR(__xludf.DUMMYFUNCTION("""COMPUTED_VALUE"""),"raid")</f>
        <v/>
      </c>
      <c r="E720">
        <f>IFERROR(__xludf.DUMMYFUNCTION("""COMPUTED_VALUE"""),"降臨バトル")</f>
        <v/>
      </c>
      <c r="F720">
        <f>IFERROR(__xludf.DUMMYFUNCTION("""COMPUTED_VALUE"""),"quest_raid_kai_00002")</f>
        <v/>
      </c>
      <c r="G720">
        <f>IFERROR(__xludf.DUMMYFUNCTION("""COMPUTED_VALUE"""),"怪獣退治の時間")</f>
        <v/>
      </c>
      <c r="H720">
        <f>IFERROR(__xludf.DUMMYFUNCTION("""COMPUTED_VALUE"""),"00002")</f>
        <v/>
      </c>
      <c r="M720">
        <f>IFERROR(__xludf.DUMMYFUNCTION("""COMPUTED_VALUE"""),"不具合あったので「quest_raid_kai_00001」の再開催")</f>
        <v/>
      </c>
    </row>
    <row r="721">
      <c r="A721">
        <f>IFERROR(__xludf.DUMMYFUNCTION("""COMPUTED_VALUE"""),"spy1")</f>
        <v/>
      </c>
      <c r="B721">
        <f>IFERROR(__xludf.DUMMYFUNCTION("""COMPUTED_VALUE"""),"SPY×FAMILY")</f>
        <v/>
      </c>
      <c r="C721">
        <f>IFERROR(__xludf.DUMMYFUNCTION("""COMPUTED_VALUE"""),"null")</f>
        <v/>
      </c>
      <c r="D721">
        <f>IFERROR(__xludf.DUMMYFUNCTION("""COMPUTED_VALUE"""),"raid")</f>
        <v/>
      </c>
      <c r="E721">
        <f>IFERROR(__xludf.DUMMYFUNCTION("""COMPUTED_VALUE"""),"降臨バトル")</f>
        <v/>
      </c>
      <c r="F721">
        <f>IFERROR(__xludf.DUMMYFUNCTION("""COMPUTED_VALUE"""),"quest_raid_spy1_00001")</f>
        <v/>
      </c>
      <c r="G721">
        <f>IFERROR(__xludf.DUMMYFUNCTION("""COMPUTED_VALUE"""),"SPY×FAMILY")</f>
        <v/>
      </c>
      <c r="H721">
        <f>IFERROR(__xludf.DUMMYFUNCTION("""COMPUTED_VALUE"""),"00001")</f>
        <v/>
      </c>
    </row>
    <row r="722">
      <c r="A722">
        <f>IFERROR(__xludf.DUMMYFUNCTION("""COMPUTED_VALUE"""),"dan1")</f>
        <v/>
      </c>
      <c r="B722">
        <f>IFERROR(__xludf.DUMMYFUNCTION("""COMPUTED_VALUE"""),"ダンダダン")</f>
        <v/>
      </c>
      <c r="C722">
        <f>IFERROR(__xludf.DUMMYFUNCTION("""COMPUTED_VALUE"""),"null")</f>
        <v/>
      </c>
      <c r="D722">
        <f>IFERROR(__xludf.DUMMYFUNCTION("""COMPUTED_VALUE"""),"raid")</f>
        <v/>
      </c>
      <c r="E722">
        <f>IFERROR(__xludf.DUMMYFUNCTION("""COMPUTED_VALUE"""),"降臨バトル")</f>
        <v/>
      </c>
      <c r="F722">
        <f>IFERROR(__xludf.DUMMYFUNCTION("""COMPUTED_VALUE"""),"quest_raid_dan1_00001")</f>
        <v/>
      </c>
      <c r="G722">
        <f>IFERROR(__xludf.DUMMYFUNCTION("""COMPUTED_VALUE"""),"ダンダダン")</f>
        <v/>
      </c>
      <c r="H722">
        <f>IFERROR(__xludf.DUMMYFUNCTION("""COMPUTED_VALUE"""),"00001")</f>
        <v/>
      </c>
    </row>
    <row r="723">
      <c r="A723">
        <f>IFERROR(__xludf.DUMMYFUNCTION("""COMPUTED_VALUE"""),"mag1")</f>
        <v/>
      </c>
      <c r="B723">
        <f>IFERROR(__xludf.DUMMYFUNCTION("""COMPUTED_VALUE"""),"株式会社マジルミエ")</f>
        <v/>
      </c>
      <c r="C723">
        <f>IFERROR(__xludf.DUMMYFUNCTION("""COMPUTED_VALUE"""),"null")</f>
        <v/>
      </c>
      <c r="D723">
        <f>IFERROR(__xludf.DUMMYFUNCTION("""COMPUTED_VALUE"""),"raid")</f>
        <v/>
      </c>
      <c r="E723">
        <f>IFERROR(__xludf.DUMMYFUNCTION("""COMPUTED_VALUE"""),"降臨バトル")</f>
        <v/>
      </c>
      <c r="F723">
        <f>IFERROR(__xludf.DUMMYFUNCTION("""COMPUTED_VALUE"""),"quest_raid_mag1_00001")</f>
        <v/>
      </c>
      <c r="G723">
        <f>IFERROR(__xludf.DUMMYFUNCTION("""COMPUTED_VALUE"""),"業務実行!!")</f>
        <v/>
      </c>
      <c r="H723">
        <f>IFERROR(__xludf.DUMMYFUNCTION("""COMPUTED_VALUE"""),"00001")</f>
        <v/>
      </c>
    </row>
    <row r="724">
      <c r="A724">
        <f>IFERROR(__xludf.DUMMYFUNCTION("""COMPUTED_VALUE"""),"yuw1")</f>
        <v/>
      </c>
      <c r="B724">
        <f>IFERROR(__xludf.DUMMYFUNCTION("""COMPUTED_VALUE"""),"2.5次元の誘惑")</f>
        <v/>
      </c>
      <c r="C724">
        <f>IFERROR(__xludf.DUMMYFUNCTION("""COMPUTED_VALUE"""),"null")</f>
        <v/>
      </c>
      <c r="D724">
        <f>IFERROR(__xludf.DUMMYFUNCTION("""COMPUTED_VALUE"""),"raid")</f>
        <v/>
      </c>
      <c r="E724">
        <f>IFERROR(__xludf.DUMMYFUNCTION("""COMPUTED_VALUE"""),"降臨バトル")</f>
        <v/>
      </c>
      <c r="F724">
        <f>IFERROR(__xludf.DUMMYFUNCTION("""COMPUTED_VALUE"""),"quest_raid_yuw1_00001")</f>
        <v/>
      </c>
      <c r="G724">
        <f>IFERROR(__xludf.DUMMYFUNCTION("""COMPUTED_VALUE"""),"夏コミの魔物")</f>
        <v/>
      </c>
      <c r="H724">
        <f>IFERROR(__xludf.DUMMYFUNCTION("""COMPUTED_VALUE"""),"00001")</f>
        <v/>
      </c>
    </row>
    <row r="725">
      <c r="A725">
        <f>IFERROR(__xludf.DUMMYFUNCTION("""COMPUTED_VALUE"""),"sur1")</f>
        <v/>
      </c>
      <c r="B725">
        <f>IFERROR(__xludf.DUMMYFUNCTION("""COMPUTED_VALUE"""),"魔都精兵のスレイブ")</f>
        <v/>
      </c>
      <c r="C725">
        <f>IFERROR(__xludf.DUMMYFUNCTION("""COMPUTED_VALUE"""),"null")</f>
        <v/>
      </c>
      <c r="D725">
        <f>IFERROR(__xludf.DUMMYFUNCTION("""COMPUTED_VALUE"""),"raid")</f>
        <v/>
      </c>
      <c r="E725">
        <f>IFERROR(__xludf.DUMMYFUNCTION("""COMPUTED_VALUE"""),"降臨バトル")</f>
        <v/>
      </c>
      <c r="F725">
        <f>IFERROR(__xludf.DUMMYFUNCTION("""COMPUTED_VALUE"""),"quest_raid_sur1_00001")</f>
        <v/>
      </c>
      <c r="G725">
        <f>IFERROR(__xludf.DUMMYFUNCTION("""COMPUTED_VALUE"""),"魔防隊と戦う者")</f>
        <v/>
      </c>
      <c r="H725">
        <f>IFERROR(__xludf.DUMMYFUNCTION("""COMPUTED_VALUE"""),"00001")</f>
        <v/>
      </c>
    </row>
    <row r="726">
      <c r="A726">
        <f>IFERROR(__xludf.DUMMYFUNCTION("""COMPUTED_VALUE"""),"osh1")</f>
        <v/>
      </c>
      <c r="B726">
        <f>IFERROR(__xludf.DUMMYFUNCTION("""COMPUTED_VALUE"""),"【推しの子】")</f>
        <v/>
      </c>
      <c r="C726">
        <f>IFERROR(__xludf.DUMMYFUNCTION("""COMPUTED_VALUE"""),"null")</f>
        <v/>
      </c>
      <c r="D726">
        <f>IFERROR(__xludf.DUMMYFUNCTION("""COMPUTED_VALUE"""),"raid")</f>
        <v/>
      </c>
      <c r="E726">
        <f>IFERROR(__xludf.DUMMYFUNCTION("""COMPUTED_VALUE"""),"降臨バトル")</f>
        <v/>
      </c>
      <c r="F726">
        <f>IFERROR(__xludf.DUMMYFUNCTION("""COMPUTED_VALUE"""),"quest_raid_osh1_00001")</f>
        <v/>
      </c>
      <c r="G726">
        <f>IFERROR(__xludf.DUMMYFUNCTION("""COMPUTED_VALUE"""),"ファーストライブ")</f>
        <v/>
      </c>
      <c r="H726">
        <f>IFERROR(__xludf.DUMMYFUNCTION("""COMPUTED_VALUE"""),"00001")</f>
        <v/>
      </c>
    </row>
    <row r="727">
      <c r="A727">
        <f>IFERROR(__xludf.DUMMYFUNCTION("""COMPUTED_VALUE"""),"jig1")</f>
        <v/>
      </c>
      <c r="B727">
        <f>IFERROR(__xludf.DUMMYFUNCTION("""COMPUTED_VALUE"""),"地獄楽")</f>
        <v/>
      </c>
      <c r="C727">
        <f>IFERROR(__xludf.DUMMYFUNCTION("""COMPUTED_VALUE"""),"null")</f>
        <v/>
      </c>
      <c r="D727">
        <f>IFERROR(__xludf.DUMMYFUNCTION("""COMPUTED_VALUE"""),"raid")</f>
        <v/>
      </c>
      <c r="E727">
        <f>IFERROR(__xludf.DUMMYFUNCTION("""COMPUTED_VALUE"""),"降臨バトル")</f>
        <v/>
      </c>
      <c r="F727">
        <f>IFERROR(__xludf.DUMMYFUNCTION("""COMPUTED_VALUE"""),"quest_raid_jig1_00001")</f>
        <v/>
      </c>
      <c r="G727">
        <f>IFERROR(__xludf.DUMMYFUNCTION("""COMPUTED_VALUE"""),"まるで 悪夢を見ているようだ")</f>
        <v/>
      </c>
      <c r="H727">
        <f>IFERROR(__xludf.DUMMYFUNCTION("""COMPUTED_VALUE"""),"00001")</f>
        <v/>
      </c>
    </row>
    <row r="728">
      <c r="A728">
        <f>IFERROR(__xludf.DUMMYFUNCTION("""COMPUTED_VALUE"""),"you1")</f>
        <v/>
      </c>
      <c r="B728">
        <f>IFERROR(__xludf.DUMMYFUNCTION("""COMPUTED_VALUE"""),"幼稚園WARS")</f>
        <v/>
      </c>
      <c r="C728">
        <f>IFERROR(__xludf.DUMMYFUNCTION("""COMPUTED_VALUE"""),"raid")</f>
        <v/>
      </c>
      <c r="D728">
        <f>IFERROR(__xludf.DUMMYFUNCTION("""COMPUTED_VALUE"""),"raid")</f>
        <v/>
      </c>
      <c r="E728">
        <f>IFERROR(__xludf.DUMMYFUNCTION("""COMPUTED_VALUE"""),"降臨バトル")</f>
        <v/>
      </c>
      <c r="F728">
        <f>IFERROR(__xludf.DUMMYFUNCTION("""COMPUTED_VALUE"""),"quest_raid_you1_00001")</f>
        <v/>
      </c>
      <c r="G728">
        <f>IFERROR(__xludf.DUMMYFUNCTION("""COMPUTED_VALUE"""),"誰の依頼だ？")</f>
        <v/>
      </c>
      <c r="H728">
        <f>IFERROR(__xludf.DUMMYFUNCTION("""COMPUTED_VALUE"""),"00001")</f>
        <v/>
      </c>
    </row>
    <row r="729">
      <c r="A729">
        <f>IFERROR(__xludf.DUMMYFUNCTION("""COMPUTED_VALUE"""),"kim1")</f>
        <v/>
      </c>
      <c r="B729">
        <f>IFERROR(__xludf.DUMMYFUNCTION("""COMPUTED_VALUE"""),"君のことが大大大大大好きな100人の彼女")</f>
        <v/>
      </c>
      <c r="C729">
        <f>IFERROR(__xludf.DUMMYFUNCTION("""COMPUTED_VALUE"""),"raid")</f>
        <v/>
      </c>
      <c r="D729">
        <f>IFERROR(__xludf.DUMMYFUNCTION("""COMPUTED_VALUE"""),"raid")</f>
        <v/>
      </c>
      <c r="E729">
        <f>IFERROR(__xludf.DUMMYFUNCTION("""COMPUTED_VALUE"""),"降臨バトル")</f>
        <v/>
      </c>
      <c r="F729">
        <f>IFERROR(__xludf.DUMMYFUNCTION("""COMPUTED_VALUE"""),"quest_raid_kim1_00001")</f>
        <v/>
      </c>
      <c r="G729">
        <f>IFERROR(__xludf.DUMMYFUNCTION("""COMPUTED_VALUE"""),"ラブミッション：インポッシブル")</f>
        <v/>
      </c>
      <c r="H729">
        <f>IFERROR(__xludf.DUMMYFUNCTION("""COMPUTED_VALUE"""),"00001")</f>
        <v/>
      </c>
    </row>
    <row r="730">
      <c r="A730">
        <f>IFERROR(__xludf.DUMMYFUNCTION("""COMPUTED_VALUE"""),"hut1")</f>
        <v/>
      </c>
      <c r="B730">
        <f>IFERROR(__xludf.DUMMYFUNCTION("""COMPUTED_VALUE"""),"ふつうの軽音部")</f>
        <v/>
      </c>
      <c r="C730">
        <f>IFERROR(__xludf.DUMMYFUNCTION("""COMPUTED_VALUE"""),"raid")</f>
        <v/>
      </c>
      <c r="D730">
        <f>IFERROR(__xludf.DUMMYFUNCTION("""COMPUTED_VALUE"""),"raid")</f>
        <v/>
      </c>
      <c r="E730">
        <f>IFERROR(__xludf.DUMMYFUNCTION("""COMPUTED_VALUE"""),"降臨バトル")</f>
        <v/>
      </c>
      <c r="F730">
        <f>IFERROR(__xludf.DUMMYFUNCTION("""COMPUTED_VALUE"""),"quest_raid_hut1_00001")</f>
        <v/>
      </c>
      <c r="G730">
        <f>IFERROR(__xludf.DUMMYFUNCTION("""COMPUTED_VALUE"""),"片鱗を示す")</f>
        <v/>
      </c>
      <c r="H730">
        <f>IFERROR(__xludf.DUMMYFUNCTION("""COMPUTED_VALUE"""),"00001")</f>
        <v/>
      </c>
    </row>
    <row r="731">
      <c r="A731">
        <f>IFERROR(__xludf.DUMMYFUNCTION("""COMPUTED_VALUE"""),"f05anniv")</f>
        <v/>
      </c>
      <c r="B731">
        <f>IFERROR(__xludf.DUMMYFUNCTION("""COMPUTED_VALUE"""),"ハーフアニバーサリー 感謝祭！前半")</f>
        <v/>
      </c>
      <c r="C731">
        <f>IFERROR(__xludf.DUMMYFUNCTION("""COMPUTED_VALUE"""),"raid")</f>
        <v/>
      </c>
      <c r="D731">
        <f>IFERROR(__xludf.DUMMYFUNCTION("""COMPUTED_VALUE"""),"raid")</f>
        <v/>
      </c>
      <c r="E731">
        <f>IFERROR(__xludf.DUMMYFUNCTION("""COMPUTED_VALUE"""),"降臨バトル")</f>
        <v/>
      </c>
      <c r="F731">
        <f>IFERROR(__xludf.DUMMYFUNCTION("""COMPUTED_VALUE"""),"quest_raid_f05anniv_00001")</f>
        <v/>
      </c>
      <c r="G731">
        <f>IFERROR(__xludf.DUMMYFUNCTION("""COMPUTED_VALUE"""),"覇者への挑戦編")</f>
        <v/>
      </c>
      <c r="H731">
        <f>IFERROR(__xludf.DUMMYFUNCTION("""COMPUTED_VALUE"""),"00001")</f>
        <v/>
      </c>
    </row>
    <row r="732">
      <c r="A732">
        <f>IFERROR(__xludf.DUMMYFUNCTION("""COMPUTED_VALUE"""),"l05anniv")</f>
        <v/>
      </c>
      <c r="B732">
        <f>IFERROR(__xludf.DUMMYFUNCTION("""COMPUTED_VALUE"""),"ハーフアニバーサリー 感謝祭！後半")</f>
        <v/>
      </c>
      <c r="C732">
        <f>IFERROR(__xludf.DUMMYFUNCTION("""COMPUTED_VALUE"""),"raid")</f>
        <v/>
      </c>
      <c r="D732">
        <f>IFERROR(__xludf.DUMMYFUNCTION("""COMPUTED_VALUE"""),"raid")</f>
        <v/>
      </c>
      <c r="E732">
        <f>IFERROR(__xludf.DUMMYFUNCTION("""COMPUTED_VALUE"""),"降臨バトル")</f>
        <v/>
      </c>
      <c r="F732">
        <f>IFERROR(__xludf.DUMMYFUNCTION("""COMPUTED_VALUE"""),"quest_raid_l05anniv_00002")</f>
        <v/>
      </c>
      <c r="G732">
        <f>IFERROR(__xludf.DUMMYFUNCTION("""COMPUTED_VALUE"""),"英雄への挑戦編")</f>
        <v/>
      </c>
      <c r="H732">
        <f>IFERROR(__xludf.DUMMYFUNCTION("""COMPUTED_VALUE"""),"00002")</f>
        <v/>
      </c>
    </row>
    <row r="733">
      <c r="A733">
        <f>IFERROR(__xludf.DUMMYFUNCTION("""COMPUTED_VALUE"""),"aya")</f>
        <v/>
      </c>
      <c r="B733">
        <f>IFERROR(__xludf.DUMMYFUNCTION("""COMPUTED_VALUE"""),"あやかしトライアングル")</f>
        <v/>
      </c>
      <c r="C733">
        <f>IFERROR(__xludf.DUMMYFUNCTION("""COMPUTED_VALUE"""),"raid")</f>
        <v/>
      </c>
      <c r="D733">
        <f>IFERROR(__xludf.DUMMYFUNCTION("""COMPUTED_VALUE"""),"raid")</f>
        <v/>
      </c>
      <c r="E733">
        <f>IFERROR(__xludf.DUMMYFUNCTION("""COMPUTED_VALUE"""),"降臨バトル")</f>
        <v/>
      </c>
      <c r="F733">
        <f>IFERROR(__xludf.DUMMYFUNCTION("""COMPUTED_VALUE"""),"quest_raid_aya_00001")</f>
        <v/>
      </c>
      <c r="G733">
        <f>IFERROR(__xludf.DUMMYFUNCTION("""COMPUTED_VALUE"""),"キス‥したい")</f>
        <v/>
      </c>
      <c r="H733">
        <f>IFERROR(__xludf.DUMMYFUNCTION("""COMPUTED_VALUE"""),"00001")</f>
        <v/>
      </c>
    </row>
    <row r="734">
      <c r="A734">
        <f>IFERROR(__xludf.DUMMYFUNCTION("""COMPUTED_VALUE"""),"mar")</f>
        <v/>
      </c>
      <c r="B734">
        <f>IFERROR(__xludf.DUMMYFUNCTION("""COMPUTED_VALUE"""),"マリッジトキシン")</f>
        <v/>
      </c>
      <c r="C734">
        <f>IFERROR(__xludf.DUMMYFUNCTION("""COMPUTED_VALUE"""),"raid")</f>
        <v/>
      </c>
      <c r="D734">
        <f>IFERROR(__xludf.DUMMYFUNCTION("""COMPUTED_VALUE"""),"raid")</f>
        <v/>
      </c>
      <c r="E734">
        <f>IFERROR(__xludf.DUMMYFUNCTION("""COMPUTED_VALUE"""),"降臨バトル")</f>
        <v/>
      </c>
      <c r="F734">
        <f>IFERROR(__xludf.DUMMYFUNCTION("""COMPUTED_VALUE"""),"quest_raid_mar_00001")</f>
        <v/>
      </c>
      <c r="G734">
        <f>IFERROR(__xludf.DUMMYFUNCTION("""COMPUTED_VALUE"""),"毒使いの魅力")</f>
        <v/>
      </c>
      <c r="H734">
        <f>IFERROR(__xludf.DUMMYFUNCTION("""COMPUTED_VALUE"""),"00001")</f>
        <v/>
      </c>
    </row>
    <row r="735">
      <c r="B735">
        <f>IFERROR(__xludf.DUMMYFUNCTION("""COMPUTED_VALUE"""),"error")</f>
        <v/>
      </c>
      <c r="C735">
        <f>IFERROR(__xludf.DUMMYFUNCTION("""COMPUTED_VALUE"""),"raid")</f>
        <v/>
      </c>
      <c r="D735">
        <f>IFERROR(__xludf.DUMMYFUNCTION("""COMPUTED_VALUE"""),"raid")</f>
        <v/>
      </c>
      <c r="E735">
        <f>IFERROR(__xludf.DUMMYFUNCTION("""COMPUTED_VALUE"""),"降臨バトル")</f>
        <v/>
      </c>
      <c r="F735">
        <f>IFERROR(__xludf.DUMMYFUNCTION("""COMPUTED_VALUE"""),"quest_raid__")</f>
        <v/>
      </c>
    </row>
    <row r="736">
      <c r="B736">
        <f>IFERROR(__xludf.DUMMYFUNCTION("""COMPUTED_VALUE"""),"error")</f>
        <v/>
      </c>
      <c r="C736">
        <f>IFERROR(__xludf.DUMMYFUNCTION("""COMPUTED_VALUE"""),"raid")</f>
        <v/>
      </c>
      <c r="D736">
        <f>IFERROR(__xludf.DUMMYFUNCTION("""COMPUTED_VALUE"""),"raid")</f>
        <v/>
      </c>
      <c r="E736">
        <f>IFERROR(__xludf.DUMMYFUNCTION("""COMPUTED_VALUE"""),"降臨バトル")</f>
        <v/>
      </c>
      <c r="F736">
        <f>IFERROR(__xludf.DUMMYFUNCTION("""COMPUTED_VALUE"""),"quest_raid__")</f>
        <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AA279"/>
  <sheetViews>
    <sheetView workbookViewId="0">
      <selection activeCell="A1" sqref="A1"/>
    </sheetView>
  </sheetViews>
  <sheetFormatPr baseColWidth="8" defaultRowHeight="15"/>
  <sheetData>
    <row r="1">
      <c r="A1">
        <f>IFERROR(__xludf.DUMMYFUNCTION("IMPORTRANGE(""https://docs.google.com/spreadsheets/d/1oJmkDK37Qizzdaxn4KCwh1BMwdNWuHCx3AGH8BC9yu0/edit?gid=781951868#gid=781951868"",""キャラ!A:AA"")"),"作品ID")</f>
        <v/>
      </c>
      <c r="B1">
        <f>IFERROR(__xludf.DUMMYFUNCTION("""COMPUTED_VALUE"""),"作品名")</f>
        <v/>
      </c>
      <c r="C1">
        <f>IFERROR(__xludf.DUMMYFUNCTION("""COMPUTED_VALUE"""),"識別ID")</f>
        <v/>
      </c>
      <c r="D1">
        <f>IFERROR(__xludf.DUMMYFUNCTION("""COMPUTED_VALUE"""),"キャラ_ID")</f>
        <v/>
      </c>
      <c r="E1">
        <f>IFERROR(__xludf.DUMMYFUNCTION("""COMPUTED_VALUE"""),"キャラ名（仮）")</f>
        <v/>
      </c>
      <c r="F1">
        <f>IFERROR(__xludf.DUMMYFUNCTION("""COMPUTED_VALUE"""),"キャラ名（監修FIX）")</f>
        <v/>
      </c>
      <c r="G1">
        <f>IFERROR(__xludf.DUMMYFUNCTION("""COMPUTED_VALUE"""),"必殺ワザ名（監修FIX）")</f>
        <v/>
      </c>
      <c r="H1">
        <f>IFERROR(__xludf.DUMMYFUNCTION("""COMPUTED_VALUE"""),"レアリティ")</f>
        <v/>
      </c>
      <c r="I1">
        <f>IFERROR(__xludf.DUMMYFUNCTION("""COMPUTED_VALUE"""),"ラベル")</f>
        <v/>
      </c>
      <c r="J1">
        <f>IFERROR(__xludf.DUMMYFUNCTION("""COMPUTED_VALUE"""),"属性")</f>
        <v/>
      </c>
      <c r="K1">
        <f>IFERROR(__xludf.DUMMYFUNCTION("""COMPUTED_VALUE"""),"キャラ立ち位置")</f>
        <v/>
      </c>
      <c r="L1">
        <f>IFERROR(__xludf.DUMMYFUNCTION("""COMPUTED_VALUE"""),"ロール")</f>
        <v/>
      </c>
      <c r="M1">
        <f>IFERROR(__xludf.DUMMYFUNCTION("""COMPUTED_VALUE"""),"通常攻撃モーション")</f>
        <v/>
      </c>
      <c r="N1">
        <f>IFERROR(__xludf.DUMMYFUNCTION("""COMPUTED_VALUE"""),"攻撃射程")</f>
        <v/>
      </c>
      <c r="O1">
        <f>IFERROR(__xludf.DUMMYFUNCTION("""COMPUTED_VALUE"""),"必殺ワザモーション")</f>
        <v/>
      </c>
      <c r="P1">
        <f>IFERROR(__xludf.DUMMYFUNCTION("""COMPUTED_VALUE"""),"必殺ワザ発動有無")</f>
        <v/>
      </c>
      <c r="Q1">
        <f>IFERROR(__xludf.DUMMYFUNCTION("""COMPUTED_VALUE"""),"通常攻撃モーション")</f>
        <v/>
      </c>
      <c r="R1">
        <f>IFERROR(__xludf.DUMMYFUNCTION("""COMPUTED_VALUE"""),"通常攻撃発生")</f>
        <v/>
      </c>
      <c r="S1">
        <f>IFERROR(__xludf.DUMMYFUNCTION("""COMPUTED_VALUE"""),"必殺攻撃モーション")</f>
        <v/>
      </c>
      <c r="T1">
        <f>IFERROR(__xludf.DUMMYFUNCTION("""COMPUTED_VALUE"""),"必殺攻撃発生")</f>
        <v/>
      </c>
      <c r="U1">
        <f>IFERROR(__xludf.DUMMYFUNCTION("""COMPUTED_VALUE"""),"valid_start_date")</f>
        <v/>
      </c>
      <c r="V1">
        <f>IFERROR(__xludf.DUMMYFUNCTION("""COMPUTED_VALUE"""),"valid_end_date")</f>
        <v/>
      </c>
      <c r="W1">
        <f>IFERROR(__xludf.DUMMYFUNCTION("""COMPUTED_VALUE"""),"catch_copy_image_filename")</f>
        <v/>
      </c>
      <c r="X1">
        <f>IFERROR(__xludf.DUMMYFUNCTION("""COMPUTED_VALUE"""),"ノーマル敵専用アイコン_ID")</f>
        <v/>
      </c>
      <c r="Y1">
        <f>IFERROR(__xludf.DUMMYFUNCTION("""COMPUTED_VALUE"""),"BOSS専用アイコン_ID")</f>
        <v/>
      </c>
      <c r="Z1">
        <f>IFERROR(__xludf.DUMMYFUNCTION("""COMPUTED_VALUE"""),"通常攻撃Asset")</f>
        <v/>
      </c>
      <c r="AA1">
        <f>IFERROR(__xludf.DUMMYFUNCTION("""COMPUTED_VALUE"""),"必殺ワザAsset")</f>
        <v/>
      </c>
    </row>
    <row r="2">
      <c r="A2">
        <f>IFERROR(__xludf.DUMMYFUNCTION("""COMPUTED_VALUE"""),"spy")</f>
        <v/>
      </c>
      <c r="B2">
        <f>IFERROR(__xludf.DUMMYFUNCTION("""COMPUTED_VALUE"""),"SPY×FAMILY")</f>
        <v/>
      </c>
      <c r="C2">
        <f>IFERROR(__xludf.DUMMYFUNCTION("""COMPUTED_VALUE"""),"00001")</f>
        <v/>
      </c>
      <c r="D2">
        <f>IFERROR(__xludf.DUMMYFUNCTION("""COMPUTED_VALUE"""),"chara_spy_00001")</f>
        <v/>
      </c>
      <c r="E2">
        <f>IFERROR(__xludf.DUMMYFUNCTION("""COMPUTED_VALUE"""),"わくわく アーニャ")</f>
        <v/>
      </c>
      <c r="F2">
        <f>IFERROR(__xludf.DUMMYFUNCTION("""COMPUTED_VALUE"""),"わくわく アーニャ")</f>
        <v/>
      </c>
      <c r="G2">
        <f>IFERROR(__xludf.DUMMYFUNCTION("""COMPUTED_VALUE"""),"せいふくのアーニャかわいい？")</f>
        <v/>
      </c>
      <c r="H2">
        <f>IFERROR(__xludf.DUMMYFUNCTION("""COMPUTED_VALUE"""),"UR")</f>
        <v/>
      </c>
      <c r="I2">
        <f>IFERROR(__xludf.DUMMYFUNCTION("""COMPUTED_VALUE"""),"PremiumUR")</f>
        <v/>
      </c>
      <c r="J2">
        <f>IFERROR(__xludf.DUMMYFUNCTION("""COMPUTED_VALUE"""),"無")</f>
        <v/>
      </c>
      <c r="K2">
        <f>IFERROR(__xludf.DUMMYFUNCTION("""COMPUTED_VALUE"""),"chara")</f>
        <v/>
      </c>
      <c r="L2">
        <f>IFERROR(__xludf.DUMMYFUNCTION("""COMPUTED_VALUE"""),"スペシャル")</f>
        <v/>
      </c>
      <c r="M2">
        <f>IFERROR(__xludf.DUMMYFUNCTION("""COMPUTED_VALUE"""),"-")</f>
        <v/>
      </c>
      <c r="N2">
        <f>IFERROR(__xludf.DUMMYFUNCTION("""COMPUTED_VALUE"""),"ー")</f>
        <v/>
      </c>
      <c r="O2">
        <f>IFERROR(__xludf.DUMMYFUNCTION("""COMPUTED_VALUE"""),"-")</f>
        <v/>
      </c>
      <c r="P2">
        <f>IFERROR(__xludf.DUMMYFUNCTION("""COMPUTED_VALUE"""),"00001")</f>
        <v/>
      </c>
      <c r="Q2">
        <f>IFERROR(__xludf.DUMMYFUNCTION("""COMPUTED_VALUE"""),"-")</f>
        <v/>
      </c>
      <c r="R2">
        <f>IFERROR(__xludf.DUMMYFUNCTION("""COMPUTED_VALUE"""),"-")</f>
        <v/>
      </c>
      <c r="S2">
        <f>IFERROR(__xludf.DUMMYFUNCTION("""COMPUTED_VALUE"""),"3.44")</f>
        <v/>
      </c>
      <c r="T2">
        <f>IFERROR(__xludf.DUMMYFUNCTION("""COMPUTED_VALUE"""),"0")</f>
        <v/>
      </c>
      <c r="U2">
        <f>IFERROR(__xludf.DUMMYFUNCTION("""COMPUTED_VALUE"""),45922.458333333336)</f>
        <v/>
      </c>
      <c r="V2">
        <f>IFERROR(__xludf.DUMMYFUNCTION("""COMPUTED_VALUE"""),390812.49998842593)</f>
        <v/>
      </c>
      <c r="W2">
        <f>IFERROR(__xludf.DUMMYFUNCTION("""COMPUTED_VALUE"""),"catchcopy_character_chara_spy_00001.png")</f>
        <v/>
      </c>
      <c r="X2">
        <f>IFERROR(__xludf.DUMMYFUNCTION("""COMPUTED_VALUE"""),"enemy_icon_chara_spy_00001")</f>
        <v/>
      </c>
      <c r="Y2">
        <f>IFERROR(__xludf.DUMMYFUNCTION("""COMPUTED_VALUE"""),"boss_icon_chara_spy_00001")</f>
        <v/>
      </c>
      <c r="AA2">
        <f>IFERROR(__xludf.DUMMYFUNCTION("""COMPUTED_VALUE"""),"chara_spy_00001_special")</f>
        <v/>
      </c>
    </row>
    <row r="3">
      <c r="A3">
        <f>IFERROR(__xludf.DUMMYFUNCTION("""COMPUTED_VALUE"""),"spy")</f>
        <v/>
      </c>
      <c r="B3">
        <f>IFERROR(__xludf.DUMMYFUNCTION("""COMPUTED_VALUE"""),"SPY×FAMILY")</f>
        <v/>
      </c>
      <c r="C3">
        <f>IFERROR(__xludf.DUMMYFUNCTION("""COMPUTED_VALUE"""),"00002")</f>
        <v/>
      </c>
      <c r="D3">
        <f>IFERROR(__xludf.DUMMYFUNCTION("""COMPUTED_VALUE"""),"chara_spy_00002")</f>
        <v/>
      </c>
      <c r="E3">
        <f>IFERROR(__xludf.DUMMYFUNCTION("""COMPUTED_VALUE"""),"アーニャ（ドレスアップ）")</f>
        <v/>
      </c>
      <c r="F3">
        <f>IFERROR(__xludf.DUMMYFUNCTION("""COMPUTED_VALUE"""),"選定中")</f>
        <v/>
      </c>
      <c r="G3">
        <f>IFERROR(__xludf.DUMMYFUNCTION("""COMPUTED_VALUE"""),"わくわくっ！")</f>
        <v/>
      </c>
      <c r="H3">
        <f>IFERROR(__xludf.DUMMYFUNCTION("""COMPUTED_VALUE"""),"SSR")</f>
        <v/>
      </c>
      <c r="I3">
        <f>IFERROR(__xludf.DUMMYFUNCTION("""COMPUTED_VALUE"""),"FestivalSSR")</f>
        <v/>
      </c>
      <c r="J3">
        <f>IFERROR(__xludf.DUMMYFUNCTION("""COMPUTED_VALUE"""),"無")</f>
        <v/>
      </c>
      <c r="K3">
        <f>IFERROR(__xludf.DUMMYFUNCTION("""COMPUTED_VALUE"""),"chara")</f>
        <v/>
      </c>
      <c r="L3">
        <f>IFERROR(__xludf.DUMMYFUNCTION("""COMPUTED_VALUE"""),"スペシャル")</f>
        <v/>
      </c>
      <c r="M3">
        <f>IFERROR(__xludf.DUMMYFUNCTION("""COMPUTED_VALUE"""),"-")</f>
        <v/>
      </c>
      <c r="N3">
        <f>IFERROR(__xludf.DUMMYFUNCTION("""COMPUTED_VALUE"""),"ー")</f>
        <v/>
      </c>
      <c r="O3">
        <f>IFERROR(__xludf.DUMMYFUNCTION("""COMPUTED_VALUE"""),"-")</f>
        <v/>
      </c>
      <c r="P3">
        <f>IFERROR(__xludf.DUMMYFUNCTION("""COMPUTED_VALUE"""),"00002")</f>
        <v/>
      </c>
      <c r="Q3">
        <f>IFERROR(__xludf.DUMMYFUNCTION("""COMPUTED_VALUE"""),"-")</f>
        <v/>
      </c>
      <c r="R3">
        <f>IFERROR(__xludf.DUMMYFUNCTION("""COMPUTED_VALUE"""),"-")</f>
        <v/>
      </c>
      <c r="S3">
        <f>IFERROR(__xludf.DUMMYFUNCTION("""COMPUTED_VALUE"""),"2.4")</f>
        <v/>
      </c>
      <c r="T3">
        <f>IFERROR(__xludf.DUMMYFUNCTION("""COMPUTED_VALUE"""),"stop無:1.03")</f>
        <v/>
      </c>
      <c r="U3">
        <f>IFERROR(__xludf.DUMMYFUNCTION("""COMPUTED_VALUE"""),"実装未定")</f>
        <v/>
      </c>
      <c r="V3">
        <f>IFERROR(__xludf.DUMMYFUNCTION("""COMPUTED_VALUE"""),390812.49998842593)</f>
        <v/>
      </c>
      <c r="W3">
        <f>IFERROR(__xludf.DUMMYFUNCTION("""COMPUTED_VALUE"""),"catchcopy_character_chara_spy_00002.png")</f>
        <v/>
      </c>
      <c r="X3">
        <f>IFERROR(__xludf.DUMMYFUNCTION("""COMPUTED_VALUE"""),"enemy_icon_chara_spy_00002")</f>
        <v/>
      </c>
      <c r="Y3">
        <f>IFERROR(__xludf.DUMMYFUNCTION("""COMPUTED_VALUE"""),"boss_icon_chara_spy_00002")</f>
        <v/>
      </c>
    </row>
    <row r="4">
      <c r="A4">
        <f>IFERROR(__xludf.DUMMYFUNCTION("""COMPUTED_VALUE"""),"spy")</f>
        <v/>
      </c>
      <c r="B4">
        <f>IFERROR(__xludf.DUMMYFUNCTION("""COMPUTED_VALUE"""),"SPY×FAMILY")</f>
        <v/>
      </c>
      <c r="C4">
        <f>IFERROR(__xludf.DUMMYFUNCTION("""COMPUTED_VALUE"""),"00101")</f>
        <v/>
      </c>
      <c r="D4">
        <f>IFERROR(__xludf.DUMMYFUNCTION("""COMPUTED_VALUE"""),"chara_spy_00101")</f>
        <v/>
      </c>
      <c r="E4">
        <f>IFERROR(__xludf.DUMMYFUNCTION("""COMPUTED_VALUE"""),"&lt;黄昏&gt; ロイド")</f>
        <v/>
      </c>
      <c r="F4">
        <f>IFERROR(__xludf.DUMMYFUNCTION("""COMPUTED_VALUE"""),"&lt;黄昏&gt; ロイド")</f>
        <v/>
      </c>
      <c r="G4">
        <f>IFERROR(__xludf.DUMMYFUNCTION("""COMPUTED_VALUE"""),"終わりにしよう")</f>
        <v/>
      </c>
      <c r="H4">
        <f>IFERROR(__xludf.DUMMYFUNCTION("""COMPUTED_VALUE"""),"UR")</f>
        <v/>
      </c>
      <c r="I4">
        <f>IFERROR(__xludf.DUMMYFUNCTION("""COMPUTED_VALUE"""),"PremiumUR")</f>
        <v/>
      </c>
      <c r="J4">
        <f>IFERROR(__xludf.DUMMYFUNCTION("""COMPUTED_VALUE"""),"黄")</f>
        <v/>
      </c>
      <c r="K4">
        <f>IFERROR(__xludf.DUMMYFUNCTION("""COMPUTED_VALUE"""),"chara")</f>
        <v/>
      </c>
      <c r="L4">
        <f>IFERROR(__xludf.DUMMYFUNCTION("""COMPUTED_VALUE"""),"アタック")</f>
        <v/>
      </c>
      <c r="M4">
        <f>IFERROR(__xludf.DUMMYFUNCTION("""COMPUTED_VALUE"""),"shageki_1")</f>
        <v/>
      </c>
      <c r="N4">
        <f>IFERROR(__xludf.DUMMYFUNCTION("""COMPUTED_VALUE"""),"Long")</f>
        <v/>
      </c>
      <c r="O4">
        <f>IFERROR(__xludf.DUMMYFUNCTION("""COMPUTED_VALUE"""),"shageki_1")</f>
        <v/>
      </c>
      <c r="P4">
        <f>IFERROR(__xludf.DUMMYFUNCTION("""COMPUTED_VALUE"""),"00101")</f>
        <v/>
      </c>
      <c r="Q4">
        <f>IFERROR(__xludf.DUMMYFUNCTION("""COMPUTED_VALUE"""),"1.64")</f>
        <v/>
      </c>
      <c r="R4">
        <f>IFERROR(__xludf.DUMMYFUNCTION("""COMPUTED_VALUE"""),"0.83")</f>
        <v/>
      </c>
      <c r="S4">
        <f>IFERROR(__xludf.DUMMYFUNCTION("""COMPUTED_VALUE"""),"2.50")</f>
        <v/>
      </c>
      <c r="T4">
        <f>IFERROR(__xludf.DUMMYFUNCTION("""COMPUTED_VALUE"""),"1.33")</f>
        <v/>
      </c>
      <c r="U4">
        <f>IFERROR(__xludf.DUMMYFUNCTION("""COMPUTED_VALUE"""),45922.458333333336)</f>
        <v/>
      </c>
      <c r="V4">
        <f>IFERROR(__xludf.DUMMYFUNCTION("""COMPUTED_VALUE"""),390812.49998842593)</f>
        <v/>
      </c>
      <c r="W4">
        <f>IFERROR(__xludf.DUMMYFUNCTION("""COMPUTED_VALUE"""),"catchcopy_character_chara_spy_00101.png")</f>
        <v/>
      </c>
      <c r="X4">
        <f>IFERROR(__xludf.DUMMYFUNCTION("""COMPUTED_VALUE"""),"enemy_icon_chara_spy_00101")</f>
        <v/>
      </c>
      <c r="Y4">
        <f>IFERROR(__xludf.DUMMYFUNCTION("""COMPUTED_VALUE"""),"boss_icon_chara_spy_00101")</f>
        <v/>
      </c>
      <c r="Z4">
        <f>IFERROR(__xludf.DUMMYFUNCTION("""COMPUTED_VALUE"""),"chara_spy_00101_normal")</f>
        <v/>
      </c>
      <c r="AA4">
        <f>IFERROR(__xludf.DUMMYFUNCTION("""COMPUTED_VALUE"""),"chara_spy_00101_special")</f>
        <v/>
      </c>
    </row>
    <row r="5">
      <c r="A5">
        <f>IFERROR(__xludf.DUMMYFUNCTION("""COMPUTED_VALUE"""),"spy")</f>
        <v/>
      </c>
      <c r="B5">
        <f>IFERROR(__xludf.DUMMYFUNCTION("""COMPUTED_VALUE"""),"SPY×FAMILY")</f>
        <v/>
      </c>
      <c r="C5">
        <f>IFERROR(__xludf.DUMMYFUNCTION("""COMPUTED_VALUE"""),"00201")</f>
        <v/>
      </c>
      <c r="D5">
        <f>IFERROR(__xludf.DUMMYFUNCTION("""COMPUTED_VALUE"""),"chara_spy_00201")</f>
        <v/>
      </c>
      <c r="E5">
        <f>IFERROR(__xludf.DUMMYFUNCTION("""COMPUTED_VALUE"""),"&lt;いばら姫&gt; ヨル")</f>
        <v/>
      </c>
      <c r="F5">
        <f>IFERROR(__xludf.DUMMYFUNCTION("""COMPUTED_VALUE"""),"&lt;いばら姫&gt; ヨル")</f>
        <v/>
      </c>
      <c r="G5">
        <f>IFERROR(__xludf.DUMMYFUNCTION("""COMPUTED_VALUE"""),"この手が血で汚れても構わない")</f>
        <v/>
      </c>
      <c r="H5">
        <f>IFERROR(__xludf.DUMMYFUNCTION("""COMPUTED_VALUE"""),"UR")</f>
        <v/>
      </c>
      <c r="I5">
        <f>IFERROR(__xludf.DUMMYFUNCTION("""COMPUTED_VALUE"""),"PremiumUR")</f>
        <v/>
      </c>
      <c r="J5">
        <f>IFERROR(__xludf.DUMMYFUNCTION("""COMPUTED_VALUE"""),"赤")</f>
        <v/>
      </c>
      <c r="K5">
        <f>IFERROR(__xludf.DUMMYFUNCTION("""COMPUTED_VALUE"""),"chara")</f>
        <v/>
      </c>
      <c r="L5">
        <f>IFERROR(__xludf.DUMMYFUNCTION("""COMPUTED_VALUE"""),"アタック")</f>
        <v/>
      </c>
      <c r="M5">
        <f>IFERROR(__xludf.DUMMYFUNCTION("""COMPUTED_VALUE"""),"zangeki_1")</f>
        <v/>
      </c>
      <c r="N5">
        <f>IFERROR(__xludf.DUMMYFUNCTION("""COMPUTED_VALUE"""),"Middle")</f>
        <v/>
      </c>
      <c r="O5">
        <f>IFERROR(__xludf.DUMMYFUNCTION("""COMPUTED_VALUE"""),"dageki_1")</f>
        <v/>
      </c>
      <c r="P5">
        <f>IFERROR(__xludf.DUMMYFUNCTION("""COMPUTED_VALUE"""),"00201")</f>
        <v/>
      </c>
      <c r="Q5">
        <f>IFERROR(__xludf.DUMMYFUNCTION("""COMPUTED_VALUE"""),"1.42")</f>
        <v/>
      </c>
      <c r="R5">
        <f>IFERROR(__xludf.DUMMYFUNCTION("""COMPUTED_VALUE"""),"stop無:1回目 0.61")</f>
        <v/>
      </c>
      <c r="S5">
        <f>IFERROR(__xludf.DUMMYFUNCTION("""COMPUTED_VALUE"""),"2.50")</f>
        <v/>
      </c>
      <c r="T5">
        <f>IFERROR(__xludf.DUMMYFUNCTION("""COMPUTED_VALUE"""),"stop有:1回目 0.73")</f>
        <v/>
      </c>
      <c r="U5">
        <f>IFERROR(__xludf.DUMMYFUNCTION("""COMPUTED_VALUE"""),45922.458333333336)</f>
        <v/>
      </c>
      <c r="V5">
        <f>IFERROR(__xludf.DUMMYFUNCTION("""COMPUTED_VALUE"""),390812.49998842593)</f>
        <v/>
      </c>
      <c r="W5">
        <f>IFERROR(__xludf.DUMMYFUNCTION("""COMPUTED_VALUE"""),"catchcopy_character_chara_spy_00201.png")</f>
        <v/>
      </c>
      <c r="X5">
        <f>IFERROR(__xludf.DUMMYFUNCTION("""COMPUTED_VALUE"""),"enemy_icon_chara_spy_00201")</f>
        <v/>
      </c>
      <c r="Y5">
        <f>IFERROR(__xludf.DUMMYFUNCTION("""COMPUTED_VALUE"""),"boss_icon_chara_spy_00201")</f>
        <v/>
      </c>
      <c r="Z5">
        <f>IFERROR(__xludf.DUMMYFUNCTION("""COMPUTED_VALUE"""),"chara_spy_00201_normal")</f>
        <v/>
      </c>
      <c r="AA5">
        <f>IFERROR(__xludf.DUMMYFUNCTION("""COMPUTED_VALUE"""),"chara_spy_00201_special")</f>
        <v/>
      </c>
    </row>
    <row r="6">
      <c r="A6">
        <f>IFERROR(__xludf.DUMMYFUNCTION("""COMPUTED_VALUE"""),"spy")</f>
        <v/>
      </c>
      <c r="B6">
        <f>IFERROR(__xludf.DUMMYFUNCTION("""COMPUTED_VALUE"""),"SPY×FAMILY")</f>
        <v/>
      </c>
      <c r="C6">
        <f>IFERROR(__xludf.DUMMYFUNCTION("""COMPUTED_VALUE"""),"00301")</f>
        <v/>
      </c>
      <c r="D6">
        <f>IFERROR(__xludf.DUMMYFUNCTION("""COMPUTED_VALUE"""),"chara_spy_00301")</f>
        <v/>
      </c>
      <c r="E6">
        <f>IFERROR(__xludf.DUMMYFUNCTION("""COMPUTED_VALUE"""),"ダミアン・デズモンド")</f>
        <v/>
      </c>
      <c r="F6">
        <f>IFERROR(__xludf.DUMMYFUNCTION("""COMPUTED_VALUE"""),"ダミアン・デズモンド")</f>
        <v/>
      </c>
      <c r="G6">
        <f>IFERROR(__xludf.DUMMYFUNCTION("""COMPUTED_VALUE"""),"いい気になるなよ")</f>
        <v/>
      </c>
      <c r="H6">
        <f>IFERROR(__xludf.DUMMYFUNCTION("""COMPUTED_VALUE"""),"SR")</f>
        <v/>
      </c>
      <c r="I6">
        <f>IFERROR(__xludf.DUMMYFUNCTION("""COMPUTED_VALUE"""),"DropSR")</f>
        <v/>
      </c>
      <c r="J6">
        <f>IFERROR(__xludf.DUMMYFUNCTION("""COMPUTED_VALUE"""),"無")</f>
        <v/>
      </c>
      <c r="K6">
        <f>IFERROR(__xludf.DUMMYFUNCTION("""COMPUTED_VALUE"""),"chara")</f>
        <v/>
      </c>
      <c r="L6">
        <f>IFERROR(__xludf.DUMMYFUNCTION("""COMPUTED_VALUE"""),"スペシャル")</f>
        <v/>
      </c>
      <c r="M6">
        <f>IFERROR(__xludf.DUMMYFUNCTION("""COMPUTED_VALUE"""),"-")</f>
        <v/>
      </c>
      <c r="N6">
        <f>IFERROR(__xludf.DUMMYFUNCTION("""COMPUTED_VALUE"""),"ー")</f>
        <v/>
      </c>
      <c r="O6">
        <f>IFERROR(__xludf.DUMMYFUNCTION("""COMPUTED_VALUE"""),"-")</f>
        <v/>
      </c>
      <c r="P6">
        <f>IFERROR(__xludf.DUMMYFUNCTION("""COMPUTED_VALUE"""),"00301")</f>
        <v/>
      </c>
      <c r="Q6">
        <f>IFERROR(__xludf.DUMMYFUNCTION("""COMPUTED_VALUE"""),"-")</f>
        <v/>
      </c>
      <c r="R6">
        <f>IFERROR(__xludf.DUMMYFUNCTION("""COMPUTED_VALUE"""),"-")</f>
        <v/>
      </c>
      <c r="S6">
        <f>IFERROR(__xludf.DUMMYFUNCTION("""COMPUTED_VALUE"""),"2.10")</f>
        <v/>
      </c>
      <c r="T6">
        <f>IFERROR(__xludf.DUMMYFUNCTION("""COMPUTED_VALUE"""),"0")</f>
        <v/>
      </c>
      <c r="U6">
        <f>IFERROR(__xludf.DUMMYFUNCTION("""COMPUTED_VALUE"""),45936.625)</f>
        <v/>
      </c>
      <c r="V6">
        <f>IFERROR(__xludf.DUMMYFUNCTION("""COMPUTED_VALUE"""),390812.49998842593)</f>
        <v/>
      </c>
      <c r="W6">
        <f>IFERROR(__xludf.DUMMYFUNCTION("""COMPUTED_VALUE"""),"catchcopy_character_chara_spy_00301.png")</f>
        <v/>
      </c>
      <c r="X6">
        <f>IFERROR(__xludf.DUMMYFUNCTION("""COMPUTED_VALUE"""),"enemy_icon_chara_spy_00301")</f>
        <v/>
      </c>
      <c r="Y6">
        <f>IFERROR(__xludf.DUMMYFUNCTION("""COMPUTED_VALUE"""),"boss_icon_chara_spy_00301")</f>
        <v/>
      </c>
      <c r="AA6">
        <f>IFERROR(__xludf.DUMMYFUNCTION("""COMPUTED_VALUE"""),"chara_spy_00301_special")</f>
        <v/>
      </c>
    </row>
    <row r="7">
      <c r="A7">
        <f>IFERROR(__xludf.DUMMYFUNCTION("""COMPUTED_VALUE"""),"spy")</f>
        <v/>
      </c>
      <c r="B7">
        <f>IFERROR(__xludf.DUMMYFUNCTION("""COMPUTED_VALUE"""),"SPY×FAMILY")</f>
        <v/>
      </c>
      <c r="C7">
        <f>IFERROR(__xludf.DUMMYFUNCTION("""COMPUTED_VALUE"""),"00401")</f>
        <v/>
      </c>
      <c r="D7">
        <f>IFERROR(__xludf.DUMMYFUNCTION("""COMPUTED_VALUE"""),"chara_spy_00401")</f>
        <v/>
      </c>
      <c r="E7">
        <f>IFERROR(__xludf.DUMMYFUNCTION("""COMPUTED_VALUE"""),"フランキー・フランクリン")</f>
        <v/>
      </c>
      <c r="F7">
        <f>IFERROR(__xludf.DUMMYFUNCTION("""COMPUTED_VALUE"""),"フランキー・フランクリン")</f>
        <v/>
      </c>
      <c r="G7">
        <f>IFERROR(__xludf.DUMMYFUNCTION("""COMPUTED_VALUE"""),"超人外骨格！！")</f>
        <v/>
      </c>
      <c r="H7">
        <f>IFERROR(__xludf.DUMMYFUNCTION("""COMPUTED_VALUE"""),"SR")</f>
        <v/>
      </c>
      <c r="I7">
        <f>IFERROR(__xludf.DUMMYFUNCTION("""COMPUTED_VALUE"""),"DropSR")</f>
        <v/>
      </c>
      <c r="J7">
        <f>IFERROR(__xludf.DUMMYFUNCTION("""COMPUTED_VALUE"""),"緑")</f>
        <v/>
      </c>
      <c r="K7">
        <f>IFERROR(__xludf.DUMMYFUNCTION("""COMPUTED_VALUE"""),"chara")</f>
        <v/>
      </c>
      <c r="L7">
        <f>IFERROR(__xludf.DUMMYFUNCTION("""COMPUTED_VALUE"""),"ディフェンス")</f>
        <v/>
      </c>
      <c r="M7">
        <f>IFERROR(__xludf.DUMMYFUNCTION("""COMPUTED_VALUE"""),"dageki_2")</f>
        <v/>
      </c>
      <c r="N7">
        <f>IFERROR(__xludf.DUMMYFUNCTION("""COMPUTED_VALUE"""),"Short")</f>
        <v/>
      </c>
      <c r="O7">
        <f>IFERROR(__xludf.DUMMYFUNCTION("""COMPUTED_VALUE"""),"dageki_2")</f>
        <v/>
      </c>
      <c r="P7">
        <f>IFERROR(__xludf.DUMMYFUNCTION("""COMPUTED_VALUE"""),"00401")</f>
        <v/>
      </c>
      <c r="Q7">
        <f>IFERROR(__xludf.DUMMYFUNCTION("""COMPUTED_VALUE"""),"1.20")</f>
        <v/>
      </c>
      <c r="R7">
        <f>IFERROR(__xludf.DUMMYFUNCTION("""COMPUTED_VALUE"""),"0.50")</f>
        <v/>
      </c>
      <c r="S7">
        <f>IFERROR(__xludf.DUMMYFUNCTION("""COMPUTED_VALUE"""),"2.75")</f>
        <v/>
      </c>
      <c r="T7">
        <f>IFERROR(__xludf.DUMMYFUNCTION("""COMPUTED_VALUE"""),"1.34")</f>
        <v/>
      </c>
      <c r="U7">
        <f>IFERROR(__xludf.DUMMYFUNCTION("""COMPUTED_VALUE"""),45936.625)</f>
        <v/>
      </c>
      <c r="V7">
        <f>IFERROR(__xludf.DUMMYFUNCTION("""COMPUTED_VALUE"""),390812.49998842593)</f>
        <v/>
      </c>
      <c r="W7">
        <f>IFERROR(__xludf.DUMMYFUNCTION("""COMPUTED_VALUE"""),"catchcopy_character_chara_spy_00401.png")</f>
        <v/>
      </c>
      <c r="X7">
        <f>IFERROR(__xludf.DUMMYFUNCTION("""COMPUTED_VALUE"""),"enemy_icon_chara_spy_00401")</f>
        <v/>
      </c>
      <c r="Y7">
        <f>IFERROR(__xludf.DUMMYFUNCTION("""COMPUTED_VALUE"""),"boss_icon_chara_spy_00401")</f>
        <v/>
      </c>
      <c r="Z7">
        <f>IFERROR(__xludf.DUMMYFUNCTION("""COMPUTED_VALUE"""),"chara_spy_00401_normal")</f>
        <v/>
      </c>
      <c r="AA7">
        <f>IFERROR(__xludf.DUMMYFUNCTION("""COMPUTED_VALUE"""),"chara_spy_00401_special")</f>
        <v/>
      </c>
    </row>
    <row r="8">
      <c r="A8">
        <f>IFERROR(__xludf.DUMMYFUNCTION("""COMPUTED_VALUE"""),"spy")</f>
        <v/>
      </c>
      <c r="B8">
        <f>IFERROR(__xludf.DUMMYFUNCTION("""COMPUTED_VALUE"""),"SPY×FAMILY")</f>
        <v/>
      </c>
      <c r="C8">
        <f>IFERROR(__xludf.DUMMYFUNCTION("""COMPUTED_VALUE"""),"00501")</f>
        <v/>
      </c>
      <c r="D8">
        <f>IFERROR(__xludf.DUMMYFUNCTION("""COMPUTED_VALUE"""),"chara_spy_00501")</f>
        <v/>
      </c>
      <c r="E8">
        <f>IFERROR(__xludf.DUMMYFUNCTION("""COMPUTED_VALUE"""),"ユーリ・ブライア")</f>
        <v/>
      </c>
      <c r="F8">
        <f>IFERROR(__xludf.DUMMYFUNCTION("""COMPUTED_VALUE"""),"姉を想う盲愛 ユーリ・ブライア")</f>
        <v/>
      </c>
      <c r="G8">
        <f>IFERROR(__xludf.DUMMYFUNCTION("""COMPUTED_VALUE"""),"姉さぁーーーん♡")</f>
        <v/>
      </c>
      <c r="H8">
        <f>IFERROR(__xludf.DUMMYFUNCTION("""COMPUTED_VALUE"""),"UR")</f>
        <v/>
      </c>
      <c r="I8">
        <f>IFERROR(__xludf.DUMMYFUNCTION("""COMPUTED_VALUE"""),"PremiumUR")</f>
        <v/>
      </c>
      <c r="J8">
        <f>IFERROR(__xludf.DUMMYFUNCTION("""COMPUTED_VALUE"""),"青")</f>
        <v/>
      </c>
      <c r="K8">
        <f>IFERROR(__xludf.DUMMYFUNCTION("""COMPUTED_VALUE"""),"chara")</f>
        <v/>
      </c>
      <c r="L8">
        <f>IFERROR(__xludf.DUMMYFUNCTION("""COMPUTED_VALUE"""),"ディフェンス")</f>
        <v/>
      </c>
      <c r="M8">
        <f>IFERROR(__xludf.DUMMYFUNCTION("""COMPUTED_VALUE"""),"dageki_1")</f>
        <v/>
      </c>
      <c r="N8">
        <f>IFERROR(__xludf.DUMMYFUNCTION("""COMPUTED_VALUE"""),"Short")</f>
        <v/>
      </c>
      <c r="O8">
        <f>IFERROR(__xludf.DUMMYFUNCTION("""COMPUTED_VALUE"""),"-")</f>
        <v/>
      </c>
      <c r="P8">
        <f>IFERROR(__xludf.DUMMYFUNCTION("""COMPUTED_VALUE"""),"00501")</f>
        <v/>
      </c>
      <c r="Q8">
        <f>IFERROR(__xludf.DUMMYFUNCTION("""COMPUTED_VALUE"""),"1.13")</f>
        <v/>
      </c>
      <c r="R8">
        <f>IFERROR(__xludf.DUMMYFUNCTION("""COMPUTED_VALUE"""),"stop有:1回目 0.33")</f>
        <v/>
      </c>
      <c r="S8">
        <f>IFERROR(__xludf.DUMMYFUNCTION("""COMPUTED_VALUE"""),"2.33")</f>
        <v/>
      </c>
      <c r="T8">
        <f>IFERROR(__xludf.DUMMYFUNCTION("""COMPUTED_VALUE"""),"stop無:1回目 1.17")</f>
        <v/>
      </c>
      <c r="U8">
        <f>IFERROR(__xludf.DUMMYFUNCTION("""COMPUTED_VALUE"""),45936.625)</f>
        <v/>
      </c>
      <c r="V8">
        <f>IFERROR(__xludf.DUMMYFUNCTION("""COMPUTED_VALUE"""),390812.49998842593)</f>
        <v/>
      </c>
      <c r="W8">
        <f>IFERROR(__xludf.DUMMYFUNCTION("""COMPUTED_VALUE"""),"catchcopy_character_chara_spy_00501.png")</f>
        <v/>
      </c>
      <c r="X8">
        <f>IFERROR(__xludf.DUMMYFUNCTION("""COMPUTED_VALUE"""),"enemy_icon_chara_spy_00501")</f>
        <v/>
      </c>
      <c r="Y8">
        <f>IFERROR(__xludf.DUMMYFUNCTION("""COMPUTED_VALUE"""),"boss_icon_chara_spy_00501")</f>
        <v/>
      </c>
      <c r="AA8">
        <f>IFERROR(__xludf.DUMMYFUNCTION("""COMPUTED_VALUE"""),"chara_spy_00501_special")</f>
        <v/>
      </c>
    </row>
    <row r="9">
      <c r="A9">
        <f>IFERROR(__xludf.DUMMYFUNCTION("""COMPUTED_VALUE"""),"aka")</f>
        <v/>
      </c>
      <c r="B9">
        <f>IFERROR(__xludf.DUMMYFUNCTION("""COMPUTED_VALUE"""),"ラーメン赤猫")</f>
        <v/>
      </c>
      <c r="C9">
        <f>IFERROR(__xludf.DUMMYFUNCTION("""COMPUTED_VALUE"""),"00001")</f>
        <v/>
      </c>
      <c r="D9">
        <f>IFERROR(__xludf.DUMMYFUNCTION("""COMPUTED_VALUE"""),"chara_aka_00001")</f>
        <v/>
      </c>
      <c r="E9">
        <f>IFERROR(__xludf.DUMMYFUNCTION("""COMPUTED_VALUE"""),"佐々木")</f>
        <v/>
      </c>
      <c r="F9">
        <f>IFERROR(__xludf.DUMMYFUNCTION("""COMPUTED_VALUE"""),"佐々木")</f>
        <v/>
      </c>
      <c r="G9">
        <f>IFERROR(__xludf.DUMMYFUNCTION("""COMPUTED_VALUE"""),"ハチワレの猫の佐々木さん")</f>
        <v/>
      </c>
      <c r="H9">
        <f>IFERROR(__xludf.DUMMYFUNCTION("""COMPUTED_VALUE"""),"R")</f>
        <v/>
      </c>
      <c r="I9">
        <f>IFERROR(__xludf.DUMMYFUNCTION("""COMPUTED_VALUE"""),"PremiumR")</f>
        <v/>
      </c>
      <c r="J9">
        <f>IFERROR(__xludf.DUMMYFUNCTION("""COMPUTED_VALUE"""),"赤")</f>
        <v/>
      </c>
      <c r="K9">
        <f>IFERROR(__xludf.DUMMYFUNCTION("""COMPUTED_VALUE"""),"chara")</f>
        <v/>
      </c>
      <c r="L9">
        <f>IFERROR(__xludf.DUMMYFUNCTION("""COMPUTED_VALUE"""),"ディフェンス")</f>
        <v/>
      </c>
      <c r="M9">
        <f>IFERROR(__xludf.DUMMYFUNCTION("""COMPUTED_VALUE"""),"dageki_1")</f>
        <v/>
      </c>
      <c r="N9">
        <f>IFERROR(__xludf.DUMMYFUNCTION("""COMPUTED_VALUE"""),"Short")</f>
        <v/>
      </c>
      <c r="O9">
        <f>IFERROR(__xludf.DUMMYFUNCTION("""COMPUTED_VALUE"""),"zangeki_1")</f>
        <v/>
      </c>
      <c r="P9">
        <f>IFERROR(__xludf.DUMMYFUNCTION("""COMPUTED_VALUE"""),"00001")</f>
        <v/>
      </c>
      <c r="Q9">
        <f>IFERROR(__xludf.DUMMYFUNCTION("""COMPUTED_VALUE"""),"1.70")</f>
        <v/>
      </c>
      <c r="R9">
        <f>IFERROR(__xludf.DUMMYFUNCTION("""COMPUTED_VALUE"""),"0.66")</f>
        <v/>
      </c>
      <c r="T9">
        <f>IFERROR(__xludf.DUMMYFUNCTION("""COMPUTED_VALUE"""),"1.33")</f>
        <v/>
      </c>
      <c r="U9">
        <f>IFERROR(__xludf.DUMMYFUNCTION("""COMPUTED_VALUE"""),45922.458333333336)</f>
        <v/>
      </c>
      <c r="V9">
        <f>IFERROR(__xludf.DUMMYFUNCTION("""COMPUTED_VALUE"""),390812.49998842593)</f>
        <v/>
      </c>
      <c r="W9">
        <f>IFERROR(__xludf.DUMMYFUNCTION("""COMPUTED_VALUE"""),"catchcopy_character_chara_aka_00001.png")</f>
        <v/>
      </c>
      <c r="X9">
        <f>IFERROR(__xludf.DUMMYFUNCTION("""COMPUTED_VALUE"""),"enemy_icon_chara_aka_00001")</f>
        <v/>
      </c>
      <c r="Y9">
        <f>IFERROR(__xludf.DUMMYFUNCTION("""COMPUTED_VALUE"""),"boss_icon_chara_aka_00001")</f>
        <v/>
      </c>
      <c r="AA9">
        <f>IFERROR(__xludf.DUMMYFUNCTION("""COMPUTED_VALUE"""),"chara_aka_00001_special")</f>
        <v/>
      </c>
    </row>
    <row r="10">
      <c r="A10">
        <f>IFERROR(__xludf.DUMMYFUNCTION("""COMPUTED_VALUE"""),"aka")</f>
        <v/>
      </c>
      <c r="B10">
        <f>IFERROR(__xludf.DUMMYFUNCTION("""COMPUTED_VALUE"""),"ラーメン赤猫")</f>
        <v/>
      </c>
      <c r="C10">
        <f>IFERROR(__xludf.DUMMYFUNCTION("""COMPUTED_VALUE"""),"00101")</f>
        <v/>
      </c>
      <c r="D10">
        <f>IFERROR(__xludf.DUMMYFUNCTION("""COMPUTED_VALUE"""),"chara_aka_00101")</f>
        <v/>
      </c>
      <c r="E10">
        <f>IFERROR(__xludf.DUMMYFUNCTION("""COMPUTED_VALUE"""),"文蔵")</f>
        <v/>
      </c>
      <c r="F10">
        <f>IFERROR(__xludf.DUMMYFUNCTION("""COMPUTED_VALUE"""),"文蔵")</f>
        <v/>
      </c>
      <c r="G10">
        <f>IFERROR(__xludf.DUMMYFUNCTION("""COMPUTED_VALUE"""),"ラーメン赤猫の職人")</f>
        <v/>
      </c>
      <c r="H10">
        <f>IFERROR(__xludf.DUMMYFUNCTION("""COMPUTED_VALUE"""),"R")</f>
        <v/>
      </c>
      <c r="I10">
        <f>IFERROR(__xludf.DUMMYFUNCTION("""COMPUTED_VALUE"""),"PremiumR")</f>
        <v/>
      </c>
      <c r="J10">
        <f>IFERROR(__xludf.DUMMYFUNCTION("""COMPUTED_VALUE"""),"赤")</f>
        <v/>
      </c>
      <c r="K10">
        <f>IFERROR(__xludf.DUMMYFUNCTION("""COMPUTED_VALUE"""),"chara")</f>
        <v/>
      </c>
      <c r="L10">
        <f>IFERROR(__xludf.DUMMYFUNCTION("""COMPUTED_VALUE"""),"テクニカル")</f>
        <v/>
      </c>
      <c r="M10">
        <f>IFERROR(__xludf.DUMMYFUNCTION("""COMPUTED_VALUE"""),"dageki_1")</f>
        <v/>
      </c>
      <c r="N10">
        <f>IFERROR(__xludf.DUMMYFUNCTION("""COMPUTED_VALUE"""),"Short")</f>
        <v/>
      </c>
      <c r="O10">
        <f>IFERROR(__xludf.DUMMYFUNCTION("""COMPUTED_VALUE"""),"zangeki_1")</f>
        <v/>
      </c>
      <c r="P10">
        <f>IFERROR(__xludf.DUMMYFUNCTION("""COMPUTED_VALUE"""),"00101")</f>
        <v/>
      </c>
      <c r="Q10">
        <f>IFERROR(__xludf.DUMMYFUNCTION("""COMPUTED_VALUE"""),"1.50")</f>
        <v/>
      </c>
      <c r="R10">
        <f>IFERROR(__xludf.DUMMYFUNCTION("""COMPUTED_VALUE"""),"stop無:1回目 0.54")</f>
        <v/>
      </c>
      <c r="S10">
        <f>IFERROR(__xludf.DUMMYFUNCTION("""COMPUTED_VALUE"""),"4.50")</f>
        <v/>
      </c>
      <c r="T10">
        <f>IFERROR(__xludf.DUMMYFUNCTION("""COMPUTED_VALUE"""),"stop無:1回目 1.37
stop無:2回目 1.63
stop有:3回目 2.67")</f>
        <v/>
      </c>
      <c r="U10">
        <f>IFERROR(__xludf.DUMMYFUNCTION("""COMPUTED_VALUE"""),45922.458333333336)</f>
        <v/>
      </c>
      <c r="V10">
        <f>IFERROR(__xludf.DUMMYFUNCTION("""COMPUTED_VALUE"""),390812.49998842593)</f>
        <v/>
      </c>
      <c r="W10">
        <f>IFERROR(__xludf.DUMMYFUNCTION("""COMPUTED_VALUE"""),"catchcopy_character_chara_aka_00101.png")</f>
        <v/>
      </c>
      <c r="X10">
        <f>IFERROR(__xludf.DUMMYFUNCTION("""COMPUTED_VALUE"""),"enemy_icon_chara_aka_00101")</f>
        <v/>
      </c>
      <c r="Y10">
        <f>IFERROR(__xludf.DUMMYFUNCTION("""COMPUTED_VALUE"""),"boss_icon_chara_aka_00101")</f>
        <v/>
      </c>
      <c r="Z10">
        <f>IFERROR(__xludf.DUMMYFUNCTION("""COMPUTED_VALUE"""),"chara_aka_00101_normal")</f>
        <v/>
      </c>
      <c r="AA10">
        <f>IFERROR(__xludf.DUMMYFUNCTION("""COMPUTED_VALUE"""),"chara_aka_00101_special")</f>
        <v/>
      </c>
    </row>
    <row r="11">
      <c r="A11">
        <f>IFERROR(__xludf.DUMMYFUNCTION("""COMPUTED_VALUE"""),"aka")</f>
        <v/>
      </c>
      <c r="B11">
        <f>IFERROR(__xludf.DUMMYFUNCTION("""COMPUTED_VALUE"""),"ラーメン赤猫")</f>
        <v/>
      </c>
      <c r="C11">
        <f>IFERROR(__xludf.DUMMYFUNCTION("""COMPUTED_VALUE"""),"00201")</f>
        <v/>
      </c>
      <c r="D11">
        <f>IFERROR(__xludf.DUMMYFUNCTION("""COMPUTED_VALUE"""),"chara_aka_00201")</f>
        <v/>
      </c>
      <c r="E11">
        <f>IFERROR(__xludf.DUMMYFUNCTION("""COMPUTED_VALUE"""),"ハナ")</f>
        <v/>
      </c>
      <c r="F11">
        <f>IFERROR(__xludf.DUMMYFUNCTION("""COMPUTED_VALUE"""),"ハナ")</f>
        <v/>
      </c>
      <c r="G11">
        <f>IFERROR(__xludf.DUMMYFUNCTION("""COMPUTED_VALUE"""),"ハナのほっこり接客術")</f>
        <v/>
      </c>
      <c r="H11">
        <f>IFERROR(__xludf.DUMMYFUNCTION("""COMPUTED_VALUE"""),"SR")</f>
        <v/>
      </c>
      <c r="I11">
        <f>IFERROR(__xludf.DUMMYFUNCTION("""COMPUTED_VALUE"""),"DropSR")</f>
        <v/>
      </c>
      <c r="J11">
        <f>IFERROR(__xludf.DUMMYFUNCTION("""COMPUTED_VALUE"""),"赤")</f>
        <v/>
      </c>
      <c r="K11">
        <f>IFERROR(__xludf.DUMMYFUNCTION("""COMPUTED_VALUE"""),"chara")</f>
        <v/>
      </c>
      <c r="L11">
        <f>IFERROR(__xludf.DUMMYFUNCTION("""COMPUTED_VALUE"""),"サポート")</f>
        <v/>
      </c>
      <c r="M11">
        <f>IFERROR(__xludf.DUMMYFUNCTION("""COMPUTED_VALUE"""),"-")</f>
        <v/>
      </c>
      <c r="O11">
        <f>IFERROR(__xludf.DUMMYFUNCTION("""COMPUTED_VALUE"""),"-")</f>
        <v/>
      </c>
      <c r="Q11">
        <f>IFERROR(__xludf.DUMMYFUNCTION("""COMPUTED_VALUE"""),"1.35")</f>
        <v/>
      </c>
      <c r="R11">
        <f>IFERROR(__xludf.DUMMYFUNCTION("""COMPUTED_VALUE"""),"stop有:1回目 0.63")</f>
        <v/>
      </c>
      <c r="S11">
        <f>IFERROR(__xludf.DUMMYFUNCTION("""COMPUTED_VALUE"""),"2.33")</f>
        <v/>
      </c>
      <c r="T11">
        <f>IFERROR(__xludf.DUMMYFUNCTION("""COMPUTED_VALUE"""),"stop無:1回目 0.6")</f>
        <v/>
      </c>
      <c r="U11">
        <f>IFERROR(__xludf.DUMMYFUNCTION("""COMPUTED_VALUE"""),"2026年5月中旬のアニマル祭りで実装予定")</f>
        <v/>
      </c>
      <c r="V11">
        <f>IFERROR(__xludf.DUMMYFUNCTION("""COMPUTED_VALUE"""),390812.49998842593)</f>
        <v/>
      </c>
      <c r="W11">
        <f>IFERROR(__xludf.DUMMYFUNCTION("""COMPUTED_VALUE"""),"catchcopy_character_chara_aka_00201.png")</f>
        <v/>
      </c>
      <c r="X11">
        <f>IFERROR(__xludf.DUMMYFUNCTION("""COMPUTED_VALUE"""),"enemy_icon_chara_aka_00201")</f>
        <v/>
      </c>
      <c r="Y11">
        <f>IFERROR(__xludf.DUMMYFUNCTION("""COMPUTED_VALUE"""),"boss_icon_chara_aka_00201")</f>
        <v/>
      </c>
      <c r="Z11">
        <f>IFERROR(__xludf.DUMMYFUNCTION("""COMPUTED_VALUE"""),"chara_aka_00101_normal")</f>
        <v/>
      </c>
      <c r="AA11">
        <f>IFERROR(__xludf.DUMMYFUNCTION("""COMPUTED_VALUE"""),"chara_aka_00101_special")</f>
        <v/>
      </c>
    </row>
    <row r="12">
      <c r="A12">
        <f>IFERROR(__xludf.DUMMYFUNCTION("""COMPUTED_VALUE"""),"aka")</f>
        <v/>
      </c>
      <c r="B12">
        <f>IFERROR(__xludf.DUMMYFUNCTION("""COMPUTED_VALUE"""),"ラーメン赤猫")</f>
        <v/>
      </c>
      <c r="C12">
        <f>IFERROR(__xludf.DUMMYFUNCTION("""COMPUTED_VALUE"""),"00301")</f>
        <v/>
      </c>
      <c r="D12">
        <f>IFERROR(__xludf.DUMMYFUNCTION("""COMPUTED_VALUE"""),"chara_aka_00301")</f>
        <v/>
      </c>
      <c r="E12">
        <f>IFERROR(__xludf.DUMMYFUNCTION("""COMPUTED_VALUE"""),"サブ")</f>
        <v/>
      </c>
      <c r="F12">
        <f>IFERROR(__xludf.DUMMYFUNCTION("""COMPUTED_VALUE"""),"サブ")</f>
        <v/>
      </c>
      <c r="G12">
        <f>IFERROR(__xludf.DUMMYFUNCTION("""COMPUTED_VALUE"""),"プロゲーマーとか無理っすよ")</f>
        <v/>
      </c>
      <c r="H12">
        <f>IFERROR(__xludf.DUMMYFUNCTION("""COMPUTED_VALUE"""),"SR")</f>
        <v/>
      </c>
      <c r="I12">
        <f>IFERROR(__xludf.DUMMYFUNCTION("""COMPUTED_VALUE"""),"DropSR")</f>
        <v/>
      </c>
      <c r="J12">
        <f>IFERROR(__xludf.DUMMYFUNCTION("""COMPUTED_VALUE"""),"緑")</f>
        <v/>
      </c>
      <c r="K12">
        <f>IFERROR(__xludf.DUMMYFUNCTION("""COMPUTED_VALUE"""),"chara")</f>
        <v/>
      </c>
      <c r="L12">
        <f>IFERROR(__xludf.DUMMYFUNCTION("""COMPUTED_VALUE"""),"アタック")</f>
        <v/>
      </c>
      <c r="M12">
        <f>IFERROR(__xludf.DUMMYFUNCTION("""COMPUTED_VALUE"""),"dageki_1")</f>
        <v/>
      </c>
      <c r="O12">
        <f>IFERROR(__xludf.DUMMYFUNCTION("""COMPUTED_VALUE"""),"shageki_1")</f>
        <v/>
      </c>
      <c r="Q12">
        <f>IFERROR(__xludf.DUMMYFUNCTION("""COMPUTED_VALUE"""),"1.33")</f>
        <v/>
      </c>
      <c r="R12">
        <f>IFERROR(__xludf.DUMMYFUNCTION("""COMPUTED_VALUE"""),"stop有:1回目 0.55")</f>
        <v/>
      </c>
      <c r="S12">
        <f>IFERROR(__xludf.DUMMYFUNCTION("""COMPUTED_VALUE"""),"2.53")</f>
        <v/>
      </c>
      <c r="T12">
        <f>IFERROR(__xludf.DUMMYFUNCTION("""COMPUTED_VALUE"""),"stop無:1回目 0.76
stop無:2回目 0.91
stop有:3回目 1.4")</f>
        <v/>
      </c>
      <c r="U12">
        <f>IFERROR(__xludf.DUMMYFUNCTION("""COMPUTED_VALUE"""),"2026年5月中旬のアニマル祭りで実装予定")</f>
        <v/>
      </c>
      <c r="V12">
        <f>IFERROR(__xludf.DUMMYFUNCTION("""COMPUTED_VALUE"""),390812.49998842593)</f>
        <v/>
      </c>
      <c r="W12">
        <f>IFERROR(__xludf.DUMMYFUNCTION("""COMPUTED_VALUE"""),"catchcopy_character_chara_aka_00301.png")</f>
        <v/>
      </c>
      <c r="X12">
        <f>IFERROR(__xludf.DUMMYFUNCTION("""COMPUTED_VALUE"""),"enemy_icon_chara_aka_00301")</f>
        <v/>
      </c>
      <c r="Y12">
        <f>IFERROR(__xludf.DUMMYFUNCTION("""COMPUTED_VALUE"""),"boss_icon_chara_aka_00301")</f>
        <v/>
      </c>
      <c r="Z12">
        <f>IFERROR(__xludf.DUMMYFUNCTION("""COMPUTED_VALUE"""),"chara_aka_00101_normal")</f>
        <v/>
      </c>
      <c r="AA12">
        <f>IFERROR(__xludf.DUMMYFUNCTION("""COMPUTED_VALUE"""),"chara_aka_00101_special")</f>
        <v/>
      </c>
    </row>
    <row r="13">
      <c r="A13">
        <f>IFERROR(__xludf.DUMMYFUNCTION("""COMPUTED_VALUE"""),"rik")</f>
        <v/>
      </c>
      <c r="B13">
        <f>IFERROR(__xludf.DUMMYFUNCTION("""COMPUTED_VALUE"""),"トマトイプーのリコピン")</f>
        <v/>
      </c>
      <c r="C13">
        <f>IFERROR(__xludf.DUMMYFUNCTION("""COMPUTED_VALUE"""),"00001")</f>
        <v/>
      </c>
      <c r="D13">
        <f>IFERROR(__xludf.DUMMYFUNCTION("""COMPUTED_VALUE"""),"chara_rik_00001")</f>
        <v/>
      </c>
      <c r="E13">
        <f>IFERROR(__xludf.DUMMYFUNCTION("""COMPUTED_VALUE"""),"リコピン")</f>
        <v/>
      </c>
      <c r="F13">
        <f>IFERROR(__xludf.DUMMYFUNCTION("""COMPUTED_VALUE"""),"リコピン")</f>
        <v/>
      </c>
      <c r="G13">
        <f>IFERROR(__xludf.DUMMYFUNCTION("""COMPUTED_VALUE"""),"トマト果汁は健康の証")</f>
        <v/>
      </c>
      <c r="H13">
        <f>IFERROR(__xludf.DUMMYFUNCTION("""COMPUTED_VALUE"""),"R")</f>
        <v/>
      </c>
      <c r="I13">
        <f>IFERROR(__xludf.DUMMYFUNCTION("""COMPUTED_VALUE"""),"PremiumR")</f>
        <v/>
      </c>
      <c r="J13">
        <f>IFERROR(__xludf.DUMMYFUNCTION("""COMPUTED_VALUE"""),"赤")</f>
        <v/>
      </c>
      <c r="K13">
        <f>IFERROR(__xludf.DUMMYFUNCTION("""COMPUTED_VALUE"""),"chara")</f>
        <v/>
      </c>
      <c r="L13">
        <f>IFERROR(__xludf.DUMMYFUNCTION("""COMPUTED_VALUE"""),"アタック")</f>
        <v/>
      </c>
      <c r="M13">
        <f>IFERROR(__xludf.DUMMYFUNCTION("""COMPUTED_VALUE"""),"dageki_2")</f>
        <v/>
      </c>
      <c r="N13">
        <f>IFERROR(__xludf.DUMMYFUNCTION("""COMPUTED_VALUE"""),"Short")</f>
        <v/>
      </c>
      <c r="O13">
        <f>IFERROR(__xludf.DUMMYFUNCTION("""COMPUTED_VALUE"""),"dageki_2")</f>
        <v/>
      </c>
      <c r="P13">
        <f>IFERROR(__xludf.DUMMYFUNCTION("""COMPUTED_VALUE"""),"00001")</f>
        <v/>
      </c>
      <c r="Q13">
        <f>IFERROR(__xludf.DUMMYFUNCTION("""COMPUTED_VALUE"""),"1.64")</f>
        <v/>
      </c>
      <c r="R13">
        <f>IFERROR(__xludf.DUMMYFUNCTION("""COMPUTED_VALUE"""),"0.93")</f>
        <v/>
      </c>
      <c r="S13">
        <f>IFERROR(__xludf.DUMMYFUNCTION("""COMPUTED_VALUE"""),"4.01")</f>
        <v/>
      </c>
      <c r="T13">
        <f>IFERROR(__xludf.DUMMYFUNCTION("""COMPUTED_VALUE"""),"1回目：0.83
2回目：1.84
3回目：2.67")</f>
        <v/>
      </c>
      <c r="U13">
        <f>IFERROR(__xludf.DUMMYFUNCTION("""COMPUTED_VALUE"""),45922.458333333336)</f>
        <v/>
      </c>
      <c r="V13">
        <f>IFERROR(__xludf.DUMMYFUNCTION("""COMPUTED_VALUE"""),390812.49998842593)</f>
        <v/>
      </c>
      <c r="W13">
        <f>IFERROR(__xludf.DUMMYFUNCTION("""COMPUTED_VALUE"""),"catchcopy_character_chara_rik_00001.png")</f>
        <v/>
      </c>
      <c r="X13">
        <f>IFERROR(__xludf.DUMMYFUNCTION("""COMPUTED_VALUE"""),"enemy_icon_chara_rik_00001")</f>
        <v/>
      </c>
      <c r="Y13">
        <f>IFERROR(__xludf.DUMMYFUNCTION("""COMPUTED_VALUE"""),"boss_icon_chara_rik_00001")</f>
        <v/>
      </c>
      <c r="Z13">
        <f>IFERROR(__xludf.DUMMYFUNCTION("""COMPUTED_VALUE"""),"chara_rik_00001_normal")</f>
        <v/>
      </c>
      <c r="AA13">
        <f>IFERROR(__xludf.DUMMYFUNCTION("""COMPUTED_VALUE"""),"chara_rik_00001_special")</f>
        <v/>
      </c>
    </row>
    <row r="14">
      <c r="A14">
        <f>IFERROR(__xludf.DUMMYFUNCTION("""COMPUTED_VALUE"""),"rik")</f>
        <v/>
      </c>
      <c r="B14">
        <f>IFERROR(__xludf.DUMMYFUNCTION("""COMPUTED_VALUE"""),"トマトイプーのリコピン")</f>
        <v/>
      </c>
      <c r="C14">
        <f>IFERROR(__xludf.DUMMYFUNCTION("""COMPUTED_VALUE"""),"00101")</f>
        <v/>
      </c>
      <c r="D14">
        <f>IFERROR(__xludf.DUMMYFUNCTION("""COMPUTED_VALUE"""),"chara_rik_00101")</f>
        <v/>
      </c>
      <c r="E14">
        <f>IFERROR(__xludf.DUMMYFUNCTION("""COMPUTED_VALUE"""),"甘戸 めめ")</f>
        <v/>
      </c>
      <c r="F14">
        <f>IFERROR(__xludf.DUMMYFUNCTION("""COMPUTED_VALUE"""),"甘戸 めめ")</f>
        <v/>
      </c>
      <c r="G14">
        <f>IFERROR(__xludf.DUMMYFUNCTION("""COMPUTED_VALUE"""),"モンブランケーキ")</f>
        <v/>
      </c>
      <c r="H14">
        <f>IFERROR(__xludf.DUMMYFUNCTION("""COMPUTED_VALUE"""),"R")</f>
        <v/>
      </c>
      <c r="I14">
        <f>IFERROR(__xludf.DUMMYFUNCTION("""COMPUTED_VALUE"""),"DropR")</f>
        <v/>
      </c>
      <c r="J14">
        <f>IFERROR(__xludf.DUMMYFUNCTION("""COMPUTED_VALUE"""),"赤")</f>
        <v/>
      </c>
      <c r="K14">
        <f>IFERROR(__xludf.DUMMYFUNCTION("""COMPUTED_VALUE"""),"chara")</f>
        <v/>
      </c>
      <c r="L14">
        <f>IFERROR(__xludf.DUMMYFUNCTION("""COMPUTED_VALUE"""),"サポート")</f>
        <v/>
      </c>
      <c r="M14">
        <f>IFERROR(__xludf.DUMMYFUNCTION("""COMPUTED_VALUE"""),"dageki_2")</f>
        <v/>
      </c>
      <c r="N14">
        <f>IFERROR(__xludf.DUMMYFUNCTION("""COMPUTED_VALUE"""),"Middle")</f>
        <v/>
      </c>
      <c r="O14">
        <f>IFERROR(__xludf.DUMMYFUNCTION("""COMPUTED_VALUE"""),"-")</f>
        <v/>
      </c>
      <c r="P14">
        <f>IFERROR(__xludf.DUMMYFUNCTION("""COMPUTED_VALUE"""),"00101")</f>
        <v/>
      </c>
      <c r="Q14">
        <f>IFERROR(__xludf.DUMMYFUNCTION("""COMPUTED_VALUE"""),"1.57")</f>
        <v/>
      </c>
      <c r="R14">
        <f>IFERROR(__xludf.DUMMYFUNCTION("""COMPUTED_VALUE"""),"0.87")</f>
        <v/>
      </c>
      <c r="S14">
        <f>IFERROR(__xludf.DUMMYFUNCTION("""COMPUTED_VALUE"""),"2.67")</f>
        <v/>
      </c>
      <c r="T14">
        <f>IFERROR(__xludf.DUMMYFUNCTION("""COMPUTED_VALUE"""),"stop無:1.00")</f>
        <v/>
      </c>
      <c r="U14">
        <f>IFERROR(__xludf.DUMMYFUNCTION("""COMPUTED_VALUE"""),45922.458333333336)</f>
        <v/>
      </c>
      <c r="V14">
        <f>IFERROR(__xludf.DUMMYFUNCTION("""COMPUTED_VALUE"""),390812.49998842593)</f>
        <v/>
      </c>
      <c r="W14">
        <f>IFERROR(__xludf.DUMMYFUNCTION("""COMPUTED_VALUE"""),"catchcopy_character_chara_rik_00101.png")</f>
        <v/>
      </c>
      <c r="X14">
        <f>IFERROR(__xludf.DUMMYFUNCTION("""COMPUTED_VALUE"""),"enemy_icon_chara_rik_00101")</f>
        <v/>
      </c>
      <c r="Y14">
        <f>IFERROR(__xludf.DUMMYFUNCTION("""COMPUTED_VALUE"""),"boss_icon_chara_rik_00101")</f>
        <v/>
      </c>
      <c r="Z14">
        <f>IFERROR(__xludf.DUMMYFUNCTION("""COMPUTED_VALUE"""),"chara_rik_00101_normal")</f>
        <v/>
      </c>
      <c r="AA14">
        <f>IFERROR(__xludf.DUMMYFUNCTION("""COMPUTED_VALUE"""),"chara_rik_00101_special")</f>
        <v/>
      </c>
    </row>
    <row r="15">
      <c r="A15">
        <f>IFERROR(__xludf.DUMMYFUNCTION("""COMPUTED_VALUE"""),"dan")</f>
        <v/>
      </c>
      <c r="B15">
        <f>IFERROR(__xludf.DUMMYFUNCTION("""COMPUTED_VALUE"""),"ダンダダン")</f>
        <v/>
      </c>
      <c r="C15">
        <f>IFERROR(__xludf.DUMMYFUNCTION("""COMPUTED_VALUE"""),"00001")</f>
        <v/>
      </c>
      <c r="D15">
        <f>IFERROR(__xludf.DUMMYFUNCTION("""COMPUTED_VALUE"""),"chara_dan_00001")</f>
        <v/>
      </c>
      <c r="E15">
        <f>IFERROR(__xludf.DUMMYFUNCTION("""COMPUTED_VALUE"""),"オカルン")</f>
        <v/>
      </c>
      <c r="F15">
        <f>IFERROR(__xludf.DUMMYFUNCTION("""COMPUTED_VALUE"""),"オカルン")</f>
        <v/>
      </c>
      <c r="G15">
        <f>IFERROR(__xludf.DUMMYFUNCTION("""COMPUTED_VALUE"""),"友達ができたからだ！")</f>
        <v/>
      </c>
      <c r="H15">
        <f>IFERROR(__xludf.DUMMYFUNCTION("""COMPUTED_VALUE"""),"R")</f>
        <v/>
      </c>
      <c r="I15">
        <f>IFERROR(__xludf.DUMMYFUNCTION("""COMPUTED_VALUE"""),"PremiumR")</f>
        <v/>
      </c>
      <c r="J15">
        <f>IFERROR(__xludf.DUMMYFUNCTION("""COMPUTED_VALUE"""),"赤")</f>
        <v/>
      </c>
      <c r="K15">
        <f>IFERROR(__xludf.DUMMYFUNCTION("""COMPUTED_VALUE"""),"chara")</f>
        <v/>
      </c>
      <c r="L15">
        <f>IFERROR(__xludf.DUMMYFUNCTION("""COMPUTED_VALUE"""),"ディフェンス")</f>
        <v/>
      </c>
      <c r="M15">
        <f>IFERROR(__xludf.DUMMYFUNCTION("""COMPUTED_VALUE"""),"dageki_1")</f>
        <v/>
      </c>
      <c r="N15">
        <f>IFERROR(__xludf.DUMMYFUNCTION("""COMPUTED_VALUE"""),"Short")</f>
        <v/>
      </c>
      <c r="O15">
        <f>IFERROR(__xludf.DUMMYFUNCTION("""COMPUTED_VALUE"""),"-")</f>
        <v/>
      </c>
      <c r="P15">
        <f>IFERROR(__xludf.DUMMYFUNCTION("""COMPUTED_VALUE"""),"00001")</f>
        <v/>
      </c>
      <c r="Q15">
        <f>IFERROR(__xludf.DUMMYFUNCTION("""COMPUTED_VALUE"""),"1.43")</f>
        <v/>
      </c>
      <c r="R15">
        <f>IFERROR(__xludf.DUMMYFUNCTION("""COMPUTED_VALUE"""),"0.53")</f>
        <v/>
      </c>
      <c r="S15">
        <f>IFERROR(__xludf.DUMMYFUNCTION("""COMPUTED_VALUE"""),"4.00")</f>
        <v/>
      </c>
      <c r="T15">
        <f>IFERROR(__xludf.DUMMYFUNCTION("""COMPUTED_VALUE"""),"1.66")</f>
        <v/>
      </c>
      <c r="U15">
        <f>IFERROR(__xludf.DUMMYFUNCTION("""COMPUTED_VALUE"""),45922.458333333336)</f>
        <v/>
      </c>
      <c r="V15">
        <f>IFERROR(__xludf.DUMMYFUNCTION("""COMPUTED_VALUE"""),390812.49998842593)</f>
        <v/>
      </c>
      <c r="W15">
        <f>IFERROR(__xludf.DUMMYFUNCTION("""COMPUTED_VALUE"""),"catchcopy_character_chara_dan_00001.png")</f>
        <v/>
      </c>
      <c r="X15">
        <f>IFERROR(__xludf.DUMMYFUNCTION("""COMPUTED_VALUE"""),"enemy_icon_chara_dan_00001")</f>
        <v/>
      </c>
      <c r="Y15">
        <f>IFERROR(__xludf.DUMMYFUNCTION("""COMPUTED_VALUE"""),"boss_icon_chara_dan_00001")</f>
        <v/>
      </c>
      <c r="Z15">
        <f>IFERROR(__xludf.DUMMYFUNCTION("""COMPUTED_VALUE"""),"chara_dan_00001_normal")</f>
        <v/>
      </c>
      <c r="AA15">
        <f>IFERROR(__xludf.DUMMYFUNCTION("""COMPUTED_VALUE"""),"chara_dan_00001_special")</f>
        <v/>
      </c>
    </row>
    <row r="16">
      <c r="A16">
        <f>IFERROR(__xludf.DUMMYFUNCTION("""COMPUTED_VALUE"""),"dan")</f>
        <v/>
      </c>
      <c r="B16">
        <f>IFERROR(__xludf.DUMMYFUNCTION("""COMPUTED_VALUE"""),"ダンダダン")</f>
        <v/>
      </c>
      <c r="C16">
        <f>IFERROR(__xludf.DUMMYFUNCTION("""COMPUTED_VALUE"""),"00002")</f>
        <v/>
      </c>
      <c r="D16">
        <f>IFERROR(__xludf.DUMMYFUNCTION("""COMPUTED_VALUE"""),"chara_dan_00002")</f>
        <v/>
      </c>
      <c r="E16">
        <f>IFERROR(__xludf.DUMMYFUNCTION("""COMPUTED_VALUE"""),"ターボババアの霊力 オカルン")</f>
        <v/>
      </c>
      <c r="F16">
        <f>IFERROR(__xludf.DUMMYFUNCTION("""COMPUTED_VALUE"""),"ターボババアの霊力 オカルン")</f>
        <v/>
      </c>
      <c r="G16">
        <f>IFERROR(__xludf.DUMMYFUNCTION("""COMPUTED_VALUE"""),"萎えるぜ")</f>
        <v/>
      </c>
      <c r="H16">
        <f>IFERROR(__xludf.DUMMYFUNCTION("""COMPUTED_VALUE"""),"UR")</f>
        <v/>
      </c>
      <c r="I16">
        <f>IFERROR(__xludf.DUMMYFUNCTION("""COMPUTED_VALUE"""),"PremiumUR")</f>
        <v/>
      </c>
      <c r="J16">
        <f>IFERROR(__xludf.DUMMYFUNCTION("""COMPUTED_VALUE"""),"青")</f>
        <v/>
      </c>
      <c r="K16">
        <f>IFERROR(__xludf.DUMMYFUNCTION("""COMPUTED_VALUE"""),"chara")</f>
        <v/>
      </c>
      <c r="L16">
        <f>IFERROR(__xludf.DUMMYFUNCTION("""COMPUTED_VALUE"""),"アタック")</f>
        <v/>
      </c>
      <c r="M16">
        <f>IFERROR(__xludf.DUMMYFUNCTION("""COMPUTED_VALUE"""),"dageki_1")</f>
        <v/>
      </c>
      <c r="N16">
        <f>IFERROR(__xludf.DUMMYFUNCTION("""COMPUTED_VALUE"""),"Middle")</f>
        <v/>
      </c>
      <c r="O16">
        <f>IFERROR(__xludf.DUMMYFUNCTION("""COMPUTED_VALUE"""),"dageki_1")</f>
        <v/>
      </c>
      <c r="P16">
        <f>IFERROR(__xludf.DUMMYFUNCTION("""COMPUTED_VALUE"""),"00002")</f>
        <v/>
      </c>
      <c r="Q16">
        <f>IFERROR(__xludf.DUMMYFUNCTION("""COMPUTED_VALUE"""),"1.84")</f>
        <v/>
      </c>
      <c r="R16">
        <f>IFERROR(__xludf.DUMMYFUNCTION("""COMPUTED_VALUE"""),"stop有:1回目 0.66
stop有:2回目 1.27")</f>
        <v/>
      </c>
      <c r="S16">
        <f>IFERROR(__xludf.DUMMYFUNCTION("""COMPUTED_VALUE"""),"5.21")</f>
        <v/>
      </c>
      <c r="T16">
        <f>IFERROR(__xludf.DUMMYFUNCTION("""COMPUTED_VALUE"""),"stop有:1回目：1.78
stop有:2回目：3.34
stop無:3回目 3.76
stop無:4回目 3.92
stop無:5回目 4.09
stop無:6回目 4.26
stop無:7回目 4.42")</f>
        <v/>
      </c>
      <c r="U16">
        <f>IFERROR(__xludf.DUMMYFUNCTION("""COMPUTED_VALUE"""),45922.458333333336)</f>
        <v/>
      </c>
      <c r="V16">
        <f>IFERROR(__xludf.DUMMYFUNCTION("""COMPUTED_VALUE"""),390812.49998842593)</f>
        <v/>
      </c>
      <c r="W16">
        <f>IFERROR(__xludf.DUMMYFUNCTION("""COMPUTED_VALUE"""),"catchcopy_character_chara_dan_00002.png")</f>
        <v/>
      </c>
      <c r="X16">
        <f>IFERROR(__xludf.DUMMYFUNCTION("""COMPUTED_VALUE"""),"enemy_icon_chara_dan_00002")</f>
        <v/>
      </c>
      <c r="Y16">
        <f>IFERROR(__xludf.DUMMYFUNCTION("""COMPUTED_VALUE"""),"boss_icon_chara_dan_00002")</f>
        <v/>
      </c>
      <c r="AA16">
        <f>IFERROR(__xludf.DUMMYFUNCTION("""COMPUTED_VALUE"""),"chara_dan_00002_special")</f>
        <v/>
      </c>
    </row>
    <row r="17">
      <c r="A17">
        <f>IFERROR(__xludf.DUMMYFUNCTION("""COMPUTED_VALUE"""),"dan")</f>
        <v/>
      </c>
      <c r="B17">
        <f>IFERROR(__xludf.DUMMYFUNCTION("""COMPUTED_VALUE"""),"ダンダダン")</f>
        <v/>
      </c>
      <c r="C17">
        <f>IFERROR(__xludf.DUMMYFUNCTION("""COMPUTED_VALUE"""),"00101")</f>
        <v/>
      </c>
      <c r="D17">
        <f>IFERROR(__xludf.DUMMYFUNCTION("""COMPUTED_VALUE"""),"chara_dan_00101")</f>
        <v/>
      </c>
      <c r="E17">
        <f>IFERROR(__xludf.DUMMYFUNCTION("""COMPUTED_VALUE"""),"モモ")</f>
        <v/>
      </c>
      <c r="F17">
        <f>IFERROR(__xludf.DUMMYFUNCTION("""COMPUTED_VALUE"""),"モモ")</f>
        <v/>
      </c>
      <c r="G17">
        <f>IFERROR(__xludf.DUMMYFUNCTION("""COMPUTED_VALUE"""),"おっしゃあ いけえ!!")</f>
        <v/>
      </c>
      <c r="H17">
        <f>IFERROR(__xludf.DUMMYFUNCTION("""COMPUTED_VALUE"""),"SSR")</f>
        <v/>
      </c>
      <c r="I17">
        <f>IFERROR(__xludf.DUMMYFUNCTION("""COMPUTED_VALUE"""),"PremiumSSR")</f>
        <v/>
      </c>
      <c r="J17">
        <f>IFERROR(__xludf.DUMMYFUNCTION("""COMPUTED_VALUE"""),"赤")</f>
        <v/>
      </c>
      <c r="K17">
        <f>IFERROR(__xludf.DUMMYFUNCTION("""COMPUTED_VALUE"""),"chara")</f>
        <v/>
      </c>
      <c r="L17">
        <f>IFERROR(__xludf.DUMMYFUNCTION("""COMPUTED_VALUE"""),"アタック")</f>
        <v/>
      </c>
      <c r="M17">
        <f>IFERROR(__xludf.DUMMYFUNCTION("""COMPUTED_VALUE"""),"dageki_1")</f>
        <v/>
      </c>
      <c r="N17">
        <f>IFERROR(__xludf.DUMMYFUNCTION("""COMPUTED_VALUE"""),"Middle")</f>
        <v/>
      </c>
      <c r="O17">
        <f>IFERROR(__xludf.DUMMYFUNCTION("""COMPUTED_VALUE"""),"dageki_1")</f>
        <v/>
      </c>
      <c r="P17">
        <f>IFERROR(__xludf.DUMMYFUNCTION("""COMPUTED_VALUE"""),"00101")</f>
        <v/>
      </c>
      <c r="Q17">
        <f>IFERROR(__xludf.DUMMYFUNCTION("""COMPUTED_VALUE"""),"1.00")</f>
        <v/>
      </c>
      <c r="R17">
        <f>IFERROR(__xludf.DUMMYFUNCTION("""COMPUTED_VALUE"""),"0.50")</f>
        <v/>
      </c>
      <c r="S17">
        <f>IFERROR(__xludf.DUMMYFUNCTION("""COMPUTED_VALUE"""),"2.00")</f>
        <v/>
      </c>
      <c r="T17">
        <f>IFERROR(__xludf.DUMMYFUNCTION("""COMPUTED_VALUE"""),"1.00")</f>
        <v/>
      </c>
      <c r="U17">
        <f>IFERROR(__xludf.DUMMYFUNCTION("""COMPUTED_VALUE"""),45922.458333333336)</f>
        <v/>
      </c>
      <c r="V17">
        <f>IFERROR(__xludf.DUMMYFUNCTION("""COMPUTED_VALUE"""),390812.49998842593)</f>
        <v/>
      </c>
      <c r="W17">
        <f>IFERROR(__xludf.DUMMYFUNCTION("""COMPUTED_VALUE"""),"catchcopy_character_chara_dan_00101.png")</f>
        <v/>
      </c>
      <c r="X17">
        <f>IFERROR(__xludf.DUMMYFUNCTION("""COMPUTED_VALUE"""),"enemy_icon_chara_dan_00101")</f>
        <v/>
      </c>
      <c r="Y17">
        <f>IFERROR(__xludf.DUMMYFUNCTION("""COMPUTED_VALUE"""),"boss_icon_chara_dan_00101")</f>
        <v/>
      </c>
      <c r="Z17">
        <f>IFERROR(__xludf.DUMMYFUNCTION("""COMPUTED_VALUE"""),"chara_dan_00101_normal")</f>
        <v/>
      </c>
      <c r="AA17">
        <f>IFERROR(__xludf.DUMMYFUNCTION("""COMPUTED_VALUE"""),"chara_dan_00101_special")</f>
        <v/>
      </c>
    </row>
    <row r="18">
      <c r="A18">
        <f>IFERROR(__xludf.DUMMYFUNCTION("""COMPUTED_VALUE"""),"dan")</f>
        <v/>
      </c>
      <c r="B18">
        <f>IFERROR(__xludf.DUMMYFUNCTION("""COMPUTED_VALUE"""),"ダンダダン")</f>
        <v/>
      </c>
      <c r="C18">
        <f>IFERROR(__xludf.DUMMYFUNCTION("""COMPUTED_VALUE"""),"00201")</f>
        <v/>
      </c>
      <c r="D18">
        <f>IFERROR(__xludf.DUMMYFUNCTION("""COMPUTED_VALUE"""),"chara_dan_00201")</f>
        <v/>
      </c>
      <c r="E18">
        <f>IFERROR(__xludf.DUMMYFUNCTION("""COMPUTED_VALUE"""),"アイラ")</f>
        <v/>
      </c>
      <c r="F18">
        <f>IFERROR(__xludf.DUMMYFUNCTION("""COMPUTED_VALUE"""),"アイラ")</f>
        <v/>
      </c>
      <c r="G18">
        <f>IFERROR(__xludf.DUMMYFUNCTION("""COMPUTED_VALUE"""),"私って美女すぎる")</f>
        <v/>
      </c>
      <c r="H18">
        <f>IFERROR(__xludf.DUMMYFUNCTION("""COMPUTED_VALUE"""),"SR")</f>
        <v/>
      </c>
      <c r="I18">
        <f>IFERROR(__xludf.DUMMYFUNCTION("""COMPUTED_VALUE"""),"DropSR")</f>
        <v/>
      </c>
      <c r="J18">
        <f>IFERROR(__xludf.DUMMYFUNCTION("""COMPUTED_VALUE"""),"青")</f>
        <v/>
      </c>
      <c r="K18">
        <f>IFERROR(__xludf.DUMMYFUNCTION("""COMPUTED_VALUE"""),"chara")</f>
        <v/>
      </c>
      <c r="L18">
        <f>IFERROR(__xludf.DUMMYFUNCTION("""COMPUTED_VALUE"""),"サポート")</f>
        <v/>
      </c>
      <c r="M18">
        <f>IFERROR(__xludf.DUMMYFUNCTION("""COMPUTED_VALUE"""),"dageki_2")</f>
        <v/>
      </c>
      <c r="N18">
        <f>IFERROR(__xludf.DUMMYFUNCTION("""COMPUTED_VALUE"""),"Short")</f>
        <v/>
      </c>
      <c r="O18">
        <f>IFERROR(__xludf.DUMMYFUNCTION("""COMPUTED_VALUE"""),"-")</f>
        <v/>
      </c>
      <c r="P18">
        <f>IFERROR(__xludf.DUMMYFUNCTION("""COMPUTED_VALUE"""),"00201")</f>
        <v/>
      </c>
      <c r="Q18">
        <f>IFERROR(__xludf.DUMMYFUNCTION("""COMPUTED_VALUE"""),"1.5")</f>
        <v/>
      </c>
      <c r="R18">
        <f>IFERROR(__xludf.DUMMYFUNCTION("""COMPUTED_VALUE"""),"stop有:1回目 0.43")</f>
        <v/>
      </c>
      <c r="S18">
        <f>IFERROR(__xludf.DUMMYFUNCTION("""COMPUTED_VALUE"""),"2.50")</f>
        <v/>
      </c>
      <c r="T18">
        <f>IFERROR(__xludf.DUMMYFUNCTION("""COMPUTED_VALUE"""),"stop無:1回目：1.33")</f>
        <v/>
      </c>
      <c r="U18">
        <f>IFERROR(__xludf.DUMMYFUNCTION("""COMPUTED_VALUE"""),45952.625)</f>
        <v/>
      </c>
      <c r="V18">
        <f>IFERROR(__xludf.DUMMYFUNCTION("""COMPUTED_VALUE"""),390812.49998842593)</f>
        <v/>
      </c>
      <c r="W18">
        <f>IFERROR(__xludf.DUMMYFUNCTION("""COMPUTED_VALUE"""),"catchcopy_character_chara_dan_00201.png")</f>
        <v/>
      </c>
      <c r="X18">
        <f>IFERROR(__xludf.DUMMYFUNCTION("""COMPUTED_VALUE"""),"enemy_icon_chara_dan_00201")</f>
        <v/>
      </c>
      <c r="Y18">
        <f>IFERROR(__xludf.DUMMYFUNCTION("""COMPUTED_VALUE"""),"boss_icon_chara_dan_00201")</f>
        <v/>
      </c>
      <c r="Z18">
        <f>IFERROR(__xludf.DUMMYFUNCTION("""COMPUTED_VALUE"""),"chara_dan_00201_normal")</f>
        <v/>
      </c>
      <c r="AA18">
        <f>IFERROR(__xludf.DUMMYFUNCTION("""COMPUTED_VALUE"""),"chara_dan_00201_special")</f>
        <v/>
      </c>
    </row>
    <row r="19">
      <c r="A19">
        <f>IFERROR(__xludf.DUMMYFUNCTION("""COMPUTED_VALUE"""),"dan")</f>
        <v/>
      </c>
      <c r="B19">
        <f>IFERROR(__xludf.DUMMYFUNCTION("""COMPUTED_VALUE"""),"ダンダダン")</f>
        <v/>
      </c>
      <c r="C19">
        <f>IFERROR(__xludf.DUMMYFUNCTION("""COMPUTED_VALUE"""),"00202")</f>
        <v/>
      </c>
      <c r="D19">
        <f>IFERROR(__xludf.DUMMYFUNCTION("""COMPUTED_VALUE"""),"chara_dan_00202")</f>
        <v/>
      </c>
      <c r="E19">
        <f>IFERROR(__xludf.DUMMYFUNCTION("""COMPUTED_VALUE"""),"アクさらの愛 アイラ")</f>
        <v/>
      </c>
      <c r="F19">
        <f>IFERROR(__xludf.DUMMYFUNCTION("""COMPUTED_VALUE"""),"アクさらの愛 アイラ")</f>
        <v/>
      </c>
      <c r="G19">
        <f>IFERROR(__xludf.DUMMYFUNCTION("""COMPUTED_VALUE"""),"お放しなさい!!")</f>
        <v/>
      </c>
      <c r="H19">
        <f>IFERROR(__xludf.DUMMYFUNCTION("""COMPUTED_VALUE"""),"UR")</f>
        <v/>
      </c>
      <c r="I19">
        <f>IFERROR(__xludf.DUMMYFUNCTION("""COMPUTED_VALUE"""),"PremiumUR")</f>
        <v/>
      </c>
      <c r="J19">
        <f>IFERROR(__xludf.DUMMYFUNCTION("""COMPUTED_VALUE"""),"緑")</f>
        <v/>
      </c>
      <c r="K19">
        <f>IFERROR(__xludf.DUMMYFUNCTION("""COMPUTED_VALUE"""),"chara")</f>
        <v/>
      </c>
      <c r="L19">
        <f>IFERROR(__xludf.DUMMYFUNCTION("""COMPUTED_VALUE"""),"アタック")</f>
        <v/>
      </c>
      <c r="M19">
        <f>IFERROR(__xludf.DUMMYFUNCTION("""COMPUTED_VALUE"""),"dageki_1")</f>
        <v/>
      </c>
      <c r="N19">
        <f>IFERROR(__xludf.DUMMYFUNCTION("""COMPUTED_VALUE"""),"Middle")</f>
        <v/>
      </c>
      <c r="O19">
        <f>IFERROR(__xludf.DUMMYFUNCTION("""COMPUTED_VALUE"""),"dageki_1")</f>
        <v/>
      </c>
      <c r="P19">
        <f>IFERROR(__xludf.DUMMYFUNCTION("""COMPUTED_VALUE"""),"00202")</f>
        <v/>
      </c>
      <c r="Q19">
        <f>IFERROR(__xludf.DUMMYFUNCTION("""COMPUTED_VALUE"""),"1.37")</f>
        <v/>
      </c>
      <c r="R19">
        <f>IFERROR(__xludf.DUMMYFUNCTION("""COMPUTED_VALUE"""),"0.45")</f>
        <v/>
      </c>
      <c r="S19">
        <f>IFERROR(__xludf.DUMMYFUNCTION("""COMPUTED_VALUE"""),"2.44")</f>
        <v/>
      </c>
      <c r="T19">
        <f>IFERROR(__xludf.DUMMYFUNCTION("""COMPUTED_VALUE"""),"stop無:1回目:0.30
stop無:2回目:0.65
stop有:3回目:1.05")</f>
        <v/>
      </c>
      <c r="U19">
        <f>IFERROR(__xludf.DUMMYFUNCTION("""COMPUTED_VALUE"""),45952.625)</f>
        <v/>
      </c>
      <c r="V19">
        <f>IFERROR(__xludf.DUMMYFUNCTION("""COMPUTED_VALUE"""),390812.49998842593)</f>
        <v/>
      </c>
      <c r="W19">
        <f>IFERROR(__xludf.DUMMYFUNCTION("""COMPUTED_VALUE"""),"catchcopy_character_chara_dan_00202.png")</f>
        <v/>
      </c>
      <c r="X19">
        <f>IFERROR(__xludf.DUMMYFUNCTION("""COMPUTED_VALUE"""),"enemy_icon_chara_dan_00202")</f>
        <v/>
      </c>
      <c r="Y19">
        <f>IFERROR(__xludf.DUMMYFUNCTION("""COMPUTED_VALUE"""),"boss_icon_chara_dan_00202")</f>
        <v/>
      </c>
      <c r="Z19">
        <f>IFERROR(__xludf.DUMMYFUNCTION("""COMPUTED_VALUE"""),"chara_dan_00202_normal")</f>
        <v/>
      </c>
      <c r="AA19">
        <f>IFERROR(__xludf.DUMMYFUNCTION("""COMPUTED_VALUE"""),"chara_dan_00202_special")</f>
        <v/>
      </c>
    </row>
    <row r="20">
      <c r="A20">
        <f>IFERROR(__xludf.DUMMYFUNCTION("""COMPUTED_VALUE"""),"dan")</f>
        <v/>
      </c>
      <c r="B20">
        <f>IFERROR(__xludf.DUMMYFUNCTION("""COMPUTED_VALUE"""),"ダンダダン")</f>
        <v/>
      </c>
      <c r="C20">
        <f>IFERROR(__xludf.DUMMYFUNCTION("""COMPUTED_VALUE"""),"00301")</f>
        <v/>
      </c>
      <c r="D20">
        <f>IFERROR(__xludf.DUMMYFUNCTION("""COMPUTED_VALUE"""),"chara_dan_00301")</f>
        <v/>
      </c>
      <c r="E20">
        <f>IFERROR(__xludf.DUMMYFUNCTION("""COMPUTED_VALUE"""),"招き猫 ターボババア")</f>
        <v/>
      </c>
      <c r="F20">
        <f>IFERROR(__xludf.DUMMYFUNCTION("""COMPUTED_VALUE"""),"招き猫 ターボババア")</f>
        <v/>
      </c>
      <c r="G20">
        <f>IFERROR(__xludf.DUMMYFUNCTION("""COMPUTED_VALUE"""),"クソだらあ!!")</f>
        <v/>
      </c>
      <c r="H20">
        <f>IFERROR(__xludf.DUMMYFUNCTION("""COMPUTED_VALUE"""),"SR")</f>
        <v/>
      </c>
      <c r="I20">
        <f>IFERROR(__xludf.DUMMYFUNCTION("""COMPUTED_VALUE"""),"DropSR")</f>
        <v/>
      </c>
      <c r="J20">
        <f>IFERROR(__xludf.DUMMYFUNCTION("""COMPUTED_VALUE"""),"黄")</f>
        <v/>
      </c>
      <c r="K20">
        <f>IFERROR(__xludf.DUMMYFUNCTION("""COMPUTED_VALUE"""),"chara")</f>
        <v/>
      </c>
      <c r="L20">
        <f>IFERROR(__xludf.DUMMYFUNCTION("""COMPUTED_VALUE"""),"ディフェンス")</f>
        <v/>
      </c>
      <c r="M20">
        <f>IFERROR(__xludf.DUMMYFUNCTION("""COMPUTED_VALUE"""),"dageki_1")</f>
        <v/>
      </c>
      <c r="N20">
        <f>IFERROR(__xludf.DUMMYFUNCTION("""COMPUTED_VALUE"""),"Short")</f>
        <v/>
      </c>
      <c r="O20">
        <f>IFERROR(__xludf.DUMMYFUNCTION("""COMPUTED_VALUE"""),"-")</f>
        <v/>
      </c>
      <c r="P20">
        <f>IFERROR(__xludf.DUMMYFUNCTION("""COMPUTED_VALUE"""),"00301")</f>
        <v/>
      </c>
      <c r="Q20">
        <f>IFERROR(__xludf.DUMMYFUNCTION("""COMPUTED_VALUE"""),"1.60")</f>
        <v/>
      </c>
      <c r="R20">
        <f>IFERROR(__xludf.DUMMYFUNCTION("""COMPUTED_VALUE"""),"stop無:1回目 0.38
stop無:2回目 0.83
stop無:3回目 1.16")</f>
        <v/>
      </c>
      <c r="S20">
        <f>IFERROR(__xludf.DUMMYFUNCTION("""COMPUTED_VALUE"""),"1.83")</f>
        <v/>
      </c>
      <c r="T20">
        <f>IFERROR(__xludf.DUMMYFUNCTION("""COMPUTED_VALUE"""),"stop無:1回目：0.30")</f>
        <v/>
      </c>
      <c r="U20">
        <f>IFERROR(__xludf.DUMMYFUNCTION("""COMPUTED_VALUE"""),45952.625)</f>
        <v/>
      </c>
      <c r="V20">
        <f>IFERROR(__xludf.DUMMYFUNCTION("""COMPUTED_VALUE"""),390812.49998842593)</f>
        <v/>
      </c>
      <c r="W20">
        <f>IFERROR(__xludf.DUMMYFUNCTION("""COMPUTED_VALUE"""),"catchcopy_character_chara_dan_00301.png")</f>
        <v/>
      </c>
      <c r="X20">
        <f>IFERROR(__xludf.DUMMYFUNCTION("""COMPUTED_VALUE"""),"enemy_icon_chara_dan_00301")</f>
        <v/>
      </c>
      <c r="Y20">
        <f>IFERROR(__xludf.DUMMYFUNCTION("""COMPUTED_VALUE"""),"boss_icon_chara_dan_00301")</f>
        <v/>
      </c>
      <c r="Z20">
        <f>IFERROR(__xludf.DUMMYFUNCTION("""COMPUTED_VALUE"""),"chara_dan_00301_normal")</f>
        <v/>
      </c>
      <c r="AA20">
        <f>IFERROR(__xludf.DUMMYFUNCTION("""COMPUTED_VALUE"""),"chara_dan_00301_special")</f>
        <v/>
      </c>
    </row>
    <row r="21">
      <c r="A21">
        <f>IFERROR(__xludf.DUMMYFUNCTION("""COMPUTED_VALUE"""),"dan")</f>
        <v/>
      </c>
      <c r="B21">
        <f>IFERROR(__xludf.DUMMYFUNCTION("""COMPUTED_VALUE"""),"ダンダダン")</f>
        <v/>
      </c>
      <c r="C21">
        <f>IFERROR(__xludf.DUMMYFUNCTION("""COMPUTED_VALUE"""),"00501")</f>
        <v/>
      </c>
      <c r="D21">
        <f>IFERROR(__xludf.DUMMYFUNCTION("""COMPUTED_VALUE"""),"chara_dan_00501")</f>
        <v/>
      </c>
      <c r="E21">
        <f>IFERROR(__xludf.DUMMYFUNCTION("""COMPUTED_VALUE"""),"坂田 金太")</f>
        <v/>
      </c>
      <c r="F21">
        <f>IFERROR(__xludf.DUMMYFUNCTION("""COMPUTED_VALUE"""),"選定中")</f>
        <v/>
      </c>
      <c r="H21">
        <f>IFERROR(__xludf.DUMMYFUNCTION("""COMPUTED_VALUE"""),"SSR")</f>
        <v/>
      </c>
      <c r="I21">
        <f>IFERROR(__xludf.DUMMYFUNCTION("""COMPUTED_VALUE"""),"DropSSR")</f>
        <v/>
      </c>
      <c r="J21">
        <f>IFERROR(__xludf.DUMMYFUNCTION("""COMPUTED_VALUE"""),"青")</f>
        <v/>
      </c>
      <c r="K21">
        <f>IFERROR(__xludf.DUMMYFUNCTION("""COMPUTED_VALUE"""),"chara")</f>
        <v/>
      </c>
      <c r="L21">
        <f>IFERROR(__xludf.DUMMYFUNCTION("""COMPUTED_VALUE"""),"ディフェンス")</f>
        <v/>
      </c>
      <c r="M21">
        <f>IFERROR(__xludf.DUMMYFUNCTION("""COMPUTED_VALUE"""),"dageki_2")</f>
        <v/>
      </c>
      <c r="N21">
        <f>IFERROR(__xludf.DUMMYFUNCTION("""COMPUTED_VALUE"""),"Short")</f>
        <v/>
      </c>
      <c r="O21">
        <f>IFERROR(__xludf.DUMMYFUNCTION("""COMPUTED_VALUE"""),"dageki_1")</f>
        <v/>
      </c>
      <c r="Q21">
        <f>IFERROR(__xludf.DUMMYFUNCTION("""COMPUTED_VALUE"""),"1.6")</f>
        <v/>
      </c>
      <c r="R21">
        <f>IFERROR(__xludf.DUMMYFUNCTION("""COMPUTED_VALUE"""),"0.92")</f>
        <v/>
      </c>
      <c r="S21">
        <f>IFERROR(__xludf.DUMMYFUNCTION("""COMPUTED_VALUE"""),"2.67")</f>
        <v/>
      </c>
      <c r="T21">
        <f>IFERROR(__xludf.DUMMYFUNCTION("""COMPUTED_VALUE"""),"stop有:1.05")</f>
        <v/>
      </c>
      <c r="U21">
        <f>IFERROR(__xludf.DUMMYFUNCTION("""COMPUTED_VALUE"""),"実装未定")</f>
        <v/>
      </c>
      <c r="V21">
        <f>IFERROR(__xludf.DUMMYFUNCTION("""COMPUTED_VALUE"""),390812.49998842593)</f>
        <v/>
      </c>
      <c r="W21">
        <f>IFERROR(__xludf.DUMMYFUNCTION("""COMPUTED_VALUE"""),"catchcopy_character_chara_dan_00501.png")</f>
        <v/>
      </c>
      <c r="X21">
        <f>IFERROR(__xludf.DUMMYFUNCTION("""COMPUTED_VALUE"""),"enemy_icon_chara_dan_00501")</f>
        <v/>
      </c>
      <c r="Y21">
        <f>IFERROR(__xludf.DUMMYFUNCTION("""COMPUTED_VALUE"""),"boss_icon_chara_dan_00501")</f>
        <v/>
      </c>
    </row>
    <row r="22">
      <c r="A22">
        <f>IFERROR(__xludf.DUMMYFUNCTION("""COMPUTED_VALUE"""),"dan")</f>
        <v/>
      </c>
      <c r="B22">
        <f>IFERROR(__xludf.DUMMYFUNCTION("""COMPUTED_VALUE"""),"ダンダダン")</f>
        <v/>
      </c>
      <c r="C22">
        <f>IFERROR(__xludf.DUMMYFUNCTION("""COMPUTED_VALUE"""),"00601")</f>
        <v/>
      </c>
      <c r="D22">
        <f>IFERROR(__xludf.DUMMYFUNCTION("""COMPUTED_VALUE"""),"chara_dan_00601")</f>
        <v/>
      </c>
      <c r="E22">
        <f>IFERROR(__xludf.DUMMYFUNCTION("""COMPUTED_VALUE"""),"星子")</f>
        <v/>
      </c>
      <c r="F22">
        <f>IFERROR(__xludf.DUMMYFUNCTION("""COMPUTED_VALUE"""),"選定中")</f>
        <v/>
      </c>
      <c r="H22">
        <f>IFERROR(__xludf.DUMMYFUNCTION("""COMPUTED_VALUE"""),"UR")</f>
        <v/>
      </c>
      <c r="I22">
        <f>IFERROR(__xludf.DUMMYFUNCTION("""COMPUTED_VALUE"""),"PremiumUR")</f>
        <v/>
      </c>
      <c r="J22">
        <f>IFERROR(__xludf.DUMMYFUNCTION("""COMPUTED_VALUE"""),"黄")</f>
        <v/>
      </c>
      <c r="K22">
        <f>IFERROR(__xludf.DUMMYFUNCTION("""COMPUTED_VALUE"""),"chara")</f>
        <v/>
      </c>
      <c r="L22">
        <f>IFERROR(__xludf.DUMMYFUNCTION("""COMPUTED_VALUE"""),"サポート")</f>
        <v/>
      </c>
      <c r="M22">
        <f>IFERROR(__xludf.DUMMYFUNCTION("""COMPUTED_VALUE"""),"dageki_1")</f>
        <v/>
      </c>
      <c r="N22">
        <f>IFERROR(__xludf.DUMMYFUNCTION("""COMPUTED_VALUE"""),"Short")</f>
        <v/>
      </c>
      <c r="O22">
        <f>IFERROR(__xludf.DUMMYFUNCTION("""COMPUTED_VALUE"""),"-")</f>
        <v/>
      </c>
      <c r="Q22">
        <f>IFERROR(__xludf.DUMMYFUNCTION("""COMPUTED_VALUE"""),"1.37")</f>
        <v/>
      </c>
      <c r="R22">
        <f>IFERROR(__xludf.DUMMYFUNCTION("""COMPUTED_VALUE"""),"stop有:0.50")</f>
        <v/>
      </c>
      <c r="S22">
        <f>IFERROR(__xludf.DUMMYFUNCTION("""COMPUTED_VALUE"""),"2.5")</f>
        <v/>
      </c>
      <c r="T22">
        <f>IFERROR(__xludf.DUMMYFUNCTION("""COMPUTED_VALUE"""),"stop無:1.57")</f>
        <v/>
      </c>
      <c r="U22">
        <f>IFERROR(__xludf.DUMMYFUNCTION("""COMPUTED_VALUE"""),"ハーフアニバ想定")</f>
        <v/>
      </c>
      <c r="V22">
        <f>IFERROR(__xludf.DUMMYFUNCTION("""COMPUTED_VALUE"""),390812.49998842593)</f>
        <v/>
      </c>
      <c r="W22">
        <f>IFERROR(__xludf.DUMMYFUNCTION("""COMPUTED_VALUE"""),"catchcopy_character_chara_dan_00601.png")</f>
        <v/>
      </c>
      <c r="X22">
        <f>IFERROR(__xludf.DUMMYFUNCTION("""COMPUTED_VALUE"""),"enemy_icon_chara_dan_00601")</f>
        <v/>
      </c>
      <c r="Y22">
        <f>IFERROR(__xludf.DUMMYFUNCTION("""COMPUTED_VALUE"""),"boss_icon_chara_dan_00601")</f>
        <v/>
      </c>
    </row>
    <row r="23">
      <c r="A23">
        <f>IFERROR(__xludf.DUMMYFUNCTION("""COMPUTED_VALUE"""),"dan")</f>
        <v/>
      </c>
      <c r="B23">
        <f>IFERROR(__xludf.DUMMYFUNCTION("""COMPUTED_VALUE"""),"ダンダダン")</f>
        <v/>
      </c>
      <c r="C23">
        <f>IFERROR(__xludf.DUMMYFUNCTION("""COMPUTED_VALUE"""),"00701")</f>
        <v/>
      </c>
      <c r="D23">
        <f>IFERROR(__xludf.DUMMYFUNCTION("""COMPUTED_VALUE"""),"chara_dan_00701")</f>
        <v/>
      </c>
      <c r="E23">
        <f>IFERROR(__xludf.DUMMYFUNCTION("""COMPUTED_VALUE"""),"オカルン＆ターボババア")</f>
        <v/>
      </c>
      <c r="F23">
        <f>IFERROR(__xludf.DUMMYFUNCTION("""COMPUTED_VALUE"""),"選定中")</f>
        <v/>
      </c>
      <c r="H23">
        <f>IFERROR(__xludf.DUMMYFUNCTION("""COMPUTED_VALUE"""),"UR")</f>
        <v/>
      </c>
      <c r="I23">
        <f>IFERROR(__xludf.DUMMYFUNCTION("""COMPUTED_VALUE"""),"FestivalUR")</f>
        <v/>
      </c>
      <c r="J23">
        <f>IFERROR(__xludf.DUMMYFUNCTION("""COMPUTED_VALUE"""),"黄")</f>
        <v/>
      </c>
      <c r="K23">
        <f>IFERROR(__xludf.DUMMYFUNCTION("""COMPUTED_VALUE"""),"chara")</f>
        <v/>
      </c>
      <c r="L23">
        <f>IFERROR(__xludf.DUMMYFUNCTION("""COMPUTED_VALUE"""),"テクニカル")</f>
        <v/>
      </c>
    </row>
    <row r="24">
      <c r="A24">
        <f>IFERROR(__xludf.DUMMYFUNCTION("""COMPUTED_VALUE"""),"gom")</f>
        <v/>
      </c>
      <c r="B24">
        <f>IFERROR(__xludf.DUMMYFUNCTION("""COMPUTED_VALUE"""),"姫様“拷問”の時間です")</f>
        <v/>
      </c>
      <c r="C24">
        <f>IFERROR(__xludf.DUMMYFUNCTION("""COMPUTED_VALUE"""),"00001")</f>
        <v/>
      </c>
      <c r="D24">
        <f>IFERROR(__xludf.DUMMYFUNCTION("""COMPUTED_VALUE"""),"chara_gom_00001")</f>
        <v/>
      </c>
      <c r="E24">
        <f>IFERROR(__xludf.DUMMYFUNCTION("""COMPUTED_VALUE"""),"囚われの王女 姫様")</f>
        <v/>
      </c>
      <c r="F24">
        <f>IFERROR(__xludf.DUMMYFUNCTION("""COMPUTED_VALUE"""),"囚われの王女 姫様")</f>
        <v/>
      </c>
      <c r="G24">
        <f>IFERROR(__xludf.DUMMYFUNCTION("""COMPUTED_VALUE"""),"決して屈しない！")</f>
        <v/>
      </c>
      <c r="H24">
        <f>IFERROR(__xludf.DUMMYFUNCTION("""COMPUTED_VALUE"""),"UR")</f>
        <v/>
      </c>
      <c r="I24">
        <f>IFERROR(__xludf.DUMMYFUNCTION("""COMPUTED_VALUE"""),"PremiumUR")</f>
        <v/>
      </c>
      <c r="J24">
        <f>IFERROR(__xludf.DUMMYFUNCTION("""COMPUTED_VALUE"""),"緑")</f>
        <v/>
      </c>
      <c r="K24">
        <f>IFERROR(__xludf.DUMMYFUNCTION("""COMPUTED_VALUE"""),"chara")</f>
        <v/>
      </c>
      <c r="L24">
        <f>IFERROR(__xludf.DUMMYFUNCTION("""COMPUTED_VALUE"""),"ディフェンス")</f>
        <v/>
      </c>
      <c r="M24">
        <f>IFERROR(__xludf.DUMMYFUNCTION("""COMPUTED_VALUE"""),"dageki_1")</f>
        <v/>
      </c>
      <c r="N24">
        <f>IFERROR(__xludf.DUMMYFUNCTION("""COMPUTED_VALUE"""),"Short")</f>
        <v/>
      </c>
      <c r="O24">
        <f>IFERROR(__xludf.DUMMYFUNCTION("""COMPUTED_VALUE"""),"-")</f>
        <v/>
      </c>
      <c r="P24">
        <f>IFERROR(__xludf.DUMMYFUNCTION("""COMPUTED_VALUE"""),"00001")</f>
        <v/>
      </c>
      <c r="Q24">
        <f>IFERROR(__xludf.DUMMYFUNCTION("""COMPUTED_VALUE"""),"1.30")</f>
        <v/>
      </c>
      <c r="R24">
        <f>IFERROR(__xludf.DUMMYFUNCTION("""COMPUTED_VALUE"""),"stop有:1回目 0.50")</f>
        <v/>
      </c>
      <c r="S24">
        <f>IFERROR(__xludf.DUMMYFUNCTION("""COMPUTED_VALUE"""),"4.00")</f>
        <v/>
      </c>
      <c r="T24">
        <f>IFERROR(__xludf.DUMMYFUNCTION("""COMPUTED_VALUE"""),"stop無:1回目 2.3")</f>
        <v/>
      </c>
      <c r="U24">
        <f>IFERROR(__xludf.DUMMYFUNCTION("""COMPUTED_VALUE"""),45922.458333333336)</f>
        <v/>
      </c>
      <c r="V24">
        <f>IFERROR(__xludf.DUMMYFUNCTION("""COMPUTED_VALUE"""),390812.49998842593)</f>
        <v/>
      </c>
      <c r="W24">
        <f>IFERROR(__xludf.DUMMYFUNCTION("""COMPUTED_VALUE"""),"catchcopy_character_chara_gom_00001.png")</f>
        <v/>
      </c>
      <c r="X24">
        <f>IFERROR(__xludf.DUMMYFUNCTION("""COMPUTED_VALUE"""),"enemy_icon_chara_gom_00001")</f>
        <v/>
      </c>
      <c r="Y24">
        <f>IFERROR(__xludf.DUMMYFUNCTION("""COMPUTED_VALUE"""),"boss_icon_chara_gom_00001")</f>
        <v/>
      </c>
      <c r="Z24">
        <f>IFERROR(__xludf.DUMMYFUNCTION("""COMPUTED_VALUE"""),"chara_gom_00001_normal")</f>
        <v/>
      </c>
      <c r="AA24">
        <f>IFERROR(__xludf.DUMMYFUNCTION("""COMPUTED_VALUE"""),"chara_gom_00001_special")</f>
        <v/>
      </c>
    </row>
    <row r="25">
      <c r="A25">
        <f>IFERROR(__xludf.DUMMYFUNCTION("""COMPUTED_VALUE"""),"gom")</f>
        <v/>
      </c>
      <c r="B25">
        <f>IFERROR(__xludf.DUMMYFUNCTION("""COMPUTED_VALUE"""),"姫様“拷問”の時間です")</f>
        <v/>
      </c>
      <c r="C25">
        <f>IFERROR(__xludf.DUMMYFUNCTION("""COMPUTED_VALUE"""),"00101")</f>
        <v/>
      </c>
      <c r="D25">
        <f>IFERROR(__xludf.DUMMYFUNCTION("""COMPUTED_VALUE"""),"chara_gom_00101")</f>
        <v/>
      </c>
      <c r="E25">
        <f>IFERROR(__xludf.DUMMYFUNCTION("""COMPUTED_VALUE"""),"トーチャー・トルチュール")</f>
        <v/>
      </c>
      <c r="F25">
        <f>IFERROR(__xludf.DUMMYFUNCTION("""COMPUTED_VALUE"""),"トーチャー・トルチュール")</f>
        <v/>
      </c>
      <c r="G25">
        <f>IFERROR(__xludf.DUMMYFUNCTION("""COMPUTED_VALUE"""),"“拷問”の時間です")</f>
        <v/>
      </c>
      <c r="H25">
        <f>IFERROR(__xludf.DUMMYFUNCTION("""COMPUTED_VALUE"""),"SR")</f>
        <v/>
      </c>
      <c r="I25">
        <f>IFERROR(__xludf.DUMMYFUNCTION("""COMPUTED_VALUE"""),"PremiumSR")</f>
        <v/>
      </c>
      <c r="J25">
        <f>IFERROR(__xludf.DUMMYFUNCTION("""COMPUTED_VALUE"""),"黄")</f>
        <v/>
      </c>
      <c r="K25">
        <f>IFERROR(__xludf.DUMMYFUNCTION("""COMPUTED_VALUE"""),"chara")</f>
        <v/>
      </c>
      <c r="L25">
        <f>IFERROR(__xludf.DUMMYFUNCTION("""COMPUTED_VALUE"""),"テクニカル")</f>
        <v/>
      </c>
      <c r="M25">
        <f>IFERROR(__xludf.DUMMYFUNCTION("""COMPUTED_VALUE"""),"dageki_2")</f>
        <v/>
      </c>
      <c r="N25">
        <f>IFERROR(__xludf.DUMMYFUNCTION("""COMPUTED_VALUE"""),"Short")</f>
        <v/>
      </c>
      <c r="O25">
        <f>IFERROR(__xludf.DUMMYFUNCTION("""COMPUTED_VALUE"""),"dageki_1")</f>
        <v/>
      </c>
      <c r="P25">
        <f>IFERROR(__xludf.DUMMYFUNCTION("""COMPUTED_VALUE"""),"00101")</f>
        <v/>
      </c>
      <c r="Q25">
        <f>IFERROR(__xludf.DUMMYFUNCTION("""COMPUTED_VALUE"""),"1.34")</f>
        <v/>
      </c>
      <c r="R25">
        <f>IFERROR(__xludf.DUMMYFUNCTION("""COMPUTED_VALUE"""),"stop無:1回目 0.43")</f>
        <v/>
      </c>
      <c r="S25">
        <f>IFERROR(__xludf.DUMMYFUNCTION("""COMPUTED_VALUE"""),"4.84")</f>
        <v/>
      </c>
      <c r="T25">
        <f>IFERROR(__xludf.DUMMYFUNCTION("""COMPUTED_VALUE"""),"stop無:1回目 3.00")</f>
        <v/>
      </c>
      <c r="U25">
        <f>IFERROR(__xludf.DUMMYFUNCTION("""COMPUTED_VALUE"""),45922.458333333336)</f>
        <v/>
      </c>
      <c r="V25">
        <f>IFERROR(__xludf.DUMMYFUNCTION("""COMPUTED_VALUE"""),390812.49998842593)</f>
        <v/>
      </c>
      <c r="W25">
        <f>IFERROR(__xludf.DUMMYFUNCTION("""COMPUTED_VALUE"""),"catchcopy_character_chara_gom_00101.png")</f>
        <v/>
      </c>
      <c r="X25">
        <f>IFERROR(__xludf.DUMMYFUNCTION("""COMPUTED_VALUE"""),"enemy_icon_chara_gom_00101")</f>
        <v/>
      </c>
      <c r="Y25">
        <f>IFERROR(__xludf.DUMMYFUNCTION("""COMPUTED_VALUE"""),"boss_icon_chara_gom_00101")</f>
        <v/>
      </c>
      <c r="Z25">
        <f>IFERROR(__xludf.DUMMYFUNCTION("""COMPUTED_VALUE"""),"chara_gom_00101_normal")</f>
        <v/>
      </c>
      <c r="AA25">
        <f>IFERROR(__xludf.DUMMYFUNCTION("""COMPUTED_VALUE"""),"chara_gom_00101_special")</f>
        <v/>
      </c>
    </row>
    <row r="26">
      <c r="A26">
        <f>IFERROR(__xludf.DUMMYFUNCTION("""COMPUTED_VALUE"""),"gom")</f>
        <v/>
      </c>
      <c r="B26">
        <f>IFERROR(__xludf.DUMMYFUNCTION("""COMPUTED_VALUE"""),"姫様“拷問”の時間です")</f>
        <v/>
      </c>
      <c r="C26">
        <f>IFERROR(__xludf.DUMMYFUNCTION("""COMPUTED_VALUE"""),"00201")</f>
        <v/>
      </c>
      <c r="D26">
        <f>IFERROR(__xludf.DUMMYFUNCTION("""COMPUTED_VALUE"""),"chara_gom_00201")</f>
        <v/>
      </c>
      <c r="E26">
        <f>IFERROR(__xludf.DUMMYFUNCTION("""COMPUTED_VALUE"""),"クロル")</f>
        <v/>
      </c>
      <c r="F26">
        <f>IFERROR(__xludf.DUMMYFUNCTION("""COMPUTED_VALUE"""),"クロル")</f>
        <v/>
      </c>
      <c r="G26">
        <f>IFERROR(__xludf.DUMMYFUNCTION("""COMPUTED_VALUE"""),"ワンちゃん大量作戦だ☆")</f>
        <v/>
      </c>
      <c r="H26">
        <f>IFERROR(__xludf.DUMMYFUNCTION("""COMPUTED_VALUE"""),"R")</f>
        <v/>
      </c>
      <c r="I26">
        <f>IFERROR(__xludf.DUMMYFUNCTION("""COMPUTED_VALUE"""),"DropR")</f>
        <v/>
      </c>
      <c r="J26">
        <f>IFERROR(__xludf.DUMMYFUNCTION("""COMPUTED_VALUE"""),"黄")</f>
        <v/>
      </c>
      <c r="K26">
        <f>IFERROR(__xludf.DUMMYFUNCTION("""COMPUTED_VALUE"""),"chara")</f>
        <v/>
      </c>
      <c r="L26">
        <f>IFERROR(__xludf.DUMMYFUNCTION("""COMPUTED_VALUE"""),"アタック")</f>
        <v/>
      </c>
      <c r="M26">
        <f>IFERROR(__xludf.DUMMYFUNCTION("""COMPUTED_VALUE"""),"dageki_1")</f>
        <v/>
      </c>
      <c r="N26">
        <f>IFERROR(__xludf.DUMMYFUNCTION("""COMPUTED_VALUE"""),"Long")</f>
        <v/>
      </c>
      <c r="O26">
        <f>IFERROR(__xludf.DUMMYFUNCTION("""COMPUTED_VALUE"""),"dageki_1")</f>
        <v/>
      </c>
      <c r="P26">
        <f>IFERROR(__xludf.DUMMYFUNCTION("""COMPUTED_VALUE"""),"00201")</f>
        <v/>
      </c>
      <c r="Q26">
        <f>IFERROR(__xludf.DUMMYFUNCTION("""COMPUTED_VALUE"""),"1.43")</f>
        <v/>
      </c>
      <c r="R26">
        <f>IFERROR(__xludf.DUMMYFUNCTION("""COMPUTED_VALUE"""),"stop無:1回目 0.40
stop無:2回目 0.60
stop無:3回目 0.80")</f>
        <v/>
      </c>
      <c r="S26">
        <f>IFERROR(__xludf.DUMMYFUNCTION("""COMPUTED_VALUE"""),"5.00")</f>
        <v/>
      </c>
      <c r="T26">
        <f>IFERROR(__xludf.DUMMYFUNCTION("""COMPUTED_VALUE"""),"stop無:1回目 2.10
stop無:2回目 2.30
stop無:3回目 2.50
stop無:4回目 2.70
stop無:5回目 2.90
stop無:6回目 3.20
stop無:7回目 3.40
stop無:8回目 3.60
stop無:9回目 3.80")</f>
        <v/>
      </c>
      <c r="U26">
        <f>IFERROR(__xludf.DUMMYFUNCTION("""COMPUTED_VALUE"""),45922.458333333336)</f>
        <v/>
      </c>
      <c r="V26">
        <f>IFERROR(__xludf.DUMMYFUNCTION("""COMPUTED_VALUE"""),390812.49998842593)</f>
        <v/>
      </c>
      <c r="W26">
        <f>IFERROR(__xludf.DUMMYFUNCTION("""COMPUTED_VALUE"""),"catchcopy_character_chara_gom_00201.png")</f>
        <v/>
      </c>
      <c r="X26">
        <f>IFERROR(__xludf.DUMMYFUNCTION("""COMPUTED_VALUE"""),"enemy_icon_chara_gom_00201")</f>
        <v/>
      </c>
      <c r="Y26">
        <f>IFERROR(__xludf.DUMMYFUNCTION("""COMPUTED_VALUE"""),"boss_icon_chara_gom_00201")</f>
        <v/>
      </c>
      <c r="Z26">
        <f>IFERROR(__xludf.DUMMYFUNCTION("""COMPUTED_VALUE"""),"chara_gom_00201_normal")</f>
        <v/>
      </c>
      <c r="AA26">
        <f>IFERROR(__xludf.DUMMYFUNCTION("""COMPUTED_VALUE"""),"chara_gom_00201_special")</f>
        <v/>
      </c>
    </row>
    <row r="27">
      <c r="A27">
        <f>IFERROR(__xludf.DUMMYFUNCTION("""COMPUTED_VALUE"""),"gom")</f>
        <v/>
      </c>
      <c r="B27">
        <f>IFERROR(__xludf.DUMMYFUNCTION("""COMPUTED_VALUE"""),"姫様“拷問”の時間です")</f>
        <v/>
      </c>
      <c r="C27">
        <f>IFERROR(__xludf.DUMMYFUNCTION("""COMPUTED_VALUE"""),"00301")</f>
        <v/>
      </c>
      <c r="D27">
        <f>IFERROR(__xludf.DUMMYFUNCTION("""COMPUTED_VALUE"""),"chara_gom_00301")</f>
        <v/>
      </c>
      <c r="E27">
        <f>IFERROR(__xludf.DUMMYFUNCTION("""COMPUTED_VALUE"""),"魔王 ゴッドサンダー")</f>
        <v/>
      </c>
      <c r="F27">
        <f>IFERROR(__xludf.DUMMYFUNCTION("""COMPUTED_VALUE"""),"悪のカリスマ 魔王ゴッドサンダー")</f>
        <v/>
      </c>
      <c r="G27">
        <f>IFERROR(__xludf.DUMMYFUNCTION("""COMPUTED_VALUE"""),"全欲望は我が物！")</f>
        <v/>
      </c>
      <c r="H27">
        <f>IFERROR(__xludf.DUMMYFUNCTION("""COMPUTED_VALUE"""),"UR")</f>
        <v/>
      </c>
      <c r="I27">
        <f>IFERROR(__xludf.DUMMYFUNCTION("""COMPUTED_VALUE"""),"PremiumUR")</f>
        <v/>
      </c>
      <c r="J27">
        <f>IFERROR(__xludf.DUMMYFUNCTION("""COMPUTED_VALUE"""),"赤")</f>
        <v/>
      </c>
      <c r="K27">
        <f>IFERROR(__xludf.DUMMYFUNCTION("""COMPUTED_VALUE"""),"chara")</f>
        <v/>
      </c>
      <c r="L27">
        <f>IFERROR(__xludf.DUMMYFUNCTION("""COMPUTED_VALUE"""),"アタック")</f>
        <v/>
      </c>
      <c r="Q27">
        <f>IFERROR(__xludf.DUMMYFUNCTION("""COMPUTED_VALUE"""),"1.37")</f>
        <v/>
      </c>
      <c r="R27">
        <f>IFERROR(__xludf.DUMMYFUNCTION("""COMPUTED_VALUE"""),"stop有: 0.55")</f>
        <v/>
      </c>
      <c r="S27">
        <f>IFERROR(__xludf.DUMMYFUNCTION("""COMPUTED_VALUE"""),"2.67")</f>
        <v/>
      </c>
      <c r="T27">
        <f>IFERROR(__xludf.DUMMYFUNCTION("""COMPUTED_VALUE"""),"stop有: 1.5")</f>
        <v/>
      </c>
      <c r="U27">
        <f>IFERROR(__xludf.DUMMYFUNCTION("""COMPUTED_VALUE"""),"(仮)2026/03/01 15:00:00")</f>
        <v/>
      </c>
      <c r="V27">
        <f>IFERROR(__xludf.DUMMYFUNCTION("""COMPUTED_VALUE"""),390812.49998842593)</f>
        <v/>
      </c>
      <c r="X27">
        <f>IFERROR(__xludf.DUMMYFUNCTION("""COMPUTED_VALUE"""),"enemy_icon_chara_gom_00301")</f>
        <v/>
      </c>
      <c r="Y27">
        <f>IFERROR(__xludf.DUMMYFUNCTION("""COMPUTED_VALUE"""),"boss_icon_chara_gom_00301")</f>
        <v/>
      </c>
    </row>
    <row r="28">
      <c r="A28">
        <f>IFERROR(__xludf.DUMMYFUNCTION("""COMPUTED_VALUE"""),"gom")</f>
        <v/>
      </c>
      <c r="B28">
        <f>IFERROR(__xludf.DUMMYFUNCTION("""COMPUTED_VALUE"""),"姫様“拷問”の時間です")</f>
        <v/>
      </c>
      <c r="C28">
        <f>IFERROR(__xludf.DUMMYFUNCTION("""COMPUTED_VALUE"""),"00401")</f>
        <v/>
      </c>
      <c r="D28">
        <f>IFERROR(__xludf.DUMMYFUNCTION("""COMPUTED_VALUE"""),"chara_gom_00401")</f>
        <v/>
      </c>
      <c r="E28">
        <f>IFERROR(__xludf.DUMMYFUNCTION("""COMPUTED_VALUE"""),"マオマオちゃん")</f>
        <v/>
      </c>
      <c r="F28">
        <f>IFERROR(__xludf.DUMMYFUNCTION("""COMPUTED_VALUE"""),"マオマオちゃん")</f>
        <v/>
      </c>
      <c r="G28">
        <f>IFERROR(__xludf.DUMMYFUNCTION("""COMPUTED_VALUE"""),"ごーもんの時間だよ！")</f>
        <v/>
      </c>
      <c r="H28">
        <f>IFERROR(__xludf.DUMMYFUNCTION("""COMPUTED_VALUE"""),"UR")</f>
        <v/>
      </c>
      <c r="I28">
        <f>IFERROR(__xludf.DUMMYFUNCTION("""COMPUTED_VALUE"""),"PremiumUR")</f>
        <v/>
      </c>
      <c r="J28">
        <f>IFERROR(__xludf.DUMMYFUNCTION("""COMPUTED_VALUE"""),"無")</f>
        <v/>
      </c>
      <c r="K28">
        <f>IFERROR(__xludf.DUMMYFUNCTION("""COMPUTED_VALUE"""),"chara")</f>
        <v/>
      </c>
      <c r="L28">
        <f>IFERROR(__xludf.DUMMYFUNCTION("""COMPUTED_VALUE"""),"スペシャル")</f>
        <v/>
      </c>
      <c r="M28">
        <f>IFERROR(__xludf.DUMMYFUNCTION("""COMPUTED_VALUE"""),"-")</f>
        <v/>
      </c>
      <c r="Q28">
        <f>IFERROR(__xludf.DUMMYFUNCTION("""COMPUTED_VALUE"""),"-")</f>
        <v/>
      </c>
      <c r="R28">
        <f>IFERROR(__xludf.DUMMYFUNCTION("""COMPUTED_VALUE"""),"-")</f>
        <v/>
      </c>
      <c r="S28">
        <f>IFERROR(__xludf.DUMMYFUNCTION("""COMPUTED_VALUE"""),"2.5")</f>
        <v/>
      </c>
      <c r="T28">
        <f>IFERROR(__xludf.DUMMYFUNCTION("""COMPUTED_VALUE"""),"stop無: 1")</f>
        <v/>
      </c>
      <c r="U28">
        <f>IFERROR(__xludf.DUMMYFUNCTION("""COMPUTED_VALUE"""),"(仮)2026/03/01 15:00:00")</f>
        <v/>
      </c>
      <c r="V28">
        <f>IFERROR(__xludf.DUMMYFUNCTION("""COMPUTED_VALUE"""),390812.49998842593)</f>
        <v/>
      </c>
      <c r="X28">
        <f>IFERROR(__xludf.DUMMYFUNCTION("""COMPUTED_VALUE"""),"enemy_icon_chara_gom_00401")</f>
        <v/>
      </c>
      <c r="Y28">
        <f>IFERROR(__xludf.DUMMYFUNCTION("""COMPUTED_VALUE"""),"boss_icon_chara_gom_00401")</f>
        <v/>
      </c>
    </row>
    <row r="29">
      <c r="A29">
        <f>IFERROR(__xludf.DUMMYFUNCTION("""COMPUTED_VALUE"""),"gom")</f>
        <v/>
      </c>
      <c r="B29">
        <f>IFERROR(__xludf.DUMMYFUNCTION("""COMPUTED_VALUE"""),"姫様“拷問”の時間です")</f>
        <v/>
      </c>
      <c r="C29">
        <f>IFERROR(__xludf.DUMMYFUNCTION("""COMPUTED_VALUE"""),"00501")</f>
        <v/>
      </c>
      <c r="D29">
        <f>IFERROR(__xludf.DUMMYFUNCTION("""COMPUTED_VALUE"""),"chara_gom_00501")</f>
        <v/>
      </c>
      <c r="E29">
        <f>IFERROR(__xludf.DUMMYFUNCTION("""COMPUTED_VALUE"""),"陽鬼")</f>
        <v/>
      </c>
      <c r="F29">
        <f>IFERROR(__xludf.DUMMYFUNCTION("""COMPUTED_VALUE"""),"陽鬼")</f>
        <v/>
      </c>
      <c r="G29">
        <f>IFERROR(__xludf.DUMMYFUNCTION("""COMPUTED_VALUE"""),"私からやらせてもらうよ")</f>
        <v/>
      </c>
      <c r="H29">
        <f>IFERROR(__xludf.DUMMYFUNCTION("""COMPUTED_VALUE"""),"SR")</f>
        <v/>
      </c>
      <c r="I29">
        <f>IFERROR(__xludf.DUMMYFUNCTION("""COMPUTED_VALUE"""),"DropSR")</f>
        <v/>
      </c>
      <c r="J29">
        <f>IFERROR(__xludf.DUMMYFUNCTION("""COMPUTED_VALUE"""),"緑")</f>
        <v/>
      </c>
      <c r="K29">
        <f>IFERROR(__xludf.DUMMYFUNCTION("""COMPUTED_VALUE"""),"chara")</f>
        <v/>
      </c>
      <c r="L29">
        <f>IFERROR(__xludf.DUMMYFUNCTION("""COMPUTED_VALUE"""),"アタック")</f>
        <v/>
      </c>
      <c r="M29">
        <f>IFERROR(__xludf.DUMMYFUNCTION("""COMPUTED_VALUE"""),"shageki_1")</f>
        <v/>
      </c>
      <c r="N29">
        <f>IFERROR(__xludf.DUMMYFUNCTION("""COMPUTED_VALUE"""),"Long")</f>
        <v/>
      </c>
      <c r="O29">
        <f>IFERROR(__xludf.DUMMYFUNCTION("""COMPUTED_VALUE"""),"shageki_1")</f>
        <v/>
      </c>
      <c r="P29">
        <f>IFERROR(__xludf.DUMMYFUNCTION("""COMPUTED_VALUE"""),"Long")</f>
        <v/>
      </c>
      <c r="Q29">
        <f>IFERROR(__xludf.DUMMYFUNCTION("""COMPUTED_VALUE"""),"1.37")</f>
        <v/>
      </c>
      <c r="R29">
        <f>IFERROR(__xludf.DUMMYFUNCTION("""COMPUTED_VALUE"""),"stop有: 0.51")</f>
        <v/>
      </c>
      <c r="S29">
        <f>IFERROR(__xludf.DUMMYFUNCTION("""COMPUTED_VALUE"""),"2.67")</f>
        <v/>
      </c>
      <c r="T29">
        <f>IFERROR(__xludf.DUMMYFUNCTION("""COMPUTED_VALUE"""),"stop無:1回目 0.5
stop無:2回目 1.3
stop有:3回目 2.08")</f>
        <v/>
      </c>
      <c r="U29">
        <f>IFERROR(__xludf.DUMMYFUNCTION("""COMPUTED_VALUE"""),"(仮)2026/03/01 15:00:00")</f>
        <v/>
      </c>
      <c r="V29">
        <f>IFERROR(__xludf.DUMMYFUNCTION("""COMPUTED_VALUE"""),390812.49998842593)</f>
        <v/>
      </c>
      <c r="X29">
        <f>IFERROR(__xludf.DUMMYFUNCTION("""COMPUTED_VALUE"""),"enemy_icon_chara_gom_00501")</f>
        <v/>
      </c>
      <c r="Y29">
        <f>IFERROR(__xludf.DUMMYFUNCTION("""COMPUTED_VALUE"""),"boss_icon_chara_gom_00501")</f>
        <v/>
      </c>
    </row>
    <row r="30">
      <c r="A30">
        <f>IFERROR(__xludf.DUMMYFUNCTION("""COMPUTED_VALUE"""),"gom")</f>
        <v/>
      </c>
      <c r="B30">
        <f>IFERROR(__xludf.DUMMYFUNCTION("""COMPUTED_VALUE"""),"姫様“拷問”の時間です")</f>
        <v/>
      </c>
      <c r="C30">
        <f>IFERROR(__xludf.DUMMYFUNCTION("""COMPUTED_VALUE"""),"00601")</f>
        <v/>
      </c>
      <c r="D30">
        <f>IFERROR(__xludf.DUMMYFUNCTION("""COMPUTED_VALUE"""),"chara_gom_00601")</f>
        <v/>
      </c>
      <c r="E30">
        <f>IFERROR(__xludf.DUMMYFUNCTION("""COMPUTED_VALUE"""),"陰鬼")</f>
        <v/>
      </c>
      <c r="F30">
        <f>IFERROR(__xludf.DUMMYFUNCTION("""COMPUTED_VALUE"""),"陰鬼")</f>
        <v/>
      </c>
      <c r="G30">
        <f>IFERROR(__xludf.DUMMYFUNCTION("""COMPUTED_VALUE"""),"仕事は仕事だよ")</f>
        <v/>
      </c>
      <c r="H30">
        <f>IFERROR(__xludf.DUMMYFUNCTION("""COMPUTED_VALUE"""),"SR")</f>
        <v/>
      </c>
      <c r="I30">
        <f>IFERROR(__xludf.DUMMYFUNCTION("""COMPUTED_VALUE"""),"DropSR")</f>
        <v/>
      </c>
      <c r="J30">
        <f>IFERROR(__xludf.DUMMYFUNCTION("""COMPUTED_VALUE"""),"赤")</f>
        <v/>
      </c>
      <c r="K30">
        <f>IFERROR(__xludf.DUMMYFUNCTION("""COMPUTED_VALUE"""),"chara")</f>
        <v/>
      </c>
      <c r="L30">
        <f>IFERROR(__xludf.DUMMYFUNCTION("""COMPUTED_VALUE"""),"テクニカル")</f>
        <v/>
      </c>
      <c r="M30">
        <f>IFERROR(__xludf.DUMMYFUNCTION("""COMPUTED_VALUE"""),"dageki_2")</f>
        <v/>
      </c>
      <c r="N30">
        <f>IFERROR(__xludf.DUMMYFUNCTION("""COMPUTED_VALUE"""),"Short")</f>
        <v/>
      </c>
      <c r="O30">
        <f>IFERROR(__xludf.DUMMYFUNCTION("""COMPUTED_VALUE"""),"dageki_2")</f>
        <v/>
      </c>
      <c r="P30">
        <f>IFERROR(__xludf.DUMMYFUNCTION("""COMPUTED_VALUE"""),"Short")</f>
        <v/>
      </c>
      <c r="Q30">
        <f>IFERROR(__xludf.DUMMYFUNCTION("""COMPUTED_VALUE"""),"1.37")</f>
        <v/>
      </c>
      <c r="R30">
        <f>IFERROR(__xludf.DUMMYFUNCTION("""COMPUTED_VALUE"""),"stop有: 0.33")</f>
        <v/>
      </c>
      <c r="S30">
        <f>IFERROR(__xludf.DUMMYFUNCTION("""COMPUTED_VALUE"""),"2.33")</f>
        <v/>
      </c>
      <c r="T30">
        <f>IFERROR(__xludf.DUMMYFUNCTION("""COMPUTED_VALUE"""),"stop無:1回目 0.46
stop無:2回目 0.61
stop無:3回目 0.81
stop有:4回目 1.01")</f>
        <v/>
      </c>
      <c r="U30">
        <f>IFERROR(__xludf.DUMMYFUNCTION("""COMPUTED_VALUE"""),"(仮)2026/03/01 15:00:00")</f>
        <v/>
      </c>
      <c r="V30">
        <f>IFERROR(__xludf.DUMMYFUNCTION("""COMPUTED_VALUE"""),390812.49998842593)</f>
        <v/>
      </c>
      <c r="X30">
        <f>IFERROR(__xludf.DUMMYFUNCTION("""COMPUTED_VALUE"""),"enemy_icon_chara_gom_00601")</f>
        <v/>
      </c>
      <c r="Y30">
        <f>IFERROR(__xludf.DUMMYFUNCTION("""COMPUTED_VALUE"""),"boss_icon_chara_gom_00601")</f>
        <v/>
      </c>
    </row>
    <row r="31">
      <c r="A31">
        <f>IFERROR(__xludf.DUMMYFUNCTION("""COMPUTED_VALUE"""),"gom")</f>
        <v/>
      </c>
      <c r="B31">
        <f>IFERROR(__xludf.DUMMYFUNCTION("""COMPUTED_VALUE"""),"姫様“拷問”の時間です")</f>
        <v/>
      </c>
      <c r="C31">
        <f>IFERROR(__xludf.DUMMYFUNCTION("""COMPUTED_VALUE"""),"00701")</f>
        <v/>
      </c>
      <c r="D31">
        <f>IFERROR(__xludf.DUMMYFUNCTION("""COMPUTED_VALUE"""),"chara_gom_00701")</f>
        <v/>
      </c>
      <c r="E31">
        <f>IFERROR(__xludf.DUMMYFUNCTION("""COMPUTED_VALUE"""),"カナッジ")</f>
        <v/>
      </c>
      <c r="F31">
        <f>IFERROR(__xludf.DUMMYFUNCTION("""COMPUTED_VALUE"""),"カナッジ")</f>
        <v/>
      </c>
      <c r="G31">
        <f>IFERROR(__xludf.DUMMYFUNCTION("""COMPUTED_VALUE"""),"魔王様!!")</f>
        <v/>
      </c>
      <c r="H31">
        <f>IFERROR(__xludf.DUMMYFUNCTION("""COMPUTED_VALUE"""),"SR")</f>
        <v/>
      </c>
      <c r="I31">
        <f>IFERROR(__xludf.DUMMYFUNCTION("""COMPUTED_VALUE"""),"DropSR")</f>
        <v/>
      </c>
      <c r="J31">
        <f>IFERROR(__xludf.DUMMYFUNCTION("""COMPUTED_VALUE"""),"赤")</f>
        <v/>
      </c>
      <c r="K31">
        <f>IFERROR(__xludf.DUMMYFUNCTION("""COMPUTED_VALUE"""),"chara")</f>
        <v/>
      </c>
      <c r="L31">
        <f>IFERROR(__xludf.DUMMYFUNCTION("""COMPUTED_VALUE"""),"テクニカル")</f>
        <v/>
      </c>
      <c r="M31">
        <f>IFERROR(__xludf.DUMMYFUNCTION("""COMPUTED_VALUE"""),"dageki_1")</f>
        <v/>
      </c>
      <c r="N31">
        <f>IFERROR(__xludf.DUMMYFUNCTION("""COMPUTED_VALUE"""),"Short")</f>
        <v/>
      </c>
      <c r="O31">
        <f>IFERROR(__xludf.DUMMYFUNCTION("""COMPUTED_VALUE"""),"dageki_1")</f>
        <v/>
      </c>
      <c r="Q31">
        <f>IFERROR(__xludf.DUMMYFUNCTION("""COMPUTED_VALUE"""),"1.57")</f>
        <v/>
      </c>
      <c r="R31">
        <f>IFERROR(__xludf.DUMMYFUNCTION("""COMPUTED_VALUE"""),"stop有: 0.42")</f>
        <v/>
      </c>
      <c r="S31">
        <f>IFERROR(__xludf.DUMMYFUNCTION("""COMPUTED_VALUE"""),"2.27")</f>
        <v/>
      </c>
      <c r="T31">
        <f>IFERROR(__xludf.DUMMYFUNCTION("""COMPUTED_VALUE"""),"stop無: 0.92")</f>
        <v/>
      </c>
      <c r="U31">
        <f>IFERROR(__xludf.DUMMYFUNCTION("""COMPUTED_VALUE"""),"実装未定")</f>
        <v/>
      </c>
      <c r="V31">
        <f>IFERROR(__xludf.DUMMYFUNCTION("""COMPUTED_VALUE"""),390812.49998842593)</f>
        <v/>
      </c>
      <c r="X31">
        <f>IFERROR(__xludf.DUMMYFUNCTION("""COMPUTED_VALUE"""),"enemy_icon_chara_gom_00701")</f>
        <v/>
      </c>
      <c r="Y31">
        <f>IFERROR(__xludf.DUMMYFUNCTION("""COMPUTED_VALUE"""),"boss_icon_chara_gom_00701")</f>
        <v/>
      </c>
    </row>
    <row r="32">
      <c r="A32">
        <f>IFERROR(__xludf.DUMMYFUNCTION("""COMPUTED_VALUE"""),"chi")</f>
        <v/>
      </c>
      <c r="B32">
        <f>IFERROR(__xludf.DUMMYFUNCTION("""COMPUTED_VALUE"""),"チェンソーマン")</f>
        <v/>
      </c>
      <c r="C32">
        <f>IFERROR(__xludf.DUMMYFUNCTION("""COMPUTED_VALUE"""),"00001")</f>
        <v/>
      </c>
      <c r="D32">
        <f>IFERROR(__xludf.DUMMYFUNCTION("""COMPUTED_VALUE"""),"chara_chi_00001")</f>
        <v/>
      </c>
      <c r="E32">
        <f>IFERROR(__xludf.DUMMYFUNCTION("""COMPUTED_VALUE"""),"デンジ")</f>
        <v/>
      </c>
      <c r="F32">
        <f>IFERROR(__xludf.DUMMYFUNCTION("""COMPUTED_VALUE"""),"デンジ")</f>
        <v/>
      </c>
      <c r="G32">
        <f>IFERROR(__xludf.DUMMYFUNCTION("""COMPUTED_VALUE"""),"股間！しか！狙わねえ！")</f>
        <v/>
      </c>
      <c r="H32">
        <f>IFERROR(__xludf.DUMMYFUNCTION("""COMPUTED_VALUE"""),"R")</f>
        <v/>
      </c>
      <c r="I32">
        <f>IFERROR(__xludf.DUMMYFUNCTION("""COMPUTED_VALUE"""),"PremiumR")</f>
        <v/>
      </c>
      <c r="J32">
        <f>IFERROR(__xludf.DUMMYFUNCTION("""COMPUTED_VALUE"""),"緑")</f>
        <v/>
      </c>
      <c r="K32">
        <f>IFERROR(__xludf.DUMMYFUNCTION("""COMPUTED_VALUE"""),"chara")</f>
        <v/>
      </c>
      <c r="L32">
        <f>IFERROR(__xludf.DUMMYFUNCTION("""COMPUTED_VALUE"""),"アタック")</f>
        <v/>
      </c>
      <c r="M32">
        <f>IFERROR(__xludf.DUMMYFUNCTION("""COMPUTED_VALUE"""),"zangeki_1")</f>
        <v/>
      </c>
      <c r="N32">
        <f>IFERROR(__xludf.DUMMYFUNCTION("""COMPUTED_VALUE"""),"Short")</f>
        <v/>
      </c>
      <c r="O32">
        <f>IFERROR(__xludf.DUMMYFUNCTION("""COMPUTED_VALUE"""),"dageki_1")</f>
        <v/>
      </c>
      <c r="P32">
        <f>IFERROR(__xludf.DUMMYFUNCTION("""COMPUTED_VALUE"""),"00001")</f>
        <v/>
      </c>
      <c r="Q32">
        <f>IFERROR(__xludf.DUMMYFUNCTION("""COMPUTED_VALUE"""),"1.40")</f>
        <v/>
      </c>
      <c r="R32">
        <f>IFERROR(__xludf.DUMMYFUNCTION("""COMPUTED_VALUE"""),"0.53")</f>
        <v/>
      </c>
      <c r="S32">
        <f>IFERROR(__xludf.DUMMYFUNCTION("""COMPUTED_VALUE"""),"3.37")</f>
        <v/>
      </c>
      <c r="T32">
        <f>IFERROR(__xludf.DUMMYFUNCTION("""COMPUTED_VALUE"""),"1.57")</f>
        <v/>
      </c>
      <c r="U32">
        <f>IFERROR(__xludf.DUMMYFUNCTION("""COMPUTED_VALUE"""),45922.458333333336)</f>
        <v/>
      </c>
      <c r="V32">
        <f>IFERROR(__xludf.DUMMYFUNCTION("""COMPUTED_VALUE"""),390812.49998842593)</f>
        <v/>
      </c>
      <c r="W32">
        <f>IFERROR(__xludf.DUMMYFUNCTION("""COMPUTED_VALUE"""),"catchcopy_character_chara_chi_00001.png")</f>
        <v/>
      </c>
      <c r="X32">
        <f>IFERROR(__xludf.DUMMYFUNCTION("""COMPUTED_VALUE"""),"enemy_icon_chara_chi_00001")</f>
        <v/>
      </c>
      <c r="Y32">
        <f>IFERROR(__xludf.DUMMYFUNCTION("""COMPUTED_VALUE"""),"boss_icon_chara_chi_00001")</f>
        <v/>
      </c>
      <c r="Z32">
        <f>IFERROR(__xludf.DUMMYFUNCTION("""COMPUTED_VALUE"""),"chara_chi_00001_normal")</f>
        <v/>
      </c>
      <c r="AA32">
        <f>IFERROR(__xludf.DUMMYFUNCTION("""COMPUTED_VALUE"""),"chara_chi_00001_special")</f>
        <v/>
      </c>
    </row>
    <row r="33">
      <c r="A33">
        <f>IFERROR(__xludf.DUMMYFUNCTION("""COMPUTED_VALUE"""),"chi")</f>
        <v/>
      </c>
      <c r="B33">
        <f>IFERROR(__xludf.DUMMYFUNCTION("""COMPUTED_VALUE"""),"チェンソーマン")</f>
        <v/>
      </c>
      <c r="C33">
        <f>IFERROR(__xludf.DUMMYFUNCTION("""COMPUTED_VALUE"""),"00002")</f>
        <v/>
      </c>
      <c r="D33">
        <f>IFERROR(__xludf.DUMMYFUNCTION("""COMPUTED_VALUE"""),"chara_chi_00002")</f>
        <v/>
      </c>
      <c r="E33">
        <f>IFERROR(__xludf.DUMMYFUNCTION("""COMPUTED_VALUE"""),"悪魔が恐れる悪魔 チェンソーマン")</f>
        <v/>
      </c>
      <c r="F33">
        <f>IFERROR(__xludf.DUMMYFUNCTION("""COMPUTED_VALUE"""),"悪魔が恐れる悪魔 チェンソーマン")</f>
        <v/>
      </c>
      <c r="G33">
        <f>IFERROR(__xludf.DUMMYFUNCTION("""COMPUTED_VALUE"""),"ぶっ殺さねえとなあ！")</f>
        <v/>
      </c>
      <c r="H33">
        <f>IFERROR(__xludf.DUMMYFUNCTION("""COMPUTED_VALUE"""),"UR")</f>
        <v/>
      </c>
      <c r="I33">
        <f>IFERROR(__xludf.DUMMYFUNCTION("""COMPUTED_VALUE"""),"PremiumUR")</f>
        <v/>
      </c>
      <c r="J33">
        <f>IFERROR(__xludf.DUMMYFUNCTION("""COMPUTED_VALUE"""),"黄")</f>
        <v/>
      </c>
      <c r="K33">
        <f>IFERROR(__xludf.DUMMYFUNCTION("""COMPUTED_VALUE"""),"chara")</f>
        <v/>
      </c>
      <c r="L33">
        <f>IFERROR(__xludf.DUMMYFUNCTION("""COMPUTED_VALUE"""),"テクニカル")</f>
        <v/>
      </c>
      <c r="M33">
        <f>IFERROR(__xludf.DUMMYFUNCTION("""COMPUTED_VALUE"""),"zangeki_1")</f>
        <v/>
      </c>
      <c r="N33">
        <f>IFERROR(__xludf.DUMMYFUNCTION("""COMPUTED_VALUE"""),"Short")</f>
        <v/>
      </c>
      <c r="O33">
        <f>IFERROR(__xludf.DUMMYFUNCTION("""COMPUTED_VALUE"""),"zangeki_1")</f>
        <v/>
      </c>
      <c r="P33">
        <f>IFERROR(__xludf.DUMMYFUNCTION("""COMPUTED_VALUE"""),"00002")</f>
        <v/>
      </c>
      <c r="Q33">
        <f>IFERROR(__xludf.DUMMYFUNCTION("""COMPUTED_VALUE"""),"1.07")</f>
        <v/>
      </c>
      <c r="R33">
        <f>IFERROR(__xludf.DUMMYFUNCTION("""COMPUTED_VALUE"""),"stop無:1回目 0.66")</f>
        <v/>
      </c>
      <c r="S33">
        <f>IFERROR(__xludf.DUMMYFUNCTION("""COMPUTED_VALUE"""),"3.74")</f>
        <v/>
      </c>
      <c r="T33">
        <f>IFERROR(__xludf.DUMMYFUNCTION("""COMPUTED_VALUE"""),"stop無:1回目 0.53
stop無:2回目 0.70
stop無:3回目 0.90
stop無:4回目 1.03
stop無:5回目 1.23
stop有:6回目 2.62")</f>
        <v/>
      </c>
      <c r="U33">
        <f>IFERROR(__xludf.DUMMYFUNCTION("""COMPUTED_VALUE"""),45922.458333333336)</f>
        <v/>
      </c>
      <c r="V33">
        <f>IFERROR(__xludf.DUMMYFUNCTION("""COMPUTED_VALUE"""),390812.49998842593)</f>
        <v/>
      </c>
      <c r="W33">
        <f>IFERROR(__xludf.DUMMYFUNCTION("""COMPUTED_VALUE"""),"catchcopy_character_chara_chi_00002.png")</f>
        <v/>
      </c>
      <c r="X33">
        <f>IFERROR(__xludf.DUMMYFUNCTION("""COMPUTED_VALUE"""),"enemy_icon_chara_chi_00002")</f>
        <v/>
      </c>
      <c r="Y33">
        <f>IFERROR(__xludf.DUMMYFUNCTION("""COMPUTED_VALUE"""),"boss_icon_chara_chi_00002")</f>
        <v/>
      </c>
      <c r="Z33">
        <f>IFERROR(__xludf.DUMMYFUNCTION("""COMPUTED_VALUE"""),"chara_chi_00002_normal")</f>
        <v/>
      </c>
      <c r="AA33">
        <f>IFERROR(__xludf.DUMMYFUNCTION("""COMPUTED_VALUE"""),"chara_chi_00002_special")</f>
        <v/>
      </c>
    </row>
    <row r="34">
      <c r="A34">
        <f>IFERROR(__xludf.DUMMYFUNCTION("""COMPUTED_VALUE"""),"chi")</f>
        <v/>
      </c>
      <c r="B34">
        <f>IFERROR(__xludf.DUMMYFUNCTION("""COMPUTED_VALUE"""),"チェンソーマン")</f>
        <v/>
      </c>
      <c r="C34">
        <f>IFERROR(__xludf.DUMMYFUNCTION("""COMPUTED_VALUE"""),"00201")</f>
        <v/>
      </c>
      <c r="D34">
        <f>IFERROR(__xludf.DUMMYFUNCTION("""COMPUTED_VALUE"""),"chara_chi_00201")</f>
        <v/>
      </c>
      <c r="E34">
        <f>IFERROR(__xludf.DUMMYFUNCTION("""COMPUTED_VALUE"""),"早川 アキ")</f>
        <v/>
      </c>
      <c r="F34">
        <f>IFERROR(__xludf.DUMMYFUNCTION("""COMPUTED_VALUE"""),"早川 アキ")</f>
        <v/>
      </c>
      <c r="G34">
        <f>IFERROR(__xludf.DUMMYFUNCTION("""COMPUTED_VALUE"""),"狐の悪魔")</f>
        <v/>
      </c>
      <c r="H34">
        <f>IFERROR(__xludf.DUMMYFUNCTION("""COMPUTED_VALUE"""),"SSR")</f>
        <v/>
      </c>
      <c r="I34">
        <f>IFERROR(__xludf.DUMMYFUNCTION("""COMPUTED_VALUE"""),"PremiumSSR")</f>
        <v/>
      </c>
      <c r="J34">
        <f>IFERROR(__xludf.DUMMYFUNCTION("""COMPUTED_VALUE"""),"緑")</f>
        <v/>
      </c>
      <c r="K34">
        <f>IFERROR(__xludf.DUMMYFUNCTION("""COMPUTED_VALUE"""),"chara")</f>
        <v/>
      </c>
      <c r="L34">
        <f>IFERROR(__xludf.DUMMYFUNCTION("""COMPUTED_VALUE"""),"アタック")</f>
        <v/>
      </c>
      <c r="M34">
        <f>IFERROR(__xludf.DUMMYFUNCTION("""COMPUTED_VALUE"""),"dageki_1")</f>
        <v/>
      </c>
      <c r="N34">
        <f>IFERROR(__xludf.DUMMYFUNCTION("""COMPUTED_VALUE"""),"Short")</f>
        <v/>
      </c>
      <c r="O34">
        <f>IFERROR(__xludf.DUMMYFUNCTION("""COMPUTED_VALUE"""),"dageki_2")</f>
        <v/>
      </c>
      <c r="P34">
        <f>IFERROR(__xludf.DUMMYFUNCTION("""COMPUTED_VALUE"""),"00201")</f>
        <v/>
      </c>
      <c r="Q34">
        <f>IFERROR(__xludf.DUMMYFUNCTION("""COMPUTED_VALUE"""),"1.60")</f>
        <v/>
      </c>
      <c r="R34">
        <f>IFERROR(__xludf.DUMMYFUNCTION("""COMPUTED_VALUE"""),"0.84")</f>
        <v/>
      </c>
      <c r="S34">
        <f>IFERROR(__xludf.DUMMYFUNCTION("""COMPUTED_VALUE"""),"2.44")</f>
        <v/>
      </c>
      <c r="T34">
        <f>IFERROR(__xludf.DUMMYFUNCTION("""COMPUTED_VALUE"""),"1.64")</f>
        <v/>
      </c>
      <c r="U34">
        <f>IFERROR(__xludf.DUMMYFUNCTION("""COMPUTED_VALUE"""),45922.458333333336)</f>
        <v/>
      </c>
      <c r="V34">
        <f>IFERROR(__xludf.DUMMYFUNCTION("""COMPUTED_VALUE"""),390812.49998842593)</f>
        <v/>
      </c>
      <c r="W34">
        <f>IFERROR(__xludf.DUMMYFUNCTION("""COMPUTED_VALUE"""),"catchcopy_character_chara_chi_00201.png")</f>
        <v/>
      </c>
      <c r="X34">
        <f>IFERROR(__xludf.DUMMYFUNCTION("""COMPUTED_VALUE"""),"enemy_icon_chara_chi_00201")</f>
        <v/>
      </c>
      <c r="Y34">
        <f>IFERROR(__xludf.DUMMYFUNCTION("""COMPUTED_VALUE"""),"boss_icon_chara_chi_00201")</f>
        <v/>
      </c>
      <c r="Z34">
        <f>IFERROR(__xludf.DUMMYFUNCTION("""COMPUTED_VALUE"""),"chara_chi_00201_normal")</f>
        <v/>
      </c>
      <c r="AA34">
        <f>IFERROR(__xludf.DUMMYFUNCTION("""COMPUTED_VALUE"""),"chara_chi_00201_special")</f>
        <v/>
      </c>
    </row>
    <row r="35">
      <c r="A35">
        <f>IFERROR(__xludf.DUMMYFUNCTION("""COMPUTED_VALUE"""),"chi")</f>
        <v/>
      </c>
      <c r="B35">
        <f>IFERROR(__xludf.DUMMYFUNCTION("""COMPUTED_VALUE"""),"チェンソーマン")</f>
        <v/>
      </c>
      <c r="C35">
        <f>IFERROR(__xludf.DUMMYFUNCTION("""COMPUTED_VALUE"""),"00301")</f>
        <v/>
      </c>
      <c r="D35">
        <f>IFERROR(__xludf.DUMMYFUNCTION("""COMPUTED_VALUE"""),"chara_chi_00301")</f>
        <v/>
      </c>
      <c r="E35">
        <f>IFERROR(__xludf.DUMMYFUNCTION("""COMPUTED_VALUE"""),"パワー")</f>
        <v/>
      </c>
      <c r="F35">
        <f>IFERROR(__xludf.DUMMYFUNCTION("""COMPUTED_VALUE"""),"パワー")</f>
        <v/>
      </c>
      <c r="G35">
        <f>IFERROR(__xludf.DUMMYFUNCTION("""COMPUTED_VALUE"""),"血の匂いじゃ！")</f>
        <v/>
      </c>
      <c r="H35">
        <f>IFERROR(__xludf.DUMMYFUNCTION("""COMPUTED_VALUE"""),"SSR")</f>
        <v/>
      </c>
      <c r="I35">
        <f>IFERROR(__xludf.DUMMYFUNCTION("""COMPUTED_VALUE"""),"PremiumSSR")</f>
        <v/>
      </c>
      <c r="J35">
        <f>IFERROR(__xludf.DUMMYFUNCTION("""COMPUTED_VALUE"""),"青")</f>
        <v/>
      </c>
      <c r="K35">
        <f>IFERROR(__xludf.DUMMYFUNCTION("""COMPUTED_VALUE"""),"chara")</f>
        <v/>
      </c>
      <c r="L35">
        <f>IFERROR(__xludf.DUMMYFUNCTION("""COMPUTED_VALUE"""),"アタック")</f>
        <v/>
      </c>
      <c r="M35">
        <f>IFERROR(__xludf.DUMMYFUNCTION("""COMPUTED_VALUE"""),"dageki_1")</f>
        <v/>
      </c>
      <c r="N35">
        <f>IFERROR(__xludf.DUMMYFUNCTION("""COMPUTED_VALUE"""),"Middle")</f>
        <v/>
      </c>
      <c r="O35">
        <f>IFERROR(__xludf.DUMMYFUNCTION("""COMPUTED_VALUE"""),"dageki_1")</f>
        <v/>
      </c>
      <c r="P35">
        <f>IFERROR(__xludf.DUMMYFUNCTION("""COMPUTED_VALUE"""),"00201")</f>
        <v/>
      </c>
      <c r="Q35">
        <f>IFERROR(__xludf.DUMMYFUNCTION("""COMPUTED_VALUE"""),"1.50")</f>
        <v/>
      </c>
      <c r="R35">
        <f>IFERROR(__xludf.DUMMYFUNCTION("""COMPUTED_VALUE"""),"0.58")</f>
        <v/>
      </c>
      <c r="S35">
        <f>IFERROR(__xludf.DUMMYFUNCTION("""COMPUTED_VALUE"""),"2.67")</f>
        <v/>
      </c>
      <c r="T35">
        <f>IFERROR(__xludf.DUMMYFUNCTION("""COMPUTED_VALUE"""),"1.00")</f>
        <v/>
      </c>
      <c r="U35">
        <f>IFERROR(__xludf.DUMMYFUNCTION("""COMPUTED_VALUE"""),45922.458333333336)</f>
        <v/>
      </c>
      <c r="V35">
        <f>IFERROR(__xludf.DUMMYFUNCTION("""COMPUTED_VALUE"""),390812.49998842593)</f>
        <v/>
      </c>
      <c r="W35">
        <f>IFERROR(__xludf.DUMMYFUNCTION("""COMPUTED_VALUE"""),"catchcopy_character_chara_chi_00201.png")</f>
        <v/>
      </c>
      <c r="X35">
        <f>IFERROR(__xludf.DUMMYFUNCTION("""COMPUTED_VALUE"""),"enemy_icon_chara_chi_00301")</f>
        <v/>
      </c>
      <c r="Y35">
        <f>IFERROR(__xludf.DUMMYFUNCTION("""COMPUTED_VALUE"""),"boss_icon_chara_chi_00301")</f>
        <v/>
      </c>
      <c r="Z35">
        <f>IFERROR(__xludf.DUMMYFUNCTION("""COMPUTED_VALUE"""),"chara_chi_00301_normal")</f>
        <v/>
      </c>
      <c r="AA35">
        <f>IFERROR(__xludf.DUMMYFUNCTION("""COMPUTED_VALUE"""),"chara_chi_00301_special")</f>
        <v/>
      </c>
    </row>
    <row r="36">
      <c r="A36">
        <f>IFERROR(__xludf.DUMMYFUNCTION("""COMPUTED_VALUE"""),"chi")</f>
        <v/>
      </c>
      <c r="B36">
        <f>IFERROR(__xludf.DUMMYFUNCTION("""COMPUTED_VALUE"""),"チェンソーマン")</f>
        <v/>
      </c>
      <c r="C36">
        <f>IFERROR(__xludf.DUMMYFUNCTION("""COMPUTED_VALUE"""),"00401")</f>
        <v/>
      </c>
      <c r="D36">
        <f>IFERROR(__xludf.DUMMYFUNCTION("""COMPUTED_VALUE"""),"chara_chi_00401")</f>
        <v/>
      </c>
      <c r="E36">
        <f>IFERROR(__xludf.DUMMYFUNCTION("""COMPUTED_VALUE"""),"マキマ")</f>
        <v/>
      </c>
      <c r="F36">
        <f>IFERROR(__xludf.DUMMYFUNCTION("""COMPUTED_VALUE"""),"選定中")</f>
        <v/>
      </c>
      <c r="H36">
        <f>IFERROR(__xludf.DUMMYFUNCTION("""COMPUTED_VALUE"""),"UR")</f>
        <v/>
      </c>
      <c r="I36">
        <f>IFERROR(__xludf.DUMMYFUNCTION("""COMPUTED_VALUE"""),"PremiumUR")</f>
        <v/>
      </c>
      <c r="J36">
        <f>IFERROR(__xludf.DUMMYFUNCTION("""COMPUTED_VALUE"""),"調整中")</f>
        <v/>
      </c>
      <c r="K36">
        <f>IFERROR(__xludf.DUMMYFUNCTION("""COMPUTED_VALUE"""),"chara")</f>
        <v/>
      </c>
      <c r="L36">
        <f>IFERROR(__xludf.DUMMYFUNCTION("""COMPUTED_VALUE"""),"調整中")</f>
        <v/>
      </c>
      <c r="Q36">
        <f>IFERROR(__xludf.DUMMYFUNCTION("""COMPUTED_VALUE"""),"-")</f>
        <v/>
      </c>
      <c r="R36">
        <f>IFERROR(__xludf.DUMMYFUNCTION("""COMPUTED_VALUE"""),"-")</f>
        <v/>
      </c>
      <c r="S36">
        <f>IFERROR(__xludf.DUMMYFUNCTION("""COMPUTED_VALUE"""),"2.5")</f>
        <v/>
      </c>
      <c r="T36">
        <f>IFERROR(__xludf.DUMMYFUNCTION("""COMPUTED_VALUE"""),"0")</f>
        <v/>
      </c>
      <c r="U36">
        <f>IFERROR(__xludf.DUMMYFUNCTION("""COMPUTED_VALUE"""),"実装未定")</f>
        <v/>
      </c>
      <c r="V36">
        <f>IFERROR(__xludf.DUMMYFUNCTION("""COMPUTED_VALUE"""),390812.49998842593)</f>
        <v/>
      </c>
      <c r="X36">
        <f>IFERROR(__xludf.DUMMYFUNCTION("""COMPUTED_VALUE"""),"enemy_icon_chara_chi_00401")</f>
        <v/>
      </c>
      <c r="Y36">
        <f>IFERROR(__xludf.DUMMYFUNCTION("""COMPUTED_VALUE"""),"boss_icon_chara_chi_00401")</f>
        <v/>
      </c>
    </row>
    <row r="37">
      <c r="A37">
        <f>IFERROR(__xludf.DUMMYFUNCTION("""COMPUTED_VALUE"""),"chi")</f>
        <v/>
      </c>
      <c r="B37">
        <f>IFERROR(__xludf.DUMMYFUNCTION("""COMPUTED_VALUE"""),"チェンソーマン")</f>
        <v/>
      </c>
      <c r="C37">
        <f>IFERROR(__xludf.DUMMYFUNCTION("""COMPUTED_VALUE"""),"00501")</f>
        <v/>
      </c>
      <c r="D37">
        <f>IFERROR(__xludf.DUMMYFUNCTION("""COMPUTED_VALUE"""),"chara_chi_00501")</f>
        <v/>
      </c>
      <c r="E37">
        <f>IFERROR(__xludf.DUMMYFUNCTION("""COMPUTED_VALUE"""),"姫野")</f>
        <v/>
      </c>
      <c r="F37">
        <f>IFERROR(__xludf.DUMMYFUNCTION("""COMPUTED_VALUE"""),"選定中")</f>
        <v/>
      </c>
      <c r="H37">
        <f>IFERROR(__xludf.DUMMYFUNCTION("""COMPUTED_VALUE"""),"SSR")</f>
        <v/>
      </c>
      <c r="I37">
        <f>IFERROR(__xludf.DUMMYFUNCTION("""COMPUTED_VALUE"""),"PremiumSSR")</f>
        <v/>
      </c>
      <c r="J37">
        <f>IFERROR(__xludf.DUMMYFUNCTION("""COMPUTED_VALUE"""),"調整中")</f>
        <v/>
      </c>
      <c r="K37">
        <f>IFERROR(__xludf.DUMMYFUNCTION("""COMPUTED_VALUE"""),"chara")</f>
        <v/>
      </c>
      <c r="L37">
        <f>IFERROR(__xludf.DUMMYFUNCTION("""COMPUTED_VALUE"""),"調整中")</f>
        <v/>
      </c>
      <c r="Q37">
        <f>IFERROR(__xludf.DUMMYFUNCTION("""COMPUTED_VALUE"""),"1.17")</f>
        <v/>
      </c>
      <c r="R37">
        <f>IFERROR(__xludf.DUMMYFUNCTION("""COMPUTED_VALUE"""),".5")</f>
        <v/>
      </c>
      <c r="S37">
        <f>IFERROR(__xludf.DUMMYFUNCTION("""COMPUTED_VALUE"""),"1.87")</f>
        <v/>
      </c>
      <c r="T37">
        <f>IFERROR(__xludf.DUMMYFUNCTION("""COMPUTED_VALUE"""),"stop有:1")</f>
        <v/>
      </c>
      <c r="U37">
        <f>IFERROR(__xludf.DUMMYFUNCTION("""COMPUTED_VALUE"""),"実装未定")</f>
        <v/>
      </c>
      <c r="V37">
        <f>IFERROR(__xludf.DUMMYFUNCTION("""COMPUTED_VALUE"""),390812.49998842593)</f>
        <v/>
      </c>
      <c r="X37">
        <f>IFERROR(__xludf.DUMMYFUNCTION("""COMPUTED_VALUE"""),"enemy_icon_chara_chi_00501")</f>
        <v/>
      </c>
      <c r="Y37">
        <f>IFERROR(__xludf.DUMMYFUNCTION("""COMPUTED_VALUE"""),"boss_icon_chara_chi_00501")</f>
        <v/>
      </c>
    </row>
    <row r="38">
      <c r="A38">
        <f>IFERROR(__xludf.DUMMYFUNCTION("""COMPUTED_VALUE"""),"chi")</f>
        <v/>
      </c>
      <c r="B38">
        <f>IFERROR(__xludf.DUMMYFUNCTION("""COMPUTED_VALUE"""),"チェンソーマン")</f>
        <v/>
      </c>
      <c r="C38">
        <f>IFERROR(__xludf.DUMMYFUNCTION("""COMPUTED_VALUE"""),"00601")</f>
        <v/>
      </c>
      <c r="D38">
        <f>IFERROR(__xludf.DUMMYFUNCTION("""COMPUTED_VALUE"""),"chara_chi_00601")</f>
        <v/>
      </c>
      <c r="E38">
        <f>IFERROR(__xludf.DUMMYFUNCTION("""COMPUTED_VALUE"""),"小紅")</f>
        <v/>
      </c>
      <c r="F38">
        <f>IFERROR(__xludf.DUMMYFUNCTION("""COMPUTED_VALUE"""),"選定中")</f>
        <v/>
      </c>
      <c r="H38">
        <f>IFERROR(__xludf.DUMMYFUNCTION("""COMPUTED_VALUE"""),"SR")</f>
        <v/>
      </c>
      <c r="I38">
        <f>IFERROR(__xludf.DUMMYFUNCTION("""COMPUTED_VALUE"""),"DropSR")</f>
        <v/>
      </c>
      <c r="J38">
        <f>IFERROR(__xludf.DUMMYFUNCTION("""COMPUTED_VALUE"""),"調整中")</f>
        <v/>
      </c>
      <c r="K38">
        <f>IFERROR(__xludf.DUMMYFUNCTION("""COMPUTED_VALUE"""),"chara")</f>
        <v/>
      </c>
      <c r="L38">
        <f>IFERROR(__xludf.DUMMYFUNCTION("""COMPUTED_VALUE"""),"調整中")</f>
        <v/>
      </c>
      <c r="Q38">
        <f>IFERROR(__xludf.DUMMYFUNCTION("""COMPUTED_VALUE"""),"1.30")</f>
        <v/>
      </c>
      <c r="R38">
        <f>IFERROR(__xludf.DUMMYFUNCTION("""COMPUTED_VALUE"""),"stop有:1回目 0.36")</f>
        <v/>
      </c>
      <c r="S38">
        <f>IFERROR(__xludf.DUMMYFUNCTION("""COMPUTED_VALUE"""),"2.07")</f>
        <v/>
      </c>
      <c r="T38">
        <f>IFERROR(__xludf.DUMMYFUNCTION("""COMPUTED_VALUE"""),"stop有:1回目 1.20")</f>
        <v/>
      </c>
      <c r="U38">
        <f>IFERROR(__xludf.DUMMYFUNCTION("""COMPUTED_VALUE"""),"実装未定")</f>
        <v/>
      </c>
      <c r="V38">
        <f>IFERROR(__xludf.DUMMYFUNCTION("""COMPUTED_VALUE"""),390812.49998842593)</f>
        <v/>
      </c>
      <c r="X38">
        <f>IFERROR(__xludf.DUMMYFUNCTION("""COMPUTED_VALUE"""),"enemy_icon_chara_chi_00601")</f>
        <v/>
      </c>
      <c r="Y38">
        <f>IFERROR(__xludf.DUMMYFUNCTION("""COMPUTED_VALUE"""),"boss_icon_chara_chi_00601")</f>
        <v/>
      </c>
    </row>
    <row r="39">
      <c r="A39">
        <f>IFERROR(__xludf.DUMMYFUNCTION("""COMPUTED_VALUE"""),"chi")</f>
        <v/>
      </c>
      <c r="B39">
        <f>IFERROR(__xludf.DUMMYFUNCTION("""COMPUTED_VALUE"""),"チェンソーマン")</f>
        <v/>
      </c>
      <c r="C39">
        <f>IFERROR(__xludf.DUMMYFUNCTION("""COMPUTED_VALUE"""),"00701")</f>
        <v/>
      </c>
      <c r="D39">
        <f>IFERROR(__xludf.DUMMYFUNCTION("""COMPUTED_VALUE"""),"chara_chi_00701")</f>
        <v/>
      </c>
      <c r="E39">
        <f>IFERROR(__xludf.DUMMYFUNCTION("""COMPUTED_VALUE"""),"沢渡 アカネ")</f>
        <v/>
      </c>
      <c r="F39">
        <f>IFERROR(__xludf.DUMMYFUNCTION("""COMPUTED_VALUE"""),"選定中")</f>
        <v/>
      </c>
      <c r="H39">
        <f>IFERROR(__xludf.DUMMYFUNCTION("""COMPUTED_VALUE"""),"SR")</f>
        <v/>
      </c>
      <c r="I39">
        <f>IFERROR(__xludf.DUMMYFUNCTION("""COMPUTED_VALUE"""),"DropSR")</f>
        <v/>
      </c>
      <c r="J39">
        <f>IFERROR(__xludf.DUMMYFUNCTION("""COMPUTED_VALUE"""),"調整中")</f>
        <v/>
      </c>
      <c r="K39">
        <f>IFERROR(__xludf.DUMMYFUNCTION("""COMPUTED_VALUE"""),"chara")</f>
        <v/>
      </c>
      <c r="L39">
        <f>IFERROR(__xludf.DUMMYFUNCTION("""COMPUTED_VALUE"""),"調整中")</f>
        <v/>
      </c>
      <c r="Q39">
        <f>IFERROR(__xludf.DUMMYFUNCTION("""COMPUTED_VALUE"""),"1.2")</f>
        <v/>
      </c>
      <c r="R39">
        <f>IFERROR(__xludf.DUMMYFUNCTION("""COMPUTED_VALUE"""),"0.27")</f>
        <v/>
      </c>
      <c r="S39">
        <f>IFERROR(__xludf.DUMMYFUNCTION("""COMPUTED_VALUE"""),"2.27")</f>
        <v/>
      </c>
      <c r="T39">
        <f>IFERROR(__xludf.DUMMYFUNCTION("""COMPUTED_VALUE"""),"stop有:0.86")</f>
        <v/>
      </c>
      <c r="U39">
        <f>IFERROR(__xludf.DUMMYFUNCTION("""COMPUTED_VALUE"""),"実装未定")</f>
        <v/>
      </c>
      <c r="V39">
        <f>IFERROR(__xludf.DUMMYFUNCTION("""COMPUTED_VALUE"""),390812.49998842593)</f>
        <v/>
      </c>
      <c r="X39">
        <f>IFERROR(__xludf.DUMMYFUNCTION("""COMPUTED_VALUE"""),"enemy_icon_chara_chi_00701")</f>
        <v/>
      </c>
      <c r="Y39">
        <f>IFERROR(__xludf.DUMMYFUNCTION("""COMPUTED_VALUE"""),"boss_icon_chara_chi_00701")</f>
        <v/>
      </c>
    </row>
    <row r="40">
      <c r="A40">
        <f>IFERROR(__xludf.DUMMYFUNCTION("""COMPUTED_VALUE"""),"chi")</f>
        <v/>
      </c>
      <c r="B40">
        <f>IFERROR(__xludf.DUMMYFUNCTION("""COMPUTED_VALUE"""),"チェンソーマン")</f>
        <v/>
      </c>
      <c r="C40">
        <f>IFERROR(__xludf.DUMMYFUNCTION("""COMPUTED_VALUE"""),"00801")</f>
        <v/>
      </c>
      <c r="D40">
        <f>IFERROR(__xludf.DUMMYFUNCTION("""COMPUTED_VALUE"""),"chara_chi_00801")</f>
        <v/>
      </c>
      <c r="E40">
        <f>IFERROR(__xludf.DUMMYFUNCTION("""COMPUTED_VALUE"""),"サムライソード")</f>
        <v/>
      </c>
      <c r="F40">
        <f>IFERROR(__xludf.DUMMYFUNCTION("""COMPUTED_VALUE"""),"選定中")</f>
        <v/>
      </c>
      <c r="H40">
        <f>IFERROR(__xludf.DUMMYFUNCTION("""COMPUTED_VALUE"""),"SR")</f>
        <v/>
      </c>
      <c r="I40">
        <f>IFERROR(__xludf.DUMMYFUNCTION("""COMPUTED_VALUE"""),"DropSR")</f>
        <v/>
      </c>
      <c r="J40">
        <f>IFERROR(__xludf.DUMMYFUNCTION("""COMPUTED_VALUE"""),"調整中")</f>
        <v/>
      </c>
      <c r="K40">
        <f>IFERROR(__xludf.DUMMYFUNCTION("""COMPUTED_VALUE"""),"chara")</f>
        <v/>
      </c>
      <c r="L40">
        <f>IFERROR(__xludf.DUMMYFUNCTION("""COMPUTED_VALUE"""),"調整中")</f>
        <v/>
      </c>
      <c r="Q40">
        <f>IFERROR(__xludf.DUMMYFUNCTION("""COMPUTED_VALUE"""),"1.37")</f>
        <v/>
      </c>
      <c r="R40">
        <f>IFERROR(__xludf.DUMMYFUNCTION("""COMPUTED_VALUE"""),"stop有:1回目0.58")</f>
        <v/>
      </c>
      <c r="S40">
        <f>IFERROR(__xludf.DUMMYFUNCTION("""COMPUTED_VALUE"""),"2.07")</f>
        <v/>
      </c>
      <c r="T40">
        <f>IFERROR(__xludf.DUMMYFUNCTION("""COMPUTED_VALUE"""),"stop有:1回目0.91")</f>
        <v/>
      </c>
      <c r="U40">
        <f>IFERROR(__xludf.DUMMYFUNCTION("""COMPUTED_VALUE"""),"実装未定")</f>
        <v/>
      </c>
      <c r="V40">
        <f>IFERROR(__xludf.DUMMYFUNCTION("""COMPUTED_VALUE"""),390812.49998842593)</f>
        <v/>
      </c>
      <c r="X40">
        <f>IFERROR(__xludf.DUMMYFUNCTION("""COMPUTED_VALUE"""),"enemy_icon_chara_chi_00801")</f>
        <v/>
      </c>
      <c r="Y40">
        <f>IFERROR(__xludf.DUMMYFUNCTION("""COMPUTED_VALUE"""),"boss_icon_chara_chi_00801")</f>
        <v/>
      </c>
    </row>
    <row r="41">
      <c r="A41">
        <f>IFERROR(__xludf.DUMMYFUNCTION("""COMPUTED_VALUE"""),"chi")</f>
        <v/>
      </c>
      <c r="B41">
        <f>IFERROR(__xludf.DUMMYFUNCTION("""COMPUTED_VALUE"""),"チェンソーマン")</f>
        <v/>
      </c>
      <c r="C41">
        <f>IFERROR(__xludf.DUMMYFUNCTION("""COMPUTED_VALUE"""),"00901")</f>
        <v/>
      </c>
      <c r="D41">
        <f>IFERROR(__xludf.DUMMYFUNCTION("""COMPUTED_VALUE"""),"chara_chi_00901")</f>
        <v/>
      </c>
      <c r="E41">
        <f>IFERROR(__xludf.DUMMYFUNCTION("""COMPUTED_VALUE"""),"レゼ")</f>
        <v/>
      </c>
      <c r="F41">
        <f>IFERROR(__xludf.DUMMYFUNCTION("""COMPUTED_VALUE"""),"選定中")</f>
        <v/>
      </c>
      <c r="H41">
        <f>IFERROR(__xludf.DUMMYFUNCTION("""COMPUTED_VALUE"""),"UR")</f>
        <v/>
      </c>
      <c r="K41">
        <f>IFERROR(__xludf.DUMMYFUNCTION("""COMPUTED_VALUE"""),"chara")</f>
        <v/>
      </c>
    </row>
    <row r="42">
      <c r="A42">
        <f>IFERROR(__xludf.DUMMYFUNCTION("""COMPUTED_VALUE"""),"bat")</f>
        <v/>
      </c>
      <c r="B42">
        <f>IFERROR(__xludf.DUMMYFUNCTION("""COMPUTED_VALUE"""),"忘却バッテリー")</f>
        <v/>
      </c>
      <c r="C42">
        <f>IFERROR(__xludf.DUMMYFUNCTION("""COMPUTED_VALUE"""),"00001")</f>
        <v/>
      </c>
      <c r="D42">
        <f>IFERROR(__xludf.DUMMYFUNCTION("""COMPUTED_VALUE"""),"chara_bat_00001")</f>
        <v/>
      </c>
      <c r="E42">
        <f>IFERROR(__xludf.DUMMYFUNCTION("""COMPUTED_VALUE"""),"清峰 葉流火")</f>
        <v/>
      </c>
      <c r="F42">
        <f>IFERROR(__xludf.DUMMYFUNCTION("""COMPUTED_VALUE"""),"清峰 葉流火")</f>
        <v/>
      </c>
      <c r="G42">
        <f>IFERROR(__xludf.DUMMYFUNCTION("""COMPUTED_VALUE"""),"負ける気なんて毛頭ない")</f>
        <v/>
      </c>
      <c r="H42">
        <f>IFERROR(__xludf.DUMMYFUNCTION("""COMPUTED_VALUE"""),"SR")</f>
        <v/>
      </c>
      <c r="I42">
        <f>IFERROR(__xludf.DUMMYFUNCTION("""COMPUTED_VALUE"""),"PremiumSR")</f>
        <v/>
      </c>
      <c r="J42">
        <f>IFERROR(__xludf.DUMMYFUNCTION("""COMPUTED_VALUE"""),"赤")</f>
        <v/>
      </c>
      <c r="K42">
        <f>IFERROR(__xludf.DUMMYFUNCTION("""COMPUTED_VALUE"""),"chara")</f>
        <v/>
      </c>
      <c r="L42">
        <f>IFERROR(__xludf.DUMMYFUNCTION("""COMPUTED_VALUE"""),"アタック")</f>
        <v/>
      </c>
      <c r="M42">
        <f>IFERROR(__xludf.DUMMYFUNCTION("""COMPUTED_VALUE"""),"dageki_1")</f>
        <v/>
      </c>
      <c r="N42">
        <f>IFERROR(__xludf.DUMMYFUNCTION("""COMPUTED_VALUE"""),"Long")</f>
        <v/>
      </c>
      <c r="O42">
        <f>IFERROR(__xludf.DUMMYFUNCTION("""COMPUTED_VALUE"""),"dageki_2")</f>
        <v/>
      </c>
      <c r="P42">
        <f>IFERROR(__xludf.DUMMYFUNCTION("""COMPUTED_VALUE"""),"00001")</f>
        <v/>
      </c>
      <c r="Q42">
        <f>IFERROR(__xludf.DUMMYFUNCTION("""COMPUTED_VALUE"""),"1.97")</f>
        <v/>
      </c>
      <c r="R42">
        <f>IFERROR(__xludf.DUMMYFUNCTION("""COMPUTED_VALUE"""),"0.70")</f>
        <v/>
      </c>
      <c r="S42">
        <f>IFERROR(__xludf.DUMMYFUNCTION("""COMPUTED_VALUE"""),"2.07")</f>
        <v/>
      </c>
      <c r="T42">
        <f>IFERROR(__xludf.DUMMYFUNCTION("""COMPUTED_VALUE"""),"0.96")</f>
        <v/>
      </c>
      <c r="U42">
        <f>IFERROR(__xludf.DUMMYFUNCTION("""COMPUTED_VALUE"""),45922.458333333336)</f>
        <v/>
      </c>
      <c r="V42">
        <f>IFERROR(__xludf.DUMMYFUNCTION("""COMPUTED_VALUE"""),390812.49998842593)</f>
        <v/>
      </c>
      <c r="W42">
        <f>IFERROR(__xludf.DUMMYFUNCTION("""COMPUTED_VALUE"""),"catchcopy_character_chara_bat_00001.png")</f>
        <v/>
      </c>
      <c r="X42">
        <f>IFERROR(__xludf.DUMMYFUNCTION("""COMPUTED_VALUE"""),"enemy_icon_chara_bat_00001")</f>
        <v/>
      </c>
      <c r="Y42">
        <f>IFERROR(__xludf.DUMMYFUNCTION("""COMPUTED_VALUE"""),"boss_icon_chara_bat_00001")</f>
        <v/>
      </c>
      <c r="Z42">
        <f>IFERROR(__xludf.DUMMYFUNCTION("""COMPUTED_VALUE"""),"chara_bat_00001_normal")</f>
        <v/>
      </c>
      <c r="AA42">
        <f>IFERROR(__xludf.DUMMYFUNCTION("""COMPUTED_VALUE"""),"chara_bat_00001_special")</f>
        <v/>
      </c>
    </row>
    <row r="43">
      <c r="A43">
        <f>IFERROR(__xludf.DUMMYFUNCTION("""COMPUTED_VALUE"""),"bat")</f>
        <v/>
      </c>
      <c r="B43">
        <f>IFERROR(__xludf.DUMMYFUNCTION("""COMPUTED_VALUE"""),"忘却バッテリー")</f>
        <v/>
      </c>
      <c r="C43">
        <f>IFERROR(__xludf.DUMMYFUNCTION("""COMPUTED_VALUE"""),"00101")</f>
        <v/>
      </c>
      <c r="D43">
        <f>IFERROR(__xludf.DUMMYFUNCTION("""COMPUTED_VALUE"""),"chara_bat_00101")</f>
        <v/>
      </c>
      <c r="E43">
        <f>IFERROR(__xludf.DUMMYFUNCTION("""COMPUTED_VALUE"""),"要 圭")</f>
        <v/>
      </c>
      <c r="F43">
        <f>IFERROR(__xludf.DUMMYFUNCTION("""COMPUTED_VALUE"""),"要 圭")</f>
        <v/>
      </c>
      <c r="G43">
        <f>IFERROR(__xludf.DUMMYFUNCTION("""COMPUTED_VALUE"""),"天才捕手 要圭")</f>
        <v/>
      </c>
      <c r="H43">
        <f>IFERROR(__xludf.DUMMYFUNCTION("""COMPUTED_VALUE"""),"SR")</f>
        <v/>
      </c>
      <c r="I43">
        <f>IFERROR(__xludf.DUMMYFUNCTION("""COMPUTED_VALUE"""),"PremiumSR")</f>
        <v/>
      </c>
      <c r="J43">
        <f>IFERROR(__xludf.DUMMYFUNCTION("""COMPUTED_VALUE"""),"赤")</f>
        <v/>
      </c>
      <c r="K43">
        <f>IFERROR(__xludf.DUMMYFUNCTION("""COMPUTED_VALUE"""),"chara")</f>
        <v/>
      </c>
      <c r="L43">
        <f>IFERROR(__xludf.DUMMYFUNCTION("""COMPUTED_VALUE"""),"ディフェンス")</f>
        <v/>
      </c>
      <c r="M43">
        <f>IFERROR(__xludf.DUMMYFUNCTION("""COMPUTED_VALUE"""),"dageki_1")</f>
        <v/>
      </c>
      <c r="N43">
        <f>IFERROR(__xludf.DUMMYFUNCTION("""COMPUTED_VALUE"""),"Middle")</f>
        <v/>
      </c>
      <c r="O43">
        <f>IFERROR(__xludf.DUMMYFUNCTION("""COMPUTED_VALUE"""),"-")</f>
        <v/>
      </c>
      <c r="P43">
        <f>IFERROR(__xludf.DUMMYFUNCTION("""COMPUTED_VALUE"""),"00101")</f>
        <v/>
      </c>
      <c r="R43">
        <f>IFERROR(__xludf.DUMMYFUNCTION("""COMPUTED_VALUE"""),"0.75")</f>
        <v/>
      </c>
      <c r="S43">
        <f>IFERROR(__xludf.DUMMYFUNCTION("""COMPUTED_VALUE"""),"3.00")</f>
        <v/>
      </c>
      <c r="T43">
        <f>IFERROR(__xludf.DUMMYFUNCTION("""COMPUTED_VALUE"""),"1.20")</f>
        <v/>
      </c>
      <c r="U43">
        <f>IFERROR(__xludf.DUMMYFUNCTION("""COMPUTED_VALUE"""),45922.458333333336)</f>
        <v/>
      </c>
      <c r="V43">
        <f>IFERROR(__xludf.DUMMYFUNCTION("""COMPUTED_VALUE"""),390812.49998842593)</f>
        <v/>
      </c>
      <c r="W43">
        <f>IFERROR(__xludf.DUMMYFUNCTION("""COMPUTED_VALUE"""),"catchcopy_character_chara_bat_00101.png")</f>
        <v/>
      </c>
      <c r="X43">
        <f>IFERROR(__xludf.DUMMYFUNCTION("""COMPUTED_VALUE"""),"enemy_icon_chara_bat_00101")</f>
        <v/>
      </c>
      <c r="Y43">
        <f>IFERROR(__xludf.DUMMYFUNCTION("""COMPUTED_VALUE"""),"boss_icon_chara_bat_00101")</f>
        <v/>
      </c>
      <c r="Z43">
        <f>IFERROR(__xludf.DUMMYFUNCTION("""COMPUTED_VALUE"""),"chara_bat_00101_normal")</f>
        <v/>
      </c>
      <c r="AA43">
        <f>IFERROR(__xludf.DUMMYFUNCTION("""COMPUTED_VALUE"""),"chara_bat_00101_special")</f>
        <v/>
      </c>
    </row>
    <row r="44">
      <c r="A44">
        <f>IFERROR(__xludf.DUMMYFUNCTION("""COMPUTED_VALUE"""),"bat")</f>
        <v/>
      </c>
      <c r="B44">
        <f>IFERROR(__xludf.DUMMYFUNCTION("""COMPUTED_VALUE"""),"忘却バッテリー")</f>
        <v/>
      </c>
      <c r="C44">
        <f>IFERROR(__xludf.DUMMYFUNCTION("""COMPUTED_VALUE"""),"00102")</f>
        <v/>
      </c>
      <c r="D44">
        <f>IFERROR(__xludf.DUMMYFUNCTION("""COMPUTED_VALUE"""),"chara_bat_00102")</f>
        <v/>
      </c>
      <c r="E44">
        <f>IFERROR(__xludf.DUMMYFUNCTION("""COMPUTED_VALUE"""),"智将 要 圭")</f>
        <v/>
      </c>
      <c r="F44">
        <f>IFERROR(__xludf.DUMMYFUNCTION("""COMPUTED_VALUE"""),"選定中")</f>
        <v/>
      </c>
      <c r="H44">
        <f>IFERROR(__xludf.DUMMYFUNCTION("""COMPUTED_VALUE"""),"UR")</f>
        <v/>
      </c>
      <c r="I44">
        <f>IFERROR(__xludf.DUMMYFUNCTION("""COMPUTED_VALUE"""),"PremiumUR")</f>
        <v/>
      </c>
      <c r="J44">
        <f>IFERROR(__xludf.DUMMYFUNCTION("""COMPUTED_VALUE"""),"無")</f>
        <v/>
      </c>
      <c r="K44">
        <f>IFERROR(__xludf.DUMMYFUNCTION("""COMPUTED_VALUE"""),"chara")</f>
        <v/>
      </c>
      <c r="L44">
        <f>IFERROR(__xludf.DUMMYFUNCTION("""COMPUTED_VALUE"""),"スペシャル")</f>
        <v/>
      </c>
      <c r="Q44">
        <f>IFERROR(__xludf.DUMMYFUNCTION("""COMPUTED_VALUE"""),"-")</f>
        <v/>
      </c>
      <c r="R44">
        <f>IFERROR(__xludf.DUMMYFUNCTION("""COMPUTED_VALUE"""),"-")</f>
        <v/>
      </c>
      <c r="S44">
        <f>IFERROR(__xludf.DUMMYFUNCTION("""COMPUTED_VALUE"""),"2.5")</f>
        <v/>
      </c>
      <c r="T44">
        <f>IFERROR(__xludf.DUMMYFUNCTION("""COMPUTED_VALUE"""),"stop無:1回目 1")</f>
        <v/>
      </c>
    </row>
    <row r="45">
      <c r="A45">
        <f>IFERROR(__xludf.DUMMYFUNCTION("""COMPUTED_VALUE"""),"bat")</f>
        <v/>
      </c>
      <c r="B45">
        <f>IFERROR(__xludf.DUMMYFUNCTION("""COMPUTED_VALUE"""),"忘却バッテリー")</f>
        <v/>
      </c>
      <c r="C45">
        <f>IFERROR(__xludf.DUMMYFUNCTION("""COMPUTED_VALUE"""),"00201")</f>
        <v/>
      </c>
      <c r="D45">
        <f>IFERROR(__xludf.DUMMYFUNCTION("""COMPUTED_VALUE"""),"chara_bat_00201")</f>
        <v/>
      </c>
      <c r="E45">
        <f>IFERROR(__xludf.DUMMYFUNCTION("""COMPUTED_VALUE"""),"千早 瞬平")</f>
        <v/>
      </c>
      <c r="F45">
        <f>IFERROR(__xludf.DUMMYFUNCTION("""COMPUTED_VALUE"""),"選定中")</f>
        <v/>
      </c>
      <c r="H45">
        <f>IFERROR(__xludf.DUMMYFUNCTION("""COMPUTED_VALUE"""),"SR")</f>
        <v/>
      </c>
      <c r="I45">
        <f>IFERROR(__xludf.DUMMYFUNCTION("""COMPUTED_VALUE"""),"DropSR")</f>
        <v/>
      </c>
      <c r="J45">
        <f>IFERROR(__xludf.DUMMYFUNCTION("""COMPUTED_VALUE"""),"緑")</f>
        <v/>
      </c>
      <c r="K45">
        <f>IFERROR(__xludf.DUMMYFUNCTION("""COMPUTED_VALUE"""),"chara")</f>
        <v/>
      </c>
      <c r="Q45">
        <f>IFERROR(__xludf.DUMMYFUNCTION("""COMPUTED_VALUE"""),"1.55")</f>
        <v/>
      </c>
      <c r="R45">
        <f>IFERROR(__xludf.DUMMYFUNCTION("""COMPUTED_VALUE"""),"stop有:1回目 0.38")</f>
        <v/>
      </c>
      <c r="S45">
        <f>IFERROR(__xludf.DUMMYFUNCTION("""COMPUTED_VALUE"""),"2.65")</f>
        <v/>
      </c>
      <c r="T45">
        <f>IFERROR(__xludf.DUMMYFUNCTION("""COMPUTED_VALUE"""),"stop有:1回目 1.08")</f>
        <v/>
      </c>
    </row>
    <row r="46">
      <c r="A46">
        <f>IFERROR(__xludf.DUMMYFUNCTION("""COMPUTED_VALUE"""),"bat")</f>
        <v/>
      </c>
      <c r="B46">
        <f>IFERROR(__xludf.DUMMYFUNCTION("""COMPUTED_VALUE"""),"忘却バッテリー")</f>
        <v/>
      </c>
      <c r="C46">
        <f>IFERROR(__xludf.DUMMYFUNCTION("""COMPUTED_VALUE"""),"00301")</f>
        <v/>
      </c>
      <c r="D46">
        <f>IFERROR(__xludf.DUMMYFUNCTION("""COMPUTED_VALUE"""),"chara_bat_00301")</f>
        <v/>
      </c>
      <c r="E46">
        <f>IFERROR(__xludf.DUMMYFUNCTION("""COMPUTED_VALUE"""),"藤堂 葵")</f>
        <v/>
      </c>
      <c r="F46">
        <f>IFERROR(__xludf.DUMMYFUNCTION("""COMPUTED_VALUE"""),"選定中")</f>
        <v/>
      </c>
      <c r="H46">
        <f>IFERROR(__xludf.DUMMYFUNCTION("""COMPUTED_VALUE"""),"SR")</f>
        <v/>
      </c>
      <c r="I46">
        <f>IFERROR(__xludf.DUMMYFUNCTION("""COMPUTED_VALUE"""),"DropSR")</f>
        <v/>
      </c>
      <c r="J46">
        <f>IFERROR(__xludf.DUMMYFUNCTION("""COMPUTED_VALUE"""),"青")</f>
        <v/>
      </c>
      <c r="K46">
        <f>IFERROR(__xludf.DUMMYFUNCTION("""COMPUTED_VALUE"""),"chara")</f>
        <v/>
      </c>
      <c r="Q46">
        <f>IFERROR(__xludf.DUMMYFUNCTION("""COMPUTED_VALUE"""),"1.77")</f>
        <v/>
      </c>
      <c r="R46">
        <f>IFERROR(__xludf.DUMMYFUNCTION("""COMPUTED_VALUE"""),"stop有:1回目 0.7")</f>
        <v/>
      </c>
      <c r="S46">
        <f>IFERROR(__xludf.DUMMYFUNCTION("""COMPUTED_VALUE"""),"2.67")</f>
        <v/>
      </c>
      <c r="T46">
        <f>IFERROR(__xludf.DUMMYFUNCTION("""COMPUTED_VALUE"""),"stop有:1回目 1.15")</f>
        <v/>
      </c>
    </row>
    <row r="47">
      <c r="A47">
        <f>IFERROR(__xludf.DUMMYFUNCTION("""COMPUTED_VALUE"""),"kai")</f>
        <v/>
      </c>
      <c r="B47">
        <f>IFERROR(__xludf.DUMMYFUNCTION("""COMPUTED_VALUE"""),"怪獣８号")</f>
        <v/>
      </c>
      <c r="C47">
        <f>IFERROR(__xludf.DUMMYFUNCTION("""COMPUTED_VALUE"""),"00001")</f>
        <v/>
      </c>
      <c r="D47">
        <f>IFERROR(__xludf.DUMMYFUNCTION("""COMPUTED_VALUE"""),"chara_kai_00001")</f>
        <v/>
      </c>
      <c r="E47">
        <f>IFERROR(__xludf.DUMMYFUNCTION("""COMPUTED_VALUE"""),"日比野 カフカ")</f>
        <v/>
      </c>
      <c r="F47">
        <f>IFERROR(__xludf.DUMMYFUNCTION("""COMPUTED_VALUE"""),"日比野 カフカ")</f>
        <v/>
      </c>
      <c r="G47">
        <f>IFERROR(__xludf.DUMMYFUNCTION("""COMPUTED_VALUE"""),"部分変身!!")</f>
        <v/>
      </c>
      <c r="H47">
        <f>IFERROR(__xludf.DUMMYFUNCTION("""COMPUTED_VALUE"""),"R")</f>
        <v/>
      </c>
      <c r="I47">
        <f>IFERROR(__xludf.DUMMYFUNCTION("""COMPUTED_VALUE"""),"PremiumR")</f>
        <v/>
      </c>
      <c r="J47">
        <f>IFERROR(__xludf.DUMMYFUNCTION("""COMPUTED_VALUE"""),"黄")</f>
        <v/>
      </c>
      <c r="K47">
        <f>IFERROR(__xludf.DUMMYFUNCTION("""COMPUTED_VALUE"""),"chara")</f>
        <v/>
      </c>
      <c r="L47">
        <f>IFERROR(__xludf.DUMMYFUNCTION("""COMPUTED_VALUE"""),"アタック")</f>
        <v/>
      </c>
      <c r="M47">
        <f>IFERROR(__xludf.DUMMYFUNCTION("""COMPUTED_VALUE"""),"dageki_1")</f>
        <v/>
      </c>
      <c r="N47">
        <f>IFERROR(__xludf.DUMMYFUNCTION("""COMPUTED_VALUE"""),"Short")</f>
        <v/>
      </c>
      <c r="O47">
        <f>IFERROR(__xludf.DUMMYFUNCTION("""COMPUTED_VALUE"""),"-")</f>
        <v/>
      </c>
      <c r="P47">
        <f>IFERROR(__xludf.DUMMYFUNCTION("""COMPUTED_VALUE"""),"00001")</f>
        <v/>
      </c>
      <c r="Q47">
        <f>IFERROR(__xludf.DUMMYFUNCTION("""COMPUTED_VALUE"""),"1.83")</f>
        <v/>
      </c>
      <c r="R47">
        <f>IFERROR(__xludf.DUMMYFUNCTION("""COMPUTED_VALUE"""),"1.00")</f>
        <v/>
      </c>
      <c r="S47">
        <f>IFERROR(__xludf.DUMMYFUNCTION("""COMPUTED_VALUE"""),"2.33")</f>
        <v/>
      </c>
      <c r="T47">
        <f>IFERROR(__xludf.DUMMYFUNCTION("""COMPUTED_VALUE"""),"1.33")</f>
        <v/>
      </c>
      <c r="U47">
        <f>IFERROR(__xludf.DUMMYFUNCTION("""COMPUTED_VALUE"""),45922.458333333336)</f>
        <v/>
      </c>
      <c r="V47">
        <f>IFERROR(__xludf.DUMMYFUNCTION("""COMPUTED_VALUE"""),390812.49998842593)</f>
        <v/>
      </c>
      <c r="W47">
        <f>IFERROR(__xludf.DUMMYFUNCTION("""COMPUTED_VALUE"""),"catchcopy_character_chara_kai_00001.png")</f>
        <v/>
      </c>
      <c r="X47">
        <f>IFERROR(__xludf.DUMMYFUNCTION("""COMPUTED_VALUE"""),"enemy_icon_chara_kai_00001")</f>
        <v/>
      </c>
      <c r="Y47">
        <f>IFERROR(__xludf.DUMMYFUNCTION("""COMPUTED_VALUE"""),"boss_icon_chara_kai_00001")</f>
        <v/>
      </c>
      <c r="AA47">
        <f>IFERROR(__xludf.DUMMYFUNCTION("""COMPUTED_VALUE"""),"chara_kai_00001_special")</f>
        <v/>
      </c>
    </row>
    <row r="48">
      <c r="A48">
        <f>IFERROR(__xludf.DUMMYFUNCTION("""COMPUTED_VALUE"""),"kai")</f>
        <v/>
      </c>
      <c r="B48">
        <f>IFERROR(__xludf.DUMMYFUNCTION("""COMPUTED_VALUE"""),"怪獣８号")</f>
        <v/>
      </c>
      <c r="C48">
        <f>IFERROR(__xludf.DUMMYFUNCTION("""COMPUTED_VALUE"""),"00002")</f>
        <v/>
      </c>
      <c r="D48">
        <f>IFERROR(__xludf.DUMMYFUNCTION("""COMPUTED_VALUE"""),"chara_kai_00002")</f>
        <v/>
      </c>
      <c r="E48">
        <f>IFERROR(__xludf.DUMMYFUNCTION("""COMPUTED_VALUE"""),"隠された英雄の姿 怪獣８号")</f>
        <v/>
      </c>
      <c r="F48">
        <f>IFERROR(__xludf.DUMMYFUNCTION("""COMPUTED_VALUE"""),"隠された英雄の姿 怪獣８号")</f>
        <v/>
      </c>
      <c r="G48">
        <f>IFERROR(__xludf.DUMMYFUNCTION("""COMPUTED_VALUE"""),"あとは俺に任せろ")</f>
        <v/>
      </c>
      <c r="H48">
        <f>IFERROR(__xludf.DUMMYFUNCTION("""COMPUTED_VALUE"""),"UR")</f>
        <v/>
      </c>
      <c r="I48">
        <f>IFERROR(__xludf.DUMMYFUNCTION("""COMPUTED_VALUE"""),"PremiumUR")</f>
        <v/>
      </c>
      <c r="J48">
        <f>IFERROR(__xludf.DUMMYFUNCTION("""COMPUTED_VALUE"""),"緑")</f>
        <v/>
      </c>
      <c r="K48">
        <f>IFERROR(__xludf.DUMMYFUNCTION("""COMPUTED_VALUE"""),"chara")</f>
        <v/>
      </c>
      <c r="L48">
        <f>IFERROR(__xludf.DUMMYFUNCTION("""COMPUTED_VALUE"""),"アタック")</f>
        <v/>
      </c>
      <c r="M48">
        <f>IFERROR(__xludf.DUMMYFUNCTION("""COMPUTED_VALUE"""),"dageki_1")</f>
        <v/>
      </c>
      <c r="N48">
        <f>IFERROR(__xludf.DUMMYFUNCTION("""COMPUTED_VALUE"""),"Short")</f>
        <v/>
      </c>
      <c r="O48">
        <f>IFERROR(__xludf.DUMMYFUNCTION("""COMPUTED_VALUE"""),"dageki_2")</f>
        <v/>
      </c>
      <c r="P48">
        <f>IFERROR(__xludf.DUMMYFUNCTION("""COMPUTED_VALUE"""),"00002")</f>
        <v/>
      </c>
      <c r="Q48">
        <f>IFERROR(__xludf.DUMMYFUNCTION("""COMPUTED_VALUE"""),"1.50")</f>
        <v/>
      </c>
      <c r="R48">
        <f>IFERROR(__xludf.DUMMYFUNCTION("""COMPUTED_VALUE"""),"stop無:1回目 0.54")</f>
        <v/>
      </c>
      <c r="S48">
        <f>IFERROR(__xludf.DUMMYFUNCTION("""COMPUTED_VALUE"""),"2.40")</f>
        <v/>
      </c>
      <c r="T48">
        <f>IFERROR(__xludf.DUMMYFUNCTION("""COMPUTED_VALUE"""),"stop有:1回目 1.00
stop無:2回目 1.37
stop無:3回目 1.54
stop無:4回目 1.70
stop無:5回目 1.87
stop無:6回目 2.04")</f>
        <v/>
      </c>
      <c r="U48">
        <f>IFERROR(__xludf.DUMMYFUNCTION("""COMPUTED_VALUE"""),45922.458333333336)</f>
        <v/>
      </c>
      <c r="V48">
        <f>IFERROR(__xludf.DUMMYFUNCTION("""COMPUTED_VALUE"""),390812.49998842593)</f>
        <v/>
      </c>
      <c r="W48">
        <f>IFERROR(__xludf.DUMMYFUNCTION("""COMPUTED_VALUE"""),"catchcopy_character_chara_kai_00002.png")</f>
        <v/>
      </c>
      <c r="X48">
        <f>IFERROR(__xludf.DUMMYFUNCTION("""COMPUTED_VALUE"""),"enemy_icon_chara_kai_00002")</f>
        <v/>
      </c>
      <c r="Y48">
        <f>IFERROR(__xludf.DUMMYFUNCTION("""COMPUTED_VALUE"""),"boss_icon_chara_kai_00002")</f>
        <v/>
      </c>
      <c r="Z48">
        <f>IFERROR(__xludf.DUMMYFUNCTION("""COMPUTED_VALUE"""),"chara_kai_00002_normal")</f>
        <v/>
      </c>
      <c r="AA48">
        <f>IFERROR(__xludf.DUMMYFUNCTION("""COMPUTED_VALUE"""),"chara_kai_00002_special")</f>
        <v/>
      </c>
    </row>
    <row r="49">
      <c r="A49">
        <f>IFERROR(__xludf.DUMMYFUNCTION("""COMPUTED_VALUE"""),"kai")</f>
        <v/>
      </c>
      <c r="B49">
        <f>IFERROR(__xludf.DUMMYFUNCTION("""COMPUTED_VALUE"""),"怪獣８号")</f>
        <v/>
      </c>
      <c r="C49">
        <f>IFERROR(__xludf.DUMMYFUNCTION("""COMPUTED_VALUE"""),"00003")</f>
        <v/>
      </c>
      <c r="D49">
        <f>IFERROR(__xludf.DUMMYFUNCTION("""COMPUTED_VALUE"""),"chara_kai_00003")</f>
        <v/>
      </c>
      <c r="E49">
        <f>IFERROR(__xludf.DUMMYFUNCTION("""COMPUTED_VALUE"""),"ドレスアップ怪獣８号")</f>
        <v/>
      </c>
      <c r="F49">
        <f>IFERROR(__xludf.DUMMYFUNCTION("""COMPUTED_VALUE"""),"選定中")</f>
        <v/>
      </c>
      <c r="H49">
        <f>IFERROR(__xludf.DUMMYFUNCTION("""COMPUTED_VALUE"""),"UR")</f>
        <v/>
      </c>
      <c r="I49">
        <f>IFERROR(__xludf.DUMMYFUNCTION("""COMPUTED_VALUE"""),"PremiumUR")</f>
        <v/>
      </c>
      <c r="K49">
        <f>IFERROR(__xludf.DUMMYFUNCTION("""COMPUTED_VALUE"""),"chara")</f>
        <v/>
      </c>
    </row>
    <row r="50">
      <c r="A50">
        <f>IFERROR(__xludf.DUMMYFUNCTION("""COMPUTED_VALUE"""),"kai")</f>
        <v/>
      </c>
      <c r="B50">
        <f>IFERROR(__xludf.DUMMYFUNCTION("""COMPUTED_VALUE"""),"怪獣８号")</f>
        <v/>
      </c>
      <c r="C50">
        <f>IFERROR(__xludf.DUMMYFUNCTION("""COMPUTED_VALUE"""),"00101")</f>
        <v/>
      </c>
      <c r="D50">
        <f>IFERROR(__xludf.DUMMYFUNCTION("""COMPUTED_VALUE"""),"chara_kai_00101")</f>
        <v/>
      </c>
      <c r="E50">
        <f>IFERROR(__xludf.DUMMYFUNCTION("""COMPUTED_VALUE"""),"市川 レノ")</f>
        <v/>
      </c>
      <c r="F50">
        <f>IFERROR(__xludf.DUMMYFUNCTION("""COMPUTED_VALUE"""),"市川 レノ")</f>
        <v/>
      </c>
      <c r="G50">
        <f>IFERROR(__xludf.DUMMYFUNCTION("""COMPUTED_VALUE"""),"仲間のために体張れる男だ!!")</f>
        <v/>
      </c>
      <c r="H50">
        <f>IFERROR(__xludf.DUMMYFUNCTION("""COMPUTED_VALUE"""),"SR")</f>
        <v/>
      </c>
      <c r="I50">
        <f>IFERROR(__xludf.DUMMYFUNCTION("""COMPUTED_VALUE"""),"PremiumSR")</f>
        <v/>
      </c>
      <c r="J50">
        <f>IFERROR(__xludf.DUMMYFUNCTION("""COMPUTED_VALUE"""),"青")</f>
        <v/>
      </c>
      <c r="K50">
        <f>IFERROR(__xludf.DUMMYFUNCTION("""COMPUTED_VALUE"""),"chara")</f>
        <v/>
      </c>
      <c r="L50">
        <f>IFERROR(__xludf.DUMMYFUNCTION("""COMPUTED_VALUE"""),"テクニカル")</f>
        <v/>
      </c>
      <c r="M50">
        <f>IFERROR(__xludf.DUMMYFUNCTION("""COMPUTED_VALUE"""),"shageki_1")</f>
        <v/>
      </c>
      <c r="N50">
        <f>IFERROR(__xludf.DUMMYFUNCTION("""COMPUTED_VALUE"""),"Long")</f>
        <v/>
      </c>
      <c r="O50">
        <f>IFERROR(__xludf.DUMMYFUNCTION("""COMPUTED_VALUE"""),"shageki_1")</f>
        <v/>
      </c>
      <c r="P50">
        <f>IFERROR(__xludf.DUMMYFUNCTION("""COMPUTED_VALUE"""),"00101")</f>
        <v/>
      </c>
      <c r="Q50">
        <f>IFERROR(__xludf.DUMMYFUNCTION("""COMPUTED_VALUE"""),"1.40")</f>
        <v/>
      </c>
      <c r="R50">
        <f>IFERROR(__xludf.DUMMYFUNCTION("""COMPUTED_VALUE"""),"stop無:1回目 0.91")</f>
        <v/>
      </c>
      <c r="S50">
        <f>IFERROR(__xludf.DUMMYFUNCTION("""COMPUTED_VALUE"""),"3.17")</f>
        <v/>
      </c>
      <c r="T50">
        <f>IFERROR(__xludf.DUMMYFUNCTION("""COMPUTED_VALUE"""),"stop無:1回目 1.05
stop無:2回目 1.33
stop無:3回目 1.76")</f>
        <v/>
      </c>
      <c r="U50">
        <f>IFERROR(__xludf.DUMMYFUNCTION("""COMPUTED_VALUE"""),45922.458333333336)</f>
        <v/>
      </c>
      <c r="V50">
        <f>IFERROR(__xludf.DUMMYFUNCTION("""COMPUTED_VALUE"""),390812.49998842593)</f>
        <v/>
      </c>
      <c r="W50">
        <f>IFERROR(__xludf.DUMMYFUNCTION("""COMPUTED_VALUE"""),"catchcopy_character_chara_kai_00101.png")</f>
        <v/>
      </c>
      <c r="X50">
        <f>IFERROR(__xludf.DUMMYFUNCTION("""COMPUTED_VALUE"""),"enemy_icon_chara_kai_00101")</f>
        <v/>
      </c>
      <c r="Y50">
        <f>IFERROR(__xludf.DUMMYFUNCTION("""COMPUTED_VALUE"""),"boss_icon_chara_kai_00101")</f>
        <v/>
      </c>
      <c r="Z50">
        <f>IFERROR(__xludf.DUMMYFUNCTION("""COMPUTED_VALUE"""),"chara_kai_00101_normal")</f>
        <v/>
      </c>
      <c r="AA50">
        <f>IFERROR(__xludf.DUMMYFUNCTION("""COMPUTED_VALUE"""),"chara_kai_00101_special")</f>
        <v/>
      </c>
    </row>
    <row r="51">
      <c r="A51">
        <f>IFERROR(__xludf.DUMMYFUNCTION("""COMPUTED_VALUE"""),"kai")</f>
        <v/>
      </c>
      <c r="B51">
        <f>IFERROR(__xludf.DUMMYFUNCTION("""COMPUTED_VALUE"""),"怪獣８号")</f>
        <v/>
      </c>
      <c r="C51">
        <f>IFERROR(__xludf.DUMMYFUNCTION("""COMPUTED_VALUE"""),"00102")</f>
        <v/>
      </c>
      <c r="D51">
        <f>IFERROR(__xludf.DUMMYFUNCTION("""COMPUTED_VALUE"""),"chara_kai_00102")</f>
        <v/>
      </c>
      <c r="E51">
        <f>IFERROR(__xludf.DUMMYFUNCTION("""COMPUTED_VALUE"""),"識別怪獣兵器6 市川 レノ")</f>
        <v/>
      </c>
      <c r="F51">
        <f>IFERROR(__xludf.DUMMYFUNCTION("""COMPUTED_VALUE"""),"識別怪獣兵器6 市川 レノ")</f>
        <v/>
      </c>
      <c r="G51">
        <f>IFERROR(__xludf.DUMMYFUNCTION("""COMPUTED_VALUE"""),"俺が 切り開く")</f>
        <v/>
      </c>
      <c r="H51">
        <f>IFERROR(__xludf.DUMMYFUNCTION("""COMPUTED_VALUE"""),"UR")</f>
        <v/>
      </c>
      <c r="I51">
        <f>IFERROR(__xludf.DUMMYFUNCTION("""COMPUTED_VALUE"""),"PremiumUR")</f>
        <v/>
      </c>
      <c r="J51">
        <f>IFERROR(__xludf.DUMMYFUNCTION("""COMPUTED_VALUE"""),"黄")</f>
        <v/>
      </c>
      <c r="K51">
        <f>IFERROR(__xludf.DUMMYFUNCTION("""COMPUTED_VALUE"""),"chara")</f>
        <v/>
      </c>
      <c r="L51">
        <f>IFERROR(__xludf.DUMMYFUNCTION("""COMPUTED_VALUE"""),"テクニカル")</f>
        <v/>
      </c>
      <c r="M51">
        <f>IFERROR(__xludf.DUMMYFUNCTION("""COMPUTED_VALUE"""),"shageki_1")</f>
        <v/>
      </c>
      <c r="Q51">
        <f>IFERROR(__xludf.DUMMYFUNCTION("""COMPUTED_VALUE"""),"1.77")</f>
        <v/>
      </c>
      <c r="R51">
        <f>IFERROR(__xludf.DUMMYFUNCTION("""COMPUTED_VALUE"""),"stop無:1回目 0.5
stop無:2回目 0.58
stop有:3回目 0.63")</f>
        <v/>
      </c>
      <c r="S51">
        <f>IFERROR(__xludf.DUMMYFUNCTION("""COMPUTED_VALUE"""),"3.17")</f>
        <v/>
      </c>
      <c r="T51">
        <f>IFERROR(__xludf.DUMMYFUNCTION("""COMPUTED_VALUE"""),"stop有:1回目 1.53")</f>
        <v/>
      </c>
      <c r="U51">
        <f>IFERROR(__xludf.DUMMYFUNCTION("""COMPUTED_VALUE"""),"2026/07/上旬")</f>
        <v/>
      </c>
      <c r="V51">
        <f>IFERROR(__xludf.DUMMYFUNCTION("""COMPUTED_VALUE"""),390812.49998842593)</f>
        <v/>
      </c>
      <c r="W51">
        <f>IFERROR(__xludf.DUMMYFUNCTION("""COMPUTED_VALUE"""),"catchcopy_character_chara_kai_00102.png")</f>
        <v/>
      </c>
      <c r="X51">
        <f>IFERROR(__xludf.DUMMYFUNCTION("""COMPUTED_VALUE"""),"enemy_icon_chara_kai_00102")</f>
        <v/>
      </c>
      <c r="Y51">
        <f>IFERROR(__xludf.DUMMYFUNCTION("""COMPUTED_VALUE"""),"boss_icon_chara_kai_00102")</f>
        <v/>
      </c>
    </row>
    <row r="52">
      <c r="A52">
        <f>IFERROR(__xludf.DUMMYFUNCTION("""COMPUTED_VALUE"""),"kai")</f>
        <v/>
      </c>
      <c r="B52">
        <f>IFERROR(__xludf.DUMMYFUNCTION("""COMPUTED_VALUE"""),"怪獣８号")</f>
        <v/>
      </c>
      <c r="C52">
        <f>IFERROR(__xludf.DUMMYFUNCTION("""COMPUTED_VALUE"""),"00201")</f>
        <v/>
      </c>
      <c r="D52">
        <f>IFERROR(__xludf.DUMMYFUNCTION("""COMPUTED_VALUE"""),"chara_kai_00201")</f>
        <v/>
      </c>
      <c r="E52">
        <f>IFERROR(__xludf.DUMMYFUNCTION("""COMPUTED_VALUE"""),"第三部隊隊長 亜白 ミナ")</f>
        <v/>
      </c>
      <c r="F52">
        <f>IFERROR(__xludf.DUMMYFUNCTION("""COMPUTED_VALUE"""),"第三部隊隊長 亜白 ミナ")</f>
        <v/>
      </c>
      <c r="G52">
        <f>IFERROR(__xludf.DUMMYFUNCTION("""COMPUTED_VALUE"""),"解放戦力 96%")</f>
        <v/>
      </c>
      <c r="H52">
        <f>IFERROR(__xludf.DUMMYFUNCTION("""COMPUTED_VALUE"""),"UR")</f>
        <v/>
      </c>
      <c r="I52">
        <f>IFERROR(__xludf.DUMMYFUNCTION("""COMPUTED_VALUE"""),"PremiumUR")</f>
        <v/>
      </c>
      <c r="J52">
        <f>IFERROR(__xludf.DUMMYFUNCTION("""COMPUTED_VALUE"""),"青")</f>
        <v/>
      </c>
      <c r="K52">
        <f>IFERROR(__xludf.DUMMYFUNCTION("""COMPUTED_VALUE"""),"chara")</f>
        <v/>
      </c>
      <c r="L52">
        <f>IFERROR(__xludf.DUMMYFUNCTION("""COMPUTED_VALUE"""),"アタック")</f>
        <v/>
      </c>
      <c r="M52">
        <f>IFERROR(__xludf.DUMMYFUNCTION("""COMPUTED_VALUE"""),"shageki_1")</f>
        <v/>
      </c>
      <c r="N52">
        <f>IFERROR(__xludf.DUMMYFUNCTION("""COMPUTED_VALUE"""),"Long")</f>
        <v/>
      </c>
      <c r="O52">
        <f>IFERROR(__xludf.DUMMYFUNCTION("""COMPUTED_VALUE"""),"shageki_1")</f>
        <v/>
      </c>
      <c r="P52">
        <f>IFERROR(__xludf.DUMMYFUNCTION("""COMPUTED_VALUE"""),"00201")</f>
        <v/>
      </c>
      <c r="Q52">
        <f>IFERROR(__xludf.DUMMYFUNCTION("""COMPUTED_VALUE"""),"1.50")</f>
        <v/>
      </c>
      <c r="R52">
        <f>IFERROR(__xludf.DUMMYFUNCTION("""COMPUTED_VALUE"""),"0.75")</f>
        <v/>
      </c>
      <c r="S52">
        <f>IFERROR(__xludf.DUMMYFUNCTION("""COMPUTED_VALUE"""),"4.41")</f>
        <v/>
      </c>
      <c r="T52">
        <f>IFERROR(__xludf.DUMMYFUNCTION("""COMPUTED_VALUE"""),"stop無:1回目 1.42
stop無:2回目 1.85
stop無:3回目 2.29
stop無:4回目 2.73
stop有:5回目 3.17")</f>
        <v/>
      </c>
      <c r="U52">
        <f>IFERROR(__xludf.DUMMYFUNCTION("""COMPUTED_VALUE"""),45922.458333333336)</f>
        <v/>
      </c>
      <c r="V52">
        <f>IFERROR(__xludf.DUMMYFUNCTION("""COMPUTED_VALUE"""),390812.49998842593)</f>
        <v/>
      </c>
      <c r="W52">
        <f>IFERROR(__xludf.DUMMYFUNCTION("""COMPUTED_VALUE"""),"catchcopy_character_chara_kai_00201.png")</f>
        <v/>
      </c>
      <c r="X52">
        <f>IFERROR(__xludf.DUMMYFUNCTION("""COMPUTED_VALUE"""),"enemy_icon_chara_kai_00201")</f>
        <v/>
      </c>
      <c r="Y52">
        <f>IFERROR(__xludf.DUMMYFUNCTION("""COMPUTED_VALUE"""),"boss_icon_chara_kai_00201")</f>
        <v/>
      </c>
      <c r="Z52">
        <f>IFERROR(__xludf.DUMMYFUNCTION("""COMPUTED_VALUE"""),"chara_kai_00201_normal")</f>
        <v/>
      </c>
      <c r="AA52">
        <f>IFERROR(__xludf.DUMMYFUNCTION("""COMPUTED_VALUE"""),"chara_kai_00201_special")</f>
        <v/>
      </c>
    </row>
    <row r="53">
      <c r="A53">
        <f>IFERROR(__xludf.DUMMYFUNCTION("""COMPUTED_VALUE"""),"kai")</f>
        <v/>
      </c>
      <c r="B53">
        <f>IFERROR(__xludf.DUMMYFUNCTION("""COMPUTED_VALUE"""),"怪獣８号")</f>
        <v/>
      </c>
      <c r="C53">
        <f>IFERROR(__xludf.DUMMYFUNCTION("""COMPUTED_VALUE"""),"00202")</f>
        <v/>
      </c>
      <c r="D53">
        <f>IFERROR(__xludf.DUMMYFUNCTION("""COMPUTED_VALUE"""),"chara_kai_00202")</f>
        <v/>
      </c>
      <c r="E53">
        <f>IFERROR(__xludf.DUMMYFUNCTION("""COMPUTED_VALUE"""),"超大型キラー 亜白 ミナ")</f>
        <v/>
      </c>
      <c r="F53">
        <f>IFERROR(__xludf.DUMMYFUNCTION("""COMPUTED_VALUE"""),"選定中")</f>
        <v/>
      </c>
      <c r="H53">
        <f>IFERROR(__xludf.DUMMYFUNCTION("""COMPUTED_VALUE"""),"UR")</f>
        <v/>
      </c>
      <c r="I53">
        <f>IFERROR(__xludf.DUMMYFUNCTION("""COMPUTED_VALUE"""),"FestivalUR")</f>
        <v/>
      </c>
      <c r="J53">
        <f>IFERROR(__xludf.DUMMYFUNCTION("""COMPUTED_VALUE"""),"無")</f>
        <v/>
      </c>
      <c r="K53">
        <f>IFERROR(__xludf.DUMMYFUNCTION("""COMPUTED_VALUE"""),"chara")</f>
        <v/>
      </c>
      <c r="L53">
        <f>IFERROR(__xludf.DUMMYFUNCTION("""COMPUTED_VALUE"""),"スペシャル")</f>
        <v/>
      </c>
    </row>
    <row r="54">
      <c r="A54">
        <f>IFERROR(__xludf.DUMMYFUNCTION("""COMPUTED_VALUE"""),"kai")</f>
        <v/>
      </c>
      <c r="B54">
        <f>IFERROR(__xludf.DUMMYFUNCTION("""COMPUTED_VALUE"""),"怪獣８号")</f>
        <v/>
      </c>
      <c r="C54">
        <f>IFERROR(__xludf.DUMMYFUNCTION("""COMPUTED_VALUE"""),"00301")</f>
        <v/>
      </c>
      <c r="D54">
        <f>IFERROR(__xludf.DUMMYFUNCTION("""COMPUTED_VALUE"""),"chara_kai_00301")</f>
        <v/>
      </c>
      <c r="E54">
        <f>IFERROR(__xludf.DUMMYFUNCTION("""COMPUTED_VALUE"""),"四ノ宮 キコル")</f>
        <v/>
      </c>
      <c r="F54">
        <f>IFERROR(__xludf.DUMMYFUNCTION("""COMPUTED_VALUE"""),"四ノ宮 キコル")</f>
        <v/>
      </c>
      <c r="G54">
        <f>IFERROR(__xludf.DUMMYFUNCTION("""COMPUTED_VALUE"""),"隊式斧術1式　落雷")</f>
        <v/>
      </c>
      <c r="H54">
        <f>IFERROR(__xludf.DUMMYFUNCTION("""COMPUTED_VALUE"""),"SSR")</f>
        <v/>
      </c>
      <c r="I54">
        <f>IFERROR(__xludf.DUMMYFUNCTION("""COMPUTED_VALUE"""),"PremiumSSR")</f>
        <v/>
      </c>
      <c r="J54">
        <f>IFERROR(__xludf.DUMMYFUNCTION("""COMPUTED_VALUE"""),"黄")</f>
        <v/>
      </c>
      <c r="K54">
        <f>IFERROR(__xludf.DUMMYFUNCTION("""COMPUTED_VALUE"""),"chara")</f>
        <v/>
      </c>
      <c r="L54">
        <f>IFERROR(__xludf.DUMMYFUNCTION("""COMPUTED_VALUE"""),"ディフェンス")</f>
        <v/>
      </c>
      <c r="M54">
        <f>IFERROR(__xludf.DUMMYFUNCTION("""COMPUTED_VALUE"""),"zangeki_1")</f>
        <v/>
      </c>
      <c r="N54">
        <f>IFERROR(__xludf.DUMMYFUNCTION("""COMPUTED_VALUE"""),"Short")</f>
        <v/>
      </c>
      <c r="O54">
        <f>IFERROR(__xludf.DUMMYFUNCTION("""COMPUTED_VALUE"""),"zangeki_1")</f>
        <v/>
      </c>
      <c r="P54">
        <f>IFERROR(__xludf.DUMMYFUNCTION("""COMPUTED_VALUE"""),"00301")</f>
        <v/>
      </c>
      <c r="Q54">
        <f>IFERROR(__xludf.DUMMYFUNCTION("""COMPUTED_VALUE"""),"2.04")</f>
        <v/>
      </c>
      <c r="R54">
        <f>IFERROR(__xludf.DUMMYFUNCTION("""COMPUTED_VALUE"""),"0.70")</f>
        <v/>
      </c>
      <c r="S54">
        <f>IFERROR(__xludf.DUMMYFUNCTION("""COMPUTED_VALUE"""),"3.34")</f>
        <v/>
      </c>
      <c r="T54">
        <f>IFERROR(__xludf.DUMMYFUNCTION("""COMPUTED_VALUE"""),"1.07")</f>
        <v/>
      </c>
      <c r="U54">
        <f>IFERROR(__xludf.DUMMYFUNCTION("""COMPUTED_VALUE"""),45922.458333333336)</f>
        <v/>
      </c>
      <c r="V54">
        <f>IFERROR(__xludf.DUMMYFUNCTION("""COMPUTED_VALUE"""),390812.49998842593)</f>
        <v/>
      </c>
      <c r="W54">
        <f>IFERROR(__xludf.DUMMYFUNCTION("""COMPUTED_VALUE"""),"catchcopy_character_chara_kai_00301.png")</f>
        <v/>
      </c>
      <c r="X54">
        <f>IFERROR(__xludf.DUMMYFUNCTION("""COMPUTED_VALUE"""),"enemy_icon_chara_kai_00301")</f>
        <v/>
      </c>
      <c r="Y54">
        <f>IFERROR(__xludf.DUMMYFUNCTION("""COMPUTED_VALUE"""),"boss_icon_chara_kai_00301")</f>
        <v/>
      </c>
      <c r="Z54">
        <f>IFERROR(__xludf.DUMMYFUNCTION("""COMPUTED_VALUE"""),"chara_kai_00301_normal")</f>
        <v/>
      </c>
      <c r="AA54">
        <f>IFERROR(__xludf.DUMMYFUNCTION("""COMPUTED_VALUE"""),"chara_kai_00301_special")</f>
        <v/>
      </c>
    </row>
    <row r="55">
      <c r="A55">
        <f>IFERROR(__xludf.DUMMYFUNCTION("""COMPUTED_VALUE"""),"kai")</f>
        <v/>
      </c>
      <c r="B55">
        <f>IFERROR(__xludf.DUMMYFUNCTION("""COMPUTED_VALUE"""),"怪獣８号")</f>
        <v/>
      </c>
      <c r="C55">
        <f>IFERROR(__xludf.DUMMYFUNCTION("""COMPUTED_VALUE"""),"00302")</f>
        <v/>
      </c>
      <c r="D55">
        <f>IFERROR(__xludf.DUMMYFUNCTION("""COMPUTED_VALUE"""),"chara_kai_00302")</f>
        <v/>
      </c>
      <c r="E55">
        <f>IFERROR(__xludf.DUMMYFUNCTION("""COMPUTED_VALUE"""),"識別怪獣兵器4 四ノ宮 キコル")</f>
        <v/>
      </c>
      <c r="F55">
        <f>IFERROR(__xludf.DUMMYFUNCTION("""COMPUTED_VALUE"""),"選定中")</f>
        <v/>
      </c>
      <c r="H55">
        <f>IFERROR(__xludf.DUMMYFUNCTION("""COMPUTED_VALUE"""),"UR")</f>
        <v/>
      </c>
      <c r="I55">
        <f>IFERROR(__xludf.DUMMYFUNCTION("""COMPUTED_VALUE"""),"PremiumUR")</f>
        <v/>
      </c>
      <c r="J55">
        <f>IFERROR(__xludf.DUMMYFUNCTION("""COMPUTED_VALUE"""),"赤")</f>
        <v/>
      </c>
      <c r="K55">
        <f>IFERROR(__xludf.DUMMYFUNCTION("""COMPUTED_VALUE"""),"chara")</f>
        <v/>
      </c>
      <c r="L55">
        <f>IFERROR(__xludf.DUMMYFUNCTION("""COMPUTED_VALUE"""),"アタック")</f>
        <v/>
      </c>
    </row>
    <row r="56">
      <c r="A56">
        <f>IFERROR(__xludf.DUMMYFUNCTION("""COMPUTED_VALUE"""),"kai")</f>
        <v/>
      </c>
      <c r="B56">
        <f>IFERROR(__xludf.DUMMYFUNCTION("""COMPUTED_VALUE"""),"怪獣８号")</f>
        <v/>
      </c>
      <c r="C56">
        <f>IFERROR(__xludf.DUMMYFUNCTION("""COMPUTED_VALUE"""),"00401")</f>
        <v/>
      </c>
      <c r="D56">
        <f>IFERROR(__xludf.DUMMYFUNCTION("""COMPUTED_VALUE"""),"chara_kai_00401")</f>
        <v/>
      </c>
      <c r="E56">
        <f>IFERROR(__xludf.DUMMYFUNCTION("""COMPUTED_VALUE"""),"保科 宗四郎")</f>
        <v/>
      </c>
      <c r="F56">
        <f>IFERROR(__xludf.DUMMYFUNCTION("""COMPUTED_VALUE"""),"保科 宗四郎")</f>
        <v/>
      </c>
      <c r="G56">
        <f>IFERROR(__xludf.DUMMYFUNCTION("""COMPUTED_VALUE"""),"6式 八重討ち")</f>
        <v/>
      </c>
      <c r="H56">
        <f>IFERROR(__xludf.DUMMYFUNCTION("""COMPUTED_VALUE"""),"SSR")</f>
        <v/>
      </c>
      <c r="I56">
        <f>IFERROR(__xludf.DUMMYFUNCTION("""COMPUTED_VALUE"""),"PremiumSSR")</f>
        <v/>
      </c>
      <c r="J56">
        <f>IFERROR(__xludf.DUMMYFUNCTION("""COMPUTED_VALUE"""),"青")</f>
        <v/>
      </c>
      <c r="K56">
        <f>IFERROR(__xludf.DUMMYFUNCTION("""COMPUTED_VALUE"""),"chara")</f>
        <v/>
      </c>
      <c r="L56">
        <f>IFERROR(__xludf.DUMMYFUNCTION("""COMPUTED_VALUE"""),"アタック")</f>
        <v/>
      </c>
      <c r="M56">
        <f>IFERROR(__xludf.DUMMYFUNCTION("""COMPUTED_VALUE"""),"zangeki_1")</f>
        <v/>
      </c>
      <c r="N56">
        <f>IFERROR(__xludf.DUMMYFUNCTION("""COMPUTED_VALUE"""),"Short")</f>
        <v/>
      </c>
      <c r="O56">
        <f>IFERROR(__xludf.DUMMYFUNCTION("""COMPUTED_VALUE"""),"zangeki_1")</f>
        <v/>
      </c>
      <c r="Q56">
        <f>IFERROR(__xludf.DUMMYFUNCTION("""COMPUTED_VALUE"""),"1.27")</f>
        <v/>
      </c>
      <c r="R56">
        <f>IFERROR(__xludf.DUMMYFUNCTION("""COMPUTED_VALUE"""),"stop有:1回目 0.43")</f>
        <v/>
      </c>
      <c r="S56">
        <f>IFERROR(__xludf.DUMMYFUNCTION("""COMPUTED_VALUE"""),"2.67")</f>
        <v/>
      </c>
      <c r="T56">
        <f>IFERROR(__xludf.DUMMYFUNCTION("""COMPUTED_VALUE"""),"stop無:1回目 0.25
stop無:2回目 0.91
stop無:3回目 1.05
stop無:4回目 1.15
stop有:5回目 1.66")</f>
        <v/>
      </c>
      <c r="U56">
        <f>IFERROR(__xludf.DUMMYFUNCTION("""COMPUTED_VALUE"""),45922.458333333336)</f>
        <v/>
      </c>
      <c r="V56">
        <f>IFERROR(__xludf.DUMMYFUNCTION("""COMPUTED_VALUE"""),390812.49998842593)</f>
        <v/>
      </c>
      <c r="X56">
        <f>IFERROR(__xludf.DUMMYFUNCTION("""COMPUTED_VALUE"""),"enemy_icon_chara_kai_00401")</f>
        <v/>
      </c>
      <c r="Y56">
        <f>IFERROR(__xludf.DUMMYFUNCTION("""COMPUTED_VALUE"""),"boss_icon_chara_kai_00401")</f>
        <v/>
      </c>
      <c r="Z56">
        <f>IFERROR(__xludf.DUMMYFUNCTION("""COMPUTED_VALUE"""),"chara_kai_00401_normal")</f>
        <v/>
      </c>
      <c r="AA56">
        <f>IFERROR(__xludf.DUMMYFUNCTION("""COMPUTED_VALUE"""),"chara_kai_00401_special")</f>
        <v/>
      </c>
    </row>
    <row r="57">
      <c r="A57">
        <f>IFERROR(__xludf.DUMMYFUNCTION("""COMPUTED_VALUE"""),"kai")</f>
        <v/>
      </c>
      <c r="B57">
        <f>IFERROR(__xludf.DUMMYFUNCTION("""COMPUTED_VALUE"""),"怪獣８号")</f>
        <v/>
      </c>
      <c r="C57">
        <f>IFERROR(__xludf.DUMMYFUNCTION("""COMPUTED_VALUE"""),"00501")</f>
        <v/>
      </c>
      <c r="D57">
        <f>IFERROR(__xludf.DUMMYFUNCTION("""COMPUTED_VALUE"""),"chara_kai_00501")</f>
        <v/>
      </c>
      <c r="E57">
        <f>IFERROR(__xludf.DUMMYFUNCTION("""COMPUTED_VALUE"""),"四ノ宮 功")</f>
        <v/>
      </c>
      <c r="F57">
        <f>IFERROR(__xludf.DUMMYFUNCTION("""COMPUTED_VALUE"""),"四ノ宮 功")</f>
        <v/>
      </c>
      <c r="G57">
        <f>IFERROR(__xludf.DUMMYFUNCTION("""COMPUTED_VALUE"""),"隊式格闘術2式 発破")</f>
        <v/>
      </c>
      <c r="H57">
        <f>IFERROR(__xludf.DUMMYFUNCTION("""COMPUTED_VALUE"""),"SR")</f>
        <v/>
      </c>
      <c r="I57">
        <f>IFERROR(__xludf.DUMMYFUNCTION("""COMPUTED_VALUE"""),"DropSR")</f>
        <v/>
      </c>
      <c r="J57">
        <f>IFERROR(__xludf.DUMMYFUNCTION("""COMPUTED_VALUE"""),"黄")</f>
        <v/>
      </c>
      <c r="K57">
        <f>IFERROR(__xludf.DUMMYFUNCTION("""COMPUTED_VALUE"""),"chara")</f>
        <v/>
      </c>
      <c r="L57">
        <f>IFERROR(__xludf.DUMMYFUNCTION("""COMPUTED_VALUE"""),"アタック")</f>
        <v/>
      </c>
      <c r="M57">
        <f>IFERROR(__xludf.DUMMYFUNCTION("""COMPUTED_VALUE"""),"dageki_1")</f>
        <v/>
      </c>
      <c r="N57">
        <f>IFERROR(__xludf.DUMMYFUNCTION("""COMPUTED_VALUE"""),"Short")</f>
        <v/>
      </c>
      <c r="O57">
        <f>IFERROR(__xludf.DUMMYFUNCTION("""COMPUTED_VALUE"""),"dageki_1")</f>
        <v/>
      </c>
      <c r="Q57">
        <f>IFERROR(__xludf.DUMMYFUNCTION("""COMPUTED_VALUE"""),"1.97")</f>
        <v/>
      </c>
      <c r="R57">
        <f>IFERROR(__xludf.DUMMYFUNCTION("""COMPUTED_VALUE"""),"1.10")</f>
        <v/>
      </c>
      <c r="S57">
        <f>IFERROR(__xludf.DUMMYFUNCTION("""COMPUTED_VALUE"""),"2.67")</f>
        <v/>
      </c>
      <c r="T57">
        <f>IFERROR(__xludf.DUMMYFUNCTION("""COMPUTED_VALUE"""),"1.62")</f>
        <v/>
      </c>
      <c r="U57">
        <f>IFERROR(__xludf.DUMMYFUNCTION("""COMPUTED_VALUE"""),45922.458333333336)</f>
        <v/>
      </c>
      <c r="V57">
        <f>IFERROR(__xludf.DUMMYFUNCTION("""COMPUTED_VALUE"""),390812.49998842593)</f>
        <v/>
      </c>
      <c r="X57">
        <f>IFERROR(__xludf.DUMMYFUNCTION("""COMPUTED_VALUE"""),"enemy_icon_chara_kai_00501")</f>
        <v/>
      </c>
      <c r="Y57">
        <f>IFERROR(__xludf.DUMMYFUNCTION("""COMPUTED_VALUE"""),"boss_icon_chara_kai_00501")</f>
        <v/>
      </c>
      <c r="Z57">
        <f>IFERROR(__xludf.DUMMYFUNCTION("""COMPUTED_VALUE"""),"chara_kai_00501_normal")</f>
        <v/>
      </c>
      <c r="AA57">
        <f>IFERROR(__xludf.DUMMYFUNCTION("""COMPUTED_VALUE"""),"chara_kai_00501_special")</f>
        <v/>
      </c>
    </row>
    <row r="58">
      <c r="A58">
        <f>IFERROR(__xludf.DUMMYFUNCTION("""COMPUTED_VALUE"""),"kai")</f>
        <v/>
      </c>
      <c r="B58">
        <f>IFERROR(__xludf.DUMMYFUNCTION("""COMPUTED_VALUE"""),"怪獣８号")</f>
        <v/>
      </c>
      <c r="C58">
        <f>IFERROR(__xludf.DUMMYFUNCTION("""COMPUTED_VALUE"""),"00601")</f>
        <v/>
      </c>
      <c r="D58">
        <f>IFERROR(__xludf.DUMMYFUNCTION("""COMPUTED_VALUE"""),"chara_kai_00601")</f>
        <v/>
      </c>
      <c r="E58">
        <f>IFERROR(__xludf.DUMMYFUNCTION("""COMPUTED_VALUE"""),"古橋 伊春")</f>
        <v/>
      </c>
      <c r="F58">
        <f>IFERROR(__xludf.DUMMYFUNCTION("""COMPUTED_VALUE"""),"古橋 伊春")</f>
        <v/>
      </c>
      <c r="G58">
        <f>IFERROR(__xludf.DUMMYFUNCTION("""COMPUTED_VALUE"""),"俺がお前を守るんだ バカヤロー")</f>
        <v/>
      </c>
      <c r="H58">
        <f>IFERROR(__xludf.DUMMYFUNCTION("""COMPUTED_VALUE"""),"SR")</f>
        <v/>
      </c>
      <c r="I58">
        <f>IFERROR(__xludf.DUMMYFUNCTION("""COMPUTED_VALUE"""),"DropSR")</f>
        <v/>
      </c>
      <c r="J58">
        <f>IFERROR(__xludf.DUMMYFUNCTION("""COMPUTED_VALUE"""),"緑")</f>
        <v/>
      </c>
      <c r="K58">
        <f>IFERROR(__xludf.DUMMYFUNCTION("""COMPUTED_VALUE"""),"chara")</f>
        <v/>
      </c>
      <c r="L58">
        <f>IFERROR(__xludf.DUMMYFUNCTION("""COMPUTED_VALUE"""),"ディフェンス")</f>
        <v/>
      </c>
      <c r="M58">
        <f>IFERROR(__xludf.DUMMYFUNCTION("""COMPUTED_VALUE"""),"shageki_1")</f>
        <v/>
      </c>
      <c r="N58">
        <f>IFERROR(__xludf.DUMMYFUNCTION("""COMPUTED_VALUE"""),"Middle")</f>
        <v/>
      </c>
      <c r="O58">
        <f>IFERROR(__xludf.DUMMYFUNCTION("""COMPUTED_VALUE"""),"-")</f>
        <v/>
      </c>
      <c r="Q58">
        <f>IFERROR(__xludf.DUMMYFUNCTION("""COMPUTED_VALUE"""),"1.37")</f>
        <v/>
      </c>
      <c r="R58">
        <f>IFERROR(__xludf.DUMMYFUNCTION("""COMPUTED_VALUE"""),"stop有:1回目 0.71")</f>
        <v/>
      </c>
      <c r="S58">
        <f>IFERROR(__xludf.DUMMYFUNCTION("""COMPUTED_VALUE"""),"1.83")</f>
        <v/>
      </c>
      <c r="T58">
        <f>IFERROR(__xludf.DUMMYFUNCTION("""COMPUTED_VALUE"""),"stop無:1回目 0.93")</f>
        <v/>
      </c>
      <c r="U58">
        <f>IFERROR(__xludf.DUMMYFUNCTION("""COMPUTED_VALUE"""),45922.458333333336)</f>
        <v/>
      </c>
      <c r="V58">
        <f>IFERROR(__xludf.DUMMYFUNCTION("""COMPUTED_VALUE"""),390812.49998842593)</f>
        <v/>
      </c>
      <c r="X58">
        <f>IFERROR(__xludf.DUMMYFUNCTION("""COMPUTED_VALUE"""),"enemy_icon_chara_kai_00601")</f>
        <v/>
      </c>
      <c r="Y58">
        <f>IFERROR(__xludf.DUMMYFUNCTION("""COMPUTED_VALUE"""),"boss_icon_chara_kai_00601")</f>
        <v/>
      </c>
      <c r="Z58">
        <f>IFERROR(__xludf.DUMMYFUNCTION("""COMPUTED_VALUE"""),"chara_kai_00601_normal")</f>
        <v/>
      </c>
      <c r="AA58">
        <f>IFERROR(__xludf.DUMMYFUNCTION("""COMPUTED_VALUE"""),"chara_kai_00601_special")</f>
        <v/>
      </c>
    </row>
    <row r="59">
      <c r="A59">
        <f>IFERROR(__xludf.DUMMYFUNCTION("""COMPUTED_VALUE"""),"kai")</f>
        <v/>
      </c>
      <c r="B59">
        <f>IFERROR(__xludf.DUMMYFUNCTION("""COMPUTED_VALUE"""),"怪獣８号")</f>
        <v/>
      </c>
      <c r="C59">
        <f>IFERROR(__xludf.DUMMYFUNCTION("""COMPUTED_VALUE"""),"00701")</f>
        <v/>
      </c>
      <c r="D59">
        <f>IFERROR(__xludf.DUMMYFUNCTION("""COMPUTED_VALUE"""),"chara_kai_00701")</f>
        <v/>
      </c>
      <c r="E59">
        <f>IFERROR(__xludf.DUMMYFUNCTION("""COMPUTED_VALUE"""),"識別怪獣兵器1 鳴海 弦")</f>
        <v/>
      </c>
      <c r="F59">
        <f>IFERROR(__xludf.DUMMYFUNCTION("""COMPUTED_VALUE"""),"識別怪獣兵器1 鳴海 弦")</f>
        <v/>
      </c>
      <c r="G59">
        <f>IFERROR(__xludf.DUMMYFUNCTION("""COMPUTED_VALUE"""),"隊式銃剣術6式 七枝刀")</f>
        <v/>
      </c>
      <c r="H59">
        <f>IFERROR(__xludf.DUMMYFUNCTION("""COMPUTED_VALUE"""),"UR")</f>
        <v/>
      </c>
      <c r="I59">
        <f>IFERROR(__xludf.DUMMYFUNCTION("""COMPUTED_VALUE"""),"FestivalUR")</f>
        <v/>
      </c>
      <c r="J59">
        <f>IFERROR(__xludf.DUMMYFUNCTION("""COMPUTED_VALUE"""),"黄")</f>
        <v/>
      </c>
      <c r="K59">
        <f>IFERROR(__xludf.DUMMYFUNCTION("""COMPUTED_VALUE"""),"chara")</f>
        <v/>
      </c>
      <c r="L59">
        <f>IFERROR(__xludf.DUMMYFUNCTION("""COMPUTED_VALUE"""),"ディフェンス")</f>
        <v/>
      </c>
      <c r="Q59">
        <f>IFERROR(__xludf.DUMMYFUNCTION("""COMPUTED_VALUE"""),"1.3")</f>
        <v/>
      </c>
      <c r="R59">
        <f>IFERROR(__xludf.DUMMYFUNCTION("""COMPUTED_VALUE"""),"stop有:1回目 0.13")</f>
        <v/>
      </c>
      <c r="S59">
        <f>IFERROR(__xludf.DUMMYFUNCTION("""COMPUTED_VALUE"""),"2.88")</f>
        <v/>
      </c>
      <c r="T59">
        <f>IFERROR(__xludf.DUMMYFUNCTION("""COMPUTED_VALUE"""),"stop有:1回目 1.2")</f>
        <v/>
      </c>
      <c r="U59">
        <f>IFERROR(__xludf.DUMMYFUNCTION("""COMPUTED_VALUE"""),"2026/07/上旬")</f>
        <v/>
      </c>
      <c r="V59">
        <f>IFERROR(__xludf.DUMMYFUNCTION("""COMPUTED_VALUE"""),390812.49998842593)</f>
        <v/>
      </c>
      <c r="W59">
        <f>IFERROR(__xludf.DUMMYFUNCTION("""COMPUTED_VALUE"""),"catchcopy_character_chara_kai_00701.png")</f>
        <v/>
      </c>
      <c r="X59">
        <f>IFERROR(__xludf.DUMMYFUNCTION("""COMPUTED_VALUE"""),"enemy_icon_chara_kai_00701")</f>
        <v/>
      </c>
      <c r="Y59">
        <f>IFERROR(__xludf.DUMMYFUNCTION("""COMPUTED_VALUE"""),"boss_icon_chara_kai_00701")</f>
        <v/>
      </c>
    </row>
    <row r="60">
      <c r="A60">
        <f>IFERROR(__xludf.DUMMYFUNCTION("""COMPUTED_VALUE"""),"kai")</f>
        <v/>
      </c>
      <c r="B60">
        <f>IFERROR(__xludf.DUMMYFUNCTION("""COMPUTED_VALUE"""),"怪獣８号")</f>
        <v/>
      </c>
      <c r="C60">
        <f>IFERROR(__xludf.DUMMYFUNCTION("""COMPUTED_VALUE"""),"00801")</f>
        <v/>
      </c>
      <c r="D60">
        <f>IFERROR(__xludf.DUMMYFUNCTION("""COMPUTED_VALUE"""),"chara_kai_00801")</f>
        <v/>
      </c>
      <c r="E60">
        <f>IFERROR(__xludf.DUMMYFUNCTION("""COMPUTED_VALUE"""),"東雲 りん")</f>
        <v/>
      </c>
      <c r="F60">
        <f>IFERROR(__xludf.DUMMYFUNCTION("""COMPUTED_VALUE"""),"選定中")</f>
        <v/>
      </c>
      <c r="H60">
        <f>IFERROR(__xludf.DUMMYFUNCTION("""COMPUTED_VALUE"""),"SR")</f>
        <v/>
      </c>
      <c r="I60">
        <f>IFERROR(__xludf.DUMMYFUNCTION("""COMPUTED_VALUE"""),"DropSR")</f>
        <v/>
      </c>
      <c r="J60">
        <f>IFERROR(__xludf.DUMMYFUNCTION("""COMPUTED_VALUE"""),"黄")</f>
        <v/>
      </c>
      <c r="K60">
        <f>IFERROR(__xludf.DUMMYFUNCTION("""COMPUTED_VALUE"""),"chara")</f>
        <v/>
      </c>
      <c r="L60">
        <f>IFERROR(__xludf.DUMMYFUNCTION("""COMPUTED_VALUE"""),"ディフェンス")</f>
        <v/>
      </c>
      <c r="Q60">
        <f>IFERROR(__xludf.DUMMYFUNCTION("""COMPUTED_VALUE"""),"1.6")</f>
        <v/>
      </c>
      <c r="R60">
        <f>IFERROR(__xludf.DUMMYFUNCTION("""COMPUTED_VALUE"""),"stop無:1回目 0.6
stop無:2回目 0.58
stop無:3回目 0.63")</f>
        <v/>
      </c>
      <c r="S60">
        <f>IFERROR(__xludf.DUMMYFUNCTION("""COMPUTED_VALUE"""),"2.5")</f>
        <v/>
      </c>
      <c r="T60">
        <f>IFERROR(__xludf.DUMMYFUNCTION("""COMPUTED_VALUE"""),"stop無:1回目 0.77
stop無:2回目 0.98
stop無:3回目 1.18
stop無:4回目 1.39
stop有:5回目 1.6")</f>
        <v/>
      </c>
      <c r="U60">
        <f>IFERROR(__xludf.DUMMYFUNCTION("""COMPUTED_VALUE"""),"2026/07/上旬")</f>
        <v/>
      </c>
      <c r="V60">
        <f>IFERROR(__xludf.DUMMYFUNCTION("""COMPUTED_VALUE"""),390812.49998842593)</f>
        <v/>
      </c>
      <c r="W60">
        <f>IFERROR(__xludf.DUMMYFUNCTION("""COMPUTED_VALUE"""),"catchcopy_character_chara_kai_00801.png")</f>
        <v/>
      </c>
      <c r="X60">
        <f>IFERROR(__xludf.DUMMYFUNCTION("""COMPUTED_VALUE"""),"enemy_icon_chara_kai_00801")</f>
        <v/>
      </c>
      <c r="Y60">
        <f>IFERROR(__xludf.DUMMYFUNCTION("""COMPUTED_VALUE"""),"boss_icon_chara_kai_00801")</f>
        <v/>
      </c>
    </row>
    <row r="61">
      <c r="A61">
        <f>IFERROR(__xludf.DUMMYFUNCTION("""COMPUTED_VALUE"""),"kai")</f>
        <v/>
      </c>
      <c r="B61">
        <f>IFERROR(__xludf.DUMMYFUNCTION("""COMPUTED_VALUE"""),"怪獣８号")</f>
        <v/>
      </c>
      <c r="C61">
        <f>IFERROR(__xludf.DUMMYFUNCTION("""COMPUTED_VALUE"""),"00901")</f>
        <v/>
      </c>
      <c r="D61">
        <f>IFERROR(__xludf.DUMMYFUNCTION("""COMPUTED_VALUE"""),"chara_kai_00901")</f>
        <v/>
      </c>
      <c r="E61">
        <f>IFERROR(__xludf.DUMMYFUNCTION("""COMPUTED_VALUE"""),"四ノ宮ヒカリ")</f>
        <v/>
      </c>
      <c r="F61">
        <f>IFERROR(__xludf.DUMMYFUNCTION("""COMPUTED_VALUE"""),"選定中")</f>
        <v/>
      </c>
      <c r="H61">
        <f>IFERROR(__xludf.DUMMYFUNCTION("""COMPUTED_VALUE"""),"SSR")</f>
        <v/>
      </c>
      <c r="I61">
        <f>IFERROR(__xludf.DUMMYFUNCTION("""COMPUTED_VALUE"""),"PremiumSSR")</f>
        <v/>
      </c>
      <c r="J61">
        <f>IFERROR(__xludf.DUMMYFUNCTION("""COMPUTED_VALUE"""),"無")</f>
        <v/>
      </c>
      <c r="K61">
        <f>IFERROR(__xludf.DUMMYFUNCTION("""COMPUTED_VALUE"""),"chara")</f>
        <v/>
      </c>
      <c r="L61">
        <f>IFERROR(__xludf.DUMMYFUNCTION("""COMPUTED_VALUE"""),"スペシャル")</f>
        <v/>
      </c>
      <c r="Q61">
        <f>IFERROR(__xludf.DUMMYFUNCTION("""COMPUTED_VALUE"""),"-")</f>
        <v/>
      </c>
      <c r="R61">
        <f>IFERROR(__xludf.DUMMYFUNCTION("""COMPUTED_VALUE"""),"-")</f>
        <v/>
      </c>
      <c r="S61">
        <f>IFERROR(__xludf.DUMMYFUNCTION("""COMPUTED_VALUE"""),"3.65")</f>
        <v/>
      </c>
      <c r="T61">
        <f>IFERROR(__xludf.DUMMYFUNCTION("""COMPUTED_VALUE"""),"stop無:1回目 0.51")</f>
        <v/>
      </c>
      <c r="U61">
        <f>IFERROR(__xludf.DUMMYFUNCTION("""COMPUTED_VALUE"""),"2026/07/上旬")</f>
        <v/>
      </c>
      <c r="V61">
        <f>IFERROR(__xludf.DUMMYFUNCTION("""COMPUTED_VALUE"""),390812.49998842593)</f>
        <v/>
      </c>
      <c r="W61">
        <f>IFERROR(__xludf.DUMMYFUNCTION("""COMPUTED_VALUE"""),"catchcopy_character_chara_kai_00901.png")</f>
        <v/>
      </c>
      <c r="X61">
        <f>IFERROR(__xludf.DUMMYFUNCTION("""COMPUTED_VALUE"""),"enemy_icon_chara_kai_00901")</f>
        <v/>
      </c>
      <c r="Y61">
        <f>IFERROR(__xludf.DUMMYFUNCTION("""COMPUTED_VALUE"""),"boss_icon_chara_kai_00901")</f>
        <v/>
      </c>
    </row>
    <row r="62">
      <c r="A62">
        <f>IFERROR(__xludf.DUMMYFUNCTION("""COMPUTED_VALUE"""),"kai")</f>
        <v/>
      </c>
      <c r="B62">
        <f>IFERROR(__xludf.DUMMYFUNCTION("""COMPUTED_VALUE"""),"怪獣８号")</f>
        <v/>
      </c>
      <c r="C62">
        <f>IFERROR(__xludf.DUMMYFUNCTION("""COMPUTED_VALUE"""),"01001")</f>
        <v/>
      </c>
      <c r="D62">
        <f>IFERROR(__xludf.DUMMYFUNCTION("""COMPUTED_VALUE"""),"chara_kai_01001")</f>
        <v/>
      </c>
      <c r="E62">
        <f>IFERROR(__xludf.DUMMYFUNCTION("""COMPUTED_VALUE"""),"怪獣15号")</f>
        <v/>
      </c>
      <c r="F62">
        <f>IFERROR(__xludf.DUMMYFUNCTION("""COMPUTED_VALUE"""),"選定中")</f>
        <v/>
      </c>
      <c r="H62">
        <f>IFERROR(__xludf.DUMMYFUNCTION("""COMPUTED_VALUE"""),"SR")</f>
        <v/>
      </c>
      <c r="I62">
        <f>IFERROR(__xludf.DUMMYFUNCTION("""COMPUTED_VALUE"""),"DropSR")</f>
        <v/>
      </c>
      <c r="J62">
        <f>IFERROR(__xludf.DUMMYFUNCTION("""COMPUTED_VALUE"""),"青")</f>
        <v/>
      </c>
      <c r="K62">
        <f>IFERROR(__xludf.DUMMYFUNCTION("""COMPUTED_VALUE"""),"chara")</f>
        <v/>
      </c>
    </row>
    <row r="63">
      <c r="A63">
        <f>IFERROR(__xludf.DUMMYFUNCTION("""COMPUTED_VALUE"""),"yuw")</f>
        <v/>
      </c>
      <c r="B63">
        <f>IFERROR(__xludf.DUMMYFUNCTION("""COMPUTED_VALUE"""),"2.5次元の誘惑")</f>
        <v/>
      </c>
      <c r="C63">
        <f>IFERROR(__xludf.DUMMYFUNCTION("""COMPUTED_VALUE"""),"00001")</f>
        <v/>
      </c>
      <c r="D63">
        <f>IFERROR(__xludf.DUMMYFUNCTION("""COMPUTED_VALUE"""),"chara_yuw_00001")</f>
        <v/>
      </c>
      <c r="E63">
        <f>IFERROR(__xludf.DUMMYFUNCTION("""COMPUTED_VALUE"""),"リリエルに捧ぐ愛 天乃 リリサ")</f>
        <v/>
      </c>
      <c r="F63">
        <f>IFERROR(__xludf.DUMMYFUNCTION("""COMPUTED_VALUE"""),"リリエルに捧ぐ愛 天乃 リリサ")</f>
        <v/>
      </c>
      <c r="G63">
        <f>IFERROR(__xludf.DUMMYFUNCTION("""COMPUTED_VALUE"""),"リリエル爆破!!")</f>
        <v/>
      </c>
      <c r="H63">
        <f>IFERROR(__xludf.DUMMYFUNCTION("""COMPUTED_VALUE"""),"UR")</f>
        <v/>
      </c>
      <c r="I63">
        <f>IFERROR(__xludf.DUMMYFUNCTION("""COMPUTED_VALUE"""),"PremiumUR")</f>
        <v/>
      </c>
      <c r="J63">
        <f>IFERROR(__xludf.DUMMYFUNCTION("""COMPUTED_VALUE"""),"黄")</f>
        <v/>
      </c>
      <c r="K63">
        <f>IFERROR(__xludf.DUMMYFUNCTION("""COMPUTED_VALUE"""),"chara")</f>
        <v/>
      </c>
      <c r="L63">
        <f>IFERROR(__xludf.DUMMYFUNCTION("""COMPUTED_VALUE"""),"アタック")</f>
        <v/>
      </c>
      <c r="M63">
        <f>IFERROR(__xludf.DUMMYFUNCTION("""COMPUTED_VALUE"""),"dageki_2")</f>
        <v/>
      </c>
      <c r="N63">
        <f>IFERROR(__xludf.DUMMYFUNCTION("""COMPUTED_VALUE"""),"Middle")</f>
        <v/>
      </c>
      <c r="O63">
        <f>IFERROR(__xludf.DUMMYFUNCTION("""COMPUTED_VALUE"""),"-")</f>
        <v/>
      </c>
      <c r="P63">
        <f>IFERROR(__xludf.DUMMYFUNCTION("""COMPUTED_VALUE"""),"00001")</f>
        <v/>
      </c>
      <c r="Q63">
        <f>IFERROR(__xludf.DUMMYFUNCTION("""COMPUTED_VALUE"""),"1.54")</f>
        <v/>
      </c>
      <c r="R63">
        <f>IFERROR(__xludf.DUMMYFUNCTION("""COMPUTED_VALUE"""),"0.50")</f>
        <v/>
      </c>
      <c r="S63">
        <f>IFERROR(__xludf.DUMMYFUNCTION("""COMPUTED_VALUE"""),"3.67")</f>
        <v/>
      </c>
      <c r="T63">
        <f>IFERROR(__xludf.DUMMYFUNCTION("""COMPUTED_VALUE"""),"2.44")</f>
        <v/>
      </c>
      <c r="U63">
        <f>IFERROR(__xludf.DUMMYFUNCTION("""COMPUTED_VALUE"""),45922.458333333336)</f>
        <v/>
      </c>
      <c r="V63">
        <f>IFERROR(__xludf.DUMMYFUNCTION("""COMPUTED_VALUE"""),390812.49998842593)</f>
        <v/>
      </c>
      <c r="W63">
        <f>IFERROR(__xludf.DUMMYFUNCTION("""COMPUTED_VALUE"""),"catchcopy_character_chara_yuw_00001.png")</f>
        <v/>
      </c>
      <c r="X63">
        <f>IFERROR(__xludf.DUMMYFUNCTION("""COMPUTED_VALUE"""),"enemy_icon_chara_yuw_00001")</f>
        <v/>
      </c>
      <c r="Y63">
        <f>IFERROR(__xludf.DUMMYFUNCTION("""COMPUTED_VALUE"""),"boss_icon_chara_yuw_00001")</f>
        <v/>
      </c>
      <c r="Z63">
        <f>IFERROR(__xludf.DUMMYFUNCTION("""COMPUTED_VALUE"""),"chara_yuw_00001_normal")</f>
        <v/>
      </c>
      <c r="AA63">
        <f>IFERROR(__xludf.DUMMYFUNCTION("""COMPUTED_VALUE"""),"chara_yuw_00001_special")</f>
        <v/>
      </c>
    </row>
    <row r="64">
      <c r="A64">
        <f>IFERROR(__xludf.DUMMYFUNCTION("""COMPUTED_VALUE"""),"yuw")</f>
        <v/>
      </c>
      <c r="B64">
        <f>IFERROR(__xludf.DUMMYFUNCTION("""COMPUTED_VALUE"""),"2.5次元の誘惑")</f>
        <v/>
      </c>
      <c r="C64">
        <f>IFERROR(__xludf.DUMMYFUNCTION("""COMPUTED_VALUE"""),"00002")</f>
        <v/>
      </c>
      <c r="D64">
        <f>IFERROR(__xludf.DUMMYFUNCTION("""COMPUTED_VALUE"""),"chara_yuw_00002")</f>
        <v/>
      </c>
      <c r="E64">
        <f>IFERROR(__xludf.DUMMYFUNCTION("""COMPUTED_VALUE"""),"天乃 リリサ(クリスマス)")</f>
        <v/>
      </c>
      <c r="F64">
        <f>IFERROR(__xludf.DUMMYFUNCTION("""COMPUTED_VALUE"""),"選定中")</f>
        <v/>
      </c>
      <c r="H64">
        <f>IFERROR(__xludf.DUMMYFUNCTION("""COMPUTED_VALUE"""),"UR")</f>
        <v/>
      </c>
      <c r="I64">
        <f>IFERROR(__xludf.DUMMYFUNCTION("""COMPUTED_VALUE"""),"PremiumUR")</f>
        <v/>
      </c>
      <c r="J64">
        <f>IFERROR(__xludf.DUMMYFUNCTION("""COMPUTED_VALUE"""),"緑")</f>
        <v/>
      </c>
      <c r="K64">
        <f>IFERROR(__xludf.DUMMYFUNCTION("""COMPUTED_VALUE"""),"chara")</f>
        <v/>
      </c>
      <c r="L64">
        <f>IFERROR(__xludf.DUMMYFUNCTION("""COMPUTED_VALUE"""),"サポート")</f>
        <v/>
      </c>
      <c r="U64">
        <f>IFERROR(__xludf.DUMMYFUNCTION("""COMPUTED_VALUE"""),"実装未定")</f>
        <v/>
      </c>
      <c r="V64">
        <f>IFERROR(__xludf.DUMMYFUNCTION("""COMPUTED_VALUE"""),390812.49998842593)</f>
        <v/>
      </c>
      <c r="X64">
        <f>IFERROR(__xludf.DUMMYFUNCTION("""COMPUTED_VALUE"""),"enemy_icon_chara_yuw_00002")</f>
        <v/>
      </c>
      <c r="Y64">
        <f>IFERROR(__xludf.DUMMYFUNCTION("""COMPUTED_VALUE"""),"boss_icon_chara_yuw_00002")</f>
        <v/>
      </c>
    </row>
    <row r="65">
      <c r="A65">
        <f>IFERROR(__xludf.DUMMYFUNCTION("""COMPUTED_VALUE"""),"yuw")</f>
        <v/>
      </c>
      <c r="B65">
        <f>IFERROR(__xludf.DUMMYFUNCTION("""COMPUTED_VALUE"""),"2.5次元の誘惑")</f>
        <v/>
      </c>
      <c r="C65">
        <f>IFERROR(__xludf.DUMMYFUNCTION("""COMPUTED_VALUE"""),"00101")</f>
        <v/>
      </c>
      <c r="D65">
        <f>IFERROR(__xludf.DUMMYFUNCTION("""COMPUTED_VALUE"""),"chara_yuw_00101")</f>
        <v/>
      </c>
      <c r="E65">
        <f>IFERROR(__xludf.DUMMYFUNCTION("""COMPUTED_VALUE"""),"コスプレに託す乙女心 橘 美花莉")</f>
        <v/>
      </c>
      <c r="F65">
        <f>IFERROR(__xludf.DUMMYFUNCTION("""COMPUTED_VALUE"""),"コスプレに託す乙女心 橘 美花莉")</f>
        <v/>
      </c>
      <c r="G65">
        <f>IFERROR(__xludf.DUMMYFUNCTION("""COMPUTED_VALUE"""),"私を見てよ！")</f>
        <v/>
      </c>
      <c r="H65">
        <f>IFERROR(__xludf.DUMMYFUNCTION("""COMPUTED_VALUE"""),"UR")</f>
        <v/>
      </c>
      <c r="I65">
        <f>IFERROR(__xludf.DUMMYFUNCTION("""COMPUTED_VALUE"""),"PremiumUR")</f>
        <v/>
      </c>
      <c r="J65">
        <f>IFERROR(__xludf.DUMMYFUNCTION("""COMPUTED_VALUE"""),"緑")</f>
        <v/>
      </c>
      <c r="K65">
        <f>IFERROR(__xludf.DUMMYFUNCTION("""COMPUTED_VALUE"""),"chara")</f>
        <v/>
      </c>
      <c r="L65">
        <f>IFERROR(__xludf.DUMMYFUNCTION("""COMPUTED_VALUE"""),"テクニカル")</f>
        <v/>
      </c>
      <c r="M65">
        <f>IFERROR(__xludf.DUMMYFUNCTION("""COMPUTED_VALUE"""),"dageki_1")</f>
        <v/>
      </c>
      <c r="N65">
        <f>IFERROR(__xludf.DUMMYFUNCTION("""COMPUTED_VALUE"""),"Short")</f>
        <v/>
      </c>
      <c r="O65">
        <f>IFERROR(__xludf.DUMMYFUNCTION("""COMPUTED_VALUE"""),"-")</f>
        <v/>
      </c>
      <c r="P65">
        <f>IFERROR(__xludf.DUMMYFUNCTION("""COMPUTED_VALUE"""),"00101")</f>
        <v/>
      </c>
      <c r="Q65">
        <f>IFERROR(__xludf.DUMMYFUNCTION("""COMPUTED_VALUE"""),"1.50")</f>
        <v/>
      </c>
      <c r="R65">
        <f>IFERROR(__xludf.DUMMYFUNCTION("""COMPUTED_VALUE"""),"stop無:1回目 0.45
stop無:2回目 0.55
stop無:3回目 0.67
stop無:4回目 0.77
stop無:5回目 0.90
stop無:6回目 0.95")</f>
        <v/>
      </c>
      <c r="S65">
        <f>IFERROR(__xludf.DUMMYFUNCTION("""COMPUTED_VALUE"""),"3.50")</f>
        <v/>
      </c>
      <c r="T65">
        <f>IFERROR(__xludf.DUMMYFUNCTION("""COMPUTED_VALUE"""),"stop無: 1回目 3.20")</f>
        <v/>
      </c>
      <c r="U65">
        <f>IFERROR(__xludf.DUMMYFUNCTION("""COMPUTED_VALUE"""),45922.458333333336)</f>
        <v/>
      </c>
      <c r="V65">
        <f>IFERROR(__xludf.DUMMYFUNCTION("""COMPUTED_VALUE"""),390812.49998842593)</f>
        <v/>
      </c>
      <c r="W65">
        <f>IFERROR(__xludf.DUMMYFUNCTION("""COMPUTED_VALUE"""),"catchcopy_character_chara_yuw_00101.png")</f>
        <v/>
      </c>
      <c r="X65">
        <f>IFERROR(__xludf.DUMMYFUNCTION("""COMPUTED_VALUE"""),"enemy_icon_chara_yuw_00101")</f>
        <v/>
      </c>
      <c r="Y65">
        <f>IFERROR(__xludf.DUMMYFUNCTION("""COMPUTED_VALUE"""),"boss_icon_chara_yuw_00101")</f>
        <v/>
      </c>
      <c r="Z65">
        <f>IFERROR(__xludf.DUMMYFUNCTION("""COMPUTED_VALUE"""),"chara_yuw_00101_normal")</f>
        <v/>
      </c>
      <c r="AA65">
        <f>IFERROR(__xludf.DUMMYFUNCTION("""COMPUTED_VALUE"""),"chara_yuw_00101_special")</f>
        <v/>
      </c>
    </row>
    <row r="66">
      <c r="A66">
        <f>IFERROR(__xludf.DUMMYFUNCTION("""COMPUTED_VALUE"""),"yuw")</f>
        <v/>
      </c>
      <c r="B66">
        <f>IFERROR(__xludf.DUMMYFUNCTION("""COMPUTED_VALUE"""),"2.5次元の誘惑")</f>
        <v/>
      </c>
      <c r="C66">
        <f>IFERROR(__xludf.DUMMYFUNCTION("""COMPUTED_VALUE"""),"00102")</f>
        <v/>
      </c>
      <c r="D66">
        <f>IFERROR(__xludf.DUMMYFUNCTION("""COMPUTED_VALUE"""),"chara_yuw_00102")</f>
        <v/>
      </c>
      <c r="E66">
        <f>IFERROR(__xludf.DUMMYFUNCTION("""COMPUTED_VALUE"""),"クリスマス 橘 美花莉")</f>
        <v/>
      </c>
      <c r="F66">
        <f>IFERROR(__xludf.DUMMYFUNCTION("""COMPUTED_VALUE"""),"愛届ける聖夜のサンタ 橘 美花莉")</f>
        <v/>
      </c>
      <c r="G66">
        <f>IFERROR(__xludf.DUMMYFUNCTION("""COMPUTED_VALUE"""),"プレゼントは私だよ〜♡")</f>
        <v/>
      </c>
      <c r="H66">
        <f>IFERROR(__xludf.DUMMYFUNCTION("""COMPUTED_VALUE"""),"UR")</f>
        <v/>
      </c>
      <c r="I66">
        <f>IFERROR(__xludf.DUMMYFUNCTION("""COMPUTED_VALUE"""),"FestivalUR")</f>
        <v/>
      </c>
      <c r="J66">
        <f>IFERROR(__xludf.DUMMYFUNCTION("""COMPUTED_VALUE"""),"緑")</f>
        <v/>
      </c>
      <c r="K66">
        <f>IFERROR(__xludf.DUMMYFUNCTION("""COMPUTED_VALUE"""),"chara")</f>
        <v/>
      </c>
      <c r="L66">
        <f>IFERROR(__xludf.DUMMYFUNCTION("""COMPUTED_VALUE"""),"サポート")</f>
        <v/>
      </c>
      <c r="M66">
        <f>IFERROR(__xludf.DUMMYFUNCTION("""COMPUTED_VALUE"""),"dageki_1")</f>
        <v/>
      </c>
      <c r="N66">
        <f>IFERROR(__xludf.DUMMYFUNCTION("""COMPUTED_VALUE"""),"Short")</f>
        <v/>
      </c>
      <c r="O66">
        <f>IFERROR(__xludf.DUMMYFUNCTION("""COMPUTED_VALUE"""),"-")</f>
        <v/>
      </c>
      <c r="Q66">
        <f>IFERROR(__xludf.DUMMYFUNCTION("""COMPUTED_VALUE"""),"1.67")</f>
        <v/>
      </c>
      <c r="R66">
        <f>IFERROR(__xludf.DUMMYFUNCTION("""COMPUTED_VALUE"""),"stop有:1回目 0.50")</f>
        <v/>
      </c>
      <c r="S66">
        <f>IFERROR(__xludf.DUMMYFUNCTION("""COMPUTED_VALUE"""),"3.5")</f>
        <v/>
      </c>
      <c r="T66">
        <f>IFERROR(__xludf.DUMMYFUNCTION("""COMPUTED_VALUE"""),"stop無: 1回目 2.00")</f>
        <v/>
      </c>
      <c r="U66">
        <f>IFERROR(__xludf.DUMMYFUNCTION("""COMPUTED_VALUE"""),46013.5)</f>
        <v/>
      </c>
      <c r="V66">
        <f>IFERROR(__xludf.DUMMYFUNCTION("""COMPUTED_VALUE"""),390812.49998842593)</f>
        <v/>
      </c>
      <c r="W66">
        <f>IFERROR(__xludf.DUMMYFUNCTION("""COMPUTED_VALUE"""),"catchcopy_character_chara_yuw_00102.png")</f>
        <v/>
      </c>
      <c r="X66">
        <f>IFERROR(__xludf.DUMMYFUNCTION("""COMPUTED_VALUE"""),"enemy_icon_chara_yuw_00102")</f>
        <v/>
      </c>
      <c r="Y66">
        <f>IFERROR(__xludf.DUMMYFUNCTION("""COMPUTED_VALUE"""),"boss_icon_chara_yuw_00102")</f>
        <v/>
      </c>
      <c r="Z66">
        <f>IFERROR(__xludf.DUMMYFUNCTION("""COMPUTED_VALUE"""),"chara_yuw_00101_normal")</f>
        <v/>
      </c>
      <c r="AA66">
        <f>IFERROR(__xludf.DUMMYFUNCTION("""COMPUTED_VALUE"""),"chara_yuw_00101_special")</f>
        <v/>
      </c>
    </row>
    <row r="67">
      <c r="A67">
        <f>IFERROR(__xludf.DUMMYFUNCTION("""COMPUTED_VALUE"""),"yuw")</f>
        <v/>
      </c>
      <c r="B67">
        <f>IFERROR(__xludf.DUMMYFUNCTION("""COMPUTED_VALUE"""),"2.5次元の誘惑")</f>
        <v/>
      </c>
      <c r="C67">
        <f>IFERROR(__xludf.DUMMYFUNCTION("""COMPUTED_VALUE"""),"00201")</f>
        <v/>
      </c>
      <c r="D67">
        <f>IFERROR(__xludf.DUMMYFUNCTION("""COMPUTED_VALUE"""),"chara_yuw_00201")</f>
        <v/>
      </c>
      <c r="E67">
        <f>IFERROR(__xludf.DUMMYFUNCTION("""COMPUTED_VALUE"""),"羽生 まゆり")</f>
        <v/>
      </c>
      <c r="F67">
        <f>IFERROR(__xludf.DUMMYFUNCTION("""COMPUTED_VALUE"""),"羽生 まゆり")</f>
        <v/>
      </c>
      <c r="G67">
        <f>IFERROR(__xludf.DUMMYFUNCTION("""COMPUTED_VALUE"""),"先生がもう一肌脱ぐしかないわね")</f>
        <v/>
      </c>
      <c r="H67">
        <f>IFERROR(__xludf.DUMMYFUNCTION("""COMPUTED_VALUE"""),"SSR")</f>
        <v/>
      </c>
      <c r="I67">
        <f>IFERROR(__xludf.DUMMYFUNCTION("""COMPUTED_VALUE"""),"PremiumSSR")</f>
        <v/>
      </c>
      <c r="J67">
        <f>IFERROR(__xludf.DUMMYFUNCTION("""COMPUTED_VALUE"""),"青")</f>
        <v/>
      </c>
      <c r="K67">
        <f>IFERROR(__xludf.DUMMYFUNCTION("""COMPUTED_VALUE"""),"chara")</f>
        <v/>
      </c>
      <c r="L67">
        <f>IFERROR(__xludf.DUMMYFUNCTION("""COMPUTED_VALUE"""),"テクニカル")</f>
        <v/>
      </c>
      <c r="M67">
        <f>IFERROR(__xludf.DUMMYFUNCTION("""COMPUTED_VALUE"""),"dageki_2")</f>
        <v/>
      </c>
      <c r="N67">
        <f>IFERROR(__xludf.DUMMYFUNCTION("""COMPUTED_VALUE"""),"Short")</f>
        <v/>
      </c>
      <c r="O67">
        <f>IFERROR(__xludf.DUMMYFUNCTION("""COMPUTED_VALUE"""),"dageki_1")</f>
        <v/>
      </c>
      <c r="P67">
        <f>IFERROR(__xludf.DUMMYFUNCTION("""COMPUTED_VALUE"""),"00201")</f>
        <v/>
      </c>
      <c r="Q67">
        <f>IFERROR(__xludf.DUMMYFUNCTION("""COMPUTED_VALUE"""),"1.06")</f>
        <v/>
      </c>
      <c r="R67">
        <f>IFERROR(__xludf.DUMMYFUNCTION("""COMPUTED_VALUE"""),"0.34")</f>
        <v/>
      </c>
      <c r="S67">
        <f>IFERROR(__xludf.DUMMYFUNCTION("""COMPUTED_VALUE"""),"4.67")</f>
        <v/>
      </c>
      <c r="T67">
        <f>IFERROR(__xludf.DUMMYFUNCTION("""COMPUTED_VALUE"""),"3.50")</f>
        <v/>
      </c>
      <c r="U67">
        <f>IFERROR(__xludf.DUMMYFUNCTION("""COMPUTED_VALUE"""),45986.625)</f>
        <v/>
      </c>
      <c r="V67">
        <f>IFERROR(__xludf.DUMMYFUNCTION("""COMPUTED_VALUE"""),390812.49998842593)</f>
        <v/>
      </c>
      <c r="W67">
        <f>IFERROR(__xludf.DUMMYFUNCTION("""COMPUTED_VALUE"""),"catchcopy_character_chara_yuw_00201.png")</f>
        <v/>
      </c>
      <c r="X67">
        <f>IFERROR(__xludf.DUMMYFUNCTION("""COMPUTED_VALUE"""),"enemy_icon_chara_yuw_00201")</f>
        <v/>
      </c>
      <c r="Y67">
        <f>IFERROR(__xludf.DUMMYFUNCTION("""COMPUTED_VALUE"""),"boss_icon_chara_yuw_00201")</f>
        <v/>
      </c>
    </row>
    <row r="68">
      <c r="A68">
        <f>IFERROR(__xludf.DUMMYFUNCTION("""COMPUTED_VALUE"""),"yuw")</f>
        <v/>
      </c>
      <c r="B68">
        <f>IFERROR(__xludf.DUMMYFUNCTION("""COMPUTED_VALUE"""),"2.5次元の誘惑")</f>
        <v/>
      </c>
      <c r="C68">
        <f>IFERROR(__xludf.DUMMYFUNCTION("""COMPUTED_VALUE"""),"00301")</f>
        <v/>
      </c>
      <c r="D68">
        <f>IFERROR(__xludf.DUMMYFUNCTION("""COMPUTED_VALUE"""),"chara_yuw_00301")</f>
        <v/>
      </c>
      <c r="E68">
        <f>IFERROR(__xludf.DUMMYFUNCTION("""COMPUTED_VALUE"""),"勇気を纏うコスプレ 乃愛")</f>
        <v/>
      </c>
      <c r="F68">
        <f>IFERROR(__xludf.DUMMYFUNCTION("""COMPUTED_VALUE"""),"勇気を纏うコスプレ 乃愛")</f>
        <v/>
      </c>
      <c r="G68">
        <f>IFERROR(__xludf.DUMMYFUNCTION("""COMPUTED_VALUE"""),"命に換えてもお守りします")</f>
        <v/>
      </c>
      <c r="H68">
        <f>IFERROR(__xludf.DUMMYFUNCTION("""COMPUTED_VALUE"""),"UR")</f>
        <v/>
      </c>
      <c r="I68">
        <f>IFERROR(__xludf.DUMMYFUNCTION("""COMPUTED_VALUE"""),"PremiumUR")</f>
        <v/>
      </c>
      <c r="J68">
        <f>IFERROR(__xludf.DUMMYFUNCTION("""COMPUTED_VALUE"""),"青")</f>
        <v/>
      </c>
      <c r="K68">
        <f>IFERROR(__xludf.DUMMYFUNCTION("""COMPUTED_VALUE"""),"chara")</f>
        <v/>
      </c>
      <c r="L68">
        <f>IFERROR(__xludf.DUMMYFUNCTION("""COMPUTED_VALUE"""),"サポート")</f>
        <v/>
      </c>
      <c r="M68">
        <f>IFERROR(__xludf.DUMMYFUNCTION("""COMPUTED_VALUE"""),"dageki_2")</f>
        <v/>
      </c>
      <c r="N68">
        <f>IFERROR(__xludf.DUMMYFUNCTION("""COMPUTED_VALUE"""),"Short")</f>
        <v/>
      </c>
      <c r="O68">
        <f>IFERROR(__xludf.DUMMYFUNCTION("""COMPUTED_VALUE"""),"-")</f>
        <v/>
      </c>
      <c r="P68">
        <f>IFERROR(__xludf.DUMMYFUNCTION("""COMPUTED_VALUE"""),"00301")</f>
        <v/>
      </c>
      <c r="Q68">
        <f>IFERROR(__xludf.DUMMYFUNCTION("""COMPUTED_VALUE"""),"1.57")</f>
        <v/>
      </c>
      <c r="R68">
        <f>IFERROR(__xludf.DUMMYFUNCTION("""COMPUTED_VALUE"""),"stop無:1回目 0.50
stop無:2回目 1.00")</f>
        <v/>
      </c>
      <c r="S68">
        <f>IFERROR(__xludf.DUMMYFUNCTION("""COMPUTED_VALUE"""),"3.50")</f>
        <v/>
      </c>
      <c r="T68">
        <f>IFERROR(__xludf.DUMMYFUNCTION("""COMPUTED_VALUE"""),"stop無: 1回目 3.20")</f>
        <v/>
      </c>
      <c r="U68">
        <f>IFERROR(__xludf.DUMMYFUNCTION("""COMPUTED_VALUE"""),45986.625)</f>
        <v/>
      </c>
      <c r="V68">
        <f>IFERROR(__xludf.DUMMYFUNCTION("""COMPUTED_VALUE"""),390812.49998842593)</f>
        <v/>
      </c>
      <c r="W68">
        <f>IFERROR(__xludf.DUMMYFUNCTION("""COMPUTED_VALUE"""),"catchcopy_character_chara_yuw_00301.png")</f>
        <v/>
      </c>
      <c r="X68">
        <f>IFERROR(__xludf.DUMMYFUNCTION("""COMPUTED_VALUE"""),"enemy_icon_chara_yuw_00301")</f>
        <v/>
      </c>
      <c r="Y68">
        <f>IFERROR(__xludf.DUMMYFUNCTION("""COMPUTED_VALUE"""),"boss_icon_chara_yuw_00301")</f>
        <v/>
      </c>
      <c r="Z68">
        <f>IFERROR(__xludf.DUMMYFUNCTION("""COMPUTED_VALUE"""),"chara_yuw_00301_normal")</f>
        <v/>
      </c>
      <c r="AA68">
        <f>IFERROR(__xludf.DUMMYFUNCTION("""COMPUTED_VALUE"""),"chara_yuw_00301_special")</f>
        <v/>
      </c>
    </row>
    <row r="69">
      <c r="A69">
        <f>IFERROR(__xludf.DUMMYFUNCTION("""COMPUTED_VALUE"""),"yuw")</f>
        <v/>
      </c>
      <c r="B69">
        <f>IFERROR(__xludf.DUMMYFUNCTION("""COMPUTED_VALUE"""),"2.5次元の誘惑")</f>
        <v/>
      </c>
      <c r="C69">
        <f>IFERROR(__xludf.DUMMYFUNCTION("""COMPUTED_VALUE"""),"00401")</f>
        <v/>
      </c>
      <c r="D69">
        <f>IFERROR(__xludf.DUMMYFUNCTION("""COMPUTED_VALUE"""),"chara_yuw_00401")</f>
        <v/>
      </c>
      <c r="E69">
        <f>IFERROR(__xludf.DUMMYFUNCTION("""COMPUTED_VALUE"""),"伝えたいウチの想い　喜咲 アリア")</f>
        <v/>
      </c>
      <c r="F69">
        <f>IFERROR(__xludf.DUMMYFUNCTION("""COMPUTED_VALUE"""),"伝えたいウチの想い 喜咲 アリア")</f>
        <v/>
      </c>
      <c r="G69">
        <f>IFERROR(__xludf.DUMMYFUNCTION("""COMPUTED_VALUE"""),"アタシに任せてよ!!")</f>
        <v/>
      </c>
      <c r="H69">
        <f>IFERROR(__xludf.DUMMYFUNCTION("""COMPUTED_VALUE"""),"UR")</f>
        <v/>
      </c>
      <c r="I69">
        <f>IFERROR(__xludf.DUMMYFUNCTION("""COMPUTED_VALUE"""),"PremiumUR")</f>
        <v/>
      </c>
      <c r="J69">
        <f>IFERROR(__xludf.DUMMYFUNCTION("""COMPUTED_VALUE"""),"赤")</f>
        <v/>
      </c>
      <c r="K69">
        <f>IFERROR(__xludf.DUMMYFUNCTION("""COMPUTED_VALUE"""),"chara")</f>
        <v/>
      </c>
      <c r="L69">
        <f>IFERROR(__xludf.DUMMYFUNCTION("""COMPUTED_VALUE"""),"ディフェンス")</f>
        <v/>
      </c>
      <c r="M69">
        <f>IFERROR(__xludf.DUMMYFUNCTION("""COMPUTED_VALUE"""),"dageki_2")</f>
        <v/>
      </c>
      <c r="N69">
        <f>IFERROR(__xludf.DUMMYFUNCTION("""COMPUTED_VALUE"""),"Short")</f>
        <v/>
      </c>
      <c r="O69">
        <f>IFERROR(__xludf.DUMMYFUNCTION("""COMPUTED_VALUE"""),"zangeki_1")</f>
        <v/>
      </c>
      <c r="P69">
        <f>IFERROR(__xludf.DUMMYFUNCTION("""COMPUTED_VALUE"""),"00401")</f>
        <v/>
      </c>
      <c r="Q69">
        <f>IFERROR(__xludf.DUMMYFUNCTION("""COMPUTED_VALUE"""),"1.17")</f>
        <v/>
      </c>
      <c r="R69">
        <f>IFERROR(__xludf.DUMMYFUNCTION("""COMPUTED_VALUE"""),"0.34")</f>
        <v/>
      </c>
      <c r="S69">
        <f>IFERROR(__xludf.DUMMYFUNCTION("""COMPUTED_VALUE"""),"2.67")</f>
        <v/>
      </c>
      <c r="T69">
        <f>IFERROR(__xludf.DUMMYFUNCTION("""COMPUTED_VALUE"""),"1.64")</f>
        <v/>
      </c>
      <c r="U69">
        <f>IFERROR(__xludf.DUMMYFUNCTION("""COMPUTED_VALUE"""),45986.625)</f>
        <v/>
      </c>
      <c r="V69">
        <f>IFERROR(__xludf.DUMMYFUNCTION("""COMPUTED_VALUE"""),390812.49998842593)</f>
        <v/>
      </c>
      <c r="W69">
        <f>IFERROR(__xludf.DUMMYFUNCTION("""COMPUTED_VALUE"""),"catchcopy_character_chara_yuw_00401.png")</f>
        <v/>
      </c>
      <c r="X69">
        <f>IFERROR(__xludf.DUMMYFUNCTION("""COMPUTED_VALUE"""),"enemy_icon_chara_yuw_00401")</f>
        <v/>
      </c>
      <c r="Y69">
        <f>IFERROR(__xludf.DUMMYFUNCTION("""COMPUTED_VALUE"""),"boss_icon_chara_yuw_00401")</f>
        <v/>
      </c>
    </row>
    <row r="70">
      <c r="A70">
        <f>IFERROR(__xludf.DUMMYFUNCTION("""COMPUTED_VALUE"""),"yuw")</f>
        <v/>
      </c>
      <c r="B70">
        <f>IFERROR(__xludf.DUMMYFUNCTION("""COMPUTED_VALUE"""),"2.5次元の誘惑")</f>
        <v/>
      </c>
      <c r="C70">
        <f>IFERROR(__xludf.DUMMYFUNCTION("""COMPUTED_VALUE"""),"00501")</f>
        <v/>
      </c>
      <c r="D70">
        <f>IFERROR(__xludf.DUMMYFUNCTION("""COMPUTED_VALUE"""),"chara_yuw_00501")</f>
        <v/>
      </c>
      <c r="E70">
        <f>IFERROR(__xludf.DUMMYFUNCTION("""COMPUTED_VALUE"""),"753♡")</f>
        <v/>
      </c>
      <c r="F70">
        <f>IFERROR(__xludf.DUMMYFUNCTION("""COMPUTED_VALUE"""),"753♡")</f>
        <v/>
      </c>
      <c r="G70">
        <f>IFERROR(__xludf.DUMMYFUNCTION("""COMPUTED_VALUE"""),"どっちがコスプレを愛してる？")</f>
        <v/>
      </c>
      <c r="H70">
        <f>IFERROR(__xludf.DUMMYFUNCTION("""COMPUTED_VALUE"""),"SR")</f>
        <v/>
      </c>
      <c r="I70">
        <f>IFERROR(__xludf.DUMMYFUNCTION("""COMPUTED_VALUE"""),"DropSR")</f>
        <v/>
      </c>
      <c r="J70">
        <f>IFERROR(__xludf.DUMMYFUNCTION("""COMPUTED_VALUE"""),"赤")</f>
        <v/>
      </c>
      <c r="K70">
        <f>IFERROR(__xludf.DUMMYFUNCTION("""COMPUTED_VALUE"""),"chara")</f>
        <v/>
      </c>
      <c r="L70">
        <f>IFERROR(__xludf.DUMMYFUNCTION("""COMPUTED_VALUE"""),"サポート")</f>
        <v/>
      </c>
      <c r="M70">
        <f>IFERROR(__xludf.DUMMYFUNCTION("""COMPUTED_VALUE"""),"dageki_2")</f>
        <v/>
      </c>
      <c r="N70">
        <f>IFERROR(__xludf.DUMMYFUNCTION("""COMPUTED_VALUE"""),"Short")</f>
        <v/>
      </c>
      <c r="O70">
        <f>IFERROR(__xludf.DUMMYFUNCTION("""COMPUTED_VALUE"""),"-")</f>
        <v/>
      </c>
      <c r="P70">
        <f>IFERROR(__xludf.DUMMYFUNCTION("""COMPUTED_VALUE"""),"00501")</f>
        <v/>
      </c>
      <c r="Q70">
        <f>IFERROR(__xludf.DUMMYFUNCTION("""COMPUTED_VALUE"""),"1.24")</f>
        <v/>
      </c>
      <c r="R70">
        <f>IFERROR(__xludf.DUMMYFUNCTION("""COMPUTED_VALUE"""),"stop有:1回目 0.43")</f>
        <v/>
      </c>
      <c r="S70">
        <f>IFERROR(__xludf.DUMMYFUNCTION("""COMPUTED_VALUE"""),"2.17")</f>
        <v/>
      </c>
      <c r="T70">
        <f>IFERROR(__xludf.DUMMYFUNCTION("""COMPUTED_VALUE"""),"stop無: 1回目 1.50")</f>
        <v/>
      </c>
      <c r="U70">
        <f>IFERROR(__xludf.DUMMYFUNCTION("""COMPUTED_VALUE"""),45986.625)</f>
        <v/>
      </c>
      <c r="V70">
        <f>IFERROR(__xludf.DUMMYFUNCTION("""COMPUTED_VALUE"""),390812.49998842593)</f>
        <v/>
      </c>
      <c r="W70">
        <f>IFERROR(__xludf.DUMMYFUNCTION("""COMPUTED_VALUE"""),"catchcopy_character_chara_yuw_00501.png")</f>
        <v/>
      </c>
      <c r="X70">
        <f>IFERROR(__xludf.DUMMYFUNCTION("""COMPUTED_VALUE"""),"enemy_icon_chara_yuw_00501")</f>
        <v/>
      </c>
      <c r="Y70">
        <f>IFERROR(__xludf.DUMMYFUNCTION("""COMPUTED_VALUE"""),"boss_icon_chara_yuw_00501")</f>
        <v/>
      </c>
      <c r="Z70">
        <f>IFERROR(__xludf.DUMMYFUNCTION("""COMPUTED_VALUE"""),"chara_yuw_00501_normal")</f>
        <v/>
      </c>
      <c r="AA70">
        <f>IFERROR(__xludf.DUMMYFUNCTION("""COMPUTED_VALUE"""),"chara_yuw_00501_special")</f>
        <v/>
      </c>
    </row>
    <row r="71">
      <c r="A71">
        <f>IFERROR(__xludf.DUMMYFUNCTION("""COMPUTED_VALUE"""),"yuw")</f>
        <v/>
      </c>
      <c r="B71">
        <f>IFERROR(__xludf.DUMMYFUNCTION("""COMPUTED_VALUE"""),"2.5次元の誘惑")</f>
        <v/>
      </c>
      <c r="C71">
        <f>IFERROR(__xludf.DUMMYFUNCTION("""COMPUTED_VALUE"""),"00502")</f>
        <v/>
      </c>
      <c r="D71">
        <f>IFERROR(__xludf.DUMMYFUNCTION("""COMPUTED_VALUE"""),"chara_yuw_00502")</f>
        <v/>
      </c>
      <c r="E71">
        <f>IFERROR(__xludf.DUMMYFUNCTION("""COMPUTED_VALUE"""),"753♡(魔女コスプレ)")</f>
        <v/>
      </c>
      <c r="F71">
        <f>IFERROR(__xludf.DUMMYFUNCTION("""COMPUTED_VALUE"""),"選定中")</f>
        <v/>
      </c>
      <c r="H71">
        <f>IFERROR(__xludf.DUMMYFUNCTION("""COMPUTED_VALUE"""),"UR")</f>
        <v/>
      </c>
      <c r="I71">
        <f>IFERROR(__xludf.DUMMYFUNCTION("""COMPUTED_VALUE"""),"PremiumUR")</f>
        <v/>
      </c>
      <c r="J71">
        <f>IFERROR(__xludf.DUMMYFUNCTION("""COMPUTED_VALUE"""),"黄")</f>
        <v/>
      </c>
      <c r="K71">
        <f>IFERROR(__xludf.DUMMYFUNCTION("""COMPUTED_VALUE"""),"chara")</f>
        <v/>
      </c>
      <c r="L71">
        <f>IFERROR(__xludf.DUMMYFUNCTION("""COMPUTED_VALUE"""),"テクニカル")</f>
        <v/>
      </c>
      <c r="U71">
        <f>IFERROR(__xludf.DUMMYFUNCTION("""COMPUTED_VALUE"""),"実装未定")</f>
        <v/>
      </c>
      <c r="V71">
        <f>IFERROR(__xludf.DUMMYFUNCTION("""COMPUTED_VALUE"""),390812.49998842593)</f>
        <v/>
      </c>
      <c r="X71">
        <f>IFERROR(__xludf.DUMMYFUNCTION("""COMPUTED_VALUE"""),"enemy_icon_chara_yuw_00502")</f>
        <v/>
      </c>
      <c r="Y71">
        <f>IFERROR(__xludf.DUMMYFUNCTION("""COMPUTED_VALUE"""),"boss_icon_chara_yuw_00502")</f>
        <v/>
      </c>
    </row>
    <row r="72">
      <c r="A72">
        <f>IFERROR(__xludf.DUMMYFUNCTION("""COMPUTED_VALUE"""),"yuw")</f>
        <v/>
      </c>
      <c r="B72">
        <f>IFERROR(__xludf.DUMMYFUNCTION("""COMPUTED_VALUE"""),"2.5次元の誘惑")</f>
        <v/>
      </c>
      <c r="C72">
        <f>IFERROR(__xludf.DUMMYFUNCTION("""COMPUTED_VALUE"""),"00601")</f>
        <v/>
      </c>
      <c r="D72">
        <f>IFERROR(__xludf.DUMMYFUNCTION("""COMPUTED_VALUE"""),"chara_yuw_00601")</f>
        <v/>
      </c>
      <c r="E72">
        <f>IFERROR(__xludf.DUMMYFUNCTION("""COMPUTED_VALUE"""),"奥村 正宗")</f>
        <v/>
      </c>
      <c r="F72">
        <f>IFERROR(__xludf.DUMMYFUNCTION("""COMPUTED_VALUE"""),"奥村 正宗")</f>
        <v/>
      </c>
      <c r="G72">
        <f>IFERROR(__xludf.DUMMYFUNCTION("""COMPUTED_VALUE"""),"事実だけ言ってやる!!")</f>
        <v/>
      </c>
      <c r="H72">
        <f>IFERROR(__xludf.DUMMYFUNCTION("""COMPUTED_VALUE"""),"SR")</f>
        <v/>
      </c>
      <c r="I72">
        <f>IFERROR(__xludf.DUMMYFUNCTION("""COMPUTED_VALUE"""),"DropSR")</f>
        <v/>
      </c>
      <c r="J72">
        <f>IFERROR(__xludf.DUMMYFUNCTION("""COMPUTED_VALUE"""),"黄")</f>
        <v/>
      </c>
      <c r="K72">
        <f>IFERROR(__xludf.DUMMYFUNCTION("""COMPUTED_VALUE"""),"chara")</f>
        <v/>
      </c>
      <c r="L72">
        <f>IFERROR(__xludf.DUMMYFUNCTION("""COMPUTED_VALUE"""),"ディフェンス")</f>
        <v/>
      </c>
      <c r="M72">
        <f>IFERROR(__xludf.DUMMYFUNCTION("""COMPUTED_VALUE"""),"dageki_1")</f>
        <v/>
      </c>
      <c r="N72">
        <f>IFERROR(__xludf.DUMMYFUNCTION("""COMPUTED_VALUE"""),"Short")</f>
        <v/>
      </c>
      <c r="O72">
        <f>IFERROR(__xludf.DUMMYFUNCTION("""COMPUTED_VALUE"""),"-")</f>
        <v/>
      </c>
      <c r="P72">
        <f>IFERROR(__xludf.DUMMYFUNCTION("""COMPUTED_VALUE"""),"00601")</f>
        <v/>
      </c>
      <c r="Q72">
        <f>IFERROR(__xludf.DUMMYFUNCTION("""COMPUTED_VALUE"""),"1.20")</f>
        <v/>
      </c>
      <c r="R72">
        <f>IFERROR(__xludf.DUMMYFUNCTION("""COMPUTED_VALUE"""),"0.67")</f>
        <v/>
      </c>
      <c r="S72">
        <f>IFERROR(__xludf.DUMMYFUNCTION("""COMPUTED_VALUE"""),"1.84")</f>
        <v/>
      </c>
      <c r="T72">
        <f>IFERROR(__xludf.DUMMYFUNCTION("""COMPUTED_VALUE"""),"stop無: 1回目 0.68")</f>
        <v/>
      </c>
      <c r="U72">
        <f>IFERROR(__xludf.DUMMYFUNCTION("""COMPUTED_VALUE"""),45986.625)</f>
        <v/>
      </c>
      <c r="V72">
        <f>IFERROR(__xludf.DUMMYFUNCTION("""COMPUTED_VALUE"""),390812.49998842593)</f>
        <v/>
      </c>
      <c r="W72">
        <f>IFERROR(__xludf.DUMMYFUNCTION("""COMPUTED_VALUE"""),"catchcopy_character_chara_yuw_00601.png")</f>
        <v/>
      </c>
      <c r="X72">
        <f>IFERROR(__xludf.DUMMYFUNCTION("""COMPUTED_VALUE"""),"enemy_icon_chara_yuw_00601")</f>
        <v/>
      </c>
      <c r="Y72">
        <f>IFERROR(__xludf.DUMMYFUNCTION("""COMPUTED_VALUE"""),"boss_icon_chara_yuw_00601")</f>
        <v/>
      </c>
      <c r="Z72">
        <f>IFERROR(__xludf.DUMMYFUNCTION("""COMPUTED_VALUE"""),"chara_yuw_00601_normal")</f>
        <v/>
      </c>
      <c r="AA72">
        <f>IFERROR(__xludf.DUMMYFUNCTION("""COMPUTED_VALUE"""),"chara_yuw_00601_special")</f>
        <v/>
      </c>
    </row>
    <row r="73">
      <c r="A73">
        <f>IFERROR(__xludf.DUMMYFUNCTION("""COMPUTED_VALUE"""),"sur")</f>
        <v/>
      </c>
      <c r="B73">
        <f>IFERROR(__xludf.DUMMYFUNCTION("""COMPUTED_VALUE"""),"魔都精兵のスレイブ")</f>
        <v/>
      </c>
      <c r="C73">
        <f>IFERROR(__xludf.DUMMYFUNCTION("""COMPUTED_VALUE"""),"00001")</f>
        <v/>
      </c>
      <c r="D73">
        <f>IFERROR(__xludf.DUMMYFUNCTION("""COMPUTED_VALUE"""),"chara_sur_00001")</f>
        <v/>
      </c>
      <c r="E73">
        <f>IFERROR(__xludf.DUMMYFUNCTION("""COMPUTED_VALUE"""),"和倉 優希")</f>
        <v/>
      </c>
      <c r="F73">
        <f>IFERROR(__xludf.DUMMYFUNCTION("""COMPUTED_VALUE"""),"和倉 優希")</f>
        <v/>
      </c>
      <c r="G73">
        <f>IFERROR(__xludf.DUMMYFUNCTION("""COMPUTED_VALUE"""),"張り切っちゃうぜ！")</f>
        <v/>
      </c>
      <c r="H73">
        <f>IFERROR(__xludf.DUMMYFUNCTION("""COMPUTED_VALUE"""),"R")</f>
        <v/>
      </c>
      <c r="I73">
        <f>IFERROR(__xludf.DUMMYFUNCTION("""COMPUTED_VALUE"""),"PremiumR")</f>
        <v/>
      </c>
      <c r="J73">
        <f>IFERROR(__xludf.DUMMYFUNCTION("""COMPUTED_VALUE"""),"緑")</f>
        <v/>
      </c>
      <c r="K73">
        <f>IFERROR(__xludf.DUMMYFUNCTION("""COMPUTED_VALUE"""),"chara")</f>
        <v/>
      </c>
      <c r="L73">
        <f>IFERROR(__xludf.DUMMYFUNCTION("""COMPUTED_VALUE"""),"サポート")</f>
        <v/>
      </c>
      <c r="M73">
        <f>IFERROR(__xludf.DUMMYFUNCTION("""COMPUTED_VALUE"""),"dageki_2")</f>
        <v/>
      </c>
      <c r="N73">
        <f>IFERROR(__xludf.DUMMYFUNCTION("""COMPUTED_VALUE"""),"Short")</f>
        <v/>
      </c>
      <c r="O73">
        <f>IFERROR(__xludf.DUMMYFUNCTION("""COMPUTED_VALUE"""),"-")</f>
        <v/>
      </c>
      <c r="P73">
        <f>IFERROR(__xludf.DUMMYFUNCTION("""COMPUTED_VALUE"""),"00001")</f>
        <v/>
      </c>
      <c r="Q73">
        <f>IFERROR(__xludf.DUMMYFUNCTION("""COMPUTED_VALUE"""),"1.17")</f>
        <v/>
      </c>
      <c r="R73">
        <f>IFERROR(__xludf.DUMMYFUNCTION("""COMPUTED_VALUE"""),"stop有:1回目 0.30")</f>
        <v/>
      </c>
      <c r="S73">
        <f>IFERROR(__xludf.DUMMYFUNCTION("""COMPUTED_VALUE"""),"2.80")</f>
        <v/>
      </c>
      <c r="T73">
        <f>IFERROR(__xludf.DUMMYFUNCTION("""COMPUTED_VALUE"""),"stop無:1回目 2.00")</f>
        <v/>
      </c>
      <c r="U73">
        <f>IFERROR(__xludf.DUMMYFUNCTION("""COMPUTED_VALUE"""),45922.458333333336)</f>
        <v/>
      </c>
      <c r="V73">
        <f>IFERROR(__xludf.DUMMYFUNCTION("""COMPUTED_VALUE"""),390812.49998842593)</f>
        <v/>
      </c>
      <c r="W73">
        <f>IFERROR(__xludf.DUMMYFUNCTION("""COMPUTED_VALUE"""),"catchcopy_character_chara_sur_00001.png")</f>
        <v/>
      </c>
      <c r="X73">
        <f>IFERROR(__xludf.DUMMYFUNCTION("""COMPUTED_VALUE"""),"enemy_icon_chara_sur_00001")</f>
        <v/>
      </c>
      <c r="Y73">
        <f>IFERROR(__xludf.DUMMYFUNCTION("""COMPUTED_VALUE"""),"boss_icon_chara_sur_00001")</f>
        <v/>
      </c>
      <c r="AA73">
        <f>IFERROR(__xludf.DUMMYFUNCTION("""COMPUTED_VALUE"""),"chara_sur_00001_special")</f>
        <v/>
      </c>
    </row>
    <row r="74">
      <c r="A74">
        <f>IFERROR(__xludf.DUMMYFUNCTION("""COMPUTED_VALUE"""),"sur")</f>
        <v/>
      </c>
      <c r="B74">
        <f>IFERROR(__xludf.DUMMYFUNCTION("""COMPUTED_VALUE"""),"魔都精兵のスレイブ")</f>
        <v/>
      </c>
      <c r="C74">
        <f>IFERROR(__xludf.DUMMYFUNCTION("""COMPUTED_VALUE"""),"00101")</f>
        <v/>
      </c>
      <c r="D74">
        <f>IFERROR(__xludf.DUMMYFUNCTION("""COMPUTED_VALUE"""),"chara_sur_00101")</f>
        <v/>
      </c>
      <c r="E74">
        <f>IFERROR(__xludf.DUMMYFUNCTION("""COMPUTED_VALUE"""),"誇り高き魔都の剣姫 羽前京香")</f>
        <v/>
      </c>
      <c r="F74">
        <f>IFERROR(__xludf.DUMMYFUNCTION("""COMPUTED_VALUE"""),"誇り高き魔都の剣姫 羽前 京香")</f>
        <v/>
      </c>
      <c r="G74">
        <f>IFERROR(__xludf.DUMMYFUNCTION("""COMPUTED_VALUE"""),"乱れ山桜")</f>
        <v/>
      </c>
      <c r="H74">
        <f>IFERROR(__xludf.DUMMYFUNCTION("""COMPUTED_VALUE"""),"UR")</f>
        <v/>
      </c>
      <c r="I74">
        <f>IFERROR(__xludf.DUMMYFUNCTION("""COMPUTED_VALUE"""),"PremiumUR")</f>
        <v/>
      </c>
      <c r="J74">
        <f>IFERROR(__xludf.DUMMYFUNCTION("""COMPUTED_VALUE"""),"緑")</f>
        <v/>
      </c>
      <c r="K74">
        <f>IFERROR(__xludf.DUMMYFUNCTION("""COMPUTED_VALUE"""),"chara")</f>
        <v/>
      </c>
      <c r="L74">
        <f>IFERROR(__xludf.DUMMYFUNCTION("""COMPUTED_VALUE"""),"アタック")</f>
        <v/>
      </c>
      <c r="M74">
        <f>IFERROR(__xludf.DUMMYFUNCTION("""COMPUTED_VALUE"""),"zangeki_1")</f>
        <v/>
      </c>
      <c r="N74">
        <f>IFERROR(__xludf.DUMMYFUNCTION("""COMPUTED_VALUE"""),"Middle")</f>
        <v/>
      </c>
      <c r="O74">
        <f>IFERROR(__xludf.DUMMYFUNCTION("""COMPUTED_VALUE"""),"zangeki_1")</f>
        <v/>
      </c>
      <c r="P74">
        <f>IFERROR(__xludf.DUMMYFUNCTION("""COMPUTED_VALUE"""),"00101")</f>
        <v/>
      </c>
      <c r="Q74">
        <f>IFERROR(__xludf.DUMMYFUNCTION("""COMPUTED_VALUE"""),"1.40")</f>
        <v/>
      </c>
      <c r="R74">
        <f>IFERROR(__xludf.DUMMYFUNCTION("""COMPUTED_VALUE"""),"stop無:1回目 0.33")</f>
        <v/>
      </c>
      <c r="S74">
        <f>IFERROR(__xludf.DUMMYFUNCTION("""COMPUTED_VALUE"""),"2.67")</f>
        <v/>
      </c>
      <c r="T74">
        <f>IFERROR(__xludf.DUMMYFUNCTION("""COMPUTED_VALUE"""),"stop無:1回目 0.40
stop無:2回目 0.60
stop無:3回目 0.80
stop無:4回目 0.90
stop無:5回目 1.03
stop有:6回目 1.57")</f>
        <v/>
      </c>
      <c r="U74">
        <f>IFERROR(__xludf.DUMMYFUNCTION("""COMPUTED_VALUE"""),45922.458333333336)</f>
        <v/>
      </c>
      <c r="V74">
        <f>IFERROR(__xludf.DUMMYFUNCTION("""COMPUTED_VALUE"""),390812.49998842593)</f>
        <v/>
      </c>
      <c r="W74">
        <f>IFERROR(__xludf.DUMMYFUNCTION("""COMPUTED_VALUE"""),"catchcopy_character_chara_sur_00101.png")</f>
        <v/>
      </c>
      <c r="X74">
        <f>IFERROR(__xludf.DUMMYFUNCTION("""COMPUTED_VALUE"""),"enemy_icon_chara_sur_00101")</f>
        <v/>
      </c>
      <c r="Y74">
        <f>IFERROR(__xludf.DUMMYFUNCTION("""COMPUTED_VALUE"""),"boss_icon_chara_sur_00101")</f>
        <v/>
      </c>
      <c r="Z74">
        <f>IFERROR(__xludf.DUMMYFUNCTION("""COMPUTED_VALUE"""),"chara_sur_00101_normal")</f>
        <v/>
      </c>
      <c r="AA74">
        <f>IFERROR(__xludf.DUMMYFUNCTION("""COMPUTED_VALUE"""),"chara_sur_00101_special")</f>
        <v/>
      </c>
    </row>
    <row r="75">
      <c r="A75">
        <f>IFERROR(__xludf.DUMMYFUNCTION("""COMPUTED_VALUE"""),"sur")</f>
        <v/>
      </c>
      <c r="B75">
        <f>IFERROR(__xludf.DUMMYFUNCTION("""COMPUTED_VALUE"""),"魔都精兵のスレイブ")</f>
        <v/>
      </c>
      <c r="C75">
        <f>IFERROR(__xludf.DUMMYFUNCTION("""COMPUTED_VALUE"""),"00201")</f>
        <v/>
      </c>
      <c r="D75">
        <f>IFERROR(__xludf.DUMMYFUNCTION("""COMPUTED_VALUE"""),"chara_sur_00201")</f>
        <v/>
      </c>
      <c r="E75">
        <f>IFERROR(__xludf.DUMMYFUNCTION("""COMPUTED_VALUE"""),"東 日万凛")</f>
        <v/>
      </c>
      <c r="F75">
        <f>IFERROR(__xludf.DUMMYFUNCTION("""COMPUTED_VALUE"""),"東 日万凛")</f>
        <v/>
      </c>
      <c r="G75">
        <f>IFERROR(__xludf.DUMMYFUNCTION("""COMPUTED_VALUE"""),"武装小町")</f>
        <v/>
      </c>
      <c r="H75">
        <f>IFERROR(__xludf.DUMMYFUNCTION("""COMPUTED_VALUE"""),"SR")</f>
        <v/>
      </c>
      <c r="I75">
        <f>IFERROR(__xludf.DUMMYFUNCTION("""COMPUTED_VALUE"""),"PremiumSR")</f>
        <v/>
      </c>
      <c r="J75">
        <f>IFERROR(__xludf.DUMMYFUNCTION("""COMPUTED_VALUE"""),"青")</f>
        <v/>
      </c>
      <c r="K75">
        <f>IFERROR(__xludf.DUMMYFUNCTION("""COMPUTED_VALUE"""),"chara")</f>
        <v/>
      </c>
      <c r="L75">
        <f>IFERROR(__xludf.DUMMYFUNCTION("""COMPUTED_VALUE"""),"アタック")</f>
        <v/>
      </c>
      <c r="M75">
        <f>IFERROR(__xludf.DUMMYFUNCTION("""COMPUTED_VALUE"""),"shageki_1")</f>
        <v/>
      </c>
      <c r="N75">
        <f>IFERROR(__xludf.DUMMYFUNCTION("""COMPUTED_VALUE"""),"Short")</f>
        <v/>
      </c>
      <c r="O75">
        <f>IFERROR(__xludf.DUMMYFUNCTION("""COMPUTED_VALUE"""),"shageki_1")</f>
        <v/>
      </c>
      <c r="P75">
        <f>IFERROR(__xludf.DUMMYFUNCTION("""COMPUTED_VALUE"""),"00201")</f>
        <v/>
      </c>
      <c r="Q75">
        <f>IFERROR(__xludf.DUMMYFUNCTION("""COMPUTED_VALUE"""),"1.47")</f>
        <v/>
      </c>
      <c r="R75">
        <f>IFERROR(__xludf.DUMMYFUNCTION("""COMPUTED_VALUE"""),"stop無:1回目 0.37")</f>
        <v/>
      </c>
      <c r="S75">
        <f>IFERROR(__xludf.DUMMYFUNCTION("""COMPUTED_VALUE"""),"2.67")</f>
        <v/>
      </c>
      <c r="T75">
        <f>IFERROR(__xludf.DUMMYFUNCTION("""COMPUTED_VALUE"""),"stop無:1回目 0.74
stop無:2回目 0.92
stop無:3回目 1.1
stop無:4回目 1.28
stop無:5回目 1.45
stop無:6回目 1.65
stop有:7回目 1.84")</f>
        <v/>
      </c>
      <c r="U75">
        <f>IFERROR(__xludf.DUMMYFUNCTION("""COMPUTED_VALUE"""),45922.458333333336)</f>
        <v/>
      </c>
      <c r="V75">
        <f>IFERROR(__xludf.DUMMYFUNCTION("""COMPUTED_VALUE"""),390812.49998842593)</f>
        <v/>
      </c>
      <c r="W75">
        <f>IFERROR(__xludf.DUMMYFUNCTION("""COMPUTED_VALUE"""),"catchcopy_character_chara_sur_00201.png")</f>
        <v/>
      </c>
      <c r="X75">
        <f>IFERROR(__xludf.DUMMYFUNCTION("""COMPUTED_VALUE"""),"enemy_icon_chara_sur_00201")</f>
        <v/>
      </c>
      <c r="Y75">
        <f>IFERROR(__xludf.DUMMYFUNCTION("""COMPUTED_VALUE"""),"boss_icon_chara_sur_00201")</f>
        <v/>
      </c>
      <c r="AA75">
        <f>IFERROR(__xludf.DUMMYFUNCTION("""COMPUTED_VALUE"""),"chara_sur_00101_special")</f>
        <v/>
      </c>
    </row>
    <row r="76">
      <c r="A76">
        <f>IFERROR(__xludf.DUMMYFUNCTION("""COMPUTED_VALUE"""),"sur")</f>
        <v/>
      </c>
      <c r="B76">
        <f>IFERROR(__xludf.DUMMYFUNCTION("""COMPUTED_VALUE"""),"魔都精兵のスレイブ")</f>
        <v/>
      </c>
      <c r="C76">
        <f>IFERROR(__xludf.DUMMYFUNCTION("""COMPUTED_VALUE"""),"00301")</f>
        <v/>
      </c>
      <c r="D76">
        <f>IFERROR(__xludf.DUMMYFUNCTION("""COMPUTED_VALUE"""),"chara_sur_00301")</f>
        <v/>
      </c>
      <c r="E76">
        <f>IFERROR(__xludf.DUMMYFUNCTION("""COMPUTED_VALUE"""),"駿河 朱々")</f>
        <v/>
      </c>
      <c r="F76">
        <f>IFERROR(__xludf.DUMMYFUNCTION("""COMPUTED_VALUE"""),"駿河 朱々")</f>
        <v/>
      </c>
      <c r="G76">
        <f>IFERROR(__xludf.DUMMYFUNCTION("""COMPUTED_VALUE"""),"玉体革命")</f>
        <v/>
      </c>
      <c r="H76">
        <f>IFERROR(__xludf.DUMMYFUNCTION("""COMPUTED_VALUE"""),"SR")</f>
        <v/>
      </c>
      <c r="I76">
        <f>IFERROR(__xludf.DUMMYFUNCTION("""COMPUTED_VALUE"""),"PremiumSR")</f>
        <v/>
      </c>
      <c r="J76">
        <f>IFERROR(__xludf.DUMMYFUNCTION("""COMPUTED_VALUE"""),"黄")</f>
        <v/>
      </c>
      <c r="K76">
        <f>IFERROR(__xludf.DUMMYFUNCTION("""COMPUTED_VALUE"""),"chara")</f>
        <v/>
      </c>
      <c r="L76">
        <f>IFERROR(__xludf.DUMMYFUNCTION("""COMPUTED_VALUE"""),"ディフェンス")</f>
        <v/>
      </c>
      <c r="M76">
        <f>IFERROR(__xludf.DUMMYFUNCTION("""COMPUTED_VALUE"""),"dageki_1")</f>
        <v/>
      </c>
      <c r="N76">
        <f>IFERROR(__xludf.DUMMYFUNCTION("""COMPUTED_VALUE"""),"Short")</f>
        <v/>
      </c>
      <c r="O76">
        <f>IFERROR(__xludf.DUMMYFUNCTION("""COMPUTED_VALUE"""),"dageki_2")</f>
        <v/>
      </c>
      <c r="P76">
        <f>IFERROR(__xludf.DUMMYFUNCTION("""COMPUTED_VALUE"""),"00301")</f>
        <v/>
      </c>
      <c r="Q76">
        <f>IFERROR(__xludf.DUMMYFUNCTION("""COMPUTED_VALUE"""),"1.56")</f>
        <v/>
      </c>
      <c r="R76">
        <f>IFERROR(__xludf.DUMMYFUNCTION("""COMPUTED_VALUE"""),"0.66")</f>
        <v/>
      </c>
      <c r="S76">
        <f>IFERROR(__xludf.DUMMYFUNCTION("""COMPUTED_VALUE"""),"1.91")</f>
        <v/>
      </c>
      <c r="T76">
        <f>IFERROR(__xludf.DUMMYFUNCTION("""COMPUTED_VALUE"""),"0.73")</f>
        <v/>
      </c>
      <c r="U76">
        <f>IFERROR(__xludf.DUMMYFUNCTION("""COMPUTED_VALUE"""),45922.458333333336)</f>
        <v/>
      </c>
      <c r="V76">
        <f>IFERROR(__xludf.DUMMYFUNCTION("""COMPUTED_VALUE"""),390812.49998842593)</f>
        <v/>
      </c>
      <c r="W76">
        <f>IFERROR(__xludf.DUMMYFUNCTION("""COMPUTED_VALUE"""),"catchcopy_character_chara_sur_00301.png")</f>
        <v/>
      </c>
      <c r="X76">
        <f>IFERROR(__xludf.DUMMYFUNCTION("""COMPUTED_VALUE"""),"enemy_icon_chara_sur_00301")</f>
        <v/>
      </c>
      <c r="Y76">
        <f>IFERROR(__xludf.DUMMYFUNCTION("""COMPUTED_VALUE"""),"boss_icon_chara_sur_00301")</f>
        <v/>
      </c>
      <c r="Z76">
        <f>IFERROR(__xludf.DUMMYFUNCTION("""COMPUTED_VALUE"""),"chara_sur_00301_normal")</f>
        <v/>
      </c>
      <c r="AA76">
        <f>IFERROR(__xludf.DUMMYFUNCTION("""COMPUTED_VALUE"""),"chara_sur_00301_special")</f>
        <v/>
      </c>
    </row>
    <row r="77">
      <c r="A77">
        <f>IFERROR(__xludf.DUMMYFUNCTION("""COMPUTED_VALUE"""),"sur")</f>
        <v/>
      </c>
      <c r="B77">
        <f>IFERROR(__xludf.DUMMYFUNCTION("""COMPUTED_VALUE"""),"魔都精兵のスレイブ")</f>
        <v/>
      </c>
      <c r="C77">
        <f>IFERROR(__xludf.DUMMYFUNCTION("""COMPUTED_VALUE"""),"00401")</f>
        <v/>
      </c>
      <c r="D77">
        <f>IFERROR(__xludf.DUMMYFUNCTION("""COMPUTED_VALUE"""),"chara_sur_00401")</f>
        <v/>
      </c>
      <c r="E77">
        <f>IFERROR(__xludf.DUMMYFUNCTION("""COMPUTED_VALUE"""),"大川村 寧")</f>
        <v/>
      </c>
      <c r="F77">
        <f>IFERROR(__xludf.DUMMYFUNCTION("""COMPUTED_VALUE"""),"大川村 寧")</f>
        <v/>
      </c>
      <c r="G77">
        <f>IFERROR(__xludf.DUMMYFUNCTION("""COMPUTED_VALUE"""),"きっと見つける")</f>
        <v/>
      </c>
      <c r="H77">
        <f>IFERROR(__xludf.DUMMYFUNCTION("""COMPUTED_VALUE"""),"SR")</f>
        <v/>
      </c>
      <c r="I77">
        <f>IFERROR(__xludf.DUMMYFUNCTION("""COMPUTED_VALUE"""),"DropSR")</f>
        <v/>
      </c>
      <c r="J77">
        <f>IFERROR(__xludf.DUMMYFUNCTION("""COMPUTED_VALUE"""),"無")</f>
        <v/>
      </c>
      <c r="K77">
        <f>IFERROR(__xludf.DUMMYFUNCTION("""COMPUTED_VALUE"""),"chara")</f>
        <v/>
      </c>
      <c r="L77">
        <f>IFERROR(__xludf.DUMMYFUNCTION("""COMPUTED_VALUE"""),"スペシャル")</f>
        <v/>
      </c>
      <c r="M77">
        <f>IFERROR(__xludf.DUMMYFUNCTION("""COMPUTED_VALUE"""),"-")</f>
        <v/>
      </c>
      <c r="N77">
        <f>IFERROR(__xludf.DUMMYFUNCTION("""COMPUTED_VALUE"""),"ー")</f>
        <v/>
      </c>
      <c r="O77">
        <f>IFERROR(__xludf.DUMMYFUNCTION("""COMPUTED_VALUE"""),"-")</f>
        <v/>
      </c>
      <c r="P77">
        <f>IFERROR(__xludf.DUMMYFUNCTION("""COMPUTED_VALUE"""),"00401")</f>
        <v/>
      </c>
      <c r="Q77">
        <f>IFERROR(__xludf.DUMMYFUNCTION("""COMPUTED_VALUE"""),"-")</f>
        <v/>
      </c>
      <c r="R77">
        <f>IFERROR(__xludf.DUMMYFUNCTION("""COMPUTED_VALUE"""),"-")</f>
        <v/>
      </c>
      <c r="S77">
        <f>IFERROR(__xludf.DUMMYFUNCTION("""COMPUTED_VALUE"""),"2.50")</f>
        <v/>
      </c>
      <c r="T77">
        <f>IFERROR(__xludf.DUMMYFUNCTION("""COMPUTED_VALUE"""),"0")</f>
        <v/>
      </c>
      <c r="U77">
        <f>IFERROR(__xludf.DUMMYFUNCTION("""COMPUTED_VALUE"""),45922.458333333336)</f>
        <v/>
      </c>
      <c r="V77">
        <f>IFERROR(__xludf.DUMMYFUNCTION("""COMPUTED_VALUE"""),390812.49998842593)</f>
        <v/>
      </c>
      <c r="W77">
        <f>IFERROR(__xludf.DUMMYFUNCTION("""COMPUTED_VALUE"""),"catchcopy_character_chara_sur_00401.png")</f>
        <v/>
      </c>
      <c r="X77">
        <f>IFERROR(__xludf.DUMMYFUNCTION("""COMPUTED_VALUE"""),"enemy_icon_chara_sur_00401")</f>
        <v/>
      </c>
      <c r="Y77">
        <f>IFERROR(__xludf.DUMMYFUNCTION("""COMPUTED_VALUE"""),"boss_icon_chara_sur_00401")</f>
        <v/>
      </c>
      <c r="AA77">
        <f>IFERROR(__xludf.DUMMYFUNCTION("""COMPUTED_VALUE"""),"chara_sur_00401_special")</f>
        <v/>
      </c>
    </row>
    <row r="78">
      <c r="A78">
        <f>IFERROR(__xludf.DUMMYFUNCTION("""COMPUTED_VALUE"""),"sur")</f>
        <v/>
      </c>
      <c r="B78">
        <f>IFERROR(__xludf.DUMMYFUNCTION("""COMPUTED_VALUE"""),"魔都精兵のスレイブ")</f>
        <v/>
      </c>
      <c r="C78">
        <f>IFERROR(__xludf.DUMMYFUNCTION("""COMPUTED_VALUE"""),"00501")</f>
        <v/>
      </c>
      <c r="D78">
        <f>IFERROR(__xludf.DUMMYFUNCTION("""COMPUTED_VALUE"""),"chara_sur_00501")</f>
        <v/>
      </c>
      <c r="E78">
        <f>IFERROR(__xludf.DUMMYFUNCTION("""COMPUTED_VALUE"""),"出雲 天花")</f>
        <v/>
      </c>
      <c r="F78">
        <f>IFERROR(__xludf.DUMMYFUNCTION("""COMPUTED_VALUE"""),"空間を操る六番組組長 出雲 天花")</f>
        <v/>
      </c>
      <c r="G78">
        <f>IFERROR(__xludf.DUMMYFUNCTION("""COMPUTED_VALUE"""),"天御鳥命")</f>
        <v/>
      </c>
      <c r="H78">
        <f>IFERROR(__xludf.DUMMYFUNCTION("""COMPUTED_VALUE"""),"UR")</f>
        <v/>
      </c>
      <c r="I78">
        <f>IFERROR(__xludf.DUMMYFUNCTION("""COMPUTED_VALUE"""),"PremiumUR")</f>
        <v/>
      </c>
      <c r="J78">
        <f>IFERROR(__xludf.DUMMYFUNCTION("""COMPUTED_VALUE"""),"黄")</f>
        <v/>
      </c>
      <c r="K78">
        <f>IFERROR(__xludf.DUMMYFUNCTION("""COMPUTED_VALUE"""),"chara")</f>
        <v/>
      </c>
      <c r="L78">
        <f>IFERROR(__xludf.DUMMYFUNCTION("""COMPUTED_VALUE"""),"テクニカル")</f>
        <v/>
      </c>
      <c r="M78">
        <f>IFERROR(__xludf.DUMMYFUNCTION("""COMPUTED_VALUE"""),"dageki_1")</f>
        <v/>
      </c>
      <c r="N78">
        <f>IFERROR(__xludf.DUMMYFUNCTION("""COMPUTED_VALUE"""),"Long")</f>
        <v/>
      </c>
      <c r="O78">
        <f>IFERROR(__xludf.DUMMYFUNCTION("""COMPUTED_VALUE"""),"dageki_1")</f>
        <v/>
      </c>
      <c r="P78">
        <f>IFERROR(__xludf.DUMMYFUNCTION("""COMPUTED_VALUE"""),"00501")</f>
        <v/>
      </c>
      <c r="Q78">
        <f>IFERROR(__xludf.DUMMYFUNCTION("""COMPUTED_VALUE"""),"1.71")</f>
        <v/>
      </c>
      <c r="R78">
        <f>IFERROR(__xludf.DUMMYFUNCTION("""COMPUTED_VALUE"""),"stop有:1回目 0.93")</f>
        <v/>
      </c>
      <c r="S78">
        <f>IFERROR(__xludf.DUMMYFUNCTION("""COMPUTED_VALUE"""),"2.67")</f>
        <v/>
      </c>
      <c r="T78">
        <f>IFERROR(__xludf.DUMMYFUNCTION("""COMPUTED_VALUE"""),"stop有:1回目 1.53")</f>
        <v/>
      </c>
      <c r="U78">
        <f>IFERROR(__xludf.DUMMYFUNCTION("""COMPUTED_VALUE"""),45999.5)</f>
        <v/>
      </c>
      <c r="V78">
        <f>IFERROR(__xludf.DUMMYFUNCTION("""COMPUTED_VALUE"""),390812.49998842593)</f>
        <v/>
      </c>
      <c r="W78">
        <f>IFERROR(__xludf.DUMMYFUNCTION("""COMPUTED_VALUE"""),"catchcopy_character_chara_sur_00501.png")</f>
        <v/>
      </c>
      <c r="X78">
        <f>IFERROR(__xludf.DUMMYFUNCTION("""COMPUTED_VALUE"""),"enemy_icon_chara_sur_00501")</f>
        <v/>
      </c>
      <c r="Y78">
        <f>IFERROR(__xludf.DUMMYFUNCTION("""COMPUTED_VALUE"""),"boss_icon_chara_sur_00501")</f>
        <v/>
      </c>
    </row>
    <row r="79">
      <c r="A79">
        <f>IFERROR(__xludf.DUMMYFUNCTION("""COMPUTED_VALUE"""),"sur")</f>
        <v/>
      </c>
      <c r="B79">
        <f>IFERROR(__xludf.DUMMYFUNCTION("""COMPUTED_VALUE"""),"魔都精兵のスレイブ")</f>
        <v/>
      </c>
      <c r="C79">
        <f>IFERROR(__xludf.DUMMYFUNCTION("""COMPUTED_VALUE"""),"00601")</f>
        <v/>
      </c>
      <c r="D79">
        <f>IFERROR(__xludf.DUMMYFUNCTION("""COMPUTED_VALUE"""),"chara_sur_00601")</f>
        <v/>
      </c>
      <c r="E79">
        <f>IFERROR(__xludf.DUMMYFUNCTION("""COMPUTED_VALUE"""),"東 八千穂")</f>
        <v/>
      </c>
      <c r="F79">
        <f>IFERROR(__xludf.DUMMYFUNCTION("""COMPUTED_VALUE"""),"東 八千穂")</f>
        <v/>
      </c>
      <c r="G79">
        <f>IFERROR(__xludf.DUMMYFUNCTION("""COMPUTED_VALUE"""),"東の辰刻")</f>
        <v/>
      </c>
      <c r="H79">
        <f>IFERROR(__xludf.DUMMYFUNCTION("""COMPUTED_VALUE"""),"SSR")</f>
        <v/>
      </c>
      <c r="I79">
        <f>IFERROR(__xludf.DUMMYFUNCTION("""COMPUTED_VALUE"""),"PremiumSSR")</f>
        <v/>
      </c>
      <c r="J79">
        <f>IFERROR(__xludf.DUMMYFUNCTION("""COMPUTED_VALUE"""),"赤")</f>
        <v/>
      </c>
      <c r="K79">
        <f>IFERROR(__xludf.DUMMYFUNCTION("""COMPUTED_VALUE"""),"chara")</f>
        <v/>
      </c>
      <c r="L79">
        <f>IFERROR(__xludf.DUMMYFUNCTION("""COMPUTED_VALUE"""),"テクニカル")</f>
        <v/>
      </c>
      <c r="M79">
        <f>IFERROR(__xludf.DUMMYFUNCTION("""COMPUTED_VALUE"""),"shageki_1")</f>
        <v/>
      </c>
      <c r="N79">
        <f>IFERROR(__xludf.DUMMYFUNCTION("""COMPUTED_VALUE"""),"Middle")</f>
        <v/>
      </c>
      <c r="O79">
        <f>IFERROR(__xludf.DUMMYFUNCTION("""COMPUTED_VALUE"""),"dageki_1")</f>
        <v/>
      </c>
      <c r="P79">
        <f>IFERROR(__xludf.DUMMYFUNCTION("""COMPUTED_VALUE"""),"00601")</f>
        <v/>
      </c>
      <c r="Q79">
        <f>IFERROR(__xludf.DUMMYFUNCTION("""COMPUTED_VALUE"""),"1.64")</f>
        <v/>
      </c>
      <c r="R79">
        <f>IFERROR(__xludf.DUMMYFUNCTION("""COMPUTED_VALUE"""),"stop有:1回目 0.75")</f>
        <v/>
      </c>
      <c r="S79">
        <f>IFERROR(__xludf.DUMMYFUNCTION("""COMPUTED_VALUE"""),"3.34")</f>
        <v/>
      </c>
      <c r="T79">
        <f>IFERROR(__xludf.DUMMYFUNCTION("""COMPUTED_VALUE"""),"stop有:1回目 1.2")</f>
        <v/>
      </c>
      <c r="U79">
        <f>IFERROR(__xludf.DUMMYFUNCTION("""COMPUTED_VALUE"""),45999.5)</f>
        <v/>
      </c>
      <c r="V79">
        <f>IFERROR(__xludf.DUMMYFUNCTION("""COMPUTED_VALUE"""),390812.49998842593)</f>
        <v/>
      </c>
      <c r="W79">
        <f>IFERROR(__xludf.DUMMYFUNCTION("""COMPUTED_VALUE"""),"catchcopy_character_chara_sur_00601.png")</f>
        <v/>
      </c>
      <c r="X79">
        <f>IFERROR(__xludf.DUMMYFUNCTION("""COMPUTED_VALUE"""),"enemy_icon_chara_sur_00601")</f>
        <v/>
      </c>
      <c r="Y79">
        <f>IFERROR(__xludf.DUMMYFUNCTION("""COMPUTED_VALUE"""),"boss_icon_chara_sur_00601")</f>
        <v/>
      </c>
    </row>
    <row r="80">
      <c r="A80">
        <f>IFERROR(__xludf.DUMMYFUNCTION("""COMPUTED_VALUE"""),"sur")</f>
        <v/>
      </c>
      <c r="B80">
        <f>IFERROR(__xludf.DUMMYFUNCTION("""COMPUTED_VALUE"""),"魔都精兵のスレイブ")</f>
        <v/>
      </c>
      <c r="C80">
        <f>IFERROR(__xludf.DUMMYFUNCTION("""COMPUTED_VALUE"""),"00701")</f>
        <v/>
      </c>
      <c r="D80">
        <f>IFERROR(__xludf.DUMMYFUNCTION("""COMPUTED_VALUE"""),"chara_sur_00701")</f>
        <v/>
      </c>
      <c r="E80">
        <f>IFERROR(__xludf.DUMMYFUNCTION("""COMPUTED_VALUE"""),"和倉 青羽")</f>
        <v/>
      </c>
      <c r="F80">
        <f>IFERROR(__xludf.DUMMYFUNCTION("""COMPUTED_VALUE"""),"和倉 青羽")</f>
        <v/>
      </c>
      <c r="G80">
        <f>IFERROR(__xludf.DUMMYFUNCTION("""COMPUTED_VALUE"""),"弟について喋ってるでしょ")</f>
        <v/>
      </c>
      <c r="H80">
        <f>IFERROR(__xludf.DUMMYFUNCTION("""COMPUTED_VALUE"""),"SR")</f>
        <v/>
      </c>
      <c r="I80">
        <f>IFERROR(__xludf.DUMMYFUNCTION("""COMPUTED_VALUE"""),"DropSR")</f>
        <v/>
      </c>
      <c r="J80">
        <f>IFERROR(__xludf.DUMMYFUNCTION("""COMPUTED_VALUE"""),"青")</f>
        <v/>
      </c>
      <c r="K80">
        <f>IFERROR(__xludf.DUMMYFUNCTION("""COMPUTED_VALUE"""),"chara")</f>
        <v/>
      </c>
      <c r="L80">
        <f>IFERROR(__xludf.DUMMYFUNCTION("""COMPUTED_VALUE"""),"アタック")</f>
        <v/>
      </c>
      <c r="M80">
        <f>IFERROR(__xludf.DUMMYFUNCTION("""COMPUTED_VALUE"""),"dageki_1")</f>
        <v/>
      </c>
      <c r="N80">
        <f>IFERROR(__xludf.DUMMYFUNCTION("""COMPUTED_VALUE"""),"Short")</f>
        <v/>
      </c>
      <c r="O80">
        <f>IFERROR(__xludf.DUMMYFUNCTION("""COMPUTED_VALUE"""),"dageki_1")</f>
        <v/>
      </c>
      <c r="P80">
        <f>IFERROR(__xludf.DUMMYFUNCTION("""COMPUTED_VALUE"""),"00701")</f>
        <v/>
      </c>
      <c r="Q80">
        <f>IFERROR(__xludf.DUMMYFUNCTION("""COMPUTED_VALUE"""),"1.07")</f>
        <v/>
      </c>
      <c r="R80">
        <f>IFERROR(__xludf.DUMMYFUNCTION("""COMPUTED_VALUE"""),"0.28")</f>
        <v/>
      </c>
      <c r="S80">
        <f>IFERROR(__xludf.DUMMYFUNCTION("""COMPUTED_VALUE"""),"2.01")</f>
        <v/>
      </c>
      <c r="T80">
        <f>IFERROR(__xludf.DUMMYFUNCTION("""COMPUTED_VALUE"""),"stop無:1回目 0.67
stop無:2回目 0.84
stop無:3回目 1
stop有:4回目 1.25")</f>
        <v/>
      </c>
      <c r="U80">
        <f>IFERROR(__xludf.DUMMYFUNCTION("""COMPUTED_VALUE"""),45999.625)</f>
        <v/>
      </c>
      <c r="V80">
        <f>IFERROR(__xludf.DUMMYFUNCTION("""COMPUTED_VALUE"""),390812.49998842593)</f>
        <v/>
      </c>
      <c r="W80">
        <f>IFERROR(__xludf.DUMMYFUNCTION("""COMPUTED_VALUE"""),"catchcopy_character_chara_sur_00701.png")</f>
        <v/>
      </c>
      <c r="X80">
        <f>IFERROR(__xludf.DUMMYFUNCTION("""COMPUTED_VALUE"""),"enemy_icon_chara_sur_00701")</f>
        <v/>
      </c>
      <c r="Y80">
        <f>IFERROR(__xludf.DUMMYFUNCTION("""COMPUTED_VALUE"""),"boss_icon_chara_sur_00701")</f>
        <v/>
      </c>
    </row>
    <row r="81">
      <c r="A81">
        <f>IFERROR(__xludf.DUMMYFUNCTION("""COMPUTED_VALUE"""),"sur")</f>
        <v/>
      </c>
      <c r="B81">
        <f>IFERROR(__xludf.DUMMYFUNCTION("""COMPUTED_VALUE"""),"魔都精兵のスレイブ")</f>
        <v/>
      </c>
      <c r="C81">
        <f>IFERROR(__xludf.DUMMYFUNCTION("""COMPUTED_VALUE"""),"00801")</f>
        <v/>
      </c>
      <c r="D81">
        <f>IFERROR(__xludf.DUMMYFUNCTION("""COMPUTED_VALUE"""),"chara_sur_00801")</f>
        <v/>
      </c>
      <c r="E81">
        <f>IFERROR(__xludf.DUMMYFUNCTION("""COMPUTED_VALUE"""),"和倉優希（変身）")</f>
        <v/>
      </c>
      <c r="F81">
        <f>IFERROR(__xludf.DUMMYFUNCTION("""COMPUTED_VALUE"""),"無窮の鎖 和倉 優希")</f>
        <v/>
      </c>
      <c r="G81">
        <f>IFERROR(__xludf.DUMMYFUNCTION("""COMPUTED_VALUE"""),"隷架拳")</f>
        <v/>
      </c>
      <c r="H81">
        <f>IFERROR(__xludf.DUMMYFUNCTION("""COMPUTED_VALUE"""),"SR")</f>
        <v/>
      </c>
      <c r="I81">
        <f>IFERROR(__xludf.DUMMYFUNCTION("""COMPUTED_VALUE"""),"DropSR")</f>
        <v/>
      </c>
      <c r="J81">
        <f>IFERROR(__xludf.DUMMYFUNCTION("""COMPUTED_VALUE"""),"黄")</f>
        <v/>
      </c>
      <c r="K81">
        <f>IFERROR(__xludf.DUMMYFUNCTION("""COMPUTED_VALUE"""),"chara")</f>
        <v/>
      </c>
      <c r="L81">
        <f>IFERROR(__xludf.DUMMYFUNCTION("""COMPUTED_VALUE"""),"ディフェンス")</f>
        <v/>
      </c>
      <c r="M81">
        <f>IFERROR(__xludf.DUMMYFUNCTION("""COMPUTED_VALUE"""),"dageki_1")</f>
        <v/>
      </c>
      <c r="N81">
        <f>IFERROR(__xludf.DUMMYFUNCTION("""COMPUTED_VALUE"""),"Short")</f>
        <v/>
      </c>
      <c r="O81">
        <f>IFERROR(__xludf.DUMMYFUNCTION("""COMPUTED_VALUE"""),"dageki_1")</f>
        <v/>
      </c>
      <c r="P81">
        <f>IFERROR(__xludf.DUMMYFUNCTION("""COMPUTED_VALUE"""),"00801")</f>
        <v/>
      </c>
      <c r="Q81">
        <f>IFERROR(__xludf.DUMMYFUNCTION("""COMPUTED_VALUE"""),"1.24")</f>
        <v/>
      </c>
      <c r="R81">
        <f>IFERROR(__xludf.DUMMYFUNCTION("""COMPUTED_VALUE"""),"stop有:1回目 0.66")</f>
        <v/>
      </c>
      <c r="S81">
        <f>IFERROR(__xludf.DUMMYFUNCTION("""COMPUTED_VALUE"""),"2.01")</f>
        <v/>
      </c>
      <c r="T81">
        <f>IFERROR(__xludf.DUMMYFUNCTION("""COMPUTED_VALUE"""),"stop有:1回目 1.06")</f>
        <v/>
      </c>
      <c r="U81">
        <f>IFERROR(__xludf.DUMMYFUNCTION("""COMPUTED_VALUE"""),45999.625)</f>
        <v/>
      </c>
      <c r="V81">
        <f>IFERROR(__xludf.DUMMYFUNCTION("""COMPUTED_VALUE"""),390812.49998842593)</f>
        <v/>
      </c>
      <c r="W81">
        <f>IFERROR(__xludf.DUMMYFUNCTION("""COMPUTED_VALUE"""),"catchcopy_character_chara_sur_00801.png")</f>
        <v/>
      </c>
      <c r="X81">
        <f>IFERROR(__xludf.DUMMYFUNCTION("""COMPUTED_VALUE"""),"enemy_icon_chara_sur_00801")</f>
        <v/>
      </c>
      <c r="Y81">
        <f>IFERROR(__xludf.DUMMYFUNCTION("""COMPUTED_VALUE"""),"boss_icon_chara_sur_00801")</f>
        <v/>
      </c>
    </row>
    <row r="82">
      <c r="A82">
        <f>IFERROR(__xludf.DUMMYFUNCTION("""COMPUTED_VALUE"""),"sur")</f>
        <v/>
      </c>
      <c r="B82">
        <f>IFERROR(__xludf.DUMMYFUNCTION("""COMPUTED_VALUE"""),"魔都精兵のスレイブ")</f>
        <v/>
      </c>
      <c r="C82">
        <f>IFERROR(__xludf.DUMMYFUNCTION("""COMPUTED_VALUE"""),"00901")</f>
        <v/>
      </c>
      <c r="D82">
        <f>IFERROR(__xludf.DUMMYFUNCTION("""COMPUTED_VALUE"""),"chara_sur_00901")</f>
        <v/>
      </c>
      <c r="E82">
        <f>IFERROR(__xludf.DUMMYFUNCTION("""COMPUTED_VALUE"""),"山城 恋")</f>
        <v/>
      </c>
      <c r="F82">
        <f>IFERROR(__xludf.DUMMYFUNCTION("""COMPUTED_VALUE"""),"万物を統べる総組長 山城 恋")</f>
        <v/>
      </c>
      <c r="G82">
        <f>IFERROR(__xludf.DUMMYFUNCTION("""COMPUTED_VALUE"""),"万物を総該した無限宇宙の全一")</f>
        <v/>
      </c>
      <c r="H82">
        <f>IFERROR(__xludf.DUMMYFUNCTION("""COMPUTED_VALUE"""),"UR")</f>
        <v/>
      </c>
      <c r="I82">
        <f>IFERROR(__xludf.DUMMYFUNCTION("""COMPUTED_VALUE"""),"FestivalUR")</f>
        <v/>
      </c>
      <c r="J82">
        <f>IFERROR(__xludf.DUMMYFUNCTION("""COMPUTED_VALUE"""),"青")</f>
        <v/>
      </c>
      <c r="K82">
        <f>IFERROR(__xludf.DUMMYFUNCTION("""COMPUTED_VALUE"""),"chara")</f>
        <v/>
      </c>
      <c r="L82">
        <f>IFERROR(__xludf.DUMMYFUNCTION("""COMPUTED_VALUE"""),"アタック")</f>
        <v/>
      </c>
      <c r="N82">
        <f>IFERROR(__xludf.DUMMYFUNCTION("""COMPUTED_VALUE"""),"Middle")</f>
        <v/>
      </c>
      <c r="Q82">
        <f>IFERROR(__xludf.DUMMYFUNCTION("""COMPUTED_VALUE"""),"1.17")</f>
        <v/>
      </c>
      <c r="R82">
        <f>IFERROR(__xludf.DUMMYFUNCTION("""COMPUTED_VALUE"""),"stop有 : 0.43")</f>
        <v/>
      </c>
      <c r="S82">
        <f>IFERROR(__xludf.DUMMYFUNCTION("""COMPUTED_VALUE"""),"2.92")</f>
        <v/>
      </c>
      <c r="T82">
        <f>IFERROR(__xludf.DUMMYFUNCTION("""COMPUTED_VALUE"""),"stop有 : 1.31")</f>
        <v/>
      </c>
      <c r="U82">
        <f>IFERROR(__xludf.DUMMYFUNCTION("""COMPUTED_VALUE"""),"実装未定")</f>
        <v/>
      </c>
      <c r="V82">
        <f>IFERROR(__xludf.DUMMYFUNCTION("""COMPUTED_VALUE"""),390812.49998842593)</f>
        <v/>
      </c>
      <c r="W82">
        <f>IFERROR(__xludf.DUMMYFUNCTION("""COMPUTED_VALUE"""),"catchcopy_character_chara_sur_00901.png")</f>
        <v/>
      </c>
      <c r="X82">
        <f>IFERROR(__xludf.DUMMYFUNCTION("""COMPUTED_VALUE"""),"enemy_icon_chara_sur_00901")</f>
        <v/>
      </c>
      <c r="Y82">
        <f>IFERROR(__xludf.DUMMYFUNCTION("""COMPUTED_VALUE"""),"boss_icon_chara_sur_00901")</f>
        <v/>
      </c>
    </row>
    <row r="83">
      <c r="A83">
        <f>IFERROR(__xludf.DUMMYFUNCTION("""COMPUTED_VALUE"""),"ron")</f>
        <v/>
      </c>
      <c r="B83">
        <f>IFERROR(__xludf.DUMMYFUNCTION("""COMPUTED_VALUE"""),"鴨乃橋ロンの禁断推理")</f>
        <v/>
      </c>
      <c r="C83">
        <f>IFERROR(__xludf.DUMMYFUNCTION("""COMPUTED_VALUE"""),"00001")</f>
        <v/>
      </c>
      <c r="D83">
        <f>IFERROR(__xludf.DUMMYFUNCTION("""COMPUTED_VALUE"""),"chara_ron_00001")</f>
        <v/>
      </c>
      <c r="E83">
        <f>IFERROR(__xludf.DUMMYFUNCTION("""COMPUTED_VALUE"""),"鴨乃橋 ロン")</f>
        <v/>
      </c>
      <c r="F83">
        <f>IFERROR(__xludf.DUMMYFUNCTION("""COMPUTED_VALUE"""),"鴨乃橋 ロン")</f>
        <v/>
      </c>
      <c r="G83">
        <f>IFERROR(__xludf.DUMMYFUNCTION("""COMPUTED_VALUE"""),"今からそれを証明してみせる")</f>
        <v/>
      </c>
      <c r="H83">
        <f>IFERROR(__xludf.DUMMYFUNCTION("""COMPUTED_VALUE"""),"SSR")</f>
        <v/>
      </c>
      <c r="I83">
        <f>IFERROR(__xludf.DUMMYFUNCTION("""COMPUTED_VALUE"""),"PremiumSSR")</f>
        <v/>
      </c>
      <c r="J83">
        <f>IFERROR(__xludf.DUMMYFUNCTION("""COMPUTED_VALUE"""),"青")</f>
        <v/>
      </c>
      <c r="K83">
        <f>IFERROR(__xludf.DUMMYFUNCTION("""COMPUTED_VALUE"""),"chara")</f>
        <v/>
      </c>
      <c r="L83">
        <f>IFERROR(__xludf.DUMMYFUNCTION("""COMPUTED_VALUE"""),"テクニカル")</f>
        <v/>
      </c>
      <c r="M83">
        <f>IFERROR(__xludf.DUMMYFUNCTION("""COMPUTED_VALUE"""),"dageki_2")</f>
        <v/>
      </c>
      <c r="N83">
        <f>IFERROR(__xludf.DUMMYFUNCTION("""COMPUTED_VALUE"""),"Middle")</f>
        <v/>
      </c>
      <c r="O83">
        <f>IFERROR(__xludf.DUMMYFUNCTION("""COMPUTED_VALUE"""),"dageki_1")</f>
        <v/>
      </c>
      <c r="P83">
        <f>IFERROR(__xludf.DUMMYFUNCTION("""COMPUTED_VALUE"""),"00001")</f>
        <v/>
      </c>
      <c r="Q83">
        <f>IFERROR(__xludf.DUMMYFUNCTION("""COMPUTED_VALUE"""),"1.67")</f>
        <v/>
      </c>
      <c r="R83">
        <f>IFERROR(__xludf.DUMMYFUNCTION("""COMPUTED_VALUE"""),"stop有:1回目 0.92")</f>
        <v/>
      </c>
      <c r="S83">
        <f>IFERROR(__xludf.DUMMYFUNCTION("""COMPUTED_VALUE"""),"2.74")</f>
        <v/>
      </c>
      <c r="T83">
        <f>IFERROR(__xludf.DUMMYFUNCTION("""COMPUTED_VALUE"""),"stop有:1回目 1.17
stop無:2回目 1.50
stop無:3回目 1.67
stop無:4回目 1.84
stop無:5回目 1.97")</f>
        <v/>
      </c>
      <c r="U83">
        <f>IFERROR(__xludf.DUMMYFUNCTION("""COMPUTED_VALUE"""),45922.458333333336)</f>
        <v/>
      </c>
      <c r="V83">
        <f>IFERROR(__xludf.DUMMYFUNCTION("""COMPUTED_VALUE"""),390812.49998842593)</f>
        <v/>
      </c>
      <c r="W83">
        <f>IFERROR(__xludf.DUMMYFUNCTION("""COMPUTED_VALUE"""),"catchcopy_character_chara_ron_00001.png")</f>
        <v/>
      </c>
      <c r="X83">
        <f>IFERROR(__xludf.DUMMYFUNCTION("""COMPUTED_VALUE"""),"enemy_icon_chara_ron_00001")</f>
        <v/>
      </c>
      <c r="Y83">
        <f>IFERROR(__xludf.DUMMYFUNCTION("""COMPUTED_VALUE"""),"boss_icon_chara_ron_00001")</f>
        <v/>
      </c>
      <c r="Z83">
        <f>IFERROR(__xludf.DUMMYFUNCTION("""COMPUTED_VALUE"""),"chara_ron_00001_normal")</f>
        <v/>
      </c>
      <c r="AA83">
        <f>IFERROR(__xludf.DUMMYFUNCTION("""COMPUTED_VALUE"""),"chara_ron_00001_special")</f>
        <v/>
      </c>
    </row>
    <row r="84">
      <c r="A84">
        <f>IFERROR(__xludf.DUMMYFUNCTION("""COMPUTED_VALUE"""),"ron")</f>
        <v/>
      </c>
      <c r="B84">
        <f>IFERROR(__xludf.DUMMYFUNCTION("""COMPUTED_VALUE"""),"鴨乃橋ロンの禁断推理")</f>
        <v/>
      </c>
      <c r="C84">
        <f>IFERROR(__xludf.DUMMYFUNCTION("""COMPUTED_VALUE"""),"00101")</f>
        <v/>
      </c>
      <c r="D84">
        <f>IFERROR(__xludf.DUMMYFUNCTION("""COMPUTED_VALUE"""),"chara_ron_00101")</f>
        <v/>
      </c>
      <c r="E84">
        <f>IFERROR(__xludf.DUMMYFUNCTION("""COMPUTED_VALUE"""),"一色 都々丸")</f>
        <v/>
      </c>
      <c r="F84">
        <f>IFERROR(__xludf.DUMMYFUNCTION("""COMPUTED_VALUE"""),"一色 都々丸")</f>
        <v/>
      </c>
      <c r="G84">
        <f>IFERROR(__xludf.DUMMYFUNCTION("""COMPUTED_VALUE"""),"ピュアでマヌケな名探偵")</f>
        <v/>
      </c>
      <c r="H84">
        <f>IFERROR(__xludf.DUMMYFUNCTION("""COMPUTED_VALUE"""),"R")</f>
        <v/>
      </c>
      <c r="I84">
        <f>IFERROR(__xludf.DUMMYFUNCTION("""COMPUTED_VALUE"""),"PremiumR")</f>
        <v/>
      </c>
      <c r="J84">
        <f>IFERROR(__xludf.DUMMYFUNCTION("""COMPUTED_VALUE"""),"青")</f>
        <v/>
      </c>
      <c r="K84">
        <f>IFERROR(__xludf.DUMMYFUNCTION("""COMPUTED_VALUE"""),"chara")</f>
        <v/>
      </c>
      <c r="L84">
        <f>IFERROR(__xludf.DUMMYFUNCTION("""COMPUTED_VALUE"""),"ディフェンス")</f>
        <v/>
      </c>
      <c r="M84">
        <f>IFERROR(__xludf.DUMMYFUNCTION("""COMPUTED_VALUE"""),"dageki_2")</f>
        <v/>
      </c>
      <c r="N84">
        <f>IFERROR(__xludf.DUMMYFUNCTION("""COMPUTED_VALUE"""),"Middle")</f>
        <v/>
      </c>
      <c r="O84">
        <f>IFERROR(__xludf.DUMMYFUNCTION("""COMPUTED_VALUE"""),"dageki_1")</f>
        <v/>
      </c>
      <c r="P84">
        <f>IFERROR(__xludf.DUMMYFUNCTION("""COMPUTED_VALUE"""),"00101")</f>
        <v/>
      </c>
      <c r="Q84">
        <f>IFERROR(__xludf.DUMMYFUNCTION("""COMPUTED_VALUE"""),"1.67")</f>
        <v/>
      </c>
      <c r="R84">
        <f>IFERROR(__xludf.DUMMYFUNCTION("""COMPUTED_VALUE"""),"0.70")</f>
        <v/>
      </c>
      <c r="S84">
        <f>IFERROR(__xludf.DUMMYFUNCTION("""COMPUTED_VALUE"""),"2.67")</f>
        <v/>
      </c>
      <c r="T84">
        <f>IFERROR(__xludf.DUMMYFUNCTION("""COMPUTED_VALUE"""),"1.44")</f>
        <v/>
      </c>
      <c r="U84">
        <f>IFERROR(__xludf.DUMMYFUNCTION("""COMPUTED_VALUE"""),45922.458333333336)</f>
        <v/>
      </c>
      <c r="V84">
        <f>IFERROR(__xludf.DUMMYFUNCTION("""COMPUTED_VALUE"""),390812.49998842593)</f>
        <v/>
      </c>
      <c r="W84">
        <f>IFERROR(__xludf.DUMMYFUNCTION("""COMPUTED_VALUE"""),"catchcopy_character_chara_ron_00101.png")</f>
        <v/>
      </c>
      <c r="X84">
        <f>IFERROR(__xludf.DUMMYFUNCTION("""COMPUTED_VALUE"""),"enemy_icon_chara_ron_00101")</f>
        <v/>
      </c>
      <c r="Y84">
        <f>IFERROR(__xludf.DUMMYFUNCTION("""COMPUTED_VALUE"""),"boss_icon_chara_ron_00101")</f>
        <v/>
      </c>
      <c r="Z84">
        <f>IFERROR(__xludf.DUMMYFUNCTION("""COMPUTED_VALUE"""),"chara_ron_00101_normal")</f>
        <v/>
      </c>
      <c r="AA84">
        <f>IFERROR(__xludf.DUMMYFUNCTION("""COMPUTED_VALUE"""),"chara_ron_00101_special")</f>
        <v/>
      </c>
    </row>
    <row r="85">
      <c r="A85">
        <f>IFERROR(__xludf.DUMMYFUNCTION("""COMPUTED_VALUE"""),"aha")</f>
        <v/>
      </c>
      <c r="B85">
        <f>IFERROR(__xludf.DUMMYFUNCTION("""COMPUTED_VALUE"""),"阿波連さんははかれない")</f>
        <v/>
      </c>
      <c r="C85">
        <f>IFERROR(__xludf.DUMMYFUNCTION("""COMPUTED_VALUE"""),"00001")</f>
        <v/>
      </c>
      <c r="D85">
        <f>IFERROR(__xludf.DUMMYFUNCTION("""COMPUTED_VALUE"""),"chara_aha_00001")</f>
        <v/>
      </c>
      <c r="E85">
        <f>IFERROR(__xludf.DUMMYFUNCTION("""COMPUTED_VALUE"""),"ライドウ")</f>
        <v/>
      </c>
      <c r="F85">
        <f>IFERROR(__xludf.DUMMYFUNCTION("""COMPUTED_VALUE"""),"ライドウ")</f>
        <v/>
      </c>
      <c r="G85">
        <f>IFERROR(__xludf.DUMMYFUNCTION("""COMPUTED_VALUE"""),"公園は皆のものだから")</f>
        <v/>
      </c>
      <c r="H85">
        <f>IFERROR(__xludf.DUMMYFUNCTION("""COMPUTED_VALUE"""),"SR")</f>
        <v/>
      </c>
      <c r="I85">
        <f>IFERROR(__xludf.DUMMYFUNCTION("""COMPUTED_VALUE"""),"PremiumSR")</f>
        <v/>
      </c>
      <c r="J85">
        <f>IFERROR(__xludf.DUMMYFUNCTION("""COMPUTED_VALUE"""),"黄")</f>
        <v/>
      </c>
      <c r="K85">
        <f>IFERROR(__xludf.DUMMYFUNCTION("""COMPUTED_VALUE"""),"chara")</f>
        <v/>
      </c>
      <c r="L85">
        <f>IFERROR(__xludf.DUMMYFUNCTION("""COMPUTED_VALUE"""),"ディフェンス")</f>
        <v/>
      </c>
      <c r="M85">
        <f>IFERROR(__xludf.DUMMYFUNCTION("""COMPUTED_VALUE"""),"dageki_2")</f>
        <v/>
      </c>
      <c r="N85">
        <f>IFERROR(__xludf.DUMMYFUNCTION("""COMPUTED_VALUE"""),"Short")</f>
        <v/>
      </c>
      <c r="O85">
        <f>IFERROR(__xludf.DUMMYFUNCTION("""COMPUTED_VALUE"""),"dageki_1")</f>
        <v/>
      </c>
      <c r="P85">
        <f>IFERROR(__xludf.DUMMYFUNCTION("""COMPUTED_VALUE"""),"00001")</f>
        <v/>
      </c>
      <c r="Q85">
        <f>IFERROR(__xludf.DUMMYFUNCTION("""COMPUTED_VALUE"""),"1.60")</f>
        <v/>
      </c>
      <c r="R85">
        <f>IFERROR(__xludf.DUMMYFUNCTION("""COMPUTED_VALUE"""),"0.67")</f>
        <v/>
      </c>
      <c r="S85">
        <f>IFERROR(__xludf.DUMMYFUNCTION("""COMPUTED_VALUE"""),"2.67")</f>
        <v/>
      </c>
      <c r="T85">
        <f>IFERROR(__xludf.DUMMYFUNCTION("""COMPUTED_VALUE"""),"1.05")</f>
        <v/>
      </c>
      <c r="U85">
        <f>IFERROR(__xludf.DUMMYFUNCTION("""COMPUTED_VALUE"""),45922.458333333336)</f>
        <v/>
      </c>
      <c r="V85">
        <f>IFERROR(__xludf.DUMMYFUNCTION("""COMPUTED_VALUE"""),390812.49998842593)</f>
        <v/>
      </c>
      <c r="W85">
        <f>IFERROR(__xludf.DUMMYFUNCTION("""COMPUTED_VALUE"""),"catchcopy_character_chara_aha_00001.png")</f>
        <v/>
      </c>
      <c r="X85">
        <f>IFERROR(__xludf.DUMMYFUNCTION("""COMPUTED_VALUE"""),"enemy_icon_chara_aha_00001")</f>
        <v/>
      </c>
      <c r="Y85">
        <f>IFERROR(__xludf.DUMMYFUNCTION("""COMPUTED_VALUE"""),"boss_icon_chara_aha_00001")</f>
        <v/>
      </c>
      <c r="AA85">
        <f>IFERROR(__xludf.DUMMYFUNCTION("""COMPUTED_VALUE"""),"chara_aha_00001_special")</f>
        <v/>
      </c>
    </row>
    <row r="86">
      <c r="A86">
        <f>IFERROR(__xludf.DUMMYFUNCTION("""COMPUTED_VALUE"""),"aha")</f>
        <v/>
      </c>
      <c r="B86">
        <f>IFERROR(__xludf.DUMMYFUNCTION("""COMPUTED_VALUE"""),"阿波連さんははかれない")</f>
        <v/>
      </c>
      <c r="C86">
        <f>IFERROR(__xludf.DUMMYFUNCTION("""COMPUTED_VALUE"""),"00101")</f>
        <v/>
      </c>
      <c r="D86">
        <f>IFERROR(__xludf.DUMMYFUNCTION("""COMPUTED_VALUE"""),"chara_aha_00101")</f>
        <v/>
      </c>
      <c r="E86">
        <f>IFERROR(__xludf.DUMMYFUNCTION("""COMPUTED_VALUE"""),"阿波連 れいな")</f>
        <v/>
      </c>
      <c r="F86">
        <f>IFERROR(__xludf.DUMMYFUNCTION("""COMPUTED_VALUE"""),"阿波連 れいな")</f>
        <v/>
      </c>
      <c r="G86">
        <f>IFERROR(__xludf.DUMMYFUNCTION("""COMPUTED_VALUE"""),"さっきはありがとう")</f>
        <v/>
      </c>
      <c r="H86">
        <f>IFERROR(__xludf.DUMMYFUNCTION("""COMPUTED_VALUE"""),"SSR")</f>
        <v/>
      </c>
      <c r="I86">
        <f>IFERROR(__xludf.DUMMYFUNCTION("""COMPUTED_VALUE"""),"PremiumSSR")</f>
        <v/>
      </c>
      <c r="J86">
        <f>IFERROR(__xludf.DUMMYFUNCTION("""COMPUTED_VALUE"""),"黄")</f>
        <v/>
      </c>
      <c r="K86">
        <f>IFERROR(__xludf.DUMMYFUNCTION("""COMPUTED_VALUE"""),"chara")</f>
        <v/>
      </c>
      <c r="L86">
        <f>IFERROR(__xludf.DUMMYFUNCTION("""COMPUTED_VALUE"""),"サポート")</f>
        <v/>
      </c>
      <c r="M86">
        <f>IFERROR(__xludf.DUMMYFUNCTION("""COMPUTED_VALUE"""),"dageki_1")</f>
        <v/>
      </c>
      <c r="N86">
        <f>IFERROR(__xludf.DUMMYFUNCTION("""COMPUTED_VALUE"""),"Short")</f>
        <v/>
      </c>
      <c r="O86">
        <f>IFERROR(__xludf.DUMMYFUNCTION("""COMPUTED_VALUE"""),"-")</f>
        <v/>
      </c>
      <c r="P86">
        <f>IFERROR(__xludf.DUMMYFUNCTION("""COMPUTED_VALUE"""),"00101")</f>
        <v/>
      </c>
      <c r="Q86">
        <f>IFERROR(__xludf.DUMMYFUNCTION("""COMPUTED_VALUE"""),"1.27")</f>
        <v/>
      </c>
      <c r="R86">
        <f>IFERROR(__xludf.DUMMYFUNCTION("""COMPUTED_VALUE"""),"stop有:1回目 0.46")</f>
        <v/>
      </c>
      <c r="S86">
        <f>IFERROR(__xludf.DUMMYFUNCTION("""COMPUTED_VALUE"""),"3.17")</f>
        <v/>
      </c>
      <c r="T86">
        <f>IFERROR(__xludf.DUMMYFUNCTION("""COMPUTED_VALUE"""),"stop無:1回目 2.00")</f>
        <v/>
      </c>
      <c r="U86">
        <f>IFERROR(__xludf.DUMMYFUNCTION("""COMPUTED_VALUE"""),45922.458333333336)</f>
        <v/>
      </c>
      <c r="V86">
        <f>IFERROR(__xludf.DUMMYFUNCTION("""COMPUTED_VALUE"""),390812.49998842593)</f>
        <v/>
      </c>
      <c r="W86">
        <f>IFERROR(__xludf.DUMMYFUNCTION("""COMPUTED_VALUE"""),"catchcopy_character_chara_aha_00101.png")</f>
        <v/>
      </c>
      <c r="X86">
        <f>IFERROR(__xludf.DUMMYFUNCTION("""COMPUTED_VALUE"""),"enemy_icon_chara_aha_00101")</f>
        <v/>
      </c>
      <c r="Y86">
        <f>IFERROR(__xludf.DUMMYFUNCTION("""COMPUTED_VALUE"""),"boss_icon_chara_aha_00101")</f>
        <v/>
      </c>
      <c r="Z86">
        <f>IFERROR(__xludf.DUMMYFUNCTION("""COMPUTED_VALUE"""),"chara_aha_00101_normal")</f>
        <v/>
      </c>
      <c r="AA86">
        <f>IFERROR(__xludf.DUMMYFUNCTION("""COMPUTED_VALUE"""),"chara_aha_00101_special")</f>
        <v/>
      </c>
    </row>
    <row r="87">
      <c r="A87">
        <f>IFERROR(__xludf.DUMMYFUNCTION("""COMPUTED_VALUE"""),"tak")</f>
        <v/>
      </c>
      <c r="B87">
        <f>IFERROR(__xludf.DUMMYFUNCTION("""COMPUTED_VALUE"""),"タコピーの原罪")</f>
        <v/>
      </c>
      <c r="C87">
        <f>IFERROR(__xludf.DUMMYFUNCTION("""COMPUTED_VALUE"""),"00001")</f>
        <v/>
      </c>
      <c r="D87">
        <f>IFERROR(__xludf.DUMMYFUNCTION("""COMPUTED_VALUE"""),"chara_tak_00001")</f>
        <v/>
      </c>
      <c r="E87">
        <f>IFERROR(__xludf.DUMMYFUNCTION("""COMPUTED_VALUE"""),"ハッピー星からの使者 タコピー")</f>
        <v/>
      </c>
      <c r="F87">
        <f>IFERROR(__xludf.DUMMYFUNCTION("""COMPUTED_VALUE"""),"ハッピー星からの使者 タコピー")</f>
        <v/>
      </c>
      <c r="G87">
        <f>IFERROR(__xludf.DUMMYFUNCTION("""COMPUTED_VALUE"""),"笑ってもらえるように")</f>
        <v/>
      </c>
      <c r="H87">
        <f>IFERROR(__xludf.DUMMYFUNCTION("""COMPUTED_VALUE"""),"UR")</f>
        <v/>
      </c>
      <c r="I87">
        <f>IFERROR(__xludf.DUMMYFUNCTION("""COMPUTED_VALUE"""),"PremiumUR")</f>
        <v/>
      </c>
      <c r="J87">
        <f>IFERROR(__xludf.DUMMYFUNCTION("""COMPUTED_VALUE"""),"黄")</f>
        <v/>
      </c>
      <c r="K87">
        <f>IFERROR(__xludf.DUMMYFUNCTION("""COMPUTED_VALUE"""),"chara")</f>
        <v/>
      </c>
      <c r="L87">
        <f>IFERROR(__xludf.DUMMYFUNCTION("""COMPUTED_VALUE"""),"ディフェンス")</f>
        <v/>
      </c>
      <c r="M87">
        <f>IFERROR(__xludf.DUMMYFUNCTION("""COMPUTED_VALUE"""),"dageki_1")</f>
        <v/>
      </c>
      <c r="N87">
        <f>IFERROR(__xludf.DUMMYFUNCTION("""COMPUTED_VALUE"""),"Short")</f>
        <v/>
      </c>
      <c r="O87">
        <f>IFERROR(__xludf.DUMMYFUNCTION("""COMPUTED_VALUE"""),"-")</f>
        <v/>
      </c>
      <c r="P87">
        <f>IFERROR(__xludf.DUMMYFUNCTION("""COMPUTED_VALUE"""),"00001")</f>
        <v/>
      </c>
      <c r="Q87">
        <f>IFERROR(__xludf.DUMMYFUNCTION("""COMPUTED_VALUE"""),"1.00")</f>
        <v/>
      </c>
      <c r="R87">
        <f>IFERROR(__xludf.DUMMYFUNCTION("""COMPUTED_VALUE"""),"0.44")</f>
        <v/>
      </c>
      <c r="S87">
        <f>IFERROR(__xludf.DUMMYFUNCTION("""COMPUTED_VALUE"""),"3.34")</f>
        <v/>
      </c>
      <c r="T87">
        <f>IFERROR(__xludf.DUMMYFUNCTION("""COMPUTED_VALUE"""),"0.75")</f>
        <v/>
      </c>
      <c r="U87">
        <f>IFERROR(__xludf.DUMMYFUNCTION("""COMPUTED_VALUE"""),45922.458333333336)</f>
        <v/>
      </c>
      <c r="V87">
        <f>IFERROR(__xludf.DUMMYFUNCTION("""COMPUTED_VALUE"""),390812.49998842593)</f>
        <v/>
      </c>
      <c r="W87">
        <f>IFERROR(__xludf.DUMMYFUNCTION("""COMPUTED_VALUE"""),"catchcopy_character_chara_tak_00001.png")</f>
        <v/>
      </c>
      <c r="X87">
        <f>IFERROR(__xludf.DUMMYFUNCTION("""COMPUTED_VALUE"""),"enemy_icon_chara_tak_00001")</f>
        <v/>
      </c>
      <c r="Y87">
        <f>IFERROR(__xludf.DUMMYFUNCTION("""COMPUTED_VALUE"""),"boss_icon_chara_tak_00001")</f>
        <v/>
      </c>
      <c r="Z87">
        <f>IFERROR(__xludf.DUMMYFUNCTION("""COMPUTED_VALUE"""),"chara_tak_00001_normal")</f>
        <v/>
      </c>
      <c r="AA87">
        <f>IFERROR(__xludf.DUMMYFUNCTION("""COMPUTED_VALUE"""),"chara_tak_00001_special")</f>
        <v/>
      </c>
    </row>
    <row r="88">
      <c r="A88">
        <f>IFERROR(__xludf.DUMMYFUNCTION("""COMPUTED_VALUE"""),"tak")</f>
        <v/>
      </c>
      <c r="B88">
        <f>IFERROR(__xludf.DUMMYFUNCTION("""COMPUTED_VALUE"""),"タコピーの原罪")</f>
        <v/>
      </c>
      <c r="C88">
        <f>IFERROR(__xludf.DUMMYFUNCTION("""COMPUTED_VALUE"""),"00101")</f>
        <v/>
      </c>
      <c r="D88">
        <f>IFERROR(__xludf.DUMMYFUNCTION("""COMPUTED_VALUE"""),"chara_tak_00101")</f>
        <v/>
      </c>
      <c r="E88">
        <f>IFERROR(__xludf.DUMMYFUNCTION("""COMPUTED_VALUE"""),"久世 しずか＆タコピー")</f>
        <v/>
      </c>
      <c r="F88">
        <f>IFERROR(__xludf.DUMMYFUNCTION("""COMPUTED_VALUE"""),"選定中")</f>
        <v/>
      </c>
      <c r="H88">
        <f>IFERROR(__xludf.DUMMYFUNCTION("""COMPUTED_VALUE"""),"UR")</f>
        <v/>
      </c>
      <c r="I88">
        <f>IFERROR(__xludf.DUMMYFUNCTION("""COMPUTED_VALUE"""),"PremiumUR")</f>
        <v/>
      </c>
      <c r="J88">
        <f>IFERROR(__xludf.DUMMYFUNCTION("""COMPUTED_VALUE"""),"無")</f>
        <v/>
      </c>
      <c r="K88">
        <f>IFERROR(__xludf.DUMMYFUNCTION("""COMPUTED_VALUE"""),"chara")</f>
        <v/>
      </c>
    </row>
    <row r="89">
      <c r="A89">
        <f>IFERROR(__xludf.DUMMYFUNCTION("""COMPUTED_VALUE"""),"tak")</f>
        <v/>
      </c>
      <c r="B89">
        <f>IFERROR(__xludf.DUMMYFUNCTION("""COMPUTED_VALUE"""),"タコピーの原罪")</f>
        <v/>
      </c>
      <c r="C89">
        <f>IFERROR(__xludf.DUMMYFUNCTION("""COMPUTED_VALUE"""),"00201")</f>
        <v/>
      </c>
      <c r="D89">
        <f>IFERROR(__xludf.DUMMYFUNCTION("""COMPUTED_VALUE"""),"chara_tak_00201")</f>
        <v/>
      </c>
      <c r="E89">
        <f>IFERROR(__xludf.DUMMYFUNCTION("""COMPUTED_VALUE"""),"雲母坂 まりな")</f>
        <v/>
      </c>
      <c r="F89">
        <f>IFERROR(__xludf.DUMMYFUNCTION("""COMPUTED_VALUE"""),"選定中")</f>
        <v/>
      </c>
      <c r="H89">
        <f>IFERROR(__xludf.DUMMYFUNCTION("""COMPUTED_VALUE"""),"SR")</f>
        <v/>
      </c>
      <c r="I89">
        <f>IFERROR(__xludf.DUMMYFUNCTION("""COMPUTED_VALUE"""),"DropSR")</f>
        <v/>
      </c>
      <c r="J89">
        <f>IFERROR(__xludf.DUMMYFUNCTION("""COMPUTED_VALUE"""),"緑")</f>
        <v/>
      </c>
      <c r="K89">
        <f>IFERROR(__xludf.DUMMYFUNCTION("""COMPUTED_VALUE"""),"chara")</f>
        <v/>
      </c>
    </row>
    <row r="90">
      <c r="A90">
        <f>IFERROR(__xludf.DUMMYFUNCTION("""COMPUTED_VALUE"""),"jig")</f>
        <v/>
      </c>
      <c r="B90">
        <f>IFERROR(__xludf.DUMMYFUNCTION("""COMPUTED_VALUE"""),"地獄楽")</f>
        <v/>
      </c>
      <c r="C90">
        <f>IFERROR(__xludf.DUMMYFUNCTION("""COMPUTED_VALUE"""),"00001")</f>
        <v/>
      </c>
      <c r="D90">
        <f>IFERROR(__xludf.DUMMYFUNCTION("""COMPUTED_VALUE"""),"chara_jig_00001")</f>
        <v/>
      </c>
      <c r="E90">
        <f>IFERROR(__xludf.DUMMYFUNCTION("""COMPUTED_VALUE"""),"がらんの画眉丸")</f>
        <v/>
      </c>
      <c r="F90">
        <f>IFERROR(__xludf.DUMMYFUNCTION("""COMPUTED_VALUE"""),"がらんの画眉丸")</f>
        <v/>
      </c>
      <c r="G90">
        <f>IFERROR(__xludf.DUMMYFUNCTION("""COMPUTED_VALUE"""),"忍法 火法師")</f>
        <v/>
      </c>
      <c r="H90">
        <f>IFERROR(__xludf.DUMMYFUNCTION("""COMPUTED_VALUE"""),"UR")</f>
        <v/>
      </c>
      <c r="I90">
        <f>IFERROR(__xludf.DUMMYFUNCTION("""COMPUTED_VALUE"""),"PremiumUR")</f>
        <v/>
      </c>
      <c r="J90">
        <f>IFERROR(__xludf.DUMMYFUNCTION("""COMPUTED_VALUE"""),"赤")</f>
        <v/>
      </c>
      <c r="K90">
        <f>IFERROR(__xludf.DUMMYFUNCTION("""COMPUTED_VALUE"""),"chara")</f>
        <v/>
      </c>
      <c r="L90">
        <f>IFERROR(__xludf.DUMMYFUNCTION("""COMPUTED_VALUE"""),"テクニカル")</f>
        <v/>
      </c>
      <c r="M90">
        <f>IFERROR(__xludf.DUMMYFUNCTION("""COMPUTED_VALUE"""),"dageki_1")</f>
        <v/>
      </c>
      <c r="N90">
        <f>IFERROR(__xludf.DUMMYFUNCTION("""COMPUTED_VALUE"""),"Short")</f>
        <v/>
      </c>
      <c r="O90">
        <f>IFERROR(__xludf.DUMMYFUNCTION("""COMPUTED_VALUE"""),"dageki_1")</f>
        <v/>
      </c>
      <c r="P90">
        <f>IFERROR(__xludf.DUMMYFUNCTION("""COMPUTED_VALUE"""),"00001")</f>
        <v/>
      </c>
      <c r="Q90">
        <f>IFERROR(__xludf.DUMMYFUNCTION("""COMPUTED_VALUE"""),"1.17")</f>
        <v/>
      </c>
      <c r="R90">
        <f>IFERROR(__xludf.DUMMYFUNCTION("""COMPUTED_VALUE"""),"stop有:1回目0.20")</f>
        <v/>
      </c>
      <c r="S90">
        <f>IFERROR(__xludf.DUMMYFUNCTION("""COMPUTED_VALUE"""),"2.30")</f>
        <v/>
      </c>
      <c r="T90">
        <f>IFERROR(__xludf.DUMMYFUNCTION("""COMPUTED_VALUE"""),"stop有:1回目 0.08
stop有:2回目 0.90
stop有:3回目 1.50")</f>
        <v/>
      </c>
      <c r="U90">
        <f>IFERROR(__xludf.DUMMYFUNCTION("""COMPUTED_VALUE"""),45922.458333333336)</f>
        <v/>
      </c>
      <c r="V90">
        <f>IFERROR(__xludf.DUMMYFUNCTION("""COMPUTED_VALUE"""),390812.49998842593)</f>
        <v/>
      </c>
      <c r="W90">
        <f>IFERROR(__xludf.DUMMYFUNCTION("""COMPUTED_VALUE"""),"catchcopy_character_chara_jig_00001.png")</f>
        <v/>
      </c>
      <c r="X90">
        <f>IFERROR(__xludf.DUMMYFUNCTION("""COMPUTED_VALUE"""),"enemy_icon_chara_jig_00001")</f>
        <v/>
      </c>
      <c r="Y90">
        <f>IFERROR(__xludf.DUMMYFUNCTION("""COMPUTED_VALUE"""),"boss_icon_chara_jig_00001")</f>
        <v/>
      </c>
      <c r="Z90">
        <f>IFERROR(__xludf.DUMMYFUNCTION("""COMPUTED_VALUE"""),"chara_jig_00001_normal")</f>
        <v/>
      </c>
      <c r="AA90">
        <f>IFERROR(__xludf.DUMMYFUNCTION("""COMPUTED_VALUE"""),"chara_jig_00001_special")</f>
        <v/>
      </c>
    </row>
    <row r="91">
      <c r="A91">
        <f>IFERROR(__xludf.DUMMYFUNCTION("""COMPUTED_VALUE"""),"jig")</f>
        <v/>
      </c>
      <c r="B91">
        <f>IFERROR(__xludf.DUMMYFUNCTION("""COMPUTED_VALUE"""),"地獄楽")</f>
        <v/>
      </c>
      <c r="C91">
        <f>IFERROR(__xludf.DUMMYFUNCTION("""COMPUTED_VALUE"""),"00101")</f>
        <v/>
      </c>
      <c r="D91">
        <f>IFERROR(__xludf.DUMMYFUNCTION("""COMPUTED_VALUE"""),"chara_jig_00101")</f>
        <v/>
      </c>
      <c r="E91">
        <f>IFERROR(__xludf.DUMMYFUNCTION("""COMPUTED_VALUE"""),"山田浅ェ門 佐切")</f>
        <v/>
      </c>
      <c r="F91">
        <f>IFERROR(__xludf.DUMMYFUNCTION("""COMPUTED_VALUE"""),"山田浅ェ門 佐切")</f>
        <v/>
      </c>
      <c r="G91">
        <f>IFERROR(__xludf.DUMMYFUNCTION("""COMPUTED_VALUE"""),"試一刀流 具足割")</f>
        <v/>
      </c>
      <c r="H91">
        <f>IFERROR(__xludf.DUMMYFUNCTION("""COMPUTED_VALUE"""),"SSR")</f>
        <v/>
      </c>
      <c r="I91">
        <f>IFERROR(__xludf.DUMMYFUNCTION("""COMPUTED_VALUE"""),"PremiumSSR")</f>
        <v/>
      </c>
      <c r="J91">
        <f>IFERROR(__xludf.DUMMYFUNCTION("""COMPUTED_VALUE"""),"赤")</f>
        <v/>
      </c>
      <c r="K91">
        <f>IFERROR(__xludf.DUMMYFUNCTION("""COMPUTED_VALUE"""),"chara")</f>
        <v/>
      </c>
      <c r="L91">
        <f>IFERROR(__xludf.DUMMYFUNCTION("""COMPUTED_VALUE"""),"アタック")</f>
        <v/>
      </c>
      <c r="M91">
        <f>IFERROR(__xludf.DUMMYFUNCTION("""COMPUTED_VALUE"""),"zangeki_1")</f>
        <v/>
      </c>
      <c r="N91">
        <f>IFERROR(__xludf.DUMMYFUNCTION("""COMPUTED_VALUE"""),"Short")</f>
        <v/>
      </c>
      <c r="O91">
        <f>IFERROR(__xludf.DUMMYFUNCTION("""COMPUTED_VALUE"""),"zangeki_1")</f>
        <v/>
      </c>
      <c r="P91">
        <f>IFERROR(__xludf.DUMMYFUNCTION("""COMPUTED_VALUE"""),"00101")</f>
        <v/>
      </c>
      <c r="Q91">
        <f>IFERROR(__xludf.DUMMYFUNCTION("""COMPUTED_VALUE"""),"1.5")</f>
        <v/>
      </c>
      <c r="R91">
        <f>IFERROR(__xludf.DUMMYFUNCTION("""COMPUTED_VALUE"""),"0.50")</f>
        <v/>
      </c>
      <c r="S91">
        <f>IFERROR(__xludf.DUMMYFUNCTION("""COMPUTED_VALUE"""),"2.50")</f>
        <v/>
      </c>
      <c r="T91">
        <f>IFERROR(__xludf.DUMMYFUNCTION("""COMPUTED_VALUE"""),"1.20")</f>
        <v/>
      </c>
      <c r="U91">
        <f>IFERROR(__xludf.DUMMYFUNCTION("""COMPUTED_VALUE"""),45922.458333333336)</f>
        <v/>
      </c>
      <c r="V91">
        <f>IFERROR(__xludf.DUMMYFUNCTION("""COMPUTED_VALUE"""),390812.49998842593)</f>
        <v/>
      </c>
      <c r="W91">
        <f>IFERROR(__xludf.DUMMYFUNCTION("""COMPUTED_VALUE"""),"catchcopy_character_chara_jig_00101.png")</f>
        <v/>
      </c>
      <c r="X91">
        <f>IFERROR(__xludf.DUMMYFUNCTION("""COMPUTED_VALUE"""),"enemy_icon_chara_jig_00101")</f>
        <v/>
      </c>
      <c r="Y91">
        <f>IFERROR(__xludf.DUMMYFUNCTION("""COMPUTED_VALUE"""),"boss_icon_chara_jig_00101")</f>
        <v/>
      </c>
      <c r="Z91">
        <f>IFERROR(__xludf.DUMMYFUNCTION("""COMPUTED_VALUE"""),"chara_jig_00101_normal")</f>
        <v/>
      </c>
      <c r="AA91">
        <f>IFERROR(__xludf.DUMMYFUNCTION("""COMPUTED_VALUE"""),"chara_jig_00101_special")</f>
        <v/>
      </c>
    </row>
    <row r="92">
      <c r="A92">
        <f>IFERROR(__xludf.DUMMYFUNCTION("""COMPUTED_VALUE"""),"jig")</f>
        <v/>
      </c>
      <c r="B92">
        <f>IFERROR(__xludf.DUMMYFUNCTION("""COMPUTED_VALUE"""),"地獄楽")</f>
        <v/>
      </c>
      <c r="C92">
        <f>IFERROR(__xludf.DUMMYFUNCTION("""COMPUTED_VALUE"""),"00201")</f>
        <v/>
      </c>
      <c r="D92">
        <f>IFERROR(__xludf.DUMMYFUNCTION("""COMPUTED_VALUE"""),"chara_jig_00201")</f>
        <v/>
      </c>
      <c r="E92">
        <f>IFERROR(__xludf.DUMMYFUNCTION("""COMPUTED_VALUE"""),"杠")</f>
        <v/>
      </c>
      <c r="F92">
        <f>IFERROR(__xludf.DUMMYFUNCTION("""COMPUTED_VALUE"""),"杠")</f>
        <v/>
      </c>
      <c r="G92">
        <f>IFERROR(__xludf.DUMMYFUNCTION("""COMPUTED_VALUE"""),"忍法 線斬行 ")</f>
        <v/>
      </c>
      <c r="H92">
        <f>IFERROR(__xludf.DUMMYFUNCTION("""COMPUTED_VALUE"""),"SSR")</f>
        <v/>
      </c>
      <c r="I92">
        <f>IFERROR(__xludf.DUMMYFUNCTION("""COMPUTED_VALUE"""),"DropSSR")</f>
        <v/>
      </c>
      <c r="J92">
        <f>IFERROR(__xludf.DUMMYFUNCTION("""COMPUTED_VALUE"""),"緑")</f>
        <v/>
      </c>
      <c r="K92">
        <f>IFERROR(__xludf.DUMMYFUNCTION("""COMPUTED_VALUE"""),"chara")</f>
        <v/>
      </c>
      <c r="L92">
        <f>IFERROR(__xludf.DUMMYFUNCTION("""COMPUTED_VALUE"""),"テクニカル")</f>
        <v/>
      </c>
      <c r="M92">
        <f>IFERROR(__xludf.DUMMYFUNCTION("""COMPUTED_VALUE"""),"shageki_1")</f>
        <v/>
      </c>
      <c r="N92">
        <f>IFERROR(__xludf.DUMMYFUNCTION("""COMPUTED_VALUE"""),"Middle")</f>
        <v/>
      </c>
      <c r="O92">
        <f>IFERROR(__xludf.DUMMYFUNCTION("""COMPUTED_VALUE"""),"shageki_1")</f>
        <v/>
      </c>
      <c r="P92">
        <f>IFERROR(__xludf.DUMMYFUNCTION("""COMPUTED_VALUE"""),"00201")</f>
        <v/>
      </c>
      <c r="Q92">
        <f>IFERROR(__xludf.DUMMYFUNCTION("""COMPUTED_VALUE"""),"1.67")</f>
        <v/>
      </c>
      <c r="R92">
        <f>IFERROR(__xludf.DUMMYFUNCTION("""COMPUTED_VALUE"""),"stop有:1回目 1")</f>
        <v/>
      </c>
      <c r="S92">
        <f>IFERROR(__xludf.DUMMYFUNCTION("""COMPUTED_VALUE"""),"2.56")</f>
        <v/>
      </c>
      <c r="T92">
        <f>IFERROR(__xludf.DUMMYFUNCTION("""COMPUTED_VALUE"""),"stop有:1回目1.66")</f>
        <v/>
      </c>
      <c r="U92">
        <f>IFERROR(__xludf.DUMMYFUNCTION("""COMPUTED_VALUE"""),45922.458333333336)</f>
        <v/>
      </c>
      <c r="V92">
        <f>IFERROR(__xludf.DUMMYFUNCTION("""COMPUTED_VALUE"""),390812.49998842593)</f>
        <v/>
      </c>
      <c r="W92">
        <f>IFERROR(__xludf.DUMMYFUNCTION("""COMPUTED_VALUE"""),"catchcopy_character_chara_jig_00201.png")</f>
        <v/>
      </c>
      <c r="X92">
        <f>IFERROR(__xludf.DUMMYFUNCTION("""COMPUTED_VALUE"""),"enemy_icon_chara_jig_00201")</f>
        <v/>
      </c>
      <c r="Y92">
        <f>IFERROR(__xludf.DUMMYFUNCTION("""COMPUTED_VALUE"""),"boss_icon_chara_jig_00201")</f>
        <v/>
      </c>
      <c r="Z92">
        <f>IFERROR(__xludf.DUMMYFUNCTION("""COMPUTED_VALUE"""),"chara_jig_00201_normal")</f>
        <v/>
      </c>
      <c r="AA92">
        <f>IFERROR(__xludf.DUMMYFUNCTION("""COMPUTED_VALUE"""),"chara_jig_00201_special")</f>
        <v/>
      </c>
    </row>
    <row r="93">
      <c r="A93">
        <f>IFERROR(__xludf.DUMMYFUNCTION("""COMPUTED_VALUE"""),"jig")</f>
        <v/>
      </c>
      <c r="B93">
        <f>IFERROR(__xludf.DUMMYFUNCTION("""COMPUTED_VALUE"""),"地獄楽")</f>
        <v/>
      </c>
      <c r="C93">
        <f>IFERROR(__xludf.DUMMYFUNCTION("""COMPUTED_VALUE"""),"00301")</f>
        <v/>
      </c>
      <c r="D93">
        <f>IFERROR(__xludf.DUMMYFUNCTION("""COMPUTED_VALUE"""),"chara_jig_00301")</f>
        <v/>
      </c>
      <c r="E93">
        <f>IFERROR(__xludf.DUMMYFUNCTION("""COMPUTED_VALUE"""),"山田浅ェ門 仙汰")</f>
        <v/>
      </c>
      <c r="F93">
        <f>IFERROR(__xludf.DUMMYFUNCTION("""COMPUTED_VALUE"""),"山田浅ェ門 仙汰")</f>
        <v/>
      </c>
      <c r="G93">
        <f>IFERROR(__xludf.DUMMYFUNCTION("""COMPUTED_VALUE"""),"僕を通して貰わないと")</f>
        <v/>
      </c>
      <c r="H93">
        <f>IFERROR(__xludf.DUMMYFUNCTION("""COMPUTED_VALUE"""),"SR")</f>
        <v/>
      </c>
      <c r="I93">
        <f>IFERROR(__xludf.DUMMYFUNCTION("""COMPUTED_VALUE"""),"PremiumSR")</f>
        <v/>
      </c>
      <c r="J93">
        <f>IFERROR(__xludf.DUMMYFUNCTION("""COMPUTED_VALUE"""),"緑")</f>
        <v/>
      </c>
      <c r="K93">
        <f>IFERROR(__xludf.DUMMYFUNCTION("""COMPUTED_VALUE"""),"chara")</f>
        <v/>
      </c>
      <c r="L93">
        <f>IFERROR(__xludf.DUMMYFUNCTION("""COMPUTED_VALUE"""),"ディフェンス")</f>
        <v/>
      </c>
      <c r="M93">
        <f>IFERROR(__xludf.DUMMYFUNCTION("""COMPUTED_VALUE"""),"zangeki_1")</f>
        <v/>
      </c>
      <c r="N93">
        <f>IFERROR(__xludf.DUMMYFUNCTION("""COMPUTED_VALUE"""),"Short")</f>
        <v/>
      </c>
      <c r="O93">
        <f>IFERROR(__xludf.DUMMYFUNCTION("""COMPUTED_VALUE"""),"zangeki_1")</f>
        <v/>
      </c>
      <c r="P93">
        <f>IFERROR(__xludf.DUMMYFUNCTION("""COMPUTED_VALUE"""),"00301")</f>
        <v/>
      </c>
      <c r="Q93">
        <f>IFERROR(__xludf.DUMMYFUNCTION("""COMPUTED_VALUE"""),"1.80")</f>
        <v/>
      </c>
      <c r="R93">
        <f>IFERROR(__xludf.DUMMYFUNCTION("""COMPUTED_VALUE"""),"stop有0.50")</f>
        <v/>
      </c>
      <c r="S93">
        <f>IFERROR(__xludf.DUMMYFUNCTION("""COMPUTED_VALUE"""),"2.34")</f>
        <v/>
      </c>
      <c r="T93">
        <f>IFERROR(__xludf.DUMMYFUNCTION("""COMPUTED_VALUE"""),"stop無:1回目：0.35
stop無:2回目：0.50
stop無:3回目 0.62
stop無:4回目 0.78
stop有:5回目 1.00")</f>
        <v/>
      </c>
      <c r="U93">
        <f>IFERROR(__xludf.DUMMYFUNCTION("""COMPUTED_VALUE"""),45922.458333333336)</f>
        <v/>
      </c>
      <c r="V93">
        <f>IFERROR(__xludf.DUMMYFUNCTION("""COMPUTED_VALUE"""),390812.49998842593)</f>
        <v/>
      </c>
      <c r="W93">
        <f>IFERROR(__xludf.DUMMYFUNCTION("""COMPUTED_VALUE"""),"catchcopy_character_chara_jig_00301.png")</f>
        <v/>
      </c>
      <c r="X93">
        <f>IFERROR(__xludf.DUMMYFUNCTION("""COMPUTED_VALUE"""),"enemy_icon_chara_jig_00301")</f>
        <v/>
      </c>
      <c r="Y93">
        <f>IFERROR(__xludf.DUMMYFUNCTION("""COMPUTED_VALUE"""),"boss_icon_chara_jig_00301")</f>
        <v/>
      </c>
      <c r="AA93">
        <f>IFERROR(__xludf.DUMMYFUNCTION("""COMPUTED_VALUE"""),"chara_jig_00301_special")</f>
        <v/>
      </c>
    </row>
    <row r="94">
      <c r="A94">
        <f>IFERROR(__xludf.DUMMYFUNCTION("""COMPUTED_VALUE"""),"jig")</f>
        <v/>
      </c>
      <c r="B94">
        <f>IFERROR(__xludf.DUMMYFUNCTION("""COMPUTED_VALUE"""),"地獄楽")</f>
        <v/>
      </c>
      <c r="C94">
        <f>IFERROR(__xludf.DUMMYFUNCTION("""COMPUTED_VALUE"""),"00401")</f>
        <v/>
      </c>
      <c r="D94">
        <f>IFERROR(__xludf.DUMMYFUNCTION("""COMPUTED_VALUE"""),"chara_jig_00401")</f>
        <v/>
      </c>
      <c r="E94">
        <f>IFERROR(__xludf.DUMMYFUNCTION("""COMPUTED_VALUE"""),"賊王 亜左 弔兵衛")</f>
        <v/>
      </c>
      <c r="F94">
        <f>IFERROR(__xludf.DUMMYFUNCTION("""COMPUTED_VALUE"""),"賊王 亜左 弔兵衛")</f>
        <v/>
      </c>
      <c r="G94">
        <f>IFERROR(__xludf.DUMMYFUNCTION("""COMPUTED_VALUE"""),"オレの神もオレだ!!")</f>
        <v/>
      </c>
      <c r="H94">
        <f>IFERROR(__xludf.DUMMYFUNCTION("""COMPUTED_VALUE"""),"UR")</f>
        <v/>
      </c>
      <c r="I94">
        <f>IFERROR(__xludf.DUMMYFUNCTION("""COMPUTED_VALUE"""),"PremiumUR")</f>
        <v/>
      </c>
      <c r="J94">
        <f>IFERROR(__xludf.DUMMYFUNCTION("""COMPUTED_VALUE"""),"無")</f>
        <v/>
      </c>
      <c r="K94">
        <f>IFERROR(__xludf.DUMMYFUNCTION("""COMPUTED_VALUE"""),"chara")</f>
        <v/>
      </c>
      <c r="L94">
        <f>IFERROR(__xludf.DUMMYFUNCTION("""COMPUTED_VALUE"""),"テクニカル")</f>
        <v/>
      </c>
      <c r="M94">
        <f>IFERROR(__xludf.DUMMYFUNCTION("""COMPUTED_VALUE"""),"zangeki_1")</f>
        <v/>
      </c>
      <c r="N94">
        <f>IFERROR(__xludf.DUMMYFUNCTION("""COMPUTED_VALUE"""),"Short")</f>
        <v/>
      </c>
      <c r="O94">
        <f>IFERROR(__xludf.DUMMYFUNCTION("""COMPUTED_VALUE"""),"zangeki_1")</f>
        <v/>
      </c>
      <c r="P94">
        <f>IFERROR(__xludf.DUMMYFUNCTION("""COMPUTED_VALUE"""),"00401")</f>
        <v/>
      </c>
      <c r="Q94">
        <f>IFERROR(__xludf.DUMMYFUNCTION("""COMPUTED_VALUE"""),"1.67")</f>
        <v/>
      </c>
      <c r="R94">
        <f>IFERROR(__xludf.DUMMYFUNCTION("""COMPUTED_VALUE"""),"stop有:1回目0.50")</f>
        <v/>
      </c>
      <c r="S94">
        <f>IFERROR(__xludf.DUMMYFUNCTION("""COMPUTED_VALUE"""),"2.67")</f>
        <v/>
      </c>
      <c r="T94">
        <f>IFERROR(__xludf.DUMMYFUNCTION("""COMPUTED_VALUE"""),"stop有:1回目1.57")</f>
        <v/>
      </c>
      <c r="U94">
        <f>IFERROR(__xludf.DUMMYFUNCTION("""COMPUTED_VALUE"""),46038.625)</f>
        <v/>
      </c>
      <c r="V94">
        <f>IFERROR(__xludf.DUMMYFUNCTION("""COMPUTED_VALUE"""),390812.49998842593)</f>
        <v/>
      </c>
      <c r="W94">
        <f>IFERROR(__xludf.DUMMYFUNCTION("""COMPUTED_VALUE"""),"catchcopy_character_chara_jig_00401.png")</f>
        <v/>
      </c>
      <c r="X94">
        <f>IFERROR(__xludf.DUMMYFUNCTION("""COMPUTED_VALUE"""),"enemy_icon_chara_jig_00401")</f>
        <v/>
      </c>
      <c r="Y94">
        <f>IFERROR(__xludf.DUMMYFUNCTION("""COMPUTED_VALUE"""),"boss_icon_chara_jig_00401")</f>
        <v/>
      </c>
    </row>
    <row r="95">
      <c r="A95">
        <f>IFERROR(__xludf.DUMMYFUNCTION("""COMPUTED_VALUE"""),"jig")</f>
        <v/>
      </c>
      <c r="B95">
        <f>IFERROR(__xludf.DUMMYFUNCTION("""COMPUTED_VALUE"""),"地獄楽")</f>
        <v/>
      </c>
      <c r="C95">
        <f>IFERROR(__xludf.DUMMYFUNCTION("""COMPUTED_VALUE"""),"00501")</f>
        <v/>
      </c>
      <c r="D95">
        <f>IFERROR(__xludf.DUMMYFUNCTION("""COMPUTED_VALUE"""),"chara_jig_00501")</f>
        <v/>
      </c>
      <c r="E95">
        <f>IFERROR(__xludf.DUMMYFUNCTION("""COMPUTED_VALUE"""),"山田浅ェ門 桐馬")</f>
        <v/>
      </c>
      <c r="F95">
        <f>IFERROR(__xludf.DUMMYFUNCTION("""COMPUTED_VALUE"""),"山田浅ェ門 桐馬")</f>
        <v/>
      </c>
      <c r="G95">
        <f>IFERROR(__xludf.DUMMYFUNCTION("""COMPUTED_VALUE"""),"兄さんは強いんだ")</f>
        <v/>
      </c>
      <c r="H95">
        <f>IFERROR(__xludf.DUMMYFUNCTION("""COMPUTED_VALUE"""),"SSR")</f>
        <v/>
      </c>
      <c r="I95">
        <f>IFERROR(__xludf.DUMMYFUNCTION("""COMPUTED_VALUE"""),"PremiumSSR")</f>
        <v/>
      </c>
      <c r="J95">
        <f>IFERROR(__xludf.DUMMYFUNCTION("""COMPUTED_VALUE"""),"緑")</f>
        <v/>
      </c>
      <c r="K95">
        <f>IFERROR(__xludf.DUMMYFUNCTION("""COMPUTED_VALUE"""),"chara")</f>
        <v/>
      </c>
      <c r="L95">
        <f>IFERROR(__xludf.DUMMYFUNCTION("""COMPUTED_VALUE"""),"サポート")</f>
        <v/>
      </c>
      <c r="M95">
        <f>IFERROR(__xludf.DUMMYFUNCTION("""COMPUTED_VALUE"""),"zangeki_1")</f>
        <v/>
      </c>
      <c r="N95">
        <f>IFERROR(__xludf.DUMMYFUNCTION("""COMPUTED_VALUE"""),"Short")</f>
        <v/>
      </c>
      <c r="O95">
        <f>IFERROR(__xludf.DUMMYFUNCTION("""COMPUTED_VALUE"""),"-")</f>
        <v/>
      </c>
      <c r="P95">
        <f>IFERROR(__xludf.DUMMYFUNCTION("""COMPUTED_VALUE"""),"00501")</f>
        <v/>
      </c>
      <c r="Q95">
        <f>IFERROR(__xludf.DUMMYFUNCTION("""COMPUTED_VALUE"""),"1.6")</f>
        <v/>
      </c>
      <c r="R95">
        <f>IFERROR(__xludf.DUMMYFUNCTION("""COMPUTED_VALUE"""),"stop有:1回目0.4")</f>
        <v/>
      </c>
      <c r="S95">
        <f>IFERROR(__xludf.DUMMYFUNCTION("""COMPUTED_VALUE"""),"3.33")</f>
        <v/>
      </c>
      <c r="T95">
        <f>IFERROR(__xludf.DUMMYFUNCTION("""COMPUTED_VALUE"""),"stop無:1.67")</f>
        <v/>
      </c>
      <c r="U95">
        <f>IFERROR(__xludf.DUMMYFUNCTION("""COMPUTED_VALUE"""),46038.625)</f>
        <v/>
      </c>
      <c r="V95">
        <f>IFERROR(__xludf.DUMMYFUNCTION("""COMPUTED_VALUE"""),390812.49998842593)</f>
        <v/>
      </c>
      <c r="W95">
        <f>IFERROR(__xludf.DUMMYFUNCTION("""COMPUTED_VALUE"""),"catchcopy_character_chara_jig_00501.png")</f>
        <v/>
      </c>
      <c r="X95">
        <f>IFERROR(__xludf.DUMMYFUNCTION("""COMPUTED_VALUE"""),"enemy_icon_chara_jig_00501")</f>
        <v/>
      </c>
      <c r="Y95">
        <f>IFERROR(__xludf.DUMMYFUNCTION("""COMPUTED_VALUE"""),"boss_icon_chara_jig_00501")</f>
        <v/>
      </c>
    </row>
    <row r="96">
      <c r="A96">
        <f>IFERROR(__xludf.DUMMYFUNCTION("""COMPUTED_VALUE"""),"jig")</f>
        <v/>
      </c>
      <c r="B96">
        <f>IFERROR(__xludf.DUMMYFUNCTION("""COMPUTED_VALUE"""),"地獄楽")</f>
        <v/>
      </c>
      <c r="C96">
        <f>IFERROR(__xludf.DUMMYFUNCTION("""COMPUTED_VALUE"""),"00601")</f>
        <v/>
      </c>
      <c r="D96">
        <f>IFERROR(__xludf.DUMMYFUNCTION("""COMPUTED_VALUE"""),"chara_jig_00601")</f>
        <v/>
      </c>
      <c r="E96">
        <f>IFERROR(__xludf.DUMMYFUNCTION("""COMPUTED_VALUE"""),"民谷 巌鉄斎")</f>
        <v/>
      </c>
      <c r="F96">
        <f>IFERROR(__xludf.DUMMYFUNCTION("""COMPUTED_VALUE"""),"民谷 巌鉄斎")</f>
        <v/>
      </c>
      <c r="G96">
        <f>IFERROR(__xludf.DUMMYFUNCTION("""COMPUTED_VALUE"""),"真の不老不死だ!!")</f>
        <v/>
      </c>
      <c r="H96">
        <f>IFERROR(__xludf.DUMMYFUNCTION("""COMPUTED_VALUE"""),"SR")</f>
        <v/>
      </c>
      <c r="I96">
        <f>IFERROR(__xludf.DUMMYFUNCTION("""COMPUTED_VALUE"""),"DropSR")</f>
        <v/>
      </c>
      <c r="J96">
        <f>IFERROR(__xludf.DUMMYFUNCTION("""COMPUTED_VALUE"""),"青")</f>
        <v/>
      </c>
      <c r="K96">
        <f>IFERROR(__xludf.DUMMYFUNCTION("""COMPUTED_VALUE"""),"chara")</f>
        <v/>
      </c>
      <c r="L96">
        <f>IFERROR(__xludf.DUMMYFUNCTION("""COMPUTED_VALUE"""),"ディフェンス")</f>
        <v/>
      </c>
      <c r="M96">
        <f>IFERROR(__xludf.DUMMYFUNCTION("""COMPUTED_VALUE"""),"zangeki_1")</f>
        <v/>
      </c>
      <c r="N96">
        <f>IFERROR(__xludf.DUMMYFUNCTION("""COMPUTED_VALUE"""),"Short")</f>
        <v/>
      </c>
      <c r="O96">
        <f>IFERROR(__xludf.DUMMYFUNCTION("""COMPUTED_VALUE"""),"zangeki_1")</f>
        <v/>
      </c>
      <c r="P96">
        <f>IFERROR(__xludf.DUMMYFUNCTION("""COMPUTED_VALUE"""),"00601")</f>
        <v/>
      </c>
      <c r="Q96">
        <f>IFERROR(__xludf.DUMMYFUNCTION("""COMPUTED_VALUE"""),"1.67")</f>
        <v/>
      </c>
      <c r="R96">
        <f>IFERROR(__xludf.DUMMYFUNCTION("""COMPUTED_VALUE"""),"stop有:1回目0.6")</f>
        <v/>
      </c>
      <c r="S96">
        <f>IFERROR(__xludf.DUMMYFUNCTION("""COMPUTED_VALUE"""),"2.67")</f>
        <v/>
      </c>
      <c r="T96">
        <f>IFERROR(__xludf.DUMMYFUNCTION("""COMPUTED_VALUE"""),"stop有:1.5")</f>
        <v/>
      </c>
      <c r="U96">
        <f>IFERROR(__xludf.DUMMYFUNCTION("""COMPUTED_VALUE"""),46038.625)</f>
        <v/>
      </c>
      <c r="V96">
        <f>IFERROR(__xludf.DUMMYFUNCTION("""COMPUTED_VALUE"""),390812.49998842593)</f>
        <v/>
      </c>
      <c r="W96">
        <f>IFERROR(__xludf.DUMMYFUNCTION("""COMPUTED_VALUE"""),"catchcopy_character_chara_jig_00601.png")</f>
        <v/>
      </c>
      <c r="X96">
        <f>IFERROR(__xludf.DUMMYFUNCTION("""COMPUTED_VALUE"""),"enemy_icon_chara_jig_00601")</f>
        <v/>
      </c>
      <c r="Y96">
        <f>IFERROR(__xludf.DUMMYFUNCTION("""COMPUTED_VALUE"""),"boss_icon_chara_jig_00601")</f>
        <v/>
      </c>
    </row>
    <row r="97">
      <c r="A97">
        <f>IFERROR(__xludf.DUMMYFUNCTION("""COMPUTED_VALUE"""),"jig")</f>
        <v/>
      </c>
      <c r="B97">
        <f>IFERROR(__xludf.DUMMYFUNCTION("""COMPUTED_VALUE"""),"地獄楽")</f>
        <v/>
      </c>
      <c r="C97">
        <f>IFERROR(__xludf.DUMMYFUNCTION("""COMPUTED_VALUE"""),"00701")</f>
        <v/>
      </c>
      <c r="D97">
        <f>IFERROR(__xludf.DUMMYFUNCTION("""COMPUTED_VALUE"""),"chara_jig_00701")</f>
        <v/>
      </c>
      <c r="E97">
        <f>IFERROR(__xludf.DUMMYFUNCTION("""COMPUTED_VALUE"""),"メイ")</f>
        <v/>
      </c>
      <c r="F97">
        <f>IFERROR(__xludf.DUMMYFUNCTION("""COMPUTED_VALUE"""),"メイ")</f>
        <v/>
      </c>
      <c r="G97">
        <f>IFERROR(__xludf.DUMMYFUNCTION("""COMPUTED_VALUE"""),"強イモ弱イモ ゼンブダイジ")</f>
        <v/>
      </c>
      <c r="H97">
        <f>IFERROR(__xludf.DUMMYFUNCTION("""COMPUTED_VALUE"""),"SR")</f>
        <v/>
      </c>
      <c r="I97">
        <f>IFERROR(__xludf.DUMMYFUNCTION("""COMPUTED_VALUE"""),"DropSR")</f>
        <v/>
      </c>
      <c r="J97">
        <f>IFERROR(__xludf.DUMMYFUNCTION("""COMPUTED_VALUE"""),"無")</f>
        <v/>
      </c>
      <c r="K97">
        <f>IFERROR(__xludf.DUMMYFUNCTION("""COMPUTED_VALUE"""),"chara")</f>
        <v/>
      </c>
      <c r="L97">
        <f>IFERROR(__xludf.DUMMYFUNCTION("""COMPUTED_VALUE"""),"スペシャル")</f>
        <v/>
      </c>
      <c r="M97">
        <f>IFERROR(__xludf.DUMMYFUNCTION("""COMPUTED_VALUE"""),"-")</f>
        <v/>
      </c>
      <c r="N97">
        <f>IFERROR(__xludf.DUMMYFUNCTION("""COMPUTED_VALUE"""),"ー")</f>
        <v/>
      </c>
      <c r="O97">
        <f>IFERROR(__xludf.DUMMYFUNCTION("""COMPUTED_VALUE"""),"-")</f>
        <v/>
      </c>
      <c r="P97">
        <f>IFERROR(__xludf.DUMMYFUNCTION("""COMPUTED_VALUE"""),"00701")</f>
        <v/>
      </c>
      <c r="Q97">
        <f>IFERROR(__xludf.DUMMYFUNCTION("""COMPUTED_VALUE"""),"-")</f>
        <v/>
      </c>
      <c r="R97">
        <f>IFERROR(__xludf.DUMMYFUNCTION("""COMPUTED_VALUE"""),"-")</f>
        <v/>
      </c>
      <c r="S97">
        <f>IFERROR(__xludf.DUMMYFUNCTION("""COMPUTED_VALUE"""),"2.4")</f>
        <v/>
      </c>
      <c r="T97">
        <f>IFERROR(__xludf.DUMMYFUNCTION("""COMPUTED_VALUE"""),"0")</f>
        <v/>
      </c>
      <c r="U97">
        <f>IFERROR(__xludf.DUMMYFUNCTION("""COMPUTED_VALUE"""),46038.625)</f>
        <v/>
      </c>
      <c r="V97">
        <f>IFERROR(__xludf.DUMMYFUNCTION("""COMPUTED_VALUE"""),390812.49998842593)</f>
        <v/>
      </c>
      <c r="W97">
        <f>IFERROR(__xludf.DUMMYFUNCTION("""COMPUTED_VALUE"""),"catchcopy_character_chara_jig_00701.png")</f>
        <v/>
      </c>
      <c r="X97">
        <f>IFERROR(__xludf.DUMMYFUNCTION("""COMPUTED_VALUE"""),"enemy_icon_chara_jig_00701")</f>
        <v/>
      </c>
      <c r="Y97">
        <f>IFERROR(__xludf.DUMMYFUNCTION("""COMPUTED_VALUE"""),"boss_icon_chara_jig_00701")</f>
        <v/>
      </c>
    </row>
    <row r="98">
      <c r="A98">
        <f>IFERROR(__xludf.DUMMYFUNCTION("""COMPUTED_VALUE"""),"mag")</f>
        <v/>
      </c>
      <c r="B98">
        <f>IFERROR(__xludf.DUMMYFUNCTION("""COMPUTED_VALUE"""),"株式会社マジルミエ")</f>
        <v/>
      </c>
      <c r="C98">
        <f>IFERROR(__xludf.DUMMYFUNCTION("""COMPUTED_VALUE"""),"00001")</f>
        <v/>
      </c>
      <c r="D98">
        <f>IFERROR(__xludf.DUMMYFUNCTION("""COMPUTED_VALUE"""),"chara_mag_00001")</f>
        <v/>
      </c>
      <c r="E98">
        <f>IFERROR(__xludf.DUMMYFUNCTION("""COMPUTED_VALUE"""),"新人魔法少女 桜木 カナ")</f>
        <v/>
      </c>
      <c r="F98">
        <f>IFERROR(__xludf.DUMMYFUNCTION("""COMPUTED_VALUE"""),"新人魔法少女 桜木 カナ")</f>
        <v/>
      </c>
      <c r="G98">
        <f>IFERROR(__xludf.DUMMYFUNCTION("""COMPUTED_VALUE"""),"私は役に立てる")</f>
        <v/>
      </c>
      <c r="H98">
        <f>IFERROR(__xludf.DUMMYFUNCTION("""COMPUTED_VALUE"""),"UR")</f>
        <v/>
      </c>
      <c r="I98">
        <f>IFERROR(__xludf.DUMMYFUNCTION("""COMPUTED_VALUE"""),"PremiumUR")</f>
        <v/>
      </c>
      <c r="J98">
        <f>IFERROR(__xludf.DUMMYFUNCTION("""COMPUTED_VALUE"""),"青")</f>
        <v/>
      </c>
      <c r="K98">
        <f>IFERROR(__xludf.DUMMYFUNCTION("""COMPUTED_VALUE"""),"chara")</f>
        <v/>
      </c>
      <c r="L98">
        <f>IFERROR(__xludf.DUMMYFUNCTION("""COMPUTED_VALUE"""),"アタック")</f>
        <v/>
      </c>
      <c r="M98">
        <f>IFERROR(__xludf.DUMMYFUNCTION("""COMPUTED_VALUE"""),"shageki_1")</f>
        <v/>
      </c>
      <c r="N98">
        <f>IFERROR(__xludf.DUMMYFUNCTION("""COMPUTED_VALUE"""),"Long")</f>
        <v/>
      </c>
      <c r="O98">
        <f>IFERROR(__xludf.DUMMYFUNCTION("""COMPUTED_VALUE"""),"shageki_1")</f>
        <v/>
      </c>
      <c r="P98">
        <f>IFERROR(__xludf.DUMMYFUNCTION("""COMPUTED_VALUE"""),"00001")</f>
        <v/>
      </c>
      <c r="Q98">
        <f>IFERROR(__xludf.DUMMYFUNCTION("""COMPUTED_VALUE"""),"1.77")</f>
        <v/>
      </c>
      <c r="R98">
        <f>IFERROR(__xludf.DUMMYFUNCTION("""COMPUTED_VALUE"""),"stop有:1回目 0.92")</f>
        <v/>
      </c>
      <c r="S98">
        <f>IFERROR(__xludf.DUMMYFUNCTION("""COMPUTED_VALUE"""),"2.33")</f>
        <v/>
      </c>
      <c r="T98">
        <f>IFERROR(__xludf.DUMMYFUNCTION("""COMPUTED_VALUE"""),"stop無:1回目 0.75
stop無:2回目 0.92
stop無:3回目 1.08
stop無:4回目 1.25
stop無:5回目 1.42
stop無:6回目 1.58")</f>
        <v/>
      </c>
      <c r="U98">
        <f>IFERROR(__xludf.DUMMYFUNCTION("""COMPUTED_VALUE"""),45922.458333333336)</f>
        <v/>
      </c>
      <c r="V98">
        <f>IFERROR(__xludf.DUMMYFUNCTION("""COMPUTED_VALUE"""),390812.49998842593)</f>
        <v/>
      </c>
      <c r="W98">
        <f>IFERROR(__xludf.DUMMYFUNCTION("""COMPUTED_VALUE"""),"catchcopy_character_chara_mag_00001.png")</f>
        <v/>
      </c>
      <c r="X98">
        <f>IFERROR(__xludf.DUMMYFUNCTION("""COMPUTED_VALUE"""),"enemy_icon_chara_mag_00001")</f>
        <v/>
      </c>
      <c r="Y98">
        <f>IFERROR(__xludf.DUMMYFUNCTION("""COMPUTED_VALUE"""),"boss_icon_chara_mag_00001")</f>
        <v/>
      </c>
      <c r="Z98">
        <f>IFERROR(__xludf.DUMMYFUNCTION("""COMPUTED_VALUE"""),"chara_mag_00001_normal")</f>
        <v/>
      </c>
      <c r="AA98">
        <f>IFERROR(__xludf.DUMMYFUNCTION("""COMPUTED_VALUE"""),"chara_mag_00001_special")</f>
        <v/>
      </c>
    </row>
    <row r="99">
      <c r="A99">
        <f>IFERROR(__xludf.DUMMYFUNCTION("""COMPUTED_VALUE"""),"mag")</f>
        <v/>
      </c>
      <c r="B99">
        <f>IFERROR(__xludf.DUMMYFUNCTION("""COMPUTED_VALUE"""),"株式会社マジルミエ")</f>
        <v/>
      </c>
      <c r="C99">
        <f>IFERROR(__xludf.DUMMYFUNCTION("""COMPUTED_VALUE"""),"00101")</f>
        <v/>
      </c>
      <c r="D99">
        <f>IFERROR(__xludf.DUMMYFUNCTION("""COMPUTED_VALUE"""),"chara_mag_00101")</f>
        <v/>
      </c>
      <c r="E99">
        <f>IFERROR(__xludf.DUMMYFUNCTION("""COMPUTED_VALUE"""),"越谷 仁美")</f>
        <v/>
      </c>
      <c r="F99">
        <f>IFERROR(__xludf.DUMMYFUNCTION("""COMPUTED_VALUE"""),"越谷 仁美")</f>
        <v/>
      </c>
      <c r="G99">
        <f>IFERROR(__xludf.DUMMYFUNCTION("""COMPUTED_VALUE"""),"まずァ一発！")</f>
        <v/>
      </c>
      <c r="H99">
        <f>IFERROR(__xludf.DUMMYFUNCTION("""COMPUTED_VALUE"""),"SR")</f>
        <v/>
      </c>
      <c r="I99">
        <f>IFERROR(__xludf.DUMMYFUNCTION("""COMPUTED_VALUE"""),"PremiumSR")</f>
        <v/>
      </c>
      <c r="J99">
        <f>IFERROR(__xludf.DUMMYFUNCTION("""COMPUTED_VALUE"""),"黄")</f>
        <v/>
      </c>
      <c r="K99">
        <f>IFERROR(__xludf.DUMMYFUNCTION("""COMPUTED_VALUE"""),"chara")</f>
        <v/>
      </c>
      <c r="L99">
        <f>IFERROR(__xludf.DUMMYFUNCTION("""COMPUTED_VALUE"""),"アタック")</f>
        <v/>
      </c>
      <c r="M99">
        <f>IFERROR(__xludf.DUMMYFUNCTION("""COMPUTED_VALUE"""),"shageki_1")</f>
        <v/>
      </c>
      <c r="N99">
        <f>IFERROR(__xludf.DUMMYFUNCTION("""COMPUTED_VALUE"""),"Middle")</f>
        <v/>
      </c>
      <c r="O99">
        <f>IFERROR(__xludf.DUMMYFUNCTION("""COMPUTED_VALUE"""),"shageki_1")</f>
        <v/>
      </c>
      <c r="P99">
        <f>IFERROR(__xludf.DUMMYFUNCTION("""COMPUTED_VALUE"""),"00101")</f>
        <v/>
      </c>
      <c r="Q99">
        <f>IFERROR(__xludf.DUMMYFUNCTION("""COMPUTED_VALUE"""),"1.90")</f>
        <v/>
      </c>
      <c r="R99">
        <f>IFERROR(__xludf.DUMMYFUNCTION("""COMPUTED_VALUE"""),"0.84")</f>
        <v/>
      </c>
      <c r="S99">
        <f>IFERROR(__xludf.DUMMYFUNCTION("""COMPUTED_VALUE"""),"2.67")</f>
        <v/>
      </c>
      <c r="T99">
        <f>IFERROR(__xludf.DUMMYFUNCTION("""COMPUTED_VALUE"""),"1.50")</f>
        <v/>
      </c>
      <c r="U99">
        <f>IFERROR(__xludf.DUMMYFUNCTION("""COMPUTED_VALUE"""),45922.458333333336)</f>
        <v/>
      </c>
      <c r="V99">
        <f>IFERROR(__xludf.DUMMYFUNCTION("""COMPUTED_VALUE"""),390812.49998842593)</f>
        <v/>
      </c>
      <c r="W99">
        <f>IFERROR(__xludf.DUMMYFUNCTION("""COMPUTED_VALUE"""),"catchcopy_character_chara_mag_00101.png")</f>
        <v/>
      </c>
      <c r="X99">
        <f>IFERROR(__xludf.DUMMYFUNCTION("""COMPUTED_VALUE"""),"enemy_icon_chara_mag_00101")</f>
        <v/>
      </c>
      <c r="Y99">
        <f>IFERROR(__xludf.DUMMYFUNCTION("""COMPUTED_VALUE"""),"boss_icon_chara_mag_00101")</f>
        <v/>
      </c>
      <c r="Z99">
        <f>IFERROR(__xludf.DUMMYFUNCTION("""COMPUTED_VALUE"""),"chara_mag_00101_normal")</f>
        <v/>
      </c>
      <c r="AA99">
        <f>IFERROR(__xludf.DUMMYFUNCTION("""COMPUTED_VALUE"""),"chara_mag_00101_special")</f>
        <v/>
      </c>
    </row>
    <row r="100">
      <c r="A100">
        <f>IFERROR(__xludf.DUMMYFUNCTION("""COMPUTED_VALUE"""),"mag")</f>
        <v/>
      </c>
      <c r="B100">
        <f>IFERROR(__xludf.DUMMYFUNCTION("""COMPUTED_VALUE"""),"株式会社マジルミエ")</f>
        <v/>
      </c>
      <c r="C100">
        <f>IFERROR(__xludf.DUMMYFUNCTION("""COMPUTED_VALUE"""),"00201")</f>
        <v/>
      </c>
      <c r="D100">
        <f>IFERROR(__xludf.DUMMYFUNCTION("""COMPUTED_VALUE"""),"chara_mag_00201")</f>
        <v/>
      </c>
      <c r="E100">
        <f>IFERROR(__xludf.DUMMYFUNCTION("""COMPUTED_VALUE"""),"土刃 メイ")</f>
        <v/>
      </c>
      <c r="F100">
        <f>IFERROR(__xludf.DUMMYFUNCTION("""COMPUTED_VALUE"""),"絶対効率の体現者 土刃 メイ")</f>
        <v/>
      </c>
      <c r="G100">
        <f>IFERROR(__xludf.DUMMYFUNCTION("""COMPUTED_VALUE"""),"これが仕事です")</f>
        <v/>
      </c>
      <c r="H100">
        <f>IFERROR(__xludf.DUMMYFUNCTION("""COMPUTED_VALUE"""),"UR")</f>
        <v/>
      </c>
      <c r="I100">
        <f>IFERROR(__xludf.DUMMYFUNCTION("""COMPUTED_VALUE"""),"PremiumUR")</f>
        <v/>
      </c>
      <c r="J100">
        <f>IFERROR(__xludf.DUMMYFUNCTION("""COMPUTED_VALUE"""),"赤")</f>
        <v/>
      </c>
      <c r="K100">
        <f>IFERROR(__xludf.DUMMYFUNCTION("""COMPUTED_VALUE"""),"chara")</f>
        <v/>
      </c>
      <c r="L100">
        <f>IFERROR(__xludf.DUMMYFUNCTION("""COMPUTED_VALUE"""),"アタック")</f>
        <v/>
      </c>
      <c r="M100">
        <f>IFERROR(__xludf.DUMMYFUNCTION("""COMPUTED_VALUE"""),"shageki_1")</f>
        <v/>
      </c>
      <c r="N100">
        <f>IFERROR(__xludf.DUMMYFUNCTION("""COMPUTED_VALUE"""),"Long")</f>
        <v/>
      </c>
      <c r="O100">
        <f>IFERROR(__xludf.DUMMYFUNCTION("""COMPUTED_VALUE"""),"dageki_1")</f>
        <v/>
      </c>
      <c r="Q100">
        <f>IFERROR(__xludf.DUMMYFUNCTION("""COMPUTED_VALUE"""),"1.17")</f>
        <v/>
      </c>
      <c r="R100">
        <f>IFERROR(__xludf.DUMMYFUNCTION("""COMPUTED_VALUE"""),"stop有:1回目 0.42")</f>
        <v/>
      </c>
      <c r="S100">
        <f>IFERROR(__xludf.DUMMYFUNCTION("""COMPUTED_VALUE"""),"2.71")</f>
        <v/>
      </c>
      <c r="T100">
        <f>IFERROR(__xludf.DUMMYFUNCTION("""COMPUTED_VALUE"""),"stop有:1回目 0.38
stop無:2回目 1.55
stop無:3回目 1.8
stop無:4回目 2.1")</f>
        <v/>
      </c>
      <c r="U100">
        <f>IFERROR(__xludf.DUMMYFUNCTION("""COMPUTED_VALUE"""),45967.625)</f>
        <v/>
      </c>
      <c r="V100">
        <f>IFERROR(__xludf.DUMMYFUNCTION("""COMPUTED_VALUE"""),390812.49998842593)</f>
        <v/>
      </c>
      <c r="X100">
        <f>IFERROR(__xludf.DUMMYFUNCTION("""COMPUTED_VALUE"""),"enemy_icon_chara_mag_00201")</f>
        <v/>
      </c>
      <c r="Y100">
        <f>IFERROR(__xludf.DUMMYFUNCTION("""COMPUTED_VALUE"""),"boss_icon_chara_mag_00201")</f>
        <v/>
      </c>
    </row>
    <row r="101">
      <c r="A101">
        <f>IFERROR(__xludf.DUMMYFUNCTION("""COMPUTED_VALUE"""),"mag")</f>
        <v/>
      </c>
      <c r="B101">
        <f>IFERROR(__xludf.DUMMYFUNCTION("""COMPUTED_VALUE"""),"株式会社マジルミエ")</f>
        <v/>
      </c>
      <c r="C101">
        <f>IFERROR(__xludf.DUMMYFUNCTION("""COMPUTED_VALUE"""),"00301")</f>
        <v/>
      </c>
      <c r="D101">
        <f>IFERROR(__xludf.DUMMYFUNCTION("""COMPUTED_VALUE"""),"chara_mag_00301")</f>
        <v/>
      </c>
      <c r="E101">
        <f>IFERROR(__xludf.DUMMYFUNCTION("""COMPUTED_VALUE"""),"葵 リリー")</f>
        <v/>
      </c>
      <c r="F101">
        <f>IFERROR(__xludf.DUMMYFUNCTION("""COMPUTED_VALUE"""),"葵 リリー")</f>
        <v/>
      </c>
      <c r="G101">
        <f>IFERROR(__xludf.DUMMYFUNCTION("""COMPUTED_VALUE"""),"笑って")</f>
        <v/>
      </c>
      <c r="H101">
        <f>IFERROR(__xludf.DUMMYFUNCTION("""COMPUTED_VALUE"""),"SSR")</f>
        <v/>
      </c>
      <c r="I101">
        <f>IFERROR(__xludf.DUMMYFUNCTION("""COMPUTED_VALUE"""),"PremiumSSR")</f>
        <v/>
      </c>
      <c r="J101">
        <f>IFERROR(__xludf.DUMMYFUNCTION("""COMPUTED_VALUE"""),"緑")</f>
        <v/>
      </c>
      <c r="K101">
        <f>IFERROR(__xludf.DUMMYFUNCTION("""COMPUTED_VALUE"""),"chara")</f>
        <v/>
      </c>
      <c r="L101">
        <f>IFERROR(__xludf.DUMMYFUNCTION("""COMPUTED_VALUE"""),"ディフェンス")</f>
        <v/>
      </c>
      <c r="M101">
        <f>IFERROR(__xludf.DUMMYFUNCTION("""COMPUTED_VALUE"""),"dageki_1")</f>
        <v/>
      </c>
      <c r="N101">
        <f>IFERROR(__xludf.DUMMYFUNCTION("""COMPUTED_VALUE"""),"Middle")</f>
        <v/>
      </c>
      <c r="O101">
        <f>IFERROR(__xludf.DUMMYFUNCTION("""COMPUTED_VALUE"""),"-")</f>
        <v/>
      </c>
      <c r="Q101">
        <f>IFERROR(__xludf.DUMMYFUNCTION("""COMPUTED_VALUE"""),"1.6")</f>
        <v/>
      </c>
      <c r="R101">
        <f>IFERROR(__xludf.DUMMYFUNCTION("""COMPUTED_VALUE"""),"stop有:0.6")</f>
        <v/>
      </c>
      <c r="S101">
        <f>IFERROR(__xludf.DUMMYFUNCTION("""COMPUTED_VALUE"""),"2.5")</f>
        <v/>
      </c>
      <c r="T101">
        <f>IFERROR(__xludf.DUMMYFUNCTION("""COMPUTED_VALUE"""),"stop無 1")</f>
        <v/>
      </c>
      <c r="U101">
        <f>IFERROR(__xludf.DUMMYFUNCTION("""COMPUTED_VALUE"""),45967.625)</f>
        <v/>
      </c>
      <c r="V101">
        <f>IFERROR(__xludf.DUMMYFUNCTION("""COMPUTED_VALUE"""),390812.49998842593)</f>
        <v/>
      </c>
      <c r="X101">
        <f>IFERROR(__xludf.DUMMYFUNCTION("""COMPUTED_VALUE"""),"enemy_icon_chara_mag_00301")</f>
        <v/>
      </c>
      <c r="Y101">
        <f>IFERROR(__xludf.DUMMYFUNCTION("""COMPUTED_VALUE"""),"boss_icon_chara_mag_00301")</f>
        <v/>
      </c>
    </row>
    <row r="102">
      <c r="A102">
        <f>IFERROR(__xludf.DUMMYFUNCTION("""COMPUTED_VALUE"""),"mag")</f>
        <v/>
      </c>
      <c r="B102">
        <f>IFERROR(__xludf.DUMMYFUNCTION("""COMPUTED_VALUE"""),"株式会社マジルミエ")</f>
        <v/>
      </c>
      <c r="C102">
        <f>IFERROR(__xludf.DUMMYFUNCTION("""COMPUTED_VALUE"""),"00401")</f>
        <v/>
      </c>
      <c r="D102">
        <f>IFERROR(__xludf.DUMMYFUNCTION("""COMPUTED_VALUE"""),"chara_mag_00401")</f>
        <v/>
      </c>
      <c r="E102">
        <f>IFERROR(__xludf.DUMMYFUNCTION("""COMPUTED_VALUE"""),"槇野 あかね")</f>
        <v/>
      </c>
      <c r="F102">
        <f>IFERROR(__xludf.DUMMYFUNCTION("""COMPUTED_VALUE"""),"槇野 あかね")</f>
        <v/>
      </c>
      <c r="G102">
        <f>IFERROR(__xludf.DUMMYFUNCTION("""COMPUTED_VALUE"""),"花散一閃")</f>
        <v/>
      </c>
      <c r="H102">
        <f>IFERROR(__xludf.DUMMYFUNCTION("""COMPUTED_VALUE"""),"SR")</f>
        <v/>
      </c>
      <c r="I102">
        <f>IFERROR(__xludf.DUMMYFUNCTION("""COMPUTED_VALUE"""),"DropSR")</f>
        <v/>
      </c>
      <c r="J102">
        <f>IFERROR(__xludf.DUMMYFUNCTION("""COMPUTED_VALUE"""),"赤")</f>
        <v/>
      </c>
      <c r="K102">
        <f>IFERROR(__xludf.DUMMYFUNCTION("""COMPUTED_VALUE"""),"chara")</f>
        <v/>
      </c>
      <c r="L102">
        <f>IFERROR(__xludf.DUMMYFUNCTION("""COMPUTED_VALUE"""),"テクニカル")</f>
        <v/>
      </c>
      <c r="M102">
        <f>IFERROR(__xludf.DUMMYFUNCTION("""COMPUTED_VALUE"""),"zangeki_1")</f>
        <v/>
      </c>
      <c r="N102">
        <f>IFERROR(__xludf.DUMMYFUNCTION("""COMPUTED_VALUE"""),"Short")</f>
        <v/>
      </c>
      <c r="O102">
        <f>IFERROR(__xludf.DUMMYFUNCTION("""COMPUTED_VALUE"""),"zangeki_1")</f>
        <v/>
      </c>
      <c r="Q102">
        <f>IFERROR(__xludf.DUMMYFUNCTION("""COMPUTED_VALUE"""),"1.31")</f>
        <v/>
      </c>
      <c r="R102">
        <f>IFERROR(__xludf.DUMMYFUNCTION("""COMPUTED_VALUE"""),"stop有 :1回目 0.6")</f>
        <v/>
      </c>
      <c r="S102">
        <f>IFERROR(__xludf.DUMMYFUNCTION("""COMPUTED_VALUE"""),"1.87")</f>
        <v/>
      </c>
      <c r="T102">
        <f>IFERROR(__xludf.DUMMYFUNCTION("""COMPUTED_VALUE"""),"stop有 :1回目 0.62")</f>
        <v/>
      </c>
      <c r="U102">
        <f>IFERROR(__xludf.DUMMYFUNCTION("""COMPUTED_VALUE"""),45967.625)</f>
        <v/>
      </c>
      <c r="V102">
        <f>IFERROR(__xludf.DUMMYFUNCTION("""COMPUTED_VALUE"""),390812.49998842593)</f>
        <v/>
      </c>
      <c r="X102">
        <f>IFERROR(__xludf.DUMMYFUNCTION("""COMPUTED_VALUE"""),"enemy_icon_chara_mag_00401")</f>
        <v/>
      </c>
      <c r="Y102">
        <f>IFERROR(__xludf.DUMMYFUNCTION("""COMPUTED_VALUE"""),"boss_icon_chara_mag_00401")</f>
        <v/>
      </c>
    </row>
    <row r="103">
      <c r="A103">
        <f>IFERROR(__xludf.DUMMYFUNCTION("""COMPUTED_VALUE"""),"mag")</f>
        <v/>
      </c>
      <c r="B103">
        <f>IFERROR(__xludf.DUMMYFUNCTION("""COMPUTED_VALUE"""),"株式会社マジルミエ")</f>
        <v/>
      </c>
      <c r="C103">
        <f>IFERROR(__xludf.DUMMYFUNCTION("""COMPUTED_VALUE"""),"00501")</f>
        <v/>
      </c>
      <c r="D103">
        <f>IFERROR(__xludf.DUMMYFUNCTION("""COMPUTED_VALUE"""),"chara_mag_00501")</f>
        <v/>
      </c>
      <c r="E103">
        <f>IFERROR(__xludf.DUMMYFUNCTION("""COMPUTED_VALUE"""),"重本 浩司")</f>
        <v/>
      </c>
      <c r="F103">
        <f>IFERROR(__xludf.DUMMYFUNCTION("""COMPUTED_VALUE"""),"重本 浩司")</f>
        <v/>
      </c>
      <c r="G103">
        <f>IFERROR(__xludf.DUMMYFUNCTION("""COMPUTED_VALUE"""),"心配いらんぞ")</f>
        <v/>
      </c>
      <c r="H103">
        <f>IFERROR(__xludf.DUMMYFUNCTION("""COMPUTED_VALUE"""),"SR")</f>
        <v/>
      </c>
      <c r="I103">
        <f>IFERROR(__xludf.DUMMYFUNCTION("""COMPUTED_VALUE"""),"DropSR")</f>
        <v/>
      </c>
      <c r="J103">
        <f>IFERROR(__xludf.DUMMYFUNCTION("""COMPUTED_VALUE"""),"無")</f>
        <v/>
      </c>
      <c r="K103">
        <f>IFERROR(__xludf.DUMMYFUNCTION("""COMPUTED_VALUE"""),"chara")</f>
        <v/>
      </c>
      <c r="L103">
        <f>IFERROR(__xludf.DUMMYFUNCTION("""COMPUTED_VALUE"""),"スペシャル")</f>
        <v/>
      </c>
      <c r="M103">
        <f>IFERROR(__xludf.DUMMYFUNCTION("""COMPUTED_VALUE"""),"-")</f>
        <v/>
      </c>
      <c r="O103">
        <f>IFERROR(__xludf.DUMMYFUNCTION("""COMPUTED_VALUE"""),"-")</f>
        <v/>
      </c>
      <c r="Q103">
        <f>IFERROR(__xludf.DUMMYFUNCTION("""COMPUTED_VALUE"""),"-")</f>
        <v/>
      </c>
      <c r="R103">
        <f>IFERROR(__xludf.DUMMYFUNCTION("""COMPUTED_VALUE"""),"-")</f>
        <v/>
      </c>
      <c r="S103">
        <f>IFERROR(__xludf.DUMMYFUNCTION("""COMPUTED_VALUE"""),"2.34")</f>
        <v/>
      </c>
      <c r="T103">
        <f>IFERROR(__xludf.DUMMYFUNCTION("""COMPUTED_VALUE"""),"0")</f>
        <v/>
      </c>
      <c r="U103">
        <f>IFERROR(__xludf.DUMMYFUNCTION("""COMPUTED_VALUE"""),45967.625)</f>
        <v/>
      </c>
      <c r="V103">
        <f>IFERROR(__xludf.DUMMYFUNCTION("""COMPUTED_VALUE"""),390812.49998842593)</f>
        <v/>
      </c>
      <c r="X103">
        <f>IFERROR(__xludf.DUMMYFUNCTION("""COMPUTED_VALUE"""),"enemy_icon_chara_mag_00501")</f>
        <v/>
      </c>
      <c r="Y103">
        <f>IFERROR(__xludf.DUMMYFUNCTION("""COMPUTED_VALUE"""),"boss_icon_chara_mag_00501")</f>
        <v/>
      </c>
    </row>
    <row r="104">
      <c r="A104">
        <f>IFERROR(__xludf.DUMMYFUNCTION("""COMPUTED_VALUE"""),"dos")</f>
        <v/>
      </c>
      <c r="B104">
        <f>IFERROR(__xludf.DUMMYFUNCTION("""COMPUTED_VALUE"""),"道産子ギャルはなまらめんこい")</f>
        <v/>
      </c>
      <c r="C104">
        <f>IFERROR(__xludf.DUMMYFUNCTION("""COMPUTED_VALUE"""),"00001")</f>
        <v/>
      </c>
      <c r="D104">
        <f>IFERROR(__xludf.DUMMYFUNCTION("""COMPUTED_VALUE"""),"chara_dos_00001")</f>
        <v/>
      </c>
      <c r="E104">
        <f>IFERROR(__xludf.DUMMYFUNCTION("""COMPUTED_VALUE"""),"冬木 美波")</f>
        <v/>
      </c>
      <c r="F104">
        <f>IFERROR(__xludf.DUMMYFUNCTION("""COMPUTED_VALUE"""),"冬木 美波")</f>
        <v/>
      </c>
      <c r="G104">
        <f>IFERROR(__xludf.DUMMYFUNCTION("""COMPUTED_VALUE"""),"明日家来る？")</f>
        <v/>
      </c>
      <c r="H104">
        <f>IFERROR(__xludf.DUMMYFUNCTION("""COMPUTED_VALUE"""),"SSR")</f>
        <v/>
      </c>
      <c r="I104">
        <f>IFERROR(__xludf.DUMMYFUNCTION("""COMPUTED_VALUE"""),"PremiumSSR")</f>
        <v/>
      </c>
      <c r="J104">
        <f>IFERROR(__xludf.DUMMYFUNCTION("""COMPUTED_VALUE"""),"青")</f>
        <v/>
      </c>
      <c r="K104">
        <f>IFERROR(__xludf.DUMMYFUNCTION("""COMPUTED_VALUE"""),"chara")</f>
        <v/>
      </c>
      <c r="L104">
        <f>IFERROR(__xludf.DUMMYFUNCTION("""COMPUTED_VALUE"""),"サポート")</f>
        <v/>
      </c>
      <c r="M104">
        <f>IFERROR(__xludf.DUMMYFUNCTION("""COMPUTED_VALUE"""),"dageki_1")</f>
        <v/>
      </c>
      <c r="N104">
        <f>IFERROR(__xludf.DUMMYFUNCTION("""COMPUTED_VALUE"""),"Long")</f>
        <v/>
      </c>
      <c r="O104">
        <f>IFERROR(__xludf.DUMMYFUNCTION("""COMPUTED_VALUE"""),"dageki_1")</f>
        <v/>
      </c>
      <c r="P104">
        <f>IFERROR(__xludf.DUMMYFUNCTION("""COMPUTED_VALUE"""),"00001")</f>
        <v/>
      </c>
      <c r="Q104">
        <f>IFERROR(__xludf.DUMMYFUNCTION("""COMPUTED_VALUE"""),"1.17")</f>
        <v/>
      </c>
      <c r="R104">
        <f>IFERROR(__xludf.DUMMYFUNCTION("""COMPUTED_VALUE"""),"0.60")</f>
        <v/>
      </c>
      <c r="S104">
        <f>IFERROR(__xludf.DUMMYFUNCTION("""COMPUTED_VALUE"""),"2.60")</f>
        <v/>
      </c>
      <c r="T104">
        <f>IFERROR(__xludf.DUMMYFUNCTION("""COMPUTED_VALUE"""),"1.40")</f>
        <v/>
      </c>
      <c r="U104">
        <f>IFERROR(__xludf.DUMMYFUNCTION("""COMPUTED_VALUE"""),45922.458333333336)</f>
        <v/>
      </c>
      <c r="V104">
        <f>IFERROR(__xludf.DUMMYFUNCTION("""COMPUTED_VALUE"""),390812.49998842593)</f>
        <v/>
      </c>
      <c r="W104">
        <f>IFERROR(__xludf.DUMMYFUNCTION("""COMPUTED_VALUE"""),"catchcopy_character_chara_dos_00001.png")</f>
        <v/>
      </c>
      <c r="X104">
        <f>IFERROR(__xludf.DUMMYFUNCTION("""COMPUTED_VALUE"""),"enemy_icon_chara_dos_00001")</f>
        <v/>
      </c>
      <c r="Y104">
        <f>IFERROR(__xludf.DUMMYFUNCTION("""COMPUTED_VALUE"""),"boss_icon_chara_dos_00001")</f>
        <v/>
      </c>
      <c r="Z104">
        <f>IFERROR(__xludf.DUMMYFUNCTION("""COMPUTED_VALUE"""),"chara_dos_00001_normal")</f>
        <v/>
      </c>
      <c r="AA104">
        <f>IFERROR(__xludf.DUMMYFUNCTION("""COMPUTED_VALUE"""),"chara_dos_00001_special")</f>
        <v/>
      </c>
    </row>
    <row r="105">
      <c r="A105">
        <f>IFERROR(__xludf.DUMMYFUNCTION("""COMPUTED_VALUE"""),"dos")</f>
        <v/>
      </c>
      <c r="B105">
        <f>IFERROR(__xludf.DUMMYFUNCTION("""COMPUTED_VALUE"""),"道産子ギャルはなまらめんこい")</f>
        <v/>
      </c>
      <c r="C105">
        <f>IFERROR(__xludf.DUMMYFUNCTION("""COMPUTED_VALUE"""),"00101")</f>
        <v/>
      </c>
      <c r="D105">
        <f>IFERROR(__xludf.DUMMYFUNCTION("""COMPUTED_VALUE"""),"chara_dos_00101")</f>
        <v/>
      </c>
      <c r="E105">
        <f>IFERROR(__xludf.DUMMYFUNCTION("""COMPUTED_VALUE"""),"秋野 沙友理")</f>
        <v/>
      </c>
      <c r="F105">
        <f>IFERROR(__xludf.DUMMYFUNCTION("""COMPUTED_VALUE"""),"秋野 沙友理")</f>
        <v/>
      </c>
      <c r="G105">
        <f>IFERROR(__xludf.DUMMYFUNCTION("""COMPUTED_VALUE"""),"誰にも負けない")</f>
        <v/>
      </c>
      <c r="H105">
        <f>IFERROR(__xludf.DUMMYFUNCTION("""COMPUTED_VALUE"""),"SSR")</f>
        <v/>
      </c>
      <c r="I105">
        <f>IFERROR(__xludf.DUMMYFUNCTION("""COMPUTED_VALUE"""),"PremiumSSR")</f>
        <v/>
      </c>
      <c r="J105">
        <f>IFERROR(__xludf.DUMMYFUNCTION("""COMPUTED_VALUE"""),"無")</f>
        <v/>
      </c>
      <c r="K105">
        <f>IFERROR(__xludf.DUMMYFUNCTION("""COMPUTED_VALUE"""),"chara")</f>
        <v/>
      </c>
      <c r="L105">
        <f>IFERROR(__xludf.DUMMYFUNCTION("""COMPUTED_VALUE"""),"スペシャル")</f>
        <v/>
      </c>
      <c r="M105">
        <f>IFERROR(__xludf.DUMMYFUNCTION("""COMPUTED_VALUE"""),"-")</f>
        <v/>
      </c>
      <c r="N105">
        <f>IFERROR(__xludf.DUMMYFUNCTION("""COMPUTED_VALUE"""),"ー")</f>
        <v/>
      </c>
      <c r="O105">
        <f>IFERROR(__xludf.DUMMYFUNCTION("""COMPUTED_VALUE"""),"-")</f>
        <v/>
      </c>
      <c r="P105">
        <f>IFERROR(__xludf.DUMMYFUNCTION("""COMPUTED_VALUE"""),"00101")</f>
        <v/>
      </c>
      <c r="Q105">
        <f>IFERROR(__xludf.DUMMYFUNCTION("""COMPUTED_VALUE"""),"-")</f>
        <v/>
      </c>
      <c r="R105">
        <f>IFERROR(__xludf.DUMMYFUNCTION("""COMPUTED_VALUE"""),"-")</f>
        <v/>
      </c>
      <c r="S105">
        <f>IFERROR(__xludf.DUMMYFUNCTION("""COMPUTED_VALUE"""),"4.84")</f>
        <v/>
      </c>
      <c r="T105">
        <f>IFERROR(__xludf.DUMMYFUNCTION("""COMPUTED_VALUE"""),"0")</f>
        <v/>
      </c>
      <c r="U105">
        <f>IFERROR(__xludf.DUMMYFUNCTION("""COMPUTED_VALUE"""),45922.458333333336)</f>
        <v/>
      </c>
      <c r="V105">
        <f>IFERROR(__xludf.DUMMYFUNCTION("""COMPUTED_VALUE"""),390812.49998842593)</f>
        <v/>
      </c>
      <c r="W105">
        <f>IFERROR(__xludf.DUMMYFUNCTION("""COMPUTED_VALUE"""),"catchcopy_character_chara_dos_00101.png")</f>
        <v/>
      </c>
      <c r="X105">
        <f>IFERROR(__xludf.DUMMYFUNCTION("""COMPUTED_VALUE"""),"enemy_icon_chara_dos_00101")</f>
        <v/>
      </c>
      <c r="Y105">
        <f>IFERROR(__xludf.DUMMYFUNCTION("""COMPUTED_VALUE"""),"boss_icon_chara_dos_00101")</f>
        <v/>
      </c>
      <c r="AA105">
        <f>IFERROR(__xludf.DUMMYFUNCTION("""COMPUTED_VALUE"""),"chara_dos_00101_special")</f>
        <v/>
      </c>
    </row>
    <row r="106">
      <c r="A106">
        <f>IFERROR(__xludf.DUMMYFUNCTION("""COMPUTED_VALUE"""),"sum")</f>
        <v/>
      </c>
      <c r="B106">
        <f>IFERROR(__xludf.DUMMYFUNCTION("""COMPUTED_VALUE"""),"サマータイムレンダ")</f>
        <v/>
      </c>
      <c r="C106">
        <f>IFERROR(__xludf.DUMMYFUNCTION("""COMPUTED_VALUE"""),"00001")</f>
        <v/>
      </c>
      <c r="D106">
        <f>IFERROR(__xludf.DUMMYFUNCTION("""COMPUTED_VALUE"""),"chara_sum_00001")</f>
        <v/>
      </c>
      <c r="E106">
        <f>IFERROR(__xludf.DUMMYFUNCTION("""COMPUTED_VALUE"""),"網代 慎平")</f>
        <v/>
      </c>
      <c r="F106">
        <f>IFERROR(__xludf.DUMMYFUNCTION("""COMPUTED_VALUE"""),"網代 慎平")</f>
        <v/>
      </c>
      <c r="G106">
        <f>IFERROR(__xludf.DUMMYFUNCTION("""COMPUTED_VALUE"""),"フカンしろ!!")</f>
        <v/>
      </c>
      <c r="H106">
        <f>IFERROR(__xludf.DUMMYFUNCTION("""COMPUTED_VALUE"""),"R")</f>
        <v/>
      </c>
      <c r="I106">
        <f>IFERROR(__xludf.DUMMYFUNCTION("""COMPUTED_VALUE"""),"PremiumR")</f>
        <v/>
      </c>
      <c r="J106">
        <f>IFERROR(__xludf.DUMMYFUNCTION("""COMPUTED_VALUE"""),"青")</f>
        <v/>
      </c>
      <c r="K106">
        <f>IFERROR(__xludf.DUMMYFUNCTION("""COMPUTED_VALUE"""),"chara")</f>
        <v/>
      </c>
      <c r="L106">
        <f>IFERROR(__xludf.DUMMYFUNCTION("""COMPUTED_VALUE"""),"テクニカル")</f>
        <v/>
      </c>
      <c r="M106">
        <f>IFERROR(__xludf.DUMMYFUNCTION("""COMPUTED_VALUE"""),"shageki_1")</f>
        <v/>
      </c>
      <c r="N106">
        <f>IFERROR(__xludf.DUMMYFUNCTION("""COMPUTED_VALUE"""),"Long")</f>
        <v/>
      </c>
      <c r="O106">
        <f>IFERROR(__xludf.DUMMYFUNCTION("""COMPUTED_VALUE"""),"shageki_1")</f>
        <v/>
      </c>
      <c r="P106">
        <f>IFERROR(__xludf.DUMMYFUNCTION("""COMPUTED_VALUE"""),"00001")</f>
        <v/>
      </c>
      <c r="Q106">
        <f>IFERROR(__xludf.DUMMYFUNCTION("""COMPUTED_VALUE"""),"1.40")</f>
        <v/>
      </c>
      <c r="R106">
        <f>IFERROR(__xludf.DUMMYFUNCTION("""COMPUTED_VALUE"""),"stop無:1回目 0.65")</f>
        <v/>
      </c>
      <c r="S106">
        <f>IFERROR(__xludf.DUMMYFUNCTION("""COMPUTED_VALUE"""),"2.33")</f>
        <v/>
      </c>
      <c r="T106">
        <f>IFERROR(__xludf.DUMMYFUNCTION("""COMPUTED_VALUE"""),"stop無:1回目 0.75
stop無:2回目 0.93
stop無:3回目 1.15")</f>
        <v/>
      </c>
      <c r="U106">
        <f>IFERROR(__xludf.DUMMYFUNCTION("""COMPUTED_VALUE"""),45922.458333333336)</f>
        <v/>
      </c>
      <c r="V106">
        <f>IFERROR(__xludf.DUMMYFUNCTION("""COMPUTED_VALUE"""),390812.49998842593)</f>
        <v/>
      </c>
      <c r="W106">
        <f>IFERROR(__xludf.DUMMYFUNCTION("""COMPUTED_VALUE"""),"catchcopy_character_chara_sum_00001.png")</f>
        <v/>
      </c>
      <c r="X106">
        <f>IFERROR(__xludf.DUMMYFUNCTION("""COMPUTED_VALUE"""),"enemy_icon_chara_sum_00001")</f>
        <v/>
      </c>
      <c r="Y106">
        <f>IFERROR(__xludf.DUMMYFUNCTION("""COMPUTED_VALUE"""),"boss_icon_chara_sum_00001")</f>
        <v/>
      </c>
      <c r="Z106">
        <f>IFERROR(__xludf.DUMMYFUNCTION("""COMPUTED_VALUE"""),"chara_sum_00001_normal")</f>
        <v/>
      </c>
      <c r="AA106">
        <f>IFERROR(__xludf.DUMMYFUNCTION("""COMPUTED_VALUE"""),"chara_sum_00001_special")</f>
        <v/>
      </c>
    </row>
    <row r="107">
      <c r="A107">
        <f>IFERROR(__xludf.DUMMYFUNCTION("""COMPUTED_VALUE"""),"sum")</f>
        <v/>
      </c>
      <c r="B107">
        <f>IFERROR(__xludf.DUMMYFUNCTION("""COMPUTED_VALUE"""),"サマータイムレンダ")</f>
        <v/>
      </c>
      <c r="C107">
        <f>IFERROR(__xludf.DUMMYFUNCTION("""COMPUTED_VALUE"""),"00101")</f>
        <v/>
      </c>
      <c r="D107">
        <f>IFERROR(__xludf.DUMMYFUNCTION("""COMPUTED_VALUE"""),"chara_sum_00101")</f>
        <v/>
      </c>
      <c r="E107">
        <f>IFERROR(__xludf.DUMMYFUNCTION("""COMPUTED_VALUE"""),"影のウシオ 小舟 潮")</f>
        <v/>
      </c>
      <c r="F107">
        <f>IFERROR(__xludf.DUMMYFUNCTION("""COMPUTED_VALUE"""),"影のウシオ 小舟 潮")</f>
        <v/>
      </c>
      <c r="G107">
        <f>IFERROR(__xludf.DUMMYFUNCTION("""COMPUTED_VALUE"""),"守っちゃってね")</f>
        <v/>
      </c>
      <c r="H107">
        <f>IFERROR(__xludf.DUMMYFUNCTION("""COMPUTED_VALUE"""),"UR")</f>
        <v/>
      </c>
      <c r="I107">
        <f>IFERROR(__xludf.DUMMYFUNCTION("""COMPUTED_VALUE"""),"PremiumUR")</f>
        <v/>
      </c>
      <c r="J107">
        <f>IFERROR(__xludf.DUMMYFUNCTION("""COMPUTED_VALUE"""),"青")</f>
        <v/>
      </c>
      <c r="K107">
        <f>IFERROR(__xludf.DUMMYFUNCTION("""COMPUTED_VALUE"""),"chara")</f>
        <v/>
      </c>
      <c r="L107">
        <f>IFERROR(__xludf.DUMMYFUNCTION("""COMPUTED_VALUE"""),"サポート")</f>
        <v/>
      </c>
      <c r="M107">
        <f>IFERROR(__xludf.DUMMYFUNCTION("""COMPUTED_VALUE"""),"zangeki_1")</f>
        <v/>
      </c>
      <c r="N107">
        <f>IFERROR(__xludf.DUMMYFUNCTION("""COMPUTED_VALUE"""),"Middle")</f>
        <v/>
      </c>
      <c r="O107">
        <f>IFERROR(__xludf.DUMMYFUNCTION("""COMPUTED_VALUE"""),"-")</f>
        <v/>
      </c>
      <c r="P107">
        <f>IFERROR(__xludf.DUMMYFUNCTION("""COMPUTED_VALUE"""),"00101")</f>
        <v/>
      </c>
      <c r="Q107">
        <f>IFERROR(__xludf.DUMMYFUNCTION("""COMPUTED_VALUE"""),"1.13")</f>
        <v/>
      </c>
      <c r="R107">
        <f>IFERROR(__xludf.DUMMYFUNCTION("""COMPUTED_VALUE"""),"0.50")</f>
        <v/>
      </c>
      <c r="S107">
        <f>IFERROR(__xludf.DUMMYFUNCTION("""COMPUTED_VALUE"""),"2.20")</f>
        <v/>
      </c>
      <c r="T107">
        <f>IFERROR(__xludf.DUMMYFUNCTION("""COMPUTED_VALUE"""),"1.00")</f>
        <v/>
      </c>
      <c r="U107">
        <f>IFERROR(__xludf.DUMMYFUNCTION("""COMPUTED_VALUE"""),45922.458333333336)</f>
        <v/>
      </c>
      <c r="V107">
        <f>IFERROR(__xludf.DUMMYFUNCTION("""COMPUTED_VALUE"""),390812.49998842593)</f>
        <v/>
      </c>
      <c r="W107">
        <f>IFERROR(__xludf.DUMMYFUNCTION("""COMPUTED_VALUE"""),"catchcopy_character_chara_sum_00101.png")</f>
        <v/>
      </c>
      <c r="X107">
        <f>IFERROR(__xludf.DUMMYFUNCTION("""COMPUTED_VALUE"""),"enemy_icon_chara_sum_00101")</f>
        <v/>
      </c>
      <c r="Y107">
        <f>IFERROR(__xludf.DUMMYFUNCTION("""COMPUTED_VALUE"""),"boss_icon_chara_sum_00101")</f>
        <v/>
      </c>
      <c r="Z107">
        <f>IFERROR(__xludf.DUMMYFUNCTION("""COMPUTED_VALUE"""),"chara_sum_00101_normal")</f>
        <v/>
      </c>
      <c r="AA107">
        <f>IFERROR(__xludf.DUMMYFUNCTION("""COMPUTED_VALUE"""),"chara_sum_00101_special")</f>
        <v/>
      </c>
    </row>
    <row r="108">
      <c r="A108">
        <f>IFERROR(__xludf.DUMMYFUNCTION("""COMPUTED_VALUE"""),"sum")</f>
        <v/>
      </c>
      <c r="B108">
        <f>IFERROR(__xludf.DUMMYFUNCTION("""COMPUTED_VALUE"""),"サマータイムレンダ")</f>
        <v/>
      </c>
      <c r="C108">
        <f>IFERROR(__xludf.DUMMYFUNCTION("""COMPUTED_VALUE"""),"00201")</f>
        <v/>
      </c>
      <c r="D108">
        <f>IFERROR(__xludf.DUMMYFUNCTION("""COMPUTED_VALUE"""),"chara_sum_00201")</f>
        <v/>
      </c>
      <c r="E108">
        <f>IFERROR(__xludf.DUMMYFUNCTION("""COMPUTED_VALUE"""),"小舟 澪")</f>
        <v/>
      </c>
      <c r="F108">
        <f>IFERROR(__xludf.DUMMYFUNCTION("""COMPUTED_VALUE"""),"小舟 澪")</f>
        <v/>
      </c>
      <c r="G108">
        <f>IFERROR(__xludf.DUMMYFUNCTION("""COMPUTED_VALUE"""),"おかえり慎ちゃん!!")</f>
        <v/>
      </c>
      <c r="H108">
        <f>IFERROR(__xludf.DUMMYFUNCTION("""COMPUTED_VALUE"""),"SR")</f>
        <v/>
      </c>
      <c r="I108">
        <f>IFERROR(__xludf.DUMMYFUNCTION("""COMPUTED_VALUE"""),"PremiumSR")</f>
        <v/>
      </c>
      <c r="J108">
        <f>IFERROR(__xludf.DUMMYFUNCTION("""COMPUTED_VALUE"""),"青")</f>
        <v/>
      </c>
      <c r="K108">
        <f>IFERROR(__xludf.DUMMYFUNCTION("""COMPUTED_VALUE"""),"chara")</f>
        <v/>
      </c>
      <c r="L108">
        <f>IFERROR(__xludf.DUMMYFUNCTION("""COMPUTED_VALUE"""),"アタック")</f>
        <v/>
      </c>
      <c r="M108">
        <f>IFERROR(__xludf.DUMMYFUNCTION("""COMPUTED_VALUE"""),"dageki_1")</f>
        <v/>
      </c>
      <c r="N108">
        <f>IFERROR(__xludf.DUMMYFUNCTION("""COMPUTED_VALUE"""),"Short")</f>
        <v/>
      </c>
      <c r="O108">
        <f>IFERROR(__xludf.DUMMYFUNCTION("""COMPUTED_VALUE"""),"shageki_1")</f>
        <v/>
      </c>
      <c r="P108">
        <f>IFERROR(__xludf.DUMMYFUNCTION("""COMPUTED_VALUE"""),"00201")</f>
        <v/>
      </c>
      <c r="Q108">
        <f>IFERROR(__xludf.DUMMYFUNCTION("""COMPUTED_VALUE"""),"2.37")</f>
        <v/>
      </c>
      <c r="R108">
        <f>IFERROR(__xludf.DUMMYFUNCTION("""COMPUTED_VALUE"""),"stop有 :1回目 0.67")</f>
        <v/>
      </c>
      <c r="S108">
        <f>IFERROR(__xludf.DUMMYFUNCTION("""COMPUTED_VALUE"""),"3.67")</f>
        <v/>
      </c>
      <c r="T108">
        <f>IFERROR(__xludf.DUMMYFUNCTION("""COMPUTED_VALUE"""),"stop有 :1回目 1.70")</f>
        <v/>
      </c>
      <c r="U108">
        <f>IFERROR(__xludf.DUMMYFUNCTION("""COMPUTED_VALUE"""),45922.458333333336)</f>
        <v/>
      </c>
      <c r="V108">
        <f>IFERROR(__xludf.DUMMYFUNCTION("""COMPUTED_VALUE"""),390812.49998842593)</f>
        <v/>
      </c>
      <c r="W108">
        <f>IFERROR(__xludf.DUMMYFUNCTION("""COMPUTED_VALUE"""),"catchcopy_character_chara_sum_00201.png")</f>
        <v/>
      </c>
      <c r="X108">
        <f>IFERROR(__xludf.DUMMYFUNCTION("""COMPUTED_VALUE"""),"enemy_icon_chara_sum_00201")</f>
        <v/>
      </c>
      <c r="Y108">
        <f>IFERROR(__xludf.DUMMYFUNCTION("""COMPUTED_VALUE"""),"boss_icon_chara_sum_00201")</f>
        <v/>
      </c>
      <c r="Z108">
        <f>IFERROR(__xludf.DUMMYFUNCTION("""COMPUTED_VALUE"""),"chara_sum_00201_normal")</f>
        <v/>
      </c>
      <c r="AA108">
        <f>IFERROR(__xludf.DUMMYFUNCTION("""COMPUTED_VALUE"""),"chara_sum_00201_special")</f>
        <v/>
      </c>
    </row>
    <row r="109">
      <c r="A109">
        <f>IFERROR(__xludf.DUMMYFUNCTION("""COMPUTED_VALUE"""),"sum")</f>
        <v/>
      </c>
      <c r="B109">
        <f>IFERROR(__xludf.DUMMYFUNCTION("""COMPUTED_VALUE"""),"サマータイムレンダ")</f>
        <v/>
      </c>
      <c r="C109">
        <f>IFERROR(__xludf.DUMMYFUNCTION("""COMPUTED_VALUE"""),"00301")</f>
        <v/>
      </c>
      <c r="D109">
        <f>IFERROR(__xludf.DUMMYFUNCTION("""COMPUTED_VALUE"""),"chara_sum_00301")</f>
        <v/>
      </c>
      <c r="E109">
        <f>IFERROR(__xludf.DUMMYFUNCTION("""COMPUTED_VALUE"""),"南方 ひづる")</f>
        <v/>
      </c>
      <c r="F109">
        <f>IFERROR(__xludf.DUMMYFUNCTION("""COMPUTED_VALUE"""),"選定中")</f>
        <v/>
      </c>
      <c r="H109">
        <f>IFERROR(__xludf.DUMMYFUNCTION("""COMPUTED_VALUE"""),"SSR")</f>
        <v/>
      </c>
      <c r="I109">
        <f>IFERROR(__xludf.DUMMYFUNCTION("""COMPUTED_VALUE"""),"PremiumSSR")</f>
        <v/>
      </c>
      <c r="J109">
        <f>IFERROR(__xludf.DUMMYFUNCTION("""COMPUTED_VALUE"""),"赤")</f>
        <v/>
      </c>
      <c r="K109">
        <f>IFERROR(__xludf.DUMMYFUNCTION("""COMPUTED_VALUE"""),"chara")</f>
        <v/>
      </c>
      <c r="L109">
        <f>IFERROR(__xludf.DUMMYFUNCTION("""COMPUTED_VALUE"""),"調整中")</f>
        <v/>
      </c>
      <c r="P109">
        <f>IFERROR(__xludf.DUMMYFUNCTION("""COMPUTED_VALUE"""),"00301")</f>
        <v/>
      </c>
      <c r="U109">
        <f>IFERROR(__xludf.DUMMYFUNCTION("""COMPUTED_VALUE"""),45658.0)</f>
        <v/>
      </c>
      <c r="V109">
        <f>IFERROR(__xludf.DUMMYFUNCTION("""COMPUTED_VALUE"""),390812.49998842593)</f>
        <v/>
      </c>
      <c r="W109">
        <f>IFERROR(__xludf.DUMMYFUNCTION("""COMPUTED_VALUE"""),"catchcopy_character_chara_sum_00301.png")</f>
        <v/>
      </c>
      <c r="X109">
        <f>IFERROR(__xludf.DUMMYFUNCTION("""COMPUTED_VALUE"""),"enemy_icon_chara_sum_00301")</f>
        <v/>
      </c>
      <c r="Y109">
        <f>IFERROR(__xludf.DUMMYFUNCTION("""COMPUTED_VALUE"""),"boss_icon_chara_sum_00301")</f>
        <v/>
      </c>
    </row>
    <row r="110">
      <c r="A110">
        <f>IFERROR(__xludf.DUMMYFUNCTION("""COMPUTED_VALUE"""),"sum")</f>
        <v/>
      </c>
      <c r="B110">
        <f>IFERROR(__xludf.DUMMYFUNCTION("""COMPUTED_VALUE"""),"サマータイムレンダ")</f>
        <v/>
      </c>
      <c r="C110">
        <f>IFERROR(__xludf.DUMMYFUNCTION("""COMPUTED_VALUE"""),"00401")</f>
        <v/>
      </c>
      <c r="D110">
        <f>IFERROR(__xludf.DUMMYFUNCTION("""COMPUTED_VALUE"""),"chara_sum_00401")</f>
        <v/>
      </c>
      <c r="E110">
        <f>IFERROR(__xludf.DUMMYFUNCTION("""COMPUTED_VALUE"""),"小舟 澪の影")</f>
        <v/>
      </c>
      <c r="F110">
        <f>IFERROR(__xludf.DUMMYFUNCTION("""COMPUTED_VALUE"""),"選定中")</f>
        <v/>
      </c>
      <c r="H110">
        <f>IFERROR(__xludf.DUMMYFUNCTION("""COMPUTED_VALUE"""),"SR")</f>
        <v/>
      </c>
      <c r="I110">
        <f>IFERROR(__xludf.DUMMYFUNCTION("""COMPUTED_VALUE"""),"DropSSR")</f>
        <v/>
      </c>
      <c r="J110">
        <f>IFERROR(__xludf.DUMMYFUNCTION("""COMPUTED_VALUE"""),"黄")</f>
        <v/>
      </c>
      <c r="K110">
        <f>IFERROR(__xludf.DUMMYFUNCTION("""COMPUTED_VALUE"""),"chara")</f>
        <v/>
      </c>
    </row>
    <row r="111">
      <c r="A111">
        <f>IFERROR(__xludf.DUMMYFUNCTION("""COMPUTED_VALUE"""),"sum")</f>
        <v/>
      </c>
      <c r="B111">
        <f>IFERROR(__xludf.DUMMYFUNCTION("""COMPUTED_VALUE"""),"サマータイムレンダ")</f>
        <v/>
      </c>
      <c r="C111">
        <f>IFERROR(__xludf.DUMMYFUNCTION("""COMPUTED_VALUE"""),"00501")</f>
        <v/>
      </c>
      <c r="D111">
        <f>IFERROR(__xludf.DUMMYFUNCTION("""COMPUTED_VALUE"""),"chara_sum_00501")</f>
        <v/>
      </c>
      <c r="E111">
        <f>IFERROR(__xludf.DUMMYFUNCTION("""COMPUTED_VALUE"""),"ハイネ＆シデ")</f>
        <v/>
      </c>
      <c r="F111">
        <f>IFERROR(__xludf.DUMMYFUNCTION("""COMPUTED_VALUE"""),"選定中")</f>
        <v/>
      </c>
      <c r="H111">
        <f>IFERROR(__xludf.DUMMYFUNCTION("""COMPUTED_VALUE"""),"UR")</f>
        <v/>
      </c>
      <c r="I111">
        <f>IFERROR(__xludf.DUMMYFUNCTION("""COMPUTED_VALUE"""),"FestivalUR")</f>
        <v/>
      </c>
      <c r="J111">
        <f>IFERROR(__xludf.DUMMYFUNCTION("""COMPUTED_VALUE"""),"緑")</f>
        <v/>
      </c>
      <c r="K111">
        <f>IFERROR(__xludf.DUMMYFUNCTION("""COMPUTED_VALUE"""),"chara")</f>
        <v/>
      </c>
    </row>
    <row r="112">
      <c r="A112">
        <f>IFERROR(__xludf.DUMMYFUNCTION("""COMPUTED_VALUE"""),"sum")</f>
        <v/>
      </c>
      <c r="B112">
        <f>IFERROR(__xludf.DUMMYFUNCTION("""COMPUTED_VALUE"""),"サマータイムレンダ")</f>
        <v/>
      </c>
      <c r="C112">
        <f>IFERROR(__xludf.DUMMYFUNCTION("""COMPUTED_VALUE"""),"00502")</f>
        <v/>
      </c>
      <c r="D112">
        <f>IFERROR(__xludf.DUMMYFUNCTION("""COMPUTED_VALUE"""),"chara_sum_00502")</f>
        <v/>
      </c>
      <c r="E112">
        <f>IFERROR(__xludf.DUMMYFUNCTION("""COMPUTED_VALUE"""),"ハイネ＆シデ(シデのみ)")</f>
        <v/>
      </c>
      <c r="K112">
        <f>IFERROR(__xludf.DUMMYFUNCTION("""COMPUTED_VALUE"""),"chara")</f>
        <v/>
      </c>
    </row>
    <row r="113">
      <c r="A113">
        <f>IFERROR(__xludf.DUMMYFUNCTION("""COMPUTED_VALUE"""),"osh")</f>
        <v/>
      </c>
      <c r="B113">
        <f>IFERROR(__xludf.DUMMYFUNCTION("""COMPUTED_VALUE"""),"【推しの子】")</f>
        <v/>
      </c>
      <c r="C113">
        <f>IFERROR(__xludf.DUMMYFUNCTION("""COMPUTED_VALUE"""),"00001")</f>
        <v/>
      </c>
      <c r="D113">
        <f>IFERROR(__xludf.DUMMYFUNCTION("""COMPUTED_VALUE"""),"chara_osh_00001")</f>
        <v/>
      </c>
      <c r="E113">
        <f>IFERROR(__xludf.DUMMYFUNCTION("""COMPUTED_VALUE"""),"星野 アイ")</f>
        <v/>
      </c>
      <c r="F113">
        <f>IFERROR(__xludf.DUMMYFUNCTION("""COMPUTED_VALUE"""),"B小町不動のセンター アイ")</f>
        <v/>
      </c>
      <c r="G113">
        <f>IFERROR(__xludf.DUMMYFUNCTION("""COMPUTED_VALUE"""),"究極のアイドル")</f>
        <v/>
      </c>
      <c r="H113">
        <f>IFERROR(__xludf.DUMMYFUNCTION("""COMPUTED_VALUE"""),"UR")</f>
        <v/>
      </c>
      <c r="I113">
        <f>IFERROR(__xludf.DUMMYFUNCTION("""COMPUTED_VALUE"""),"FestivalUR")</f>
        <v/>
      </c>
      <c r="J113">
        <f>IFERROR(__xludf.DUMMYFUNCTION("""COMPUTED_VALUE"""),"赤")</f>
        <v/>
      </c>
      <c r="K113">
        <f>IFERROR(__xludf.DUMMYFUNCTION("""COMPUTED_VALUE"""),"chara")</f>
        <v/>
      </c>
      <c r="L113">
        <f>IFERROR(__xludf.DUMMYFUNCTION("""COMPUTED_VALUE"""),"テクニカル")</f>
        <v/>
      </c>
      <c r="M113">
        <f>IFERROR(__xludf.DUMMYFUNCTION("""COMPUTED_VALUE"""),"shageki_1")</f>
        <v/>
      </c>
      <c r="N113">
        <f>IFERROR(__xludf.DUMMYFUNCTION("""COMPUTED_VALUE"""),"Middle")</f>
        <v/>
      </c>
      <c r="O113">
        <f>IFERROR(__xludf.DUMMYFUNCTION("""COMPUTED_VALUE"""),"-")</f>
        <v/>
      </c>
      <c r="Q113">
        <f>IFERROR(__xludf.DUMMYFUNCTION("""COMPUTED_VALUE"""),"1.60")</f>
        <v/>
      </c>
      <c r="R113">
        <f>IFERROR(__xludf.DUMMYFUNCTION("""COMPUTED_VALUE"""),"stop有:1回目 0.43")</f>
        <v/>
      </c>
      <c r="S113">
        <f>IFERROR(__xludf.DUMMYFUNCTION("""COMPUTED_VALUE"""),"3.24")</f>
        <v/>
      </c>
      <c r="T113">
        <f>IFERROR(__xludf.DUMMYFUNCTION("""COMPUTED_VALUE"""),"stop無:1回目 1.83")</f>
        <v/>
      </c>
      <c r="U113">
        <f>IFERROR(__xludf.DUMMYFUNCTION("""COMPUTED_VALUE"""),46023.0)</f>
        <v/>
      </c>
      <c r="V113">
        <f>IFERROR(__xludf.DUMMYFUNCTION("""COMPUTED_VALUE"""),390812.49998842593)</f>
        <v/>
      </c>
      <c r="W113">
        <f>IFERROR(__xludf.DUMMYFUNCTION("""COMPUTED_VALUE"""),"catchcopy_character_chara_osh_00001.png")</f>
        <v/>
      </c>
      <c r="X113">
        <f>IFERROR(__xludf.DUMMYFUNCTION("""COMPUTED_VALUE"""),"enemy_icon_chara_osh_00001")</f>
        <v/>
      </c>
      <c r="Y113">
        <f>IFERROR(__xludf.DUMMYFUNCTION("""COMPUTED_VALUE"""),"boss_icon_chara_osh_00001")</f>
        <v/>
      </c>
    </row>
    <row r="114">
      <c r="A114">
        <f>IFERROR(__xludf.DUMMYFUNCTION("""COMPUTED_VALUE"""),"osh")</f>
        <v/>
      </c>
      <c r="B114">
        <f>IFERROR(__xludf.DUMMYFUNCTION("""COMPUTED_VALUE"""),"【推しの子】")</f>
        <v/>
      </c>
      <c r="C114">
        <f>IFERROR(__xludf.DUMMYFUNCTION("""COMPUTED_VALUE"""),"00101")</f>
        <v/>
      </c>
      <c r="D114">
        <f>IFERROR(__xludf.DUMMYFUNCTION("""COMPUTED_VALUE"""),"chara_osh_00101")</f>
        <v/>
      </c>
      <c r="E114">
        <f>IFERROR(__xludf.DUMMYFUNCTION("""COMPUTED_VALUE"""),"星野 アクア")</f>
        <v/>
      </c>
      <c r="F114">
        <f>IFERROR(__xludf.DUMMYFUNCTION("""COMPUTED_VALUE"""),"復讐を誓う片星 星野 アクア")</f>
        <v/>
      </c>
      <c r="G114">
        <f>IFERROR(__xludf.DUMMYFUNCTION("""COMPUTED_VALUE"""),"同じ轍を踏ませない")</f>
        <v/>
      </c>
      <c r="H114">
        <f>IFERROR(__xludf.DUMMYFUNCTION("""COMPUTED_VALUE"""),"UR")</f>
        <v/>
      </c>
      <c r="I114">
        <f>IFERROR(__xludf.DUMMYFUNCTION("""COMPUTED_VALUE"""),"PremiumUR")</f>
        <v/>
      </c>
      <c r="J114">
        <f>IFERROR(__xludf.DUMMYFUNCTION("""COMPUTED_VALUE"""),"無")</f>
        <v/>
      </c>
      <c r="K114">
        <f>IFERROR(__xludf.DUMMYFUNCTION("""COMPUTED_VALUE"""),"chara")</f>
        <v/>
      </c>
      <c r="L114">
        <f>IFERROR(__xludf.DUMMYFUNCTION("""COMPUTED_VALUE"""),"スペシャル")</f>
        <v/>
      </c>
      <c r="M114">
        <f>IFERROR(__xludf.DUMMYFUNCTION("""COMPUTED_VALUE"""),"-")</f>
        <v/>
      </c>
      <c r="N114">
        <f>IFERROR(__xludf.DUMMYFUNCTION("""COMPUTED_VALUE"""),"ー")</f>
        <v/>
      </c>
      <c r="O114">
        <f>IFERROR(__xludf.DUMMYFUNCTION("""COMPUTED_VALUE"""),"dageki_2")</f>
        <v/>
      </c>
      <c r="Q114">
        <f>IFERROR(__xludf.DUMMYFUNCTION("""COMPUTED_VALUE"""),"-")</f>
        <v/>
      </c>
      <c r="R114">
        <f>IFERROR(__xludf.DUMMYFUNCTION("""COMPUTED_VALUE"""),"-")</f>
        <v/>
      </c>
      <c r="S114">
        <f>IFERROR(__xludf.DUMMYFUNCTION("""COMPUTED_VALUE"""),"2.34")</f>
        <v/>
      </c>
      <c r="T114">
        <f>IFERROR(__xludf.DUMMYFUNCTION("""COMPUTED_VALUE"""),"0.67")</f>
        <v/>
      </c>
      <c r="U114">
        <f>IFERROR(__xludf.DUMMYFUNCTION("""COMPUTED_VALUE"""),46023.0)</f>
        <v/>
      </c>
      <c r="V114">
        <f>IFERROR(__xludf.DUMMYFUNCTION("""COMPUTED_VALUE"""),390812.49998842593)</f>
        <v/>
      </c>
      <c r="W114">
        <f>IFERROR(__xludf.DUMMYFUNCTION("""COMPUTED_VALUE"""),"catchcopy_character_chara_osh_00101.png")</f>
        <v/>
      </c>
      <c r="X114">
        <f>IFERROR(__xludf.DUMMYFUNCTION("""COMPUTED_VALUE"""),"enemy_icon_chara_osh_00101")</f>
        <v/>
      </c>
      <c r="Y114">
        <f>IFERROR(__xludf.DUMMYFUNCTION("""COMPUTED_VALUE"""),"boss_icon_chara_osh_00101")</f>
        <v/>
      </c>
    </row>
    <row r="115">
      <c r="A115">
        <f>IFERROR(__xludf.DUMMYFUNCTION("""COMPUTED_VALUE"""),"osh")</f>
        <v/>
      </c>
      <c r="B115">
        <f>IFERROR(__xludf.DUMMYFUNCTION("""COMPUTED_VALUE"""),"【推しの子】")</f>
        <v/>
      </c>
      <c r="C115">
        <f>IFERROR(__xludf.DUMMYFUNCTION("""COMPUTED_VALUE"""),"00102")</f>
        <v/>
      </c>
      <c r="D115">
        <f>IFERROR(__xludf.DUMMYFUNCTION("""COMPUTED_VALUE"""),"chara_osh_00102")</f>
        <v/>
      </c>
      <c r="E115">
        <f>IFERROR(__xludf.DUMMYFUNCTION("""COMPUTED_VALUE"""),"星野 アクア (東京ブレイド編ver.)")</f>
        <v/>
      </c>
      <c r="F115">
        <f>IFERROR(__xludf.DUMMYFUNCTION("""COMPUTED_VALUE"""),"選定中")</f>
        <v/>
      </c>
      <c r="H115">
        <f>IFERROR(__xludf.DUMMYFUNCTION("""COMPUTED_VALUE"""),"SR")</f>
        <v/>
      </c>
      <c r="I115">
        <f>IFERROR(__xludf.DUMMYFUNCTION("""COMPUTED_VALUE"""),"DropSR")</f>
        <v/>
      </c>
      <c r="J115">
        <f>IFERROR(__xludf.DUMMYFUNCTION("""COMPUTED_VALUE"""),"青")</f>
        <v/>
      </c>
      <c r="K115">
        <f>IFERROR(__xludf.DUMMYFUNCTION("""COMPUTED_VALUE"""),"chara")</f>
        <v/>
      </c>
      <c r="L115">
        <f>IFERROR(__xludf.DUMMYFUNCTION("""COMPUTED_VALUE"""),"ディフェンス")</f>
        <v/>
      </c>
    </row>
    <row r="116">
      <c r="A116">
        <f>IFERROR(__xludf.DUMMYFUNCTION("""COMPUTED_VALUE"""),"osh")</f>
        <v/>
      </c>
      <c r="B116">
        <f>IFERROR(__xludf.DUMMYFUNCTION("""COMPUTED_VALUE"""),"【推しの子】")</f>
        <v/>
      </c>
      <c r="C116">
        <f>IFERROR(__xludf.DUMMYFUNCTION("""COMPUTED_VALUE"""),"00201")</f>
        <v/>
      </c>
      <c r="D116">
        <f>IFERROR(__xludf.DUMMYFUNCTION("""COMPUTED_VALUE"""),"chara_osh_00201")</f>
        <v/>
      </c>
      <c r="E116">
        <f>IFERROR(__xludf.DUMMYFUNCTION("""COMPUTED_VALUE"""),"星野 ルビー")</f>
        <v/>
      </c>
      <c r="F116">
        <f>IFERROR(__xludf.DUMMYFUNCTION("""COMPUTED_VALUE"""),"星野 ルビー")</f>
        <v/>
      </c>
      <c r="G116">
        <f>IFERROR(__xludf.DUMMYFUNCTION("""COMPUTED_VALUE"""),"憧れのアイドルへ!!")</f>
        <v/>
      </c>
      <c r="H116">
        <f>IFERROR(__xludf.DUMMYFUNCTION("""COMPUTED_VALUE"""),"SSR")</f>
        <v/>
      </c>
      <c r="I116">
        <f>IFERROR(__xludf.DUMMYFUNCTION("""COMPUTED_VALUE"""),"PremiumSSR")</f>
        <v/>
      </c>
      <c r="J116">
        <f>IFERROR(__xludf.DUMMYFUNCTION("""COMPUTED_VALUE"""),"赤")</f>
        <v/>
      </c>
      <c r="K116">
        <f>IFERROR(__xludf.DUMMYFUNCTION("""COMPUTED_VALUE"""),"chara")</f>
        <v/>
      </c>
      <c r="L116">
        <f>IFERROR(__xludf.DUMMYFUNCTION("""COMPUTED_VALUE"""),"アタック")</f>
        <v/>
      </c>
      <c r="M116">
        <f>IFERROR(__xludf.DUMMYFUNCTION("""COMPUTED_VALUE"""),"dageki_2")</f>
        <v/>
      </c>
      <c r="N116">
        <f>IFERROR(__xludf.DUMMYFUNCTION("""COMPUTED_VALUE"""),"Short")</f>
        <v/>
      </c>
      <c r="O116">
        <f>IFERROR(__xludf.DUMMYFUNCTION("""COMPUTED_VALUE"""),"-")</f>
        <v/>
      </c>
      <c r="Q116">
        <f>IFERROR(__xludf.DUMMYFUNCTION("""COMPUTED_VALUE"""),"1.37")</f>
        <v/>
      </c>
      <c r="R116">
        <f>IFERROR(__xludf.DUMMYFUNCTION("""COMPUTED_VALUE"""),"stop有:1回目 0.30
stop有:2回目 0.60")</f>
        <v/>
      </c>
      <c r="S116">
        <f>IFERROR(__xludf.DUMMYFUNCTION("""COMPUTED_VALUE"""),"3.00")</f>
        <v/>
      </c>
      <c r="T116">
        <f>IFERROR(__xludf.DUMMYFUNCTION("""COMPUTED_VALUE"""),"stop無:1回目 1.66")</f>
        <v/>
      </c>
      <c r="U116">
        <f>IFERROR(__xludf.DUMMYFUNCTION("""COMPUTED_VALUE"""),46023.0)</f>
        <v/>
      </c>
      <c r="V116">
        <f>IFERROR(__xludf.DUMMYFUNCTION("""COMPUTED_VALUE"""),390812.49998842593)</f>
        <v/>
      </c>
      <c r="W116">
        <f>IFERROR(__xludf.DUMMYFUNCTION("""COMPUTED_VALUE"""),"catchcopy_character_chara_osh_00201.png")</f>
        <v/>
      </c>
      <c r="X116">
        <f>IFERROR(__xludf.DUMMYFUNCTION("""COMPUTED_VALUE"""),"enemy_icon_chara_osh_00201")</f>
        <v/>
      </c>
      <c r="Y116">
        <f>IFERROR(__xludf.DUMMYFUNCTION("""COMPUTED_VALUE"""),"boss_icon_chara_osh_00201")</f>
        <v/>
      </c>
    </row>
    <row r="117">
      <c r="A117">
        <f>IFERROR(__xludf.DUMMYFUNCTION("""COMPUTED_VALUE"""),"osh")</f>
        <v/>
      </c>
      <c r="B117">
        <f>IFERROR(__xludf.DUMMYFUNCTION("""COMPUTED_VALUE"""),"【推しの子】")</f>
        <v/>
      </c>
      <c r="C117">
        <f>IFERROR(__xludf.DUMMYFUNCTION("""COMPUTED_VALUE"""),"00202")</f>
        <v/>
      </c>
      <c r="D117">
        <f>IFERROR(__xludf.DUMMYFUNCTION("""COMPUTED_VALUE"""),"chara_osh_00202")</f>
        <v/>
      </c>
      <c r="E117">
        <f>IFERROR(__xludf.DUMMYFUNCTION("""COMPUTED_VALUE"""),"星野 ルビー（闇堕ち演技ver）")</f>
        <v/>
      </c>
      <c r="F117">
        <f>IFERROR(__xludf.DUMMYFUNCTION("""COMPUTED_VALUE"""),"選定中")</f>
        <v/>
      </c>
      <c r="H117">
        <f>IFERROR(__xludf.DUMMYFUNCTION("""COMPUTED_VALUE"""),"SR")</f>
        <v/>
      </c>
      <c r="I117">
        <f>IFERROR(__xludf.DUMMYFUNCTION("""COMPUTED_VALUE"""),"DropSR")</f>
        <v/>
      </c>
      <c r="J117">
        <f>IFERROR(__xludf.DUMMYFUNCTION("""COMPUTED_VALUE"""),"無")</f>
        <v/>
      </c>
      <c r="K117">
        <f>IFERROR(__xludf.DUMMYFUNCTION("""COMPUTED_VALUE"""),"chara")</f>
        <v/>
      </c>
      <c r="L117">
        <f>IFERROR(__xludf.DUMMYFUNCTION("""COMPUTED_VALUE"""),"スペシャル")</f>
        <v/>
      </c>
    </row>
    <row r="118">
      <c r="A118">
        <f>IFERROR(__xludf.DUMMYFUNCTION("""COMPUTED_VALUE"""),"osh")</f>
        <v/>
      </c>
      <c r="B118">
        <f>IFERROR(__xludf.DUMMYFUNCTION("""COMPUTED_VALUE"""),"【推しの子】")</f>
        <v/>
      </c>
      <c r="C118">
        <f>IFERROR(__xludf.DUMMYFUNCTION("""COMPUTED_VALUE"""),"00301")</f>
        <v/>
      </c>
      <c r="D118">
        <f>IFERROR(__xludf.DUMMYFUNCTION("""COMPUTED_VALUE"""),"chara_osh_00301")</f>
        <v/>
      </c>
      <c r="E118">
        <f>IFERROR(__xludf.DUMMYFUNCTION("""COMPUTED_VALUE"""),"MEMちょ")</f>
        <v/>
      </c>
      <c r="F118">
        <f>IFERROR(__xludf.DUMMYFUNCTION("""COMPUTED_VALUE"""),"MEMちょ")</f>
        <v/>
      </c>
      <c r="G118">
        <f>IFERROR(__xludf.DUMMYFUNCTION("""COMPUTED_VALUE"""),"バズらせのプロ")</f>
        <v/>
      </c>
      <c r="H118">
        <f>IFERROR(__xludf.DUMMYFUNCTION("""COMPUTED_VALUE"""),"SSR")</f>
        <v/>
      </c>
      <c r="I118">
        <f>IFERROR(__xludf.DUMMYFUNCTION("""COMPUTED_VALUE"""),"PremiumSSR")</f>
        <v/>
      </c>
      <c r="J118">
        <f>IFERROR(__xludf.DUMMYFUNCTION("""COMPUTED_VALUE"""),"黄")</f>
        <v/>
      </c>
      <c r="K118">
        <f>IFERROR(__xludf.DUMMYFUNCTION("""COMPUTED_VALUE"""),"chara")</f>
        <v/>
      </c>
      <c r="L118">
        <f>IFERROR(__xludf.DUMMYFUNCTION("""COMPUTED_VALUE"""),"サポート")</f>
        <v/>
      </c>
      <c r="M118">
        <f>IFERROR(__xludf.DUMMYFUNCTION("""COMPUTED_VALUE"""),"dageki_1")</f>
        <v/>
      </c>
      <c r="N118">
        <f>IFERROR(__xludf.DUMMYFUNCTION("""COMPUTED_VALUE"""),"Short")</f>
        <v/>
      </c>
      <c r="O118">
        <f>IFERROR(__xludf.DUMMYFUNCTION("""COMPUTED_VALUE"""),"-")</f>
        <v/>
      </c>
      <c r="Q118">
        <f>IFERROR(__xludf.DUMMYFUNCTION("""COMPUTED_VALUE"""),"1.13")</f>
        <v/>
      </c>
      <c r="R118">
        <f>IFERROR(__xludf.DUMMYFUNCTION("""COMPUTED_VALUE"""),"stop無:1回目 0.18
stop無:1回目 0.35
stop無:1回目 0.52")</f>
        <v/>
      </c>
      <c r="S118">
        <f>IFERROR(__xludf.DUMMYFUNCTION("""COMPUTED_VALUE"""),"3.33")</f>
        <v/>
      </c>
      <c r="T118">
        <f>IFERROR(__xludf.DUMMYFUNCTION("""COMPUTED_VALUE"""),"stop無:1回目 1.78")</f>
        <v/>
      </c>
      <c r="U118">
        <f>IFERROR(__xludf.DUMMYFUNCTION("""COMPUTED_VALUE"""),46023.0)</f>
        <v/>
      </c>
      <c r="V118">
        <f>IFERROR(__xludf.DUMMYFUNCTION("""COMPUTED_VALUE"""),390812.49998842593)</f>
        <v/>
      </c>
      <c r="W118">
        <f>IFERROR(__xludf.DUMMYFUNCTION("""COMPUTED_VALUE"""),"catchcopy_character_chara_osh_00301.png")</f>
        <v/>
      </c>
      <c r="X118">
        <f>IFERROR(__xludf.DUMMYFUNCTION("""COMPUTED_VALUE"""),"enemy_icon_chara_osh_00301")</f>
        <v/>
      </c>
      <c r="Y118">
        <f>IFERROR(__xludf.DUMMYFUNCTION("""COMPUTED_VALUE"""),"boss_icon_chara_osh_00301")</f>
        <v/>
      </c>
    </row>
    <row r="119">
      <c r="A119">
        <f>IFERROR(__xludf.DUMMYFUNCTION("""COMPUTED_VALUE"""),"osh")</f>
        <v/>
      </c>
      <c r="B119">
        <f>IFERROR(__xludf.DUMMYFUNCTION("""COMPUTED_VALUE"""),"【推しの子】")</f>
        <v/>
      </c>
      <c r="C119">
        <f>IFERROR(__xludf.DUMMYFUNCTION("""COMPUTED_VALUE"""),"00401")</f>
        <v/>
      </c>
      <c r="D119">
        <f>IFERROR(__xludf.DUMMYFUNCTION("""COMPUTED_VALUE"""),"chara_osh_00401")</f>
        <v/>
      </c>
      <c r="E119">
        <f>IFERROR(__xludf.DUMMYFUNCTION("""COMPUTED_VALUE"""),"有馬 かな")</f>
        <v/>
      </c>
      <c r="F119">
        <f>IFERROR(__xludf.DUMMYFUNCTION("""COMPUTED_VALUE"""),"有馬 かな")</f>
        <v/>
      </c>
      <c r="G119">
        <f>IFERROR(__xludf.DUMMYFUNCTION("""COMPUTED_VALUE"""),"光はあるから")</f>
        <v/>
      </c>
      <c r="H119">
        <f>IFERROR(__xludf.DUMMYFUNCTION("""COMPUTED_VALUE"""),"SSR")</f>
        <v/>
      </c>
      <c r="I119">
        <f>IFERROR(__xludf.DUMMYFUNCTION("""COMPUTED_VALUE"""),"PremiumSSR")</f>
        <v/>
      </c>
      <c r="J119">
        <f>IFERROR(__xludf.DUMMYFUNCTION("""COMPUTED_VALUE"""),"緑")</f>
        <v/>
      </c>
      <c r="K119">
        <f>IFERROR(__xludf.DUMMYFUNCTION("""COMPUTED_VALUE"""),"chara")</f>
        <v/>
      </c>
      <c r="L119">
        <f>IFERROR(__xludf.DUMMYFUNCTION("""COMPUTED_VALUE"""),"テクニカル")</f>
        <v/>
      </c>
      <c r="M119">
        <f>IFERROR(__xludf.DUMMYFUNCTION("""COMPUTED_VALUE"""),"dageki_2")</f>
        <v/>
      </c>
      <c r="N119">
        <f>IFERROR(__xludf.DUMMYFUNCTION("""COMPUTED_VALUE"""),"Short")</f>
        <v/>
      </c>
      <c r="O119">
        <f>IFERROR(__xludf.DUMMYFUNCTION("""COMPUTED_VALUE"""),"dageki_2")</f>
        <v/>
      </c>
      <c r="Q119">
        <f>IFERROR(__xludf.DUMMYFUNCTION("""COMPUTED_VALUE"""),"1.17")</f>
        <v/>
      </c>
      <c r="R119">
        <f>IFERROR(__xludf.DUMMYFUNCTION("""COMPUTED_VALUE"""),"0.5")</f>
        <v/>
      </c>
      <c r="S119">
        <f>IFERROR(__xludf.DUMMYFUNCTION("""COMPUTED_VALUE"""),"2.47")</f>
        <v/>
      </c>
      <c r="T119">
        <f>IFERROR(__xludf.DUMMYFUNCTION("""COMPUTED_VALUE"""),"stop無:1回目 1.00")</f>
        <v/>
      </c>
      <c r="U119">
        <f>IFERROR(__xludf.DUMMYFUNCTION("""COMPUTED_VALUE"""),46023.0)</f>
        <v/>
      </c>
      <c r="V119">
        <f>IFERROR(__xludf.DUMMYFUNCTION("""COMPUTED_VALUE"""),390812.49998842593)</f>
        <v/>
      </c>
      <c r="W119">
        <f>IFERROR(__xludf.DUMMYFUNCTION("""COMPUTED_VALUE"""),"catchcopy_character_chara_osh_00401.png")</f>
        <v/>
      </c>
      <c r="X119">
        <f>IFERROR(__xludf.DUMMYFUNCTION("""COMPUTED_VALUE"""),"enemy_icon_chara_osh_00401")</f>
        <v/>
      </c>
      <c r="Y119">
        <f>IFERROR(__xludf.DUMMYFUNCTION("""COMPUTED_VALUE"""),"boss_icon_chara_osh_00401")</f>
        <v/>
      </c>
    </row>
    <row r="120">
      <c r="A120">
        <f>IFERROR(__xludf.DUMMYFUNCTION("""COMPUTED_VALUE"""),"osh")</f>
        <v/>
      </c>
      <c r="B120">
        <f>IFERROR(__xludf.DUMMYFUNCTION("""COMPUTED_VALUE"""),"【推しの子】")</f>
        <v/>
      </c>
      <c r="C120">
        <f>IFERROR(__xludf.DUMMYFUNCTION("""COMPUTED_VALUE"""),"00402")</f>
        <v/>
      </c>
      <c r="D120">
        <f>IFERROR(__xludf.DUMMYFUNCTION("""COMPUTED_VALUE"""),"chara_osh_00402")</f>
        <v/>
      </c>
      <c r="E120">
        <f>IFERROR(__xludf.DUMMYFUNCTION("""COMPUTED_VALUE"""),"有馬 かな (東京ブレイド編ver.)")</f>
        <v/>
      </c>
      <c r="F120">
        <f>IFERROR(__xludf.DUMMYFUNCTION("""COMPUTED_VALUE"""),"選定中")</f>
        <v/>
      </c>
      <c r="H120">
        <f>IFERROR(__xludf.DUMMYFUNCTION("""COMPUTED_VALUE"""),"UR")</f>
        <v/>
      </c>
      <c r="I120">
        <f>IFERROR(__xludf.DUMMYFUNCTION("""COMPUTED_VALUE"""),"PremiumUR")</f>
        <v/>
      </c>
      <c r="J120">
        <f>IFERROR(__xludf.DUMMYFUNCTION("""COMPUTED_VALUE"""),"青")</f>
        <v/>
      </c>
      <c r="K120">
        <f>IFERROR(__xludf.DUMMYFUNCTION("""COMPUTED_VALUE"""),"chara")</f>
        <v/>
      </c>
      <c r="L120">
        <f>IFERROR(__xludf.DUMMYFUNCTION("""COMPUTED_VALUE"""),"アタック")</f>
        <v/>
      </c>
    </row>
    <row r="121">
      <c r="A121">
        <f>IFERROR(__xludf.DUMMYFUNCTION("""COMPUTED_VALUE"""),"osh")</f>
        <v/>
      </c>
      <c r="B121">
        <f>IFERROR(__xludf.DUMMYFUNCTION("""COMPUTED_VALUE"""),"【推しの子】")</f>
        <v/>
      </c>
      <c r="C121">
        <f>IFERROR(__xludf.DUMMYFUNCTION("""COMPUTED_VALUE"""),"00501")</f>
        <v/>
      </c>
      <c r="D121">
        <f>IFERROR(__xludf.DUMMYFUNCTION("""COMPUTED_VALUE"""),"chara_osh_00501")</f>
        <v/>
      </c>
      <c r="E121">
        <f>IFERROR(__xludf.DUMMYFUNCTION("""COMPUTED_VALUE"""),"黒川 あかね")</f>
        <v/>
      </c>
      <c r="F121">
        <f>IFERROR(__xludf.DUMMYFUNCTION("""COMPUTED_VALUE"""),"黒川 あかね")</f>
        <v/>
      </c>
      <c r="G121">
        <f>IFERROR(__xludf.DUMMYFUNCTION("""COMPUTED_VALUE"""),"あっ　もうカメラ回ってる？")</f>
        <v/>
      </c>
      <c r="H121">
        <f>IFERROR(__xludf.DUMMYFUNCTION("""COMPUTED_VALUE"""),"SSR")</f>
        <v/>
      </c>
      <c r="I121">
        <f>IFERROR(__xludf.DUMMYFUNCTION("""COMPUTED_VALUE"""),"PremiumSSR")</f>
        <v/>
      </c>
      <c r="J121">
        <f>IFERROR(__xludf.DUMMYFUNCTION("""COMPUTED_VALUE"""),"青")</f>
        <v/>
      </c>
      <c r="K121">
        <f>IFERROR(__xludf.DUMMYFUNCTION("""COMPUTED_VALUE"""),"chara")</f>
        <v/>
      </c>
      <c r="L121">
        <f>IFERROR(__xludf.DUMMYFUNCTION("""COMPUTED_VALUE"""),"テクニカル")</f>
        <v/>
      </c>
      <c r="M121">
        <f>IFERROR(__xludf.DUMMYFUNCTION("""COMPUTED_VALUE"""),"dageki_1")</f>
        <v/>
      </c>
      <c r="N121">
        <f>IFERROR(__xludf.DUMMYFUNCTION("""COMPUTED_VALUE"""),"Short")</f>
        <v/>
      </c>
      <c r="O121">
        <f>IFERROR(__xludf.DUMMYFUNCTION("""COMPUTED_VALUE"""),"dageki_1")</f>
        <v/>
      </c>
      <c r="Q121">
        <f>IFERROR(__xludf.DUMMYFUNCTION("""COMPUTED_VALUE"""),"1.06")</f>
        <v/>
      </c>
      <c r="R121">
        <f>IFERROR(__xludf.DUMMYFUNCTION("""COMPUTED_VALUE"""),"0.3")</f>
        <v/>
      </c>
      <c r="S121">
        <f>IFERROR(__xludf.DUMMYFUNCTION("""COMPUTED_VALUE"""),"2.67")</f>
        <v/>
      </c>
      <c r="T121">
        <f>IFERROR(__xludf.DUMMYFUNCTION("""COMPUTED_VALUE"""),"1.78")</f>
        <v/>
      </c>
      <c r="U121">
        <f>IFERROR(__xludf.DUMMYFUNCTION("""COMPUTED_VALUE"""),46023.0)</f>
        <v/>
      </c>
      <c r="V121">
        <f>IFERROR(__xludf.DUMMYFUNCTION("""COMPUTED_VALUE"""),390812.49998842593)</f>
        <v/>
      </c>
      <c r="W121">
        <f>IFERROR(__xludf.DUMMYFUNCTION("""COMPUTED_VALUE"""),"catchcopy_character_chara_osh_00501.png")</f>
        <v/>
      </c>
      <c r="X121">
        <f>IFERROR(__xludf.DUMMYFUNCTION("""COMPUTED_VALUE"""),"enemy_icon_chara_osh_00501")</f>
        <v/>
      </c>
      <c r="Y121">
        <f>IFERROR(__xludf.DUMMYFUNCTION("""COMPUTED_VALUE"""),"boss_icon_chara_osh_00501")</f>
        <v/>
      </c>
    </row>
    <row r="122">
      <c r="A122">
        <f>IFERROR(__xludf.DUMMYFUNCTION("""COMPUTED_VALUE"""),"osh")</f>
        <v/>
      </c>
      <c r="B122">
        <f>IFERROR(__xludf.DUMMYFUNCTION("""COMPUTED_VALUE"""),"【推しの子】")</f>
        <v/>
      </c>
      <c r="C122">
        <f>IFERROR(__xludf.DUMMYFUNCTION("""COMPUTED_VALUE"""),"00502")</f>
        <v/>
      </c>
      <c r="D122">
        <f>IFERROR(__xludf.DUMMYFUNCTION("""COMPUTED_VALUE"""),"chara_osh_00502")</f>
        <v/>
      </c>
      <c r="E122">
        <f>IFERROR(__xludf.DUMMYFUNCTION("""COMPUTED_VALUE"""),"黒川 あかね (東京ブレイド編ver.)")</f>
        <v/>
      </c>
      <c r="F122">
        <f>IFERROR(__xludf.DUMMYFUNCTION("""COMPUTED_VALUE"""),"選定中")</f>
        <v/>
      </c>
      <c r="H122">
        <f>IFERROR(__xludf.DUMMYFUNCTION("""COMPUTED_VALUE"""),"UR")</f>
        <v/>
      </c>
      <c r="I122">
        <f>IFERROR(__xludf.DUMMYFUNCTION("""COMPUTED_VALUE"""),"PremiumUR")</f>
        <v/>
      </c>
      <c r="J122">
        <f>IFERROR(__xludf.DUMMYFUNCTION("""COMPUTED_VALUE"""),"黄")</f>
        <v/>
      </c>
      <c r="K122">
        <f>IFERROR(__xludf.DUMMYFUNCTION("""COMPUTED_VALUE"""),"chara")</f>
        <v/>
      </c>
      <c r="L122">
        <f>IFERROR(__xludf.DUMMYFUNCTION("""COMPUTED_VALUE"""),"サポート")</f>
        <v/>
      </c>
    </row>
    <row r="123">
      <c r="A123">
        <f>IFERROR(__xludf.DUMMYFUNCTION("""COMPUTED_VALUE"""),"osh")</f>
        <v/>
      </c>
      <c r="B123">
        <f>IFERROR(__xludf.DUMMYFUNCTION("""COMPUTED_VALUE"""),"【推しの子】")</f>
        <v/>
      </c>
      <c r="C123">
        <f>IFERROR(__xludf.DUMMYFUNCTION("""COMPUTED_VALUE"""),"00601")</f>
        <v/>
      </c>
      <c r="D123">
        <f>IFERROR(__xludf.DUMMYFUNCTION("""COMPUTED_VALUE"""),"chara_osh_00601")</f>
        <v/>
      </c>
      <c r="E123">
        <f>IFERROR(__xludf.DUMMYFUNCTION("""COMPUTED_VALUE"""),"ぴえヨン")</f>
        <v/>
      </c>
      <c r="F123">
        <f>IFERROR(__xludf.DUMMYFUNCTION("""COMPUTED_VALUE"""),"ぴえヨン")</f>
        <v/>
      </c>
      <c r="G123">
        <f>IFERROR(__xludf.DUMMYFUNCTION("""COMPUTED_VALUE"""),"ぴえヨンブートダンス")</f>
        <v/>
      </c>
      <c r="H123">
        <f>IFERROR(__xludf.DUMMYFUNCTION("""COMPUTED_VALUE"""),"SR")</f>
        <v/>
      </c>
      <c r="I123">
        <f>IFERROR(__xludf.DUMMYFUNCTION("""COMPUTED_VALUE"""),"DropSR")</f>
        <v/>
      </c>
      <c r="J123">
        <f>IFERROR(__xludf.DUMMYFUNCTION("""COMPUTED_VALUE"""),"緑")</f>
        <v/>
      </c>
      <c r="K123">
        <f>IFERROR(__xludf.DUMMYFUNCTION("""COMPUTED_VALUE"""),"chara")</f>
        <v/>
      </c>
      <c r="L123">
        <f>IFERROR(__xludf.DUMMYFUNCTION("""COMPUTED_VALUE"""),"ディフェンス")</f>
        <v/>
      </c>
      <c r="M123">
        <f>IFERROR(__xludf.DUMMYFUNCTION("""COMPUTED_VALUE"""),"dageki_1")</f>
        <v/>
      </c>
      <c r="N123">
        <f>IFERROR(__xludf.DUMMYFUNCTION("""COMPUTED_VALUE"""),"Short")</f>
        <v/>
      </c>
      <c r="O123">
        <f>IFERROR(__xludf.DUMMYFUNCTION("""COMPUTED_VALUE"""),"dageki_2")</f>
        <v/>
      </c>
      <c r="Q123">
        <f>IFERROR(__xludf.DUMMYFUNCTION("""COMPUTED_VALUE"""),"1.10")</f>
        <v/>
      </c>
      <c r="R123">
        <f>IFERROR(__xludf.DUMMYFUNCTION("""COMPUTED_VALUE"""),"stop無:1回目 0.28
stop無:2回目 0.70")</f>
        <v/>
      </c>
      <c r="S123">
        <f>IFERROR(__xludf.DUMMYFUNCTION("""COMPUTED_VALUE"""),"1.90")</f>
        <v/>
      </c>
      <c r="T123">
        <f>IFERROR(__xludf.DUMMYFUNCTION("""COMPUTED_VALUE"""),"stop無:1回目 0.50
stop無:2回目 0.83
stop無:3回目 1.16
stop無:4回目 1.50")</f>
        <v/>
      </c>
      <c r="U123">
        <f>IFERROR(__xludf.DUMMYFUNCTION("""COMPUTED_VALUE"""),46023.0)</f>
        <v/>
      </c>
      <c r="V123">
        <f>IFERROR(__xludf.DUMMYFUNCTION("""COMPUTED_VALUE"""),390812.49998842593)</f>
        <v/>
      </c>
      <c r="W123">
        <f>IFERROR(__xludf.DUMMYFUNCTION("""COMPUTED_VALUE"""),"catchcopy_character_chara_osh_00601.png")</f>
        <v/>
      </c>
      <c r="X123">
        <f>IFERROR(__xludf.DUMMYFUNCTION("""COMPUTED_VALUE"""),"enemy_icon_chara_osh_00601")</f>
        <v/>
      </c>
      <c r="Y123">
        <f>IFERROR(__xludf.DUMMYFUNCTION("""COMPUTED_VALUE"""),"boss_icon_chara_osh_00601")</f>
        <v/>
      </c>
    </row>
    <row r="124">
      <c r="A124">
        <f>IFERROR(__xludf.DUMMYFUNCTION("""COMPUTED_VALUE"""),"osh")</f>
        <v/>
      </c>
      <c r="B124">
        <f>IFERROR(__xludf.DUMMYFUNCTION("""COMPUTED_VALUE"""),"【推しの子】")</f>
        <v/>
      </c>
      <c r="C124">
        <f>IFERROR(__xludf.DUMMYFUNCTION("""COMPUTED_VALUE"""),"00701")</f>
        <v/>
      </c>
      <c r="D124">
        <f>IFERROR(__xludf.DUMMYFUNCTION("""COMPUTED_VALUE"""),"chara_osh_00701")</f>
        <v/>
      </c>
      <c r="E124">
        <f>IFERROR(__xludf.DUMMYFUNCTION("""COMPUTED_VALUE"""),"雨宮 吾郎")</f>
        <v/>
      </c>
      <c r="F124">
        <f>IFERROR(__xludf.DUMMYFUNCTION("""COMPUTED_VALUE"""),"雨宮 吾郎")</f>
        <v/>
      </c>
      <c r="G124">
        <f>IFERROR(__xludf.DUMMYFUNCTION("""COMPUTED_VALUE"""),"君の奴隷(ファン)だ")</f>
        <v/>
      </c>
      <c r="H124">
        <f>IFERROR(__xludf.DUMMYFUNCTION("""COMPUTED_VALUE"""),"SR")</f>
        <v/>
      </c>
      <c r="I124">
        <f>IFERROR(__xludf.DUMMYFUNCTION("""COMPUTED_VALUE"""),"DropSR")</f>
        <v/>
      </c>
      <c r="J124">
        <f>IFERROR(__xludf.DUMMYFUNCTION("""COMPUTED_VALUE"""),"無")</f>
        <v/>
      </c>
      <c r="K124">
        <f>IFERROR(__xludf.DUMMYFUNCTION("""COMPUTED_VALUE"""),"chara")</f>
        <v/>
      </c>
      <c r="L124">
        <f>IFERROR(__xludf.DUMMYFUNCTION("""COMPUTED_VALUE"""),"スペシャル")</f>
        <v/>
      </c>
      <c r="M124">
        <f>IFERROR(__xludf.DUMMYFUNCTION("""COMPUTED_VALUE"""),"-")</f>
        <v/>
      </c>
      <c r="Q124">
        <f>IFERROR(__xludf.DUMMYFUNCTION("""COMPUTED_VALUE"""),"-")</f>
        <v/>
      </c>
      <c r="R124">
        <f>IFERROR(__xludf.DUMMYFUNCTION("""COMPUTED_VALUE"""),"-")</f>
        <v/>
      </c>
      <c r="S124">
        <f>IFERROR(__xludf.DUMMYFUNCTION("""COMPUTED_VALUE"""),"2.14")</f>
        <v/>
      </c>
      <c r="T124">
        <f>IFERROR(__xludf.DUMMYFUNCTION("""COMPUTED_VALUE"""),"stop無:0.6")</f>
        <v/>
      </c>
      <c r="U124">
        <f>IFERROR(__xludf.DUMMYFUNCTION("""COMPUTED_VALUE"""),46023.0)</f>
        <v/>
      </c>
      <c r="V124">
        <f>IFERROR(__xludf.DUMMYFUNCTION("""COMPUTED_VALUE"""),390812.49998842593)</f>
        <v/>
      </c>
      <c r="W124">
        <f>IFERROR(__xludf.DUMMYFUNCTION("""COMPUTED_VALUE"""),"catchcopy_character_chara_osh_00701.png")</f>
        <v/>
      </c>
      <c r="X124">
        <f>IFERROR(__xludf.DUMMYFUNCTION("""COMPUTED_VALUE"""),"enemy_icon_chara_osh_00701")</f>
        <v/>
      </c>
      <c r="Y124">
        <f>IFERROR(__xludf.DUMMYFUNCTION("""COMPUTED_VALUE"""),"boss_icon_chara_osh_00701")</f>
        <v/>
      </c>
    </row>
    <row r="125">
      <c r="A125">
        <f>IFERROR(__xludf.DUMMYFUNCTION("""COMPUTED_VALUE"""),"osh")</f>
        <v/>
      </c>
      <c r="B125">
        <f>IFERROR(__xludf.DUMMYFUNCTION("""COMPUTED_VALUE"""),"【推しの子】")</f>
        <v/>
      </c>
      <c r="C125">
        <f>IFERROR(__xludf.DUMMYFUNCTION("""COMPUTED_VALUE"""),"00801")</f>
        <v/>
      </c>
      <c r="D125">
        <f>IFERROR(__xludf.DUMMYFUNCTION("""COMPUTED_VALUE"""),"chara_osh_00801")</f>
        <v/>
      </c>
      <c r="E125">
        <f>IFERROR(__xludf.DUMMYFUNCTION("""COMPUTED_VALUE"""),"斉藤 ミヤコ")</f>
        <v/>
      </c>
      <c r="F125">
        <f>IFERROR(__xludf.DUMMYFUNCTION("""COMPUTED_VALUE"""),"斉藤 ミヤコ")</f>
        <v/>
      </c>
      <c r="G125">
        <f>IFERROR(__xludf.DUMMYFUNCTION("""COMPUTED_VALUE"""),"推さない 駆けない 喋らない！")</f>
        <v/>
      </c>
      <c r="H125">
        <f>IFERROR(__xludf.DUMMYFUNCTION("""COMPUTED_VALUE"""),"SSR")</f>
        <v/>
      </c>
      <c r="I125">
        <f>IFERROR(__xludf.DUMMYFUNCTION("""COMPUTED_VALUE"""),"PremiumSSR")</f>
        <v/>
      </c>
      <c r="J125">
        <f>IFERROR(__xludf.DUMMYFUNCTION("""COMPUTED_VALUE"""),"無")</f>
        <v/>
      </c>
      <c r="K125">
        <f>IFERROR(__xludf.DUMMYFUNCTION("""COMPUTED_VALUE"""),"chara")</f>
        <v/>
      </c>
      <c r="L125">
        <f>IFERROR(__xludf.DUMMYFUNCTION("""COMPUTED_VALUE"""),"スペシャル")</f>
        <v/>
      </c>
      <c r="M125">
        <f>IFERROR(__xludf.DUMMYFUNCTION("""COMPUTED_VALUE"""),"-")</f>
        <v/>
      </c>
      <c r="Q125">
        <f>IFERROR(__xludf.DUMMYFUNCTION("""COMPUTED_VALUE"""),"-")</f>
        <v/>
      </c>
      <c r="R125">
        <f>IFERROR(__xludf.DUMMYFUNCTION("""COMPUTED_VALUE"""),"-")</f>
        <v/>
      </c>
      <c r="S125">
        <f>IFERROR(__xludf.DUMMYFUNCTION("""COMPUTED_VALUE"""),"3")</f>
        <v/>
      </c>
      <c r="T125">
        <f>IFERROR(__xludf.DUMMYFUNCTION("""COMPUTED_VALUE"""),"stop無 : 0.66")</f>
        <v/>
      </c>
      <c r="U125">
        <f>IFERROR(__xludf.DUMMYFUNCTION("""COMPUTED_VALUE"""),"ハーフアニバ想定")</f>
        <v/>
      </c>
      <c r="V125">
        <f>IFERROR(__xludf.DUMMYFUNCTION("""COMPUTED_VALUE"""),390812.49998842593)</f>
        <v/>
      </c>
      <c r="W125">
        <f>IFERROR(__xludf.DUMMYFUNCTION("""COMPUTED_VALUE"""),"catchcopy_character_chara_osh_00801.png")</f>
        <v/>
      </c>
      <c r="X125">
        <f>IFERROR(__xludf.DUMMYFUNCTION("""COMPUTED_VALUE"""),"enemy_icon_chara_osh_00801")</f>
        <v/>
      </c>
      <c r="Y125">
        <f>IFERROR(__xludf.DUMMYFUNCTION("""COMPUTED_VALUE"""),"boss_icon_chara_osh_00801")</f>
        <v/>
      </c>
    </row>
    <row r="126">
      <c r="A126">
        <f>IFERROR(__xludf.DUMMYFUNCTION("""COMPUTED_VALUE"""),"you")</f>
        <v/>
      </c>
      <c r="B126">
        <f>IFERROR(__xludf.DUMMYFUNCTION("""COMPUTED_VALUE"""),"幼稚園WARS")</f>
        <v/>
      </c>
      <c r="C126">
        <f>IFERROR(__xludf.DUMMYFUNCTION("""COMPUTED_VALUE"""),"00001")</f>
        <v/>
      </c>
      <c r="D126">
        <f>IFERROR(__xludf.DUMMYFUNCTION("""COMPUTED_VALUE"""),"chara_you_00001")</f>
        <v/>
      </c>
      <c r="E126">
        <f>IFERROR(__xludf.DUMMYFUNCTION("""COMPUTED_VALUE"""),"リタ")</f>
        <v/>
      </c>
      <c r="F126">
        <f>IFERROR(__xludf.DUMMYFUNCTION("""COMPUTED_VALUE"""),"元殺し屋の新人教諭 リタ")</f>
        <v/>
      </c>
      <c r="G126">
        <f>IFERROR(__xludf.DUMMYFUNCTION("""COMPUTED_VALUE"""),"お遊戯の時間です ")</f>
        <v/>
      </c>
      <c r="H126">
        <f>IFERROR(__xludf.DUMMYFUNCTION("""COMPUTED_VALUE"""),"UR")</f>
        <v/>
      </c>
      <c r="I126">
        <f>IFERROR(__xludf.DUMMYFUNCTION("""COMPUTED_VALUE"""),"PremiumUR")</f>
        <v/>
      </c>
      <c r="J126">
        <f>IFERROR(__xludf.DUMMYFUNCTION("""COMPUTED_VALUE"""),"赤")</f>
        <v/>
      </c>
      <c r="K126">
        <f>IFERROR(__xludf.DUMMYFUNCTION("""COMPUTED_VALUE"""),"chara")</f>
        <v/>
      </c>
      <c r="L126">
        <f>IFERROR(__xludf.DUMMYFUNCTION("""COMPUTED_VALUE"""),"アタック")</f>
        <v/>
      </c>
      <c r="M126">
        <f>IFERROR(__xludf.DUMMYFUNCTION("""COMPUTED_VALUE"""),"dageki_1")</f>
        <v/>
      </c>
      <c r="N126">
        <f>IFERROR(__xludf.DUMMYFUNCTION("""COMPUTED_VALUE"""),"Middle")</f>
        <v/>
      </c>
      <c r="O126">
        <f>IFERROR(__xludf.DUMMYFUNCTION("""COMPUTED_VALUE"""),"shageki_1")</f>
        <v/>
      </c>
      <c r="Q126">
        <f>IFERROR(__xludf.DUMMYFUNCTION("""COMPUTED_VALUE"""),"1.34")</f>
        <v/>
      </c>
      <c r="R126">
        <f>IFERROR(__xludf.DUMMYFUNCTION("""COMPUTED_VALUE"""),"stop有:1回目 0.45")</f>
        <v/>
      </c>
      <c r="S126">
        <f>IFERROR(__xludf.DUMMYFUNCTION("""COMPUTED_VALUE"""),"1.77")</f>
        <v/>
      </c>
      <c r="T126">
        <f>IFERROR(__xludf.DUMMYFUNCTION("""COMPUTED_VALUE"""),"stop無:1回目 0.72
stop無:2回目 0.88
stop有:3回目 1.12")</f>
        <v/>
      </c>
      <c r="U126">
        <f>IFERROR(__xludf.DUMMYFUNCTION("""COMPUTED_VALUE"""),46055.625)</f>
        <v/>
      </c>
      <c r="V126">
        <f>IFERROR(__xludf.DUMMYFUNCTION("""COMPUTED_VALUE"""),390812.49998842593)</f>
        <v/>
      </c>
      <c r="W126">
        <f>IFERROR(__xludf.DUMMYFUNCTION("""COMPUTED_VALUE"""),"catchcopy_character_chara_you_00001.png")</f>
        <v/>
      </c>
      <c r="X126">
        <f>IFERROR(__xludf.DUMMYFUNCTION("""COMPUTED_VALUE"""),"enemy_icon_chara_you_00001")</f>
        <v/>
      </c>
      <c r="Y126">
        <f>IFERROR(__xludf.DUMMYFUNCTION("""COMPUTED_VALUE"""),"boss_icon_chara_you_00001")</f>
        <v/>
      </c>
    </row>
    <row r="127">
      <c r="A127">
        <f>IFERROR(__xludf.DUMMYFUNCTION("""COMPUTED_VALUE"""),"you")</f>
        <v/>
      </c>
      <c r="B127">
        <f>IFERROR(__xludf.DUMMYFUNCTION("""COMPUTED_VALUE"""),"幼稚園WARS")</f>
        <v/>
      </c>
      <c r="C127">
        <f>IFERROR(__xludf.DUMMYFUNCTION("""COMPUTED_VALUE"""),"00002")</f>
        <v/>
      </c>
      <c r="D127">
        <f>IFERROR(__xludf.DUMMYFUNCTION("""COMPUTED_VALUE"""),"chara_you_00002")</f>
        <v/>
      </c>
      <c r="E127">
        <f>IFERROR(__xludf.DUMMYFUNCTION("""COMPUTED_VALUE"""),"リタ（ドレスアップ）")</f>
        <v/>
      </c>
      <c r="F127">
        <f>IFERROR(__xludf.DUMMYFUNCTION("""COMPUTED_VALUE"""),"選定中")</f>
        <v/>
      </c>
      <c r="G127">
        <f>IFERROR(__xludf.DUMMYFUNCTION("""COMPUTED_VALUE"""),"選定中")</f>
        <v/>
      </c>
      <c r="H127">
        <f>IFERROR(__xludf.DUMMYFUNCTION("""COMPUTED_VALUE"""),"SR")</f>
        <v/>
      </c>
      <c r="I127">
        <f>IFERROR(__xludf.DUMMYFUNCTION("""COMPUTED_VALUE"""),"DropSR")</f>
        <v/>
      </c>
      <c r="J127">
        <f>IFERROR(__xludf.DUMMYFUNCTION("""COMPUTED_VALUE"""),"赤")</f>
        <v/>
      </c>
      <c r="K127">
        <f>IFERROR(__xludf.DUMMYFUNCTION("""COMPUTED_VALUE"""),"chara")</f>
        <v/>
      </c>
      <c r="L127">
        <f>IFERROR(__xludf.DUMMYFUNCTION("""COMPUTED_VALUE"""),"アタック")</f>
        <v/>
      </c>
    </row>
    <row r="128">
      <c r="A128">
        <f>IFERROR(__xludf.DUMMYFUNCTION("""COMPUTED_VALUE"""),"you")</f>
        <v/>
      </c>
      <c r="B128">
        <f>IFERROR(__xludf.DUMMYFUNCTION("""COMPUTED_VALUE"""),"幼稚園WARS")</f>
        <v/>
      </c>
      <c r="C128">
        <f>IFERROR(__xludf.DUMMYFUNCTION("""COMPUTED_VALUE"""),"00101")</f>
        <v/>
      </c>
      <c r="D128">
        <f>IFERROR(__xludf.DUMMYFUNCTION("""COMPUTED_VALUE"""),"chara_you_00101")</f>
        <v/>
      </c>
      <c r="E128">
        <f>IFERROR(__xludf.DUMMYFUNCTION("""COMPUTED_VALUE"""),"ルーク")</f>
        <v/>
      </c>
      <c r="F128">
        <f>IFERROR(__xludf.DUMMYFUNCTION("""COMPUTED_VALUE"""),"ルーク")</f>
        <v/>
      </c>
      <c r="G128">
        <f>IFERROR(__xludf.DUMMYFUNCTION("""COMPUTED_VALUE"""),"さよならのお時間だ")</f>
        <v/>
      </c>
      <c r="H128">
        <f>IFERROR(__xludf.DUMMYFUNCTION("""COMPUTED_VALUE"""),"SSR")</f>
        <v/>
      </c>
      <c r="I128">
        <f>IFERROR(__xludf.DUMMYFUNCTION("""COMPUTED_VALUE"""),"PremiumSSR")</f>
        <v/>
      </c>
      <c r="J128">
        <f>IFERROR(__xludf.DUMMYFUNCTION("""COMPUTED_VALUE"""),"黄")</f>
        <v/>
      </c>
      <c r="K128">
        <f>IFERROR(__xludf.DUMMYFUNCTION("""COMPUTED_VALUE"""),"chara")</f>
        <v/>
      </c>
      <c r="L128">
        <f>IFERROR(__xludf.DUMMYFUNCTION("""COMPUTED_VALUE"""),"テクニカル")</f>
        <v/>
      </c>
      <c r="M128">
        <f>IFERROR(__xludf.DUMMYFUNCTION("""COMPUTED_VALUE"""),"dageki_1")</f>
        <v/>
      </c>
      <c r="N128">
        <f>IFERROR(__xludf.DUMMYFUNCTION("""COMPUTED_VALUE"""),"Short")</f>
        <v/>
      </c>
      <c r="O128">
        <f>IFERROR(__xludf.DUMMYFUNCTION("""COMPUTED_VALUE"""),"shageki_1")</f>
        <v/>
      </c>
      <c r="Q128">
        <f>IFERROR(__xludf.DUMMYFUNCTION("""COMPUTED_VALUE"""),"1.64")</f>
        <v/>
      </c>
      <c r="R128">
        <f>IFERROR(__xludf.DUMMYFUNCTION("""COMPUTED_VALUE"""),"stop有:1回目 0.65")</f>
        <v/>
      </c>
      <c r="S128">
        <f>IFERROR(__xludf.DUMMYFUNCTION("""COMPUTED_VALUE"""),"3.57")</f>
        <v/>
      </c>
      <c r="T128">
        <f>IFERROR(__xludf.DUMMYFUNCTION("""COMPUTED_VALUE"""),"stop無:1回目 0.97
stop無:2回目 1.08
stop無:3回目 1.2
stop無:4回目 1.32
stop有:5回目 1.48")</f>
        <v/>
      </c>
      <c r="U128">
        <f>IFERROR(__xludf.DUMMYFUNCTION("""COMPUTED_VALUE"""),46055.625)</f>
        <v/>
      </c>
      <c r="V128">
        <f>IFERROR(__xludf.DUMMYFUNCTION("""COMPUTED_VALUE"""),390812.49998842593)</f>
        <v/>
      </c>
      <c r="W128">
        <f>IFERROR(__xludf.DUMMYFUNCTION("""COMPUTED_VALUE"""),"catchcopy_character_chara_you_00101.png")</f>
        <v/>
      </c>
      <c r="X128">
        <f>IFERROR(__xludf.DUMMYFUNCTION("""COMPUTED_VALUE"""),"enemy_icon_chara_you_00101")</f>
        <v/>
      </c>
      <c r="Y128">
        <f>IFERROR(__xludf.DUMMYFUNCTION("""COMPUTED_VALUE"""),"boss_icon_chara_you_00101")</f>
        <v/>
      </c>
    </row>
    <row r="129">
      <c r="A129">
        <f>IFERROR(__xludf.DUMMYFUNCTION("""COMPUTED_VALUE"""),"you")</f>
        <v/>
      </c>
      <c r="B129">
        <f>IFERROR(__xludf.DUMMYFUNCTION("""COMPUTED_VALUE"""),"幼稚園WARS")</f>
        <v/>
      </c>
      <c r="C129">
        <f>IFERROR(__xludf.DUMMYFUNCTION("""COMPUTED_VALUE"""),"00201")</f>
        <v/>
      </c>
      <c r="D129">
        <f>IFERROR(__xludf.DUMMYFUNCTION("""COMPUTED_VALUE"""),"chara_you_00201")</f>
        <v/>
      </c>
      <c r="E129">
        <f>IFERROR(__xludf.DUMMYFUNCTION("""COMPUTED_VALUE"""),"ダグ")</f>
        <v/>
      </c>
      <c r="F129">
        <f>IFERROR(__xludf.DUMMYFUNCTION("""COMPUTED_VALUE"""),"ダグ")</f>
        <v/>
      </c>
      <c r="G129">
        <f>IFERROR(__xludf.DUMMYFUNCTION("""COMPUTED_VALUE"""),"これで貸しはチャラだ ")</f>
        <v/>
      </c>
      <c r="H129">
        <f>IFERROR(__xludf.DUMMYFUNCTION("""COMPUTED_VALUE"""),"SR")</f>
        <v/>
      </c>
      <c r="I129">
        <f>IFERROR(__xludf.DUMMYFUNCTION("""COMPUTED_VALUE"""),"DropSR")</f>
        <v/>
      </c>
      <c r="J129">
        <f>IFERROR(__xludf.DUMMYFUNCTION("""COMPUTED_VALUE"""),"緑")</f>
        <v/>
      </c>
      <c r="K129">
        <f>IFERROR(__xludf.DUMMYFUNCTION("""COMPUTED_VALUE"""),"chara")</f>
        <v/>
      </c>
      <c r="L129">
        <f>IFERROR(__xludf.DUMMYFUNCTION("""COMPUTED_VALUE"""),"テクニカル")</f>
        <v/>
      </c>
      <c r="M129">
        <f>IFERROR(__xludf.DUMMYFUNCTION("""COMPUTED_VALUE"""),"shageki_1")</f>
        <v/>
      </c>
      <c r="N129">
        <f>IFERROR(__xludf.DUMMYFUNCTION("""COMPUTED_VALUE"""),"Middle")</f>
        <v/>
      </c>
      <c r="O129">
        <f>IFERROR(__xludf.DUMMYFUNCTION("""COMPUTED_VALUE"""),"shageki_1")</f>
        <v/>
      </c>
      <c r="Q129">
        <f>IFERROR(__xludf.DUMMYFUNCTION("""COMPUTED_VALUE"""),"1.67")</f>
        <v/>
      </c>
      <c r="R129">
        <f>IFERROR(__xludf.DUMMYFUNCTION("""COMPUTED_VALUE"""),"stop有:1回目 0.63")</f>
        <v/>
      </c>
      <c r="S129">
        <f>IFERROR(__xludf.DUMMYFUNCTION("""COMPUTED_VALUE"""),"3.17")</f>
        <v/>
      </c>
      <c r="T129">
        <f>IFERROR(__xludf.DUMMYFUNCTION("""COMPUTED_VALUE"""),"stop無:1回目 1.00
stop無:2回目 1.26
stop無:3回目 1.50
stop有:4回目 1.70")</f>
        <v/>
      </c>
      <c r="U129">
        <f>IFERROR(__xludf.DUMMYFUNCTION("""COMPUTED_VALUE"""),46055.625)</f>
        <v/>
      </c>
      <c r="V129">
        <f>IFERROR(__xludf.DUMMYFUNCTION("""COMPUTED_VALUE"""),390812.49998842593)</f>
        <v/>
      </c>
      <c r="W129">
        <f>IFERROR(__xludf.DUMMYFUNCTION("""COMPUTED_VALUE"""),"catchcopy_character_chara_you_00201.png")</f>
        <v/>
      </c>
      <c r="X129">
        <f>IFERROR(__xludf.DUMMYFUNCTION("""COMPUTED_VALUE"""),"enemy_icon_chara_you_00201")</f>
        <v/>
      </c>
      <c r="Y129">
        <f>IFERROR(__xludf.DUMMYFUNCTION("""COMPUTED_VALUE"""),"boss_icon_chara_you_00201")</f>
        <v/>
      </c>
    </row>
    <row r="130">
      <c r="A130">
        <f>IFERROR(__xludf.DUMMYFUNCTION("""COMPUTED_VALUE"""),"you")</f>
        <v/>
      </c>
      <c r="B130">
        <f>IFERROR(__xludf.DUMMYFUNCTION("""COMPUTED_VALUE"""),"幼稚園WARS")</f>
        <v/>
      </c>
      <c r="C130">
        <f>IFERROR(__xludf.DUMMYFUNCTION("""COMPUTED_VALUE"""),"00301")</f>
        <v/>
      </c>
      <c r="D130">
        <f>IFERROR(__xludf.DUMMYFUNCTION("""COMPUTED_VALUE"""),"chara_you_00301")</f>
        <v/>
      </c>
      <c r="E130">
        <f>IFERROR(__xludf.DUMMYFUNCTION("""COMPUTED_VALUE"""),"ハナ")</f>
        <v/>
      </c>
      <c r="F130">
        <f>IFERROR(__xludf.DUMMYFUNCTION("""COMPUTED_VALUE"""),"ハナ")</f>
        <v/>
      </c>
      <c r="G130">
        <f>IFERROR(__xludf.DUMMYFUNCTION("""COMPUTED_VALUE"""),"大丈夫だ")</f>
        <v/>
      </c>
      <c r="H130">
        <f>IFERROR(__xludf.DUMMYFUNCTION("""COMPUTED_VALUE"""),"SR")</f>
        <v/>
      </c>
      <c r="I130">
        <f>IFERROR(__xludf.DUMMYFUNCTION("""COMPUTED_VALUE"""),"DropSR")</f>
        <v/>
      </c>
      <c r="J130">
        <f>IFERROR(__xludf.DUMMYFUNCTION("""COMPUTED_VALUE"""),"青")</f>
        <v/>
      </c>
      <c r="K130">
        <f>IFERROR(__xludf.DUMMYFUNCTION("""COMPUTED_VALUE"""),"chara")</f>
        <v/>
      </c>
      <c r="L130">
        <f>IFERROR(__xludf.DUMMYFUNCTION("""COMPUTED_VALUE"""),"アタック")</f>
        <v/>
      </c>
      <c r="M130">
        <f>IFERROR(__xludf.DUMMYFUNCTION("""COMPUTED_VALUE"""),"dageki_1")</f>
        <v/>
      </c>
      <c r="N130">
        <f>IFERROR(__xludf.DUMMYFUNCTION("""COMPUTED_VALUE"""),"Short")</f>
        <v/>
      </c>
      <c r="O130">
        <f>IFERROR(__xludf.DUMMYFUNCTION("""COMPUTED_VALUE"""),"shageki_1")</f>
        <v/>
      </c>
      <c r="Q130">
        <f>IFERROR(__xludf.DUMMYFUNCTION("""COMPUTED_VALUE"""),"1.77")</f>
        <v/>
      </c>
      <c r="R130">
        <f>IFERROR(__xludf.DUMMYFUNCTION("""COMPUTED_VALUE"""),"stop有:1回目 0.7")</f>
        <v/>
      </c>
      <c r="S130">
        <f>IFERROR(__xludf.DUMMYFUNCTION("""COMPUTED_VALUE"""),"3.67")</f>
        <v/>
      </c>
      <c r="T130">
        <f>IFERROR(__xludf.DUMMYFUNCTION("""COMPUTED_VALUE"""),"stop有 :1回目 2.2")</f>
        <v/>
      </c>
      <c r="U130">
        <f>IFERROR(__xludf.DUMMYFUNCTION("""COMPUTED_VALUE"""),46055.625)</f>
        <v/>
      </c>
      <c r="V130">
        <f>IFERROR(__xludf.DUMMYFUNCTION("""COMPUTED_VALUE"""),390812.49998842593)</f>
        <v/>
      </c>
      <c r="W130">
        <f>IFERROR(__xludf.DUMMYFUNCTION("""COMPUTED_VALUE"""),"catchcopy_character_chara_you_00301.png")</f>
        <v/>
      </c>
      <c r="X130">
        <f>IFERROR(__xludf.DUMMYFUNCTION("""COMPUTED_VALUE"""),"enemy_icon_chara_you_00301")</f>
        <v/>
      </c>
      <c r="Y130">
        <f>IFERROR(__xludf.DUMMYFUNCTION("""COMPUTED_VALUE"""),"boss_icon_chara_you_00301")</f>
        <v/>
      </c>
    </row>
    <row r="131">
      <c r="A131">
        <f>IFERROR(__xludf.DUMMYFUNCTION("""COMPUTED_VALUE"""),"kim")</f>
        <v/>
      </c>
      <c r="B131">
        <f>IFERROR(__xludf.DUMMYFUNCTION("""COMPUTED_VALUE"""),"君のことが大大大大大好きな100人の彼女")</f>
        <v/>
      </c>
      <c r="C131">
        <f>IFERROR(__xludf.DUMMYFUNCTION("""COMPUTED_VALUE"""),"00001")</f>
        <v/>
      </c>
      <c r="D131">
        <f>IFERROR(__xludf.DUMMYFUNCTION("""COMPUTED_VALUE"""),"chara_kim_00001")</f>
        <v/>
      </c>
      <c r="E131">
        <f>IFERROR(__xludf.DUMMYFUNCTION("""COMPUTED_VALUE"""),"花園羽々里")</f>
        <v/>
      </c>
      <c r="F131">
        <f>IFERROR(__xludf.DUMMYFUNCTION("""COMPUTED_VALUE"""),"溢れる母性 花園 羽々里")</f>
        <v/>
      </c>
      <c r="G131">
        <f>IFERROR(__xludf.DUMMYFUNCTION("""COMPUTED_VALUE"""),"私と付き合ってちょうだい!!")</f>
        <v/>
      </c>
      <c r="H131">
        <f>IFERROR(__xludf.DUMMYFUNCTION("""COMPUTED_VALUE"""),"UR")</f>
        <v/>
      </c>
      <c r="I131">
        <f>IFERROR(__xludf.DUMMYFUNCTION("""COMPUTED_VALUE"""),"PremiumUR")</f>
        <v/>
      </c>
      <c r="J131">
        <f>IFERROR(__xludf.DUMMYFUNCTION("""COMPUTED_VALUE"""),"青")</f>
        <v/>
      </c>
      <c r="K131">
        <f>IFERROR(__xludf.DUMMYFUNCTION("""COMPUTED_VALUE"""),"chara")</f>
        <v/>
      </c>
      <c r="L131">
        <f>IFERROR(__xludf.DUMMYFUNCTION("""COMPUTED_VALUE"""),"ディフェンス")</f>
        <v/>
      </c>
      <c r="M131">
        <f>IFERROR(__xludf.DUMMYFUNCTION("""COMPUTED_VALUE"""),"dageki_1")</f>
        <v/>
      </c>
      <c r="O131">
        <f>IFERROR(__xludf.DUMMYFUNCTION("""COMPUTED_VALUE"""),"dageki_1")</f>
        <v/>
      </c>
      <c r="Q131">
        <f>IFERROR(__xludf.DUMMYFUNCTION("""COMPUTED_VALUE"""),"1.3")</f>
        <v/>
      </c>
      <c r="R131">
        <f>IFERROR(__xludf.DUMMYFUNCTION("""COMPUTED_VALUE"""),"stop有:1回目 0.67")</f>
        <v/>
      </c>
      <c r="S131">
        <f>IFERROR(__xludf.DUMMYFUNCTION("""COMPUTED_VALUE"""),"2.5")</f>
        <v/>
      </c>
      <c r="T131">
        <f>IFERROR(__xludf.DUMMYFUNCTION("""COMPUTED_VALUE"""),"stop無:1回目 0.63
stop無:2回目 0.8
stop無:3回目 0.99
stop無:4回目 1.2
stop有:5回目 1.60")</f>
        <v/>
      </c>
      <c r="U131">
        <f>IFERROR(__xludf.DUMMYFUNCTION("""COMPUTED_VALUE"""),"2026/02中旬")</f>
        <v/>
      </c>
      <c r="V131">
        <f>IFERROR(__xludf.DUMMYFUNCTION("""COMPUTED_VALUE"""),390812.49998842593)</f>
        <v/>
      </c>
      <c r="W131">
        <f>IFERROR(__xludf.DUMMYFUNCTION("""COMPUTED_VALUE"""),"catchcopy_character_chara_kim_00001.png")</f>
        <v/>
      </c>
      <c r="X131">
        <f>IFERROR(__xludf.DUMMYFUNCTION("""COMPUTED_VALUE"""),"enemy_icon_chara_kim_00001")</f>
        <v/>
      </c>
      <c r="Y131">
        <f>IFERROR(__xludf.DUMMYFUNCTION("""COMPUTED_VALUE"""),"boss_icon_chara_kim_00001")</f>
        <v/>
      </c>
    </row>
    <row r="132">
      <c r="A132">
        <f>IFERROR(__xludf.DUMMYFUNCTION("""COMPUTED_VALUE"""),"kim")</f>
        <v/>
      </c>
      <c r="B132">
        <f>IFERROR(__xludf.DUMMYFUNCTION("""COMPUTED_VALUE"""),"君のことが大大大大大好きな100人の彼女")</f>
        <v/>
      </c>
      <c r="C132">
        <f>IFERROR(__xludf.DUMMYFUNCTION("""COMPUTED_VALUE"""),"00101")</f>
        <v/>
      </c>
      <c r="D132">
        <f>IFERROR(__xludf.DUMMYFUNCTION("""COMPUTED_VALUE"""),"chara_kim_00101")</f>
        <v/>
      </c>
      <c r="E132">
        <f>IFERROR(__xludf.DUMMYFUNCTION("""COMPUTED_VALUE"""),"花園羽香里")</f>
        <v/>
      </c>
      <c r="F132">
        <f>IFERROR(__xludf.DUMMYFUNCTION("""COMPUTED_VALUE"""),"花園 羽香里")</f>
        <v/>
      </c>
      <c r="G132">
        <f>IFERROR(__xludf.DUMMYFUNCTION("""COMPUTED_VALUE"""),"付き合ってください……！")</f>
        <v/>
      </c>
      <c r="H132">
        <f>IFERROR(__xludf.DUMMYFUNCTION("""COMPUTED_VALUE"""),"SSR")</f>
        <v/>
      </c>
      <c r="I132">
        <f>IFERROR(__xludf.DUMMYFUNCTION("""COMPUTED_VALUE"""),"PremiumSSR")</f>
        <v/>
      </c>
      <c r="J132">
        <f>IFERROR(__xludf.DUMMYFUNCTION("""COMPUTED_VALUE"""),"緑")</f>
        <v/>
      </c>
      <c r="K132">
        <f>IFERROR(__xludf.DUMMYFUNCTION("""COMPUTED_VALUE"""),"chara")</f>
        <v/>
      </c>
      <c r="L132">
        <f>IFERROR(__xludf.DUMMYFUNCTION("""COMPUTED_VALUE"""),"アタック")</f>
        <v/>
      </c>
      <c r="M132">
        <f>IFERROR(__xludf.DUMMYFUNCTION("""COMPUTED_VALUE"""),"dageki_1")</f>
        <v/>
      </c>
      <c r="O132">
        <f>IFERROR(__xludf.DUMMYFUNCTION("""COMPUTED_VALUE"""),"dageki_1")</f>
        <v/>
      </c>
      <c r="Q132">
        <f>IFERROR(__xludf.DUMMYFUNCTION("""COMPUTED_VALUE"""),"1.23")</f>
        <v/>
      </c>
      <c r="R132">
        <f>IFERROR(__xludf.DUMMYFUNCTION("""COMPUTED_VALUE"""),"stop有:1回目 0.25")</f>
        <v/>
      </c>
      <c r="S132">
        <f>IFERROR(__xludf.DUMMYFUNCTION("""COMPUTED_VALUE"""),"3.5")</f>
        <v/>
      </c>
      <c r="T132">
        <f>IFERROR(__xludf.DUMMYFUNCTION("""COMPUTED_VALUE"""),"stop無:1回目 1.11
stop無:2回目 1.33
stop無:3回目 1.53
stop無:4回目 1.75
stop有:5回目 1.93")</f>
        <v/>
      </c>
      <c r="U132">
        <f>IFERROR(__xludf.DUMMYFUNCTION("""COMPUTED_VALUE"""),"2026/02中旬")</f>
        <v/>
      </c>
      <c r="V132">
        <f>IFERROR(__xludf.DUMMYFUNCTION("""COMPUTED_VALUE"""),390812.49998842593)</f>
        <v/>
      </c>
      <c r="W132">
        <f>IFERROR(__xludf.DUMMYFUNCTION("""COMPUTED_VALUE"""),"catchcopy_character_chara_kim_00101.png")</f>
        <v/>
      </c>
      <c r="X132">
        <f>IFERROR(__xludf.DUMMYFUNCTION("""COMPUTED_VALUE"""),"enemy_icon_chara_kim_00101")</f>
        <v/>
      </c>
      <c r="Y132">
        <f>IFERROR(__xludf.DUMMYFUNCTION("""COMPUTED_VALUE"""),"boss_icon_chara_kim_00101")</f>
        <v/>
      </c>
    </row>
    <row r="133">
      <c r="A133">
        <f>IFERROR(__xludf.DUMMYFUNCTION("""COMPUTED_VALUE"""),"kim")</f>
        <v/>
      </c>
      <c r="B133">
        <f>IFERROR(__xludf.DUMMYFUNCTION("""COMPUTED_VALUE"""),"君のことが大大大大大好きな100人の彼女")</f>
        <v/>
      </c>
      <c r="C133">
        <f>IFERROR(__xludf.DUMMYFUNCTION("""COMPUTED_VALUE"""),"00201")</f>
        <v/>
      </c>
      <c r="D133">
        <f>IFERROR(__xludf.DUMMYFUNCTION("""COMPUTED_VALUE"""),"chara_kim_00201")</f>
        <v/>
      </c>
      <c r="E133">
        <f>IFERROR(__xludf.DUMMYFUNCTION("""COMPUTED_VALUE"""),"院田唐音")</f>
        <v/>
      </c>
      <c r="F133">
        <f>IFERROR(__xludf.DUMMYFUNCTION("""COMPUTED_VALUE"""),"院田 唐音")</f>
        <v/>
      </c>
      <c r="G133">
        <f>IFERROR(__xludf.DUMMYFUNCTION("""COMPUTED_VALUE"""),"付き合ってください……！")</f>
        <v/>
      </c>
      <c r="H133">
        <f>IFERROR(__xludf.DUMMYFUNCTION("""COMPUTED_VALUE"""),"SSR")</f>
        <v/>
      </c>
      <c r="I133">
        <f>IFERROR(__xludf.DUMMYFUNCTION("""COMPUTED_VALUE"""),"PremiumSSR")</f>
        <v/>
      </c>
      <c r="J133">
        <f>IFERROR(__xludf.DUMMYFUNCTION("""COMPUTED_VALUE"""),"赤")</f>
        <v/>
      </c>
      <c r="K133">
        <f>IFERROR(__xludf.DUMMYFUNCTION("""COMPUTED_VALUE"""),"chara")</f>
        <v/>
      </c>
      <c r="L133">
        <f>IFERROR(__xludf.DUMMYFUNCTION("""COMPUTED_VALUE"""),"テクニカル")</f>
        <v/>
      </c>
      <c r="M133">
        <f>IFERROR(__xludf.DUMMYFUNCTION("""COMPUTED_VALUE"""),"dageki_1")</f>
        <v/>
      </c>
      <c r="N133">
        <f>IFERROR(__xludf.DUMMYFUNCTION("""COMPUTED_VALUE"""),"Short")</f>
        <v/>
      </c>
      <c r="O133">
        <f>IFERROR(__xludf.DUMMYFUNCTION("""COMPUTED_VALUE"""),"dageki_1")</f>
        <v/>
      </c>
      <c r="Q133">
        <f>IFERROR(__xludf.DUMMYFUNCTION("""COMPUTED_VALUE"""),"1.37")</f>
        <v/>
      </c>
      <c r="R133">
        <f>IFERROR(__xludf.DUMMYFUNCTION("""COMPUTED_VALUE"""),"stop有:1回目 0.2")</f>
        <v/>
      </c>
      <c r="S133">
        <f>IFERROR(__xludf.DUMMYFUNCTION("""COMPUTED_VALUE"""),"2.4")</f>
        <v/>
      </c>
      <c r="T133">
        <f>IFERROR(__xludf.DUMMYFUNCTION("""COMPUTED_VALUE"""),"stop無 :1回目 1.2")</f>
        <v/>
      </c>
      <c r="U133">
        <f>IFERROR(__xludf.DUMMYFUNCTION("""COMPUTED_VALUE"""),"2026/02中旬")</f>
        <v/>
      </c>
      <c r="V133">
        <f>IFERROR(__xludf.DUMMYFUNCTION("""COMPUTED_VALUE"""),390812.49998842593)</f>
        <v/>
      </c>
      <c r="W133">
        <f>IFERROR(__xludf.DUMMYFUNCTION("""COMPUTED_VALUE"""),"catchcopy_character_chara_kim_00201.png")</f>
        <v/>
      </c>
      <c r="X133">
        <f>IFERROR(__xludf.DUMMYFUNCTION("""COMPUTED_VALUE"""),"enemy_icon_chara_kim_00201")</f>
        <v/>
      </c>
      <c r="Y133">
        <f>IFERROR(__xludf.DUMMYFUNCTION("""COMPUTED_VALUE"""),"boss_icon_chara_kim_00201")</f>
        <v/>
      </c>
    </row>
    <row r="134">
      <c r="A134">
        <f>IFERROR(__xludf.DUMMYFUNCTION("""COMPUTED_VALUE"""),"kim")</f>
        <v/>
      </c>
      <c r="B134">
        <f>IFERROR(__xludf.DUMMYFUNCTION("""COMPUTED_VALUE"""),"君のことが大大大大大好きな100人の彼女")</f>
        <v/>
      </c>
      <c r="C134">
        <f>IFERROR(__xludf.DUMMYFUNCTION("""COMPUTED_VALUE"""),"00301")</f>
        <v/>
      </c>
      <c r="D134">
        <f>IFERROR(__xludf.DUMMYFUNCTION("""COMPUTED_VALUE"""),"chara_kim_00301")</f>
        <v/>
      </c>
      <c r="E134">
        <f>IFERROR(__xludf.DUMMYFUNCTION("""COMPUTED_VALUE"""),"好本 静")</f>
        <v/>
      </c>
      <c r="F134">
        <f>IFERROR(__xludf.DUMMYFUNCTION("""COMPUTED_VALUE"""),"好本 静")</f>
        <v/>
      </c>
      <c r="G134">
        <f>IFERROR(__xludf.DUMMYFUNCTION("""COMPUTED_VALUE"""),"「好きです」")</f>
        <v/>
      </c>
      <c r="H134">
        <f>IFERROR(__xludf.DUMMYFUNCTION("""COMPUTED_VALUE"""),"SSR")</f>
        <v/>
      </c>
      <c r="I134">
        <f>IFERROR(__xludf.DUMMYFUNCTION("""COMPUTED_VALUE"""),"PremiumSSR")</f>
        <v/>
      </c>
      <c r="J134">
        <f>IFERROR(__xludf.DUMMYFUNCTION("""COMPUTED_VALUE"""),"黄")</f>
        <v/>
      </c>
      <c r="K134">
        <f>IFERROR(__xludf.DUMMYFUNCTION("""COMPUTED_VALUE"""),"chara")</f>
        <v/>
      </c>
      <c r="L134">
        <f>IFERROR(__xludf.DUMMYFUNCTION("""COMPUTED_VALUE"""),"サポート")</f>
        <v/>
      </c>
      <c r="M134">
        <f>IFERROR(__xludf.DUMMYFUNCTION("""COMPUTED_VALUE"""),"dageki_1")</f>
        <v/>
      </c>
      <c r="N134">
        <f>IFERROR(__xludf.DUMMYFUNCTION("""COMPUTED_VALUE"""),"Middle")</f>
        <v/>
      </c>
      <c r="O134">
        <f>IFERROR(__xludf.DUMMYFUNCTION("""COMPUTED_VALUE"""),"-")</f>
        <v/>
      </c>
      <c r="Q134">
        <f>IFERROR(__xludf.DUMMYFUNCTION("""COMPUTED_VALUE"""),"1.75")</f>
        <v/>
      </c>
      <c r="R134">
        <f>IFERROR(__xludf.DUMMYFUNCTION("""COMPUTED_VALUE"""),"stop有:1回目 0.78")</f>
        <v/>
      </c>
      <c r="S134">
        <f>IFERROR(__xludf.DUMMYFUNCTION("""COMPUTED_VALUE"""),"3.6")</f>
        <v/>
      </c>
      <c r="T134">
        <f>IFERROR(__xludf.DUMMYFUNCTION("""COMPUTED_VALUE"""),"stop無 :1回目 1.2")</f>
        <v/>
      </c>
      <c r="U134">
        <f>IFERROR(__xludf.DUMMYFUNCTION("""COMPUTED_VALUE"""),"2026/02中旬")</f>
        <v/>
      </c>
      <c r="V134">
        <f>IFERROR(__xludf.DUMMYFUNCTION("""COMPUTED_VALUE"""),390812.49998842593)</f>
        <v/>
      </c>
      <c r="W134">
        <f>IFERROR(__xludf.DUMMYFUNCTION("""COMPUTED_VALUE"""),"catchcopy_character_chara_kim_00301.png")</f>
        <v/>
      </c>
      <c r="X134">
        <f>IFERROR(__xludf.DUMMYFUNCTION("""COMPUTED_VALUE"""),"enemy_icon_chara_kim_00301")</f>
        <v/>
      </c>
      <c r="Y134">
        <f>IFERROR(__xludf.DUMMYFUNCTION("""COMPUTED_VALUE"""),"boss_icon_chara_kim_00301")</f>
        <v/>
      </c>
    </row>
    <row r="135">
      <c r="A135">
        <f>IFERROR(__xludf.DUMMYFUNCTION("""COMPUTED_VALUE"""),"hut")</f>
        <v/>
      </c>
      <c r="B135">
        <f>IFERROR(__xludf.DUMMYFUNCTION("""COMPUTED_VALUE"""),"ふつうの軽音部")</f>
        <v/>
      </c>
      <c r="C135">
        <f>IFERROR(__xludf.DUMMYFUNCTION("""COMPUTED_VALUE"""),"00001")</f>
        <v/>
      </c>
      <c r="D135">
        <f>IFERROR(__xludf.DUMMYFUNCTION("""COMPUTED_VALUE"""),"chara_hut_00001")</f>
        <v/>
      </c>
      <c r="E135">
        <f>IFERROR(__xludf.DUMMYFUNCTION("""COMPUTED_VALUE"""),"鳩野 ちひろ")</f>
        <v/>
      </c>
      <c r="F135">
        <f>IFERROR(__xludf.DUMMYFUNCTION("""COMPUTED_VALUE"""),"ひたむきギタリスト 鳩野 ちひろ")</f>
        <v/>
      </c>
      <c r="G135">
        <f>IFERROR(__xludf.DUMMYFUNCTION("""COMPUTED_VALUE"""),"いつか私たちの演奏で")</f>
        <v/>
      </c>
      <c r="H135">
        <f>IFERROR(__xludf.DUMMYFUNCTION("""COMPUTED_VALUE"""),"UR")</f>
        <v/>
      </c>
      <c r="I135">
        <f>IFERROR(__xludf.DUMMYFUNCTION("""COMPUTED_VALUE"""),"PremiumUR")</f>
        <v/>
      </c>
      <c r="J135">
        <f>IFERROR(__xludf.DUMMYFUNCTION("""COMPUTED_VALUE"""),"緑")</f>
        <v/>
      </c>
      <c r="K135">
        <f>IFERROR(__xludf.DUMMYFUNCTION("""COMPUTED_VALUE"""),"chara")</f>
        <v/>
      </c>
      <c r="L135">
        <f>IFERROR(__xludf.DUMMYFUNCTION("""COMPUTED_VALUE"""),"ディフェンス")</f>
        <v/>
      </c>
      <c r="M135">
        <f>IFERROR(__xludf.DUMMYFUNCTION("""COMPUTED_VALUE"""),"dageki_1")</f>
        <v/>
      </c>
      <c r="N135">
        <f>IFERROR(__xludf.DUMMYFUNCTION("""COMPUTED_VALUE"""),"Short")</f>
        <v/>
      </c>
      <c r="O135">
        <f>IFERROR(__xludf.DUMMYFUNCTION("""COMPUTED_VALUE"""),"dageki_1")</f>
        <v/>
      </c>
      <c r="Q135">
        <f>IFERROR(__xludf.DUMMYFUNCTION("""COMPUTED_VALUE"""),"1.47")</f>
        <v/>
      </c>
      <c r="R135">
        <f>IFERROR(__xludf.DUMMYFUNCTION("""COMPUTED_VALUE"""),"stop有 :1回目 0.15")</f>
        <v/>
      </c>
      <c r="S135">
        <f>IFERROR(__xludf.DUMMYFUNCTION("""COMPUTED_VALUE"""),"2.8")</f>
        <v/>
      </c>
      <c r="T135">
        <f>IFERROR(__xludf.DUMMYFUNCTION("""COMPUTED_VALUE"""),"stop有:1回目 0.87")</f>
        <v/>
      </c>
      <c r="U135">
        <f>IFERROR(__xludf.DUMMYFUNCTION("""COMPUTED_VALUE"""),"2026/03上旬")</f>
        <v/>
      </c>
      <c r="V135">
        <f>IFERROR(__xludf.DUMMYFUNCTION("""COMPUTED_VALUE"""),390812.49998842593)</f>
        <v/>
      </c>
      <c r="W135">
        <f>IFERROR(__xludf.DUMMYFUNCTION("""COMPUTED_VALUE"""),"catchcopy_character_chara_hut_00001.png")</f>
        <v/>
      </c>
      <c r="X135">
        <f>IFERROR(__xludf.DUMMYFUNCTION("""COMPUTED_VALUE"""),"enemy_icon_chara_hut_00001")</f>
        <v/>
      </c>
      <c r="Y135">
        <f>IFERROR(__xludf.DUMMYFUNCTION("""COMPUTED_VALUE"""),"boss_icon_chara_hut_00001")</f>
        <v/>
      </c>
    </row>
    <row r="136">
      <c r="A136">
        <f>IFERROR(__xludf.DUMMYFUNCTION("""COMPUTED_VALUE"""),"hut")</f>
        <v/>
      </c>
      <c r="B136">
        <f>IFERROR(__xludf.DUMMYFUNCTION("""COMPUTED_VALUE"""),"ふつうの軽音部")</f>
        <v/>
      </c>
      <c r="C136">
        <f>IFERROR(__xludf.DUMMYFUNCTION("""COMPUTED_VALUE"""),"00101")</f>
        <v/>
      </c>
      <c r="D136">
        <f>IFERROR(__xludf.DUMMYFUNCTION("""COMPUTED_VALUE"""),"chara_hut_00101")</f>
        <v/>
      </c>
      <c r="E136">
        <f>IFERROR(__xludf.DUMMYFUNCTION("""COMPUTED_VALUE"""),"幸山 厘")</f>
        <v/>
      </c>
      <c r="F136">
        <f>IFERROR(__xludf.DUMMYFUNCTION("""COMPUTED_VALUE"""),"幸山 厘")</f>
        <v/>
      </c>
      <c r="G136">
        <f>IFERROR(__xludf.DUMMYFUNCTION("""COMPUTED_VALUE"""),"はとちゃん あなたは神")</f>
        <v/>
      </c>
      <c r="H136">
        <f>IFERROR(__xludf.DUMMYFUNCTION("""COMPUTED_VALUE"""),"SSR")</f>
        <v/>
      </c>
      <c r="I136">
        <f>IFERROR(__xludf.DUMMYFUNCTION("""COMPUTED_VALUE"""),"PremiumSSR")</f>
        <v/>
      </c>
      <c r="J136">
        <f>IFERROR(__xludf.DUMMYFUNCTION("""COMPUTED_VALUE"""),"青")</f>
        <v/>
      </c>
      <c r="K136">
        <f>IFERROR(__xludf.DUMMYFUNCTION("""COMPUTED_VALUE"""),"chara")</f>
        <v/>
      </c>
      <c r="L136">
        <f>IFERROR(__xludf.DUMMYFUNCTION("""COMPUTED_VALUE"""),"サポート")</f>
        <v/>
      </c>
      <c r="M136">
        <f>IFERROR(__xludf.DUMMYFUNCTION("""COMPUTED_VALUE"""),"dageki_1")</f>
        <v/>
      </c>
      <c r="N136">
        <f>IFERROR(__xludf.DUMMYFUNCTION("""COMPUTED_VALUE"""),"Middle")</f>
        <v/>
      </c>
      <c r="O136">
        <f>IFERROR(__xludf.DUMMYFUNCTION("""COMPUTED_VALUE"""),"dageki_1")</f>
        <v/>
      </c>
      <c r="Q136">
        <f>IFERROR(__xludf.DUMMYFUNCTION("""COMPUTED_VALUE"""),"1.58")</f>
        <v/>
      </c>
      <c r="R136">
        <f>IFERROR(__xludf.DUMMYFUNCTION("""COMPUTED_VALUE"""),"stop有 :1回目 0.75")</f>
        <v/>
      </c>
      <c r="S136">
        <f>IFERROR(__xludf.DUMMYFUNCTION("""COMPUTED_VALUE"""),"2.58")</f>
        <v/>
      </c>
      <c r="T136">
        <f>IFERROR(__xludf.DUMMYFUNCTION("""COMPUTED_VALUE"""),"stop有:1回目 0.33
stop無:2回目 0.78
stop無:3回目 1.0
stop無:4回目 1.27
stop無:5回目 1.58")</f>
        <v/>
      </c>
      <c r="U136">
        <f>IFERROR(__xludf.DUMMYFUNCTION("""COMPUTED_VALUE"""),"2026/03上旬")</f>
        <v/>
      </c>
      <c r="V136">
        <f>IFERROR(__xludf.DUMMYFUNCTION("""COMPUTED_VALUE"""),390812.49998842593)</f>
        <v/>
      </c>
      <c r="W136">
        <f>IFERROR(__xludf.DUMMYFUNCTION("""COMPUTED_VALUE"""),"catchcopy_character_chara_hut_00101.png")</f>
        <v/>
      </c>
      <c r="X136">
        <f>IFERROR(__xludf.DUMMYFUNCTION("""COMPUTED_VALUE"""),"enemy_icon_chara_hut_00101")</f>
        <v/>
      </c>
      <c r="Y136">
        <f>IFERROR(__xludf.DUMMYFUNCTION("""COMPUTED_VALUE"""),"boss_icon_chara_hut_00101")</f>
        <v/>
      </c>
    </row>
    <row r="137">
      <c r="A137">
        <f>IFERROR(__xludf.DUMMYFUNCTION("""COMPUTED_VALUE"""),"hut")</f>
        <v/>
      </c>
      <c r="B137">
        <f>IFERROR(__xludf.DUMMYFUNCTION("""COMPUTED_VALUE"""),"ふつうの軽音部")</f>
        <v/>
      </c>
      <c r="C137">
        <f>IFERROR(__xludf.DUMMYFUNCTION("""COMPUTED_VALUE"""),"00201")</f>
        <v/>
      </c>
      <c r="D137">
        <f>IFERROR(__xludf.DUMMYFUNCTION("""COMPUTED_VALUE"""),"chara_hut_00201")</f>
        <v/>
      </c>
      <c r="E137">
        <f>IFERROR(__xludf.DUMMYFUNCTION("""COMPUTED_VALUE"""),"内田 桃")</f>
        <v/>
      </c>
      <c r="F137">
        <f>IFERROR(__xludf.DUMMYFUNCTION("""COMPUTED_VALUE"""),"内田 桃")</f>
        <v/>
      </c>
      <c r="G137">
        <f>IFERROR(__xludf.DUMMYFUNCTION("""COMPUTED_VALUE"""),"どれだけ未熟でも")</f>
        <v/>
      </c>
      <c r="H137">
        <f>IFERROR(__xludf.DUMMYFUNCTION("""COMPUTED_VALUE"""),"SR")</f>
        <v/>
      </c>
      <c r="I137">
        <f>IFERROR(__xludf.DUMMYFUNCTION("""COMPUTED_VALUE"""),"DropSR")</f>
        <v/>
      </c>
      <c r="J137">
        <f>IFERROR(__xludf.DUMMYFUNCTION("""COMPUTED_VALUE"""),"黄")</f>
        <v/>
      </c>
      <c r="K137">
        <f>IFERROR(__xludf.DUMMYFUNCTION("""COMPUTED_VALUE"""),"chara")</f>
        <v/>
      </c>
      <c r="L137">
        <f>IFERROR(__xludf.DUMMYFUNCTION("""COMPUTED_VALUE"""),"テクニカル")</f>
        <v/>
      </c>
      <c r="M137">
        <f>IFERROR(__xludf.DUMMYFUNCTION("""COMPUTED_VALUE"""),"dageki_1")</f>
        <v/>
      </c>
      <c r="N137">
        <f>IFERROR(__xludf.DUMMYFUNCTION("""COMPUTED_VALUE"""),"Long")</f>
        <v/>
      </c>
      <c r="O137">
        <f>IFERROR(__xludf.DUMMYFUNCTION("""COMPUTED_VALUE"""),"dageki_1")</f>
        <v/>
      </c>
      <c r="Q137">
        <f>IFERROR(__xludf.DUMMYFUNCTION("""COMPUTED_VALUE"""),"1.2")</f>
        <v/>
      </c>
      <c r="R137">
        <f>IFERROR(__xludf.DUMMYFUNCTION("""COMPUTED_VALUE"""),"stop有 :1回目 0.34")</f>
        <v/>
      </c>
      <c r="S137">
        <f>IFERROR(__xludf.DUMMYFUNCTION("""COMPUTED_VALUE"""),"2.84")</f>
        <v/>
      </c>
      <c r="T137">
        <f>IFERROR(__xludf.DUMMYFUNCTION("""COMPUTED_VALUE"""),"stop無:1回目 1.1
stop無:2回目 1.44
stop有:3回目 1.97")</f>
        <v/>
      </c>
      <c r="U137">
        <f>IFERROR(__xludf.DUMMYFUNCTION("""COMPUTED_VALUE"""),"2026/03上旬")</f>
        <v/>
      </c>
      <c r="V137">
        <f>IFERROR(__xludf.DUMMYFUNCTION("""COMPUTED_VALUE"""),390812.49998842593)</f>
        <v/>
      </c>
      <c r="W137">
        <f>IFERROR(__xludf.DUMMYFUNCTION("""COMPUTED_VALUE"""),"catchcopy_character_chara_hut_00201.png")</f>
        <v/>
      </c>
      <c r="X137">
        <f>IFERROR(__xludf.DUMMYFUNCTION("""COMPUTED_VALUE"""),"enemy_icon_chara_hut_00201")</f>
        <v/>
      </c>
      <c r="Y137">
        <f>IFERROR(__xludf.DUMMYFUNCTION("""COMPUTED_VALUE"""),"boss_icon_chara_hut_00201")</f>
        <v/>
      </c>
    </row>
    <row r="138">
      <c r="A138">
        <f>IFERROR(__xludf.DUMMYFUNCTION("""COMPUTED_VALUE"""),"hut")</f>
        <v/>
      </c>
      <c r="B138">
        <f>IFERROR(__xludf.DUMMYFUNCTION("""COMPUTED_VALUE"""),"ふつうの軽音部")</f>
        <v/>
      </c>
      <c r="C138">
        <f>IFERROR(__xludf.DUMMYFUNCTION("""COMPUTED_VALUE"""),"00301")</f>
        <v/>
      </c>
      <c r="D138">
        <f>IFERROR(__xludf.DUMMYFUNCTION("""COMPUTED_VALUE"""),"chara_hut_00301")</f>
        <v/>
      </c>
      <c r="E138">
        <f>IFERROR(__xludf.DUMMYFUNCTION("""COMPUTED_VALUE"""),"藤井 彩目")</f>
        <v/>
      </c>
      <c r="F138">
        <f>IFERROR(__xludf.DUMMYFUNCTION("""COMPUTED_VALUE"""),"藤井 彩目")</f>
        <v/>
      </c>
      <c r="G138">
        <f>IFERROR(__xludf.DUMMYFUNCTION("""COMPUTED_VALUE"""),"かましたらなあかんやろ！")</f>
        <v/>
      </c>
      <c r="H138">
        <f>IFERROR(__xludf.DUMMYFUNCTION("""COMPUTED_VALUE"""),"SR")</f>
        <v/>
      </c>
      <c r="I138">
        <f>IFERROR(__xludf.DUMMYFUNCTION("""COMPUTED_VALUE"""),"DropSR")</f>
        <v/>
      </c>
      <c r="J138">
        <f>IFERROR(__xludf.DUMMYFUNCTION("""COMPUTED_VALUE"""),"赤")</f>
        <v/>
      </c>
      <c r="K138">
        <f>IFERROR(__xludf.DUMMYFUNCTION("""COMPUTED_VALUE"""),"chara")</f>
        <v/>
      </c>
      <c r="L138">
        <f>IFERROR(__xludf.DUMMYFUNCTION("""COMPUTED_VALUE"""),"アタック")</f>
        <v/>
      </c>
      <c r="M138">
        <f>IFERROR(__xludf.DUMMYFUNCTION("""COMPUTED_VALUE"""),"dageki_1")</f>
        <v/>
      </c>
      <c r="N138">
        <f>IFERROR(__xludf.DUMMYFUNCTION("""COMPUTED_VALUE"""),"Middle")</f>
        <v/>
      </c>
      <c r="O138">
        <f>IFERROR(__xludf.DUMMYFUNCTION("""COMPUTED_VALUE"""),"dageki_1")</f>
        <v/>
      </c>
      <c r="Q138">
        <f>IFERROR(__xludf.DUMMYFUNCTION("""COMPUTED_VALUE"""),"1.33")</f>
        <v/>
      </c>
      <c r="R138">
        <f>IFERROR(__xludf.DUMMYFUNCTION("""COMPUTED_VALUE"""),"stop有 :1回目 0.33")</f>
        <v/>
      </c>
      <c r="S138">
        <f>IFERROR(__xludf.DUMMYFUNCTION("""COMPUTED_VALUE"""),"2.42")</f>
        <v/>
      </c>
      <c r="T138">
        <f>IFERROR(__xludf.DUMMYFUNCTION("""COMPUTED_VALUE"""),"stop無:1回目 0.3
stop無:2回目 0.61
stop無:3回目 0.93
stop無:4回目 1.25
stop有:5回目 1.6")</f>
        <v/>
      </c>
      <c r="U138">
        <f>IFERROR(__xludf.DUMMYFUNCTION("""COMPUTED_VALUE"""),"2026/03上旬")</f>
        <v/>
      </c>
      <c r="V138">
        <f>IFERROR(__xludf.DUMMYFUNCTION("""COMPUTED_VALUE"""),390812.49998842593)</f>
        <v/>
      </c>
      <c r="W138">
        <f>IFERROR(__xludf.DUMMYFUNCTION("""COMPUTED_VALUE"""),"catchcopy_character_chara_hut_00301.png")</f>
        <v/>
      </c>
      <c r="X138">
        <f>IFERROR(__xludf.DUMMYFUNCTION("""COMPUTED_VALUE"""),"enemy_icon_chara_hut_00301")</f>
        <v/>
      </c>
      <c r="Y138">
        <f>IFERROR(__xludf.DUMMYFUNCTION("""COMPUTED_VALUE"""),"boss_icon_chara_hut_00301")</f>
        <v/>
      </c>
    </row>
    <row r="139">
      <c r="A139">
        <f>IFERROR(__xludf.DUMMYFUNCTION("""COMPUTED_VALUE"""),"rur")</f>
        <v/>
      </c>
      <c r="B139">
        <f>IFERROR(__xludf.DUMMYFUNCTION("""COMPUTED_VALUE"""),"ルリドラゴン")</f>
        <v/>
      </c>
      <c r="C139">
        <f>IFERROR(__xludf.DUMMYFUNCTION("""COMPUTED_VALUE"""),"00001")</f>
        <v/>
      </c>
      <c r="D139">
        <f>IFERROR(__xludf.DUMMYFUNCTION("""COMPUTED_VALUE"""),"chara_rur_00001")</f>
        <v/>
      </c>
      <c r="E139">
        <f>IFERROR(__xludf.DUMMYFUNCTION("""COMPUTED_VALUE"""),"青木 瑠璃")</f>
        <v/>
      </c>
      <c r="F139">
        <f>IFERROR(__xludf.DUMMYFUNCTION("""COMPUTED_VALUE"""),"監修NG")</f>
        <v/>
      </c>
      <c r="H139">
        <f>IFERROR(__xludf.DUMMYFUNCTION("""COMPUTED_VALUE"""),"UR")</f>
        <v/>
      </c>
      <c r="I139">
        <f>IFERROR(__xludf.DUMMYFUNCTION("""COMPUTED_VALUE"""),"PremiumUR")</f>
        <v/>
      </c>
      <c r="J139">
        <f>IFERROR(__xludf.DUMMYFUNCTION("""COMPUTED_VALUE"""),"青")</f>
        <v/>
      </c>
      <c r="K139">
        <f>IFERROR(__xludf.DUMMYFUNCTION("""COMPUTED_VALUE"""),"chara")</f>
        <v/>
      </c>
      <c r="L139">
        <f>IFERROR(__xludf.DUMMYFUNCTION("""COMPUTED_VALUE"""),"テクニカル")</f>
        <v/>
      </c>
      <c r="U139">
        <f>IFERROR(__xludf.DUMMYFUNCTION("""COMPUTED_VALUE"""),"ハーフアニバ想定")</f>
        <v/>
      </c>
      <c r="V139">
        <f>IFERROR(__xludf.DUMMYFUNCTION("""COMPUTED_VALUE"""),390812.49998842593)</f>
        <v/>
      </c>
      <c r="W139">
        <f>IFERROR(__xludf.DUMMYFUNCTION("""COMPUTED_VALUE"""),"catchcopy_character_chara_rur_00001.png")</f>
        <v/>
      </c>
      <c r="X139">
        <f>IFERROR(__xludf.DUMMYFUNCTION("""COMPUTED_VALUE"""),"enemy_icon_chara_rur_00001")</f>
        <v/>
      </c>
      <c r="Y139">
        <f>IFERROR(__xludf.DUMMYFUNCTION("""COMPUTED_VALUE"""),"boss_icon_chara_rur_00001")</f>
        <v/>
      </c>
    </row>
    <row r="140">
      <c r="A140">
        <f>IFERROR(__xludf.DUMMYFUNCTION("""COMPUTED_VALUE"""),"hyp")</f>
        <v/>
      </c>
      <c r="B140">
        <f>IFERROR(__xludf.DUMMYFUNCTION("""COMPUTED_VALUE"""),"ハイパーインフレーション")</f>
        <v/>
      </c>
      <c r="C140">
        <f>IFERROR(__xludf.DUMMYFUNCTION("""COMPUTED_VALUE"""),"00001")</f>
        <v/>
      </c>
      <c r="D140">
        <f>IFERROR(__xludf.DUMMYFUNCTION("""COMPUTED_VALUE"""),"chara_hyp_00001")</f>
        <v/>
      </c>
      <c r="E140">
        <f>IFERROR(__xludf.DUMMYFUNCTION("""COMPUTED_VALUE"""),"ルーク")</f>
        <v/>
      </c>
      <c r="F140">
        <f>IFERROR(__xludf.DUMMYFUNCTION("""COMPUTED_VALUE"""),"ルーク")</f>
        <v/>
      </c>
      <c r="G140">
        <f>IFERROR(__xludf.DUMMYFUNCTION("""COMPUTED_VALUE"""),"カネが欲しいッ!!")</f>
        <v/>
      </c>
      <c r="H140">
        <f>IFERROR(__xludf.DUMMYFUNCTION("""COMPUTED_VALUE"""),"SSR")</f>
        <v/>
      </c>
      <c r="I140">
        <f>IFERROR(__xludf.DUMMYFUNCTION("""COMPUTED_VALUE"""),"DropSSR")</f>
        <v/>
      </c>
      <c r="J140">
        <f>IFERROR(__xludf.DUMMYFUNCTION("""COMPUTED_VALUE"""),"緑")</f>
        <v/>
      </c>
      <c r="K140">
        <f>IFERROR(__xludf.DUMMYFUNCTION("""COMPUTED_VALUE"""),"chara")</f>
        <v/>
      </c>
      <c r="L140">
        <f>IFERROR(__xludf.DUMMYFUNCTION("""COMPUTED_VALUE"""),"サポート")</f>
        <v/>
      </c>
      <c r="M140">
        <f>IFERROR(__xludf.DUMMYFUNCTION("""COMPUTED_VALUE"""),"dageki_1")</f>
        <v/>
      </c>
      <c r="N140">
        <f>IFERROR(__xludf.DUMMYFUNCTION("""COMPUTED_VALUE"""),"Short")</f>
        <v/>
      </c>
      <c r="O140">
        <f>IFERROR(__xludf.DUMMYFUNCTION("""COMPUTED_VALUE"""),"-")</f>
        <v/>
      </c>
      <c r="Q140">
        <f>IFERROR(__xludf.DUMMYFUNCTION("""COMPUTED_VALUE"""),"1.57")</f>
        <v/>
      </c>
      <c r="R140">
        <f>IFERROR(__xludf.DUMMYFUNCTION("""COMPUTED_VALUE"""),"stop有 :1回目 0.45")</f>
        <v/>
      </c>
      <c r="S140">
        <f>IFERROR(__xludf.DUMMYFUNCTION("""COMPUTED_VALUE"""),"2.45")</f>
        <v/>
      </c>
      <c r="T140">
        <f>IFERROR(__xludf.DUMMYFUNCTION("""COMPUTED_VALUE"""),"stop無:1回目 0.85")</f>
        <v/>
      </c>
      <c r="U140">
        <f>IFERROR(__xludf.DUMMYFUNCTION("""COMPUTED_VALUE"""),"ハーフアニバ想定")</f>
        <v/>
      </c>
      <c r="V140">
        <f>IFERROR(__xludf.DUMMYFUNCTION("""COMPUTED_VALUE"""),390812.49998842593)</f>
        <v/>
      </c>
      <c r="W140">
        <f>IFERROR(__xludf.DUMMYFUNCTION("""COMPUTED_VALUE"""),"catchcopy_character_chara_hyp_00001.png")</f>
        <v/>
      </c>
      <c r="X140">
        <f>IFERROR(__xludf.DUMMYFUNCTION("""COMPUTED_VALUE"""),"enemy_icon_chara_hyp_00001")</f>
        <v/>
      </c>
      <c r="Y140">
        <f>IFERROR(__xludf.DUMMYFUNCTION("""COMPUTED_VALUE"""),"boss_icon_chara_hyp_00001")</f>
        <v/>
      </c>
    </row>
    <row r="141">
      <c r="A141">
        <f>IFERROR(__xludf.DUMMYFUNCTION("""COMPUTED_VALUE"""),"gam")</f>
        <v/>
      </c>
      <c r="B141">
        <f>IFERROR(__xludf.DUMMYFUNCTION("""COMPUTED_VALUE"""),"ゲーミングお嬢様")</f>
        <v/>
      </c>
      <c r="C141">
        <f>IFERROR(__xludf.DUMMYFUNCTION("""COMPUTED_VALUE"""),"00001")</f>
        <v/>
      </c>
      <c r="D141">
        <f>IFERROR(__xludf.DUMMYFUNCTION("""COMPUTED_VALUE"""),"chara_gam_00001")</f>
        <v/>
      </c>
      <c r="E141">
        <f>IFERROR(__xludf.DUMMYFUNCTION("""COMPUTED_VALUE"""),"祥龍院隆子")</f>
        <v/>
      </c>
      <c r="F141">
        <f>IFERROR(__xludf.DUMMYFUNCTION("""COMPUTED_VALUE"""),"祥龍院 隆子")</f>
        <v/>
      </c>
      <c r="G141">
        <f>IFERROR(__xludf.DUMMYFUNCTION("""COMPUTED_VALUE"""),"お嬢様は“完璧”であるべき")</f>
        <v/>
      </c>
      <c r="H141">
        <f>IFERROR(__xludf.DUMMYFUNCTION("""COMPUTED_VALUE"""),"SSR")</f>
        <v/>
      </c>
      <c r="I141">
        <f>IFERROR(__xludf.DUMMYFUNCTION("""COMPUTED_VALUE"""),"PremiumSSR")</f>
        <v/>
      </c>
      <c r="J141">
        <f>IFERROR(__xludf.DUMMYFUNCTION("""COMPUTED_VALUE"""),"黄")</f>
        <v/>
      </c>
      <c r="K141">
        <f>IFERROR(__xludf.DUMMYFUNCTION("""COMPUTED_VALUE"""),"chara")</f>
        <v/>
      </c>
      <c r="L141">
        <f>IFERROR(__xludf.DUMMYFUNCTION("""COMPUTED_VALUE"""),"アタック")</f>
        <v/>
      </c>
      <c r="M141">
        <f>IFERROR(__xludf.DUMMYFUNCTION("""COMPUTED_VALUE"""),"dageki_1")</f>
        <v/>
      </c>
      <c r="N141">
        <f>IFERROR(__xludf.DUMMYFUNCTION("""COMPUTED_VALUE"""),"Short")</f>
        <v/>
      </c>
      <c r="O141">
        <f>IFERROR(__xludf.DUMMYFUNCTION("""COMPUTED_VALUE"""),"dageki_1")</f>
        <v/>
      </c>
      <c r="Q141">
        <f>IFERROR(__xludf.DUMMYFUNCTION("""COMPUTED_VALUE"""),"1.08")</f>
        <v/>
      </c>
      <c r="R141">
        <f>IFERROR(__xludf.DUMMYFUNCTION("""COMPUTED_VALUE"""),"stop有 : 0.55")</f>
        <v/>
      </c>
      <c r="S141">
        <f>IFERROR(__xludf.DUMMYFUNCTION("""COMPUTED_VALUE"""),"3.45")</f>
        <v/>
      </c>
      <c r="T141">
        <f>IFERROR(__xludf.DUMMYFUNCTION("""COMPUTED_VALUE"""),"stop有 : 0.73")</f>
        <v/>
      </c>
      <c r="U141">
        <f>IFERROR(__xludf.DUMMYFUNCTION("""COMPUTED_VALUE"""),"ハーフアニバ想定")</f>
        <v/>
      </c>
      <c r="V141">
        <f>IFERROR(__xludf.DUMMYFUNCTION("""COMPUTED_VALUE"""),390812.49998842593)</f>
        <v/>
      </c>
      <c r="W141">
        <f>IFERROR(__xludf.DUMMYFUNCTION("""COMPUTED_VALUE"""),"catchcopy_character_chara_gam_00001.png")</f>
        <v/>
      </c>
      <c r="X141">
        <f>IFERROR(__xludf.DUMMYFUNCTION("""COMPUTED_VALUE"""),"enemy_icon_chara_gam_00001")</f>
        <v/>
      </c>
      <c r="Y141">
        <f>IFERROR(__xludf.DUMMYFUNCTION("""COMPUTED_VALUE"""),"boss_icon_chara_gam_00001")</f>
        <v/>
      </c>
    </row>
    <row r="142">
      <c r="A142">
        <f>IFERROR(__xludf.DUMMYFUNCTION("""COMPUTED_VALUE"""),"ara")</f>
        <v/>
      </c>
      <c r="B142">
        <f>IFERROR(__xludf.DUMMYFUNCTION("""COMPUTED_VALUE"""),"アラガネの子")</f>
        <v/>
      </c>
      <c r="C142">
        <f>IFERROR(__xludf.DUMMYFUNCTION("""COMPUTED_VALUE"""),"00001")</f>
        <v/>
      </c>
      <c r="D142">
        <f>IFERROR(__xludf.DUMMYFUNCTION("""COMPUTED_VALUE"""),"chara_ara_00001")</f>
        <v/>
      </c>
      <c r="E142">
        <f>IFERROR(__xludf.DUMMYFUNCTION("""COMPUTED_VALUE"""),"灰（アラガネの子）")</f>
        <v/>
      </c>
      <c r="F142">
        <f>IFERROR(__xludf.DUMMYFUNCTION("""COMPUTED_VALUE"""),"灰")</f>
        <v/>
      </c>
      <c r="G142">
        <f>IFERROR(__xludf.DUMMYFUNCTION("""COMPUTED_VALUE"""),"金剛石 煌反閃転")</f>
        <v/>
      </c>
      <c r="H142">
        <f>IFERROR(__xludf.DUMMYFUNCTION("""COMPUTED_VALUE"""),"SR")</f>
        <v/>
      </c>
      <c r="I142">
        <f>IFERROR(__xludf.DUMMYFUNCTION("""COMPUTED_VALUE"""),"DropSR")</f>
        <v/>
      </c>
      <c r="J142">
        <f>IFERROR(__xludf.DUMMYFUNCTION("""COMPUTED_VALUE"""),"緑")</f>
        <v/>
      </c>
      <c r="K142">
        <f>IFERROR(__xludf.DUMMYFUNCTION("""COMPUTED_VALUE"""),"chara")</f>
        <v/>
      </c>
      <c r="L142">
        <f>IFERROR(__xludf.DUMMYFUNCTION("""COMPUTED_VALUE"""),"アタック")</f>
        <v/>
      </c>
      <c r="M142">
        <f>IFERROR(__xludf.DUMMYFUNCTION("""COMPUTED_VALUE"""),"zangeki_1")</f>
        <v/>
      </c>
      <c r="N142">
        <f>IFERROR(__xludf.DUMMYFUNCTION("""COMPUTED_VALUE"""),"Middle")</f>
        <v/>
      </c>
      <c r="O142">
        <f>IFERROR(__xludf.DUMMYFUNCTION("""COMPUTED_VALUE"""),"-")</f>
        <v/>
      </c>
      <c r="Q142">
        <f>IFERROR(__xludf.DUMMYFUNCTION("""COMPUTED_VALUE"""),"1.37")</f>
        <v/>
      </c>
      <c r="R142">
        <f>IFERROR(__xludf.DUMMYFUNCTION("""COMPUTED_VALUE"""),"stop有 :1回目 0.3")</f>
        <v/>
      </c>
      <c r="S142">
        <f>IFERROR(__xludf.DUMMYFUNCTION("""COMPUTED_VALUE"""),"2.67")</f>
        <v/>
      </c>
      <c r="T142">
        <f>IFERROR(__xludf.DUMMYFUNCTION("""COMPUTED_VALUE"""),"stop有 : 0.7")</f>
        <v/>
      </c>
      <c r="U142">
        <f>IFERROR(__xludf.DUMMYFUNCTION("""COMPUTED_VALUE"""),"ハーフアニバ想定")</f>
        <v/>
      </c>
      <c r="V142">
        <f>IFERROR(__xludf.DUMMYFUNCTION("""COMPUTED_VALUE"""),390812.49998842593)</f>
        <v/>
      </c>
      <c r="W142">
        <f>IFERROR(__xludf.DUMMYFUNCTION("""COMPUTED_VALUE"""),"catchcopy_character_chara_ara_00001.png")</f>
        <v/>
      </c>
      <c r="X142">
        <f>IFERROR(__xludf.DUMMYFUNCTION("""COMPUTED_VALUE"""),"enemy_icon_chara_ara_00001")</f>
        <v/>
      </c>
      <c r="Y142">
        <f>IFERROR(__xludf.DUMMYFUNCTION("""COMPUTED_VALUE"""),"boss_icon_chara_ara_00001")</f>
        <v/>
      </c>
    </row>
    <row r="143">
      <c r="A143">
        <f>IFERROR(__xludf.DUMMYFUNCTION("""COMPUTED_VALUE"""),"aya")</f>
        <v/>
      </c>
      <c r="B143">
        <f>IFERROR(__xludf.DUMMYFUNCTION("""COMPUTED_VALUE"""),"あやかしトライアングル")</f>
        <v/>
      </c>
      <c r="C143">
        <f>IFERROR(__xludf.DUMMYFUNCTION("""COMPUTED_VALUE"""),"00001")</f>
        <v/>
      </c>
      <c r="D143">
        <f>IFERROR(__xludf.DUMMYFUNCTION("""COMPUTED_VALUE"""),"chara_aya_00001")</f>
        <v/>
      </c>
      <c r="E143">
        <f>IFERROR(__xludf.DUMMYFUNCTION("""COMPUTED_VALUE"""),"風巻 祭里")</f>
        <v/>
      </c>
      <c r="F143">
        <f>IFERROR(__xludf.DUMMYFUNCTION("""COMPUTED_VALUE"""),"一子相伝の風使い 風巻 祭里")</f>
        <v/>
      </c>
      <c r="G143">
        <f>IFERROR(__xludf.DUMMYFUNCTION("""COMPUTED_VALUE"""),"風巻流・祓忍法 螺旋突")</f>
        <v/>
      </c>
      <c r="H143">
        <f>IFERROR(__xludf.DUMMYFUNCTION("""COMPUTED_VALUE"""),"UR")</f>
        <v/>
      </c>
      <c r="I143">
        <f>IFERROR(__xludf.DUMMYFUNCTION("""COMPUTED_VALUE"""),"PremiumUR")</f>
        <v/>
      </c>
      <c r="J143">
        <f>IFERROR(__xludf.DUMMYFUNCTION("""COMPUTED_VALUE"""),"赤")</f>
        <v/>
      </c>
      <c r="K143">
        <f>IFERROR(__xludf.DUMMYFUNCTION("""COMPUTED_VALUE"""),"chara")</f>
        <v/>
      </c>
      <c r="L143">
        <f>IFERROR(__xludf.DUMMYFUNCTION("""COMPUTED_VALUE"""),"テクニカル")</f>
        <v/>
      </c>
      <c r="M143">
        <f>IFERROR(__xludf.DUMMYFUNCTION("""COMPUTED_VALUE"""),"zangeki_1")</f>
        <v/>
      </c>
      <c r="O143">
        <f>IFERROR(__xludf.DUMMYFUNCTION("""COMPUTED_VALUE"""),"zangeki_1")</f>
        <v/>
      </c>
      <c r="Q143">
        <f>IFERROR(__xludf.DUMMYFUNCTION("""COMPUTED_VALUE"""),"1.37")</f>
        <v/>
      </c>
      <c r="R143">
        <f>IFERROR(__xludf.DUMMYFUNCTION("""COMPUTED_VALUE"""),"stop有 :1回目 0.55")</f>
        <v/>
      </c>
      <c r="S143">
        <f>IFERROR(__xludf.DUMMYFUNCTION("""COMPUTED_VALUE"""),"2.75")</f>
        <v/>
      </c>
      <c r="T143">
        <f>IFERROR(__xludf.DUMMYFUNCTION("""COMPUTED_VALUE"""),"stop有:1回目 0.38
stop無:2回目 1.5")</f>
        <v/>
      </c>
      <c r="U143">
        <f>IFERROR(__xludf.DUMMYFUNCTION("""COMPUTED_VALUE"""),"2026/04/中旬")</f>
        <v/>
      </c>
      <c r="V143">
        <f>IFERROR(__xludf.DUMMYFUNCTION("""COMPUTED_VALUE"""),390812.49998842593)</f>
        <v/>
      </c>
      <c r="W143">
        <f>IFERROR(__xludf.DUMMYFUNCTION("""COMPUTED_VALUE"""),"catchcopy_character_chara_aya_00001.png")</f>
        <v/>
      </c>
      <c r="X143">
        <f>IFERROR(__xludf.DUMMYFUNCTION("""COMPUTED_VALUE"""),"enemy_icon_chara_aya_00001")</f>
        <v/>
      </c>
      <c r="Y143">
        <f>IFERROR(__xludf.DUMMYFUNCTION("""COMPUTED_VALUE"""),"boss_icon_chara_aya_00001")</f>
        <v/>
      </c>
    </row>
    <row r="144">
      <c r="A144">
        <f>IFERROR(__xludf.DUMMYFUNCTION("""COMPUTED_VALUE"""),"aya")</f>
        <v/>
      </c>
      <c r="B144">
        <f>IFERROR(__xludf.DUMMYFUNCTION("""COMPUTED_VALUE"""),"あやかしトライアングル")</f>
        <v/>
      </c>
      <c r="C144">
        <f>IFERROR(__xludf.DUMMYFUNCTION("""COMPUTED_VALUE"""),"00101")</f>
        <v/>
      </c>
      <c r="D144">
        <f>IFERROR(__xludf.DUMMYFUNCTION("""COMPUTED_VALUE"""),"chara_aya_00101")</f>
        <v/>
      </c>
      <c r="E144">
        <f>IFERROR(__xludf.DUMMYFUNCTION("""COMPUTED_VALUE"""),"花奏 すず")</f>
        <v/>
      </c>
      <c r="F144">
        <f>IFERROR(__xludf.DUMMYFUNCTION("""COMPUTED_VALUE"""),"花奏 すず")</f>
        <v/>
      </c>
      <c r="G144">
        <f>IFERROR(__xludf.DUMMYFUNCTION("""COMPUTED_VALUE"""),"妖巫女の覚悟")</f>
        <v/>
      </c>
      <c r="H144">
        <f>IFERROR(__xludf.DUMMYFUNCTION("""COMPUTED_VALUE"""),"SSR")</f>
        <v/>
      </c>
      <c r="I144">
        <f>IFERROR(__xludf.DUMMYFUNCTION("""COMPUTED_VALUE"""),"PremiumSSR")</f>
        <v/>
      </c>
      <c r="J144">
        <f>IFERROR(__xludf.DUMMYFUNCTION("""COMPUTED_VALUE"""),"赤")</f>
        <v/>
      </c>
      <c r="K144">
        <f>IFERROR(__xludf.DUMMYFUNCTION("""COMPUTED_VALUE"""),"chara")</f>
        <v/>
      </c>
      <c r="L144">
        <f>IFERROR(__xludf.DUMMYFUNCTION("""COMPUTED_VALUE"""),"ディフェンス")</f>
        <v/>
      </c>
      <c r="M144">
        <f>IFERROR(__xludf.DUMMYFUNCTION("""COMPUTED_VALUE"""),"zangeki_1")</f>
        <v/>
      </c>
      <c r="O144">
        <f>IFERROR(__xludf.DUMMYFUNCTION("""COMPUTED_VALUE"""),"zangeki_1")</f>
        <v/>
      </c>
      <c r="Q144">
        <f>IFERROR(__xludf.DUMMYFUNCTION("""COMPUTED_VALUE"""),"1.37")</f>
        <v/>
      </c>
      <c r="R144">
        <f>IFERROR(__xludf.DUMMYFUNCTION("""COMPUTED_VALUE"""),"stop有 :1回目 0.6")</f>
        <v/>
      </c>
      <c r="S144">
        <f>IFERROR(__xludf.DUMMYFUNCTION("""COMPUTED_VALUE"""),"2.57")</f>
        <v/>
      </c>
      <c r="T144">
        <f>IFERROR(__xludf.DUMMYFUNCTION("""COMPUTED_VALUE"""),"stop有 : 1.13")</f>
        <v/>
      </c>
      <c r="U144">
        <f>IFERROR(__xludf.DUMMYFUNCTION("""COMPUTED_VALUE"""),"2026/04/中旬")</f>
        <v/>
      </c>
      <c r="V144">
        <f>IFERROR(__xludf.DUMMYFUNCTION("""COMPUTED_VALUE"""),390812.49998842593)</f>
        <v/>
      </c>
      <c r="W144">
        <f>IFERROR(__xludf.DUMMYFUNCTION("""COMPUTED_VALUE"""),"catchcopy_character_chara_aya_00101.png")</f>
        <v/>
      </c>
      <c r="X144">
        <f>IFERROR(__xludf.DUMMYFUNCTION("""COMPUTED_VALUE"""),"enemy_icon_chara_aya_00101")</f>
        <v/>
      </c>
      <c r="Y144">
        <f>IFERROR(__xludf.DUMMYFUNCTION("""COMPUTED_VALUE"""),"boss_icon_chara_aya_00101")</f>
        <v/>
      </c>
    </row>
    <row r="145">
      <c r="A145">
        <f>IFERROR(__xludf.DUMMYFUNCTION("""COMPUTED_VALUE"""),"aya")</f>
        <v/>
      </c>
      <c r="B145">
        <f>IFERROR(__xludf.DUMMYFUNCTION("""COMPUTED_VALUE"""),"あやかしトライアングル")</f>
        <v/>
      </c>
      <c r="C145">
        <f>IFERROR(__xludf.DUMMYFUNCTION("""COMPUTED_VALUE"""),"00201")</f>
        <v/>
      </c>
      <c r="D145">
        <f>IFERROR(__xludf.DUMMYFUNCTION("""COMPUTED_VALUE"""),"chara_aya_00201")</f>
        <v/>
      </c>
      <c r="E145">
        <f>IFERROR(__xludf.DUMMYFUNCTION("""COMPUTED_VALUE"""),"香炉木 恋緒")</f>
        <v/>
      </c>
      <c r="F145">
        <f>IFERROR(__xludf.DUMMYFUNCTION("""COMPUTED_VALUE"""),"香炉木 恋緒")</f>
        <v/>
      </c>
      <c r="G145">
        <f>IFERROR(__xludf.DUMMYFUNCTION("""COMPUTED_VALUE"""),"サポートする責任があるんです")</f>
        <v/>
      </c>
      <c r="H145">
        <f>IFERROR(__xludf.DUMMYFUNCTION("""COMPUTED_VALUE"""),"SR")</f>
        <v/>
      </c>
      <c r="I145">
        <f>IFERROR(__xludf.DUMMYFUNCTION("""COMPUTED_VALUE"""),"DropSR")</f>
        <v/>
      </c>
      <c r="J145">
        <f>IFERROR(__xludf.DUMMYFUNCTION("""COMPUTED_VALUE"""),"黄")</f>
        <v/>
      </c>
      <c r="K145">
        <f>IFERROR(__xludf.DUMMYFUNCTION("""COMPUTED_VALUE"""),"chara")</f>
        <v/>
      </c>
      <c r="L145">
        <f>IFERROR(__xludf.DUMMYFUNCTION("""COMPUTED_VALUE"""),"サポート")</f>
        <v/>
      </c>
      <c r="M145">
        <f>IFERROR(__xludf.DUMMYFUNCTION("""COMPUTED_VALUE"""),"dageki_1")</f>
        <v/>
      </c>
      <c r="O145">
        <f>IFERROR(__xludf.DUMMYFUNCTION("""COMPUTED_VALUE"""),"-")</f>
        <v/>
      </c>
      <c r="Q145">
        <f>IFERROR(__xludf.DUMMYFUNCTION("""COMPUTED_VALUE"""),"1.33")</f>
        <v/>
      </c>
      <c r="R145">
        <f>IFERROR(__xludf.DUMMYFUNCTION("""COMPUTED_VALUE"""),"stop有 :1回目 0.58")</f>
        <v/>
      </c>
      <c r="S145">
        <f>IFERROR(__xludf.DUMMYFUNCTION("""COMPUTED_VALUE"""),"2.33")</f>
        <v/>
      </c>
      <c r="T145">
        <f>IFERROR(__xludf.DUMMYFUNCTION("""COMPUTED_VALUE"""),"stopud無 : 1.33")</f>
        <v/>
      </c>
      <c r="U145">
        <f>IFERROR(__xludf.DUMMYFUNCTION("""COMPUTED_VALUE"""),"2026/04/中旬")</f>
        <v/>
      </c>
      <c r="V145">
        <f>IFERROR(__xludf.DUMMYFUNCTION("""COMPUTED_VALUE"""),390812.49998842593)</f>
        <v/>
      </c>
      <c r="W145">
        <f>IFERROR(__xludf.DUMMYFUNCTION("""COMPUTED_VALUE"""),"catchcopy_character_chara_aya_00201.png")</f>
        <v/>
      </c>
      <c r="X145">
        <f>IFERROR(__xludf.DUMMYFUNCTION("""COMPUTED_VALUE"""),"enemy_icon_chara_aya_00201")</f>
        <v/>
      </c>
      <c r="Y145">
        <f>IFERROR(__xludf.DUMMYFUNCTION("""COMPUTED_VALUE"""),"boss_icon_chara_aya_00201")</f>
        <v/>
      </c>
    </row>
    <row r="146">
      <c r="A146">
        <f>IFERROR(__xludf.DUMMYFUNCTION("""COMPUTED_VALUE"""),"aya")</f>
        <v/>
      </c>
      <c r="B146">
        <f>IFERROR(__xludf.DUMMYFUNCTION("""COMPUTED_VALUE"""),"あやかしトライアングル")</f>
        <v/>
      </c>
      <c r="C146">
        <f>IFERROR(__xludf.DUMMYFUNCTION("""COMPUTED_VALUE"""),"00301")</f>
        <v/>
      </c>
      <c r="D146">
        <f>IFERROR(__xludf.DUMMYFUNCTION("""COMPUTED_VALUE"""),"chara_aya_00301")</f>
        <v/>
      </c>
      <c r="E146">
        <f>IFERROR(__xludf.DUMMYFUNCTION("""COMPUTED_VALUE"""),"ニノ曲 宗牙")</f>
        <v/>
      </c>
      <c r="F146">
        <f>IFERROR(__xludf.DUMMYFUNCTION("""COMPUTED_VALUE"""),"二ノ曲 宗牙")</f>
        <v/>
      </c>
      <c r="G146">
        <f>IFERROR(__xludf.DUMMYFUNCTION("""COMPUTED_VALUE"""),"ニノ曲流・祓忍法 迅雷跳断")</f>
        <v/>
      </c>
      <c r="H146">
        <f>IFERROR(__xludf.DUMMYFUNCTION("""COMPUTED_VALUE"""),"SR")</f>
        <v/>
      </c>
      <c r="I146">
        <f>IFERROR(__xludf.DUMMYFUNCTION("""COMPUTED_VALUE"""),"DropSR")</f>
        <v/>
      </c>
      <c r="J146">
        <f>IFERROR(__xludf.DUMMYFUNCTION("""COMPUTED_VALUE"""),"緑")</f>
        <v/>
      </c>
      <c r="K146">
        <f>IFERROR(__xludf.DUMMYFUNCTION("""COMPUTED_VALUE"""),"chara")</f>
        <v/>
      </c>
      <c r="L146">
        <f>IFERROR(__xludf.DUMMYFUNCTION("""COMPUTED_VALUE"""),"アタック")</f>
        <v/>
      </c>
      <c r="M146">
        <f>IFERROR(__xludf.DUMMYFUNCTION("""COMPUTED_VALUE"""),"shageki_1")</f>
        <v/>
      </c>
      <c r="O146">
        <f>IFERROR(__xludf.DUMMYFUNCTION("""COMPUTED_VALUE"""),"shageki_1")</f>
        <v/>
      </c>
      <c r="Q146">
        <f>IFERROR(__xludf.DUMMYFUNCTION("""COMPUTED_VALUE"""),"1.31")</f>
        <v/>
      </c>
      <c r="R146">
        <f>IFERROR(__xludf.DUMMYFUNCTION("""COMPUTED_VALUE"""),"stop有 :1回目 0.5")</f>
        <v/>
      </c>
      <c r="S146">
        <f>IFERROR(__xludf.DUMMYFUNCTION("""COMPUTED_VALUE"""),"1.37")</f>
        <v/>
      </c>
      <c r="T146">
        <f>IFERROR(__xludf.DUMMYFUNCTION("""COMPUTED_VALUE"""),"stop無:1回目 0.62
stop無:2回目 0.78
stop無:3回目 1
stop無:4回目 1.19
stop有:5回目 1.5")</f>
        <v/>
      </c>
      <c r="U146">
        <f>IFERROR(__xludf.DUMMYFUNCTION("""COMPUTED_VALUE"""),"2026/04/中旬")</f>
        <v/>
      </c>
      <c r="V146">
        <f>IFERROR(__xludf.DUMMYFUNCTION("""COMPUTED_VALUE"""),390812.49998842593)</f>
        <v/>
      </c>
      <c r="W146">
        <f>IFERROR(__xludf.DUMMYFUNCTION("""COMPUTED_VALUE"""),"catchcopy_character_chara_aya_00301.png")</f>
        <v/>
      </c>
      <c r="X146">
        <f>IFERROR(__xludf.DUMMYFUNCTION("""COMPUTED_VALUE"""),"enemy_icon_chara_aya_00301")</f>
        <v/>
      </c>
      <c r="Y146">
        <f>IFERROR(__xludf.DUMMYFUNCTION("""COMPUTED_VALUE"""),"boss_icon_chara_aya_00301")</f>
        <v/>
      </c>
    </row>
    <row r="147">
      <c r="A147">
        <f>IFERROR(__xludf.DUMMYFUNCTION("""COMPUTED_VALUE"""),"mar")</f>
        <v/>
      </c>
      <c r="B147">
        <f>IFERROR(__xludf.DUMMYFUNCTION("""COMPUTED_VALUE"""),"マリッジトキシン")</f>
        <v/>
      </c>
      <c r="C147">
        <f>IFERROR(__xludf.DUMMYFUNCTION("""COMPUTED_VALUE"""),"00001")</f>
        <v/>
      </c>
      <c r="D147">
        <f>IFERROR(__xludf.DUMMYFUNCTION("""COMPUTED_VALUE"""),"chara_mar_00001")</f>
        <v/>
      </c>
      <c r="E147">
        <f>IFERROR(__xludf.DUMMYFUNCTION("""COMPUTED_VALUE"""),"下呂 ヒカル")</f>
        <v/>
      </c>
      <c r="F147">
        <f>IFERROR(__xludf.DUMMYFUNCTION("""COMPUTED_VALUE"""),"不器用な毒使い 下呂 ヒカル")</f>
        <v/>
      </c>
      <c r="G147">
        <f>IFERROR(__xludf.DUMMYFUNCTION("""COMPUTED_VALUE"""),"毒薬二連【舛】×【戈】")</f>
        <v/>
      </c>
      <c r="H147">
        <f>IFERROR(__xludf.DUMMYFUNCTION("""COMPUTED_VALUE"""),"UR")</f>
        <v/>
      </c>
      <c r="I147">
        <f>IFERROR(__xludf.DUMMYFUNCTION("""COMPUTED_VALUE"""),"PremiumUR")</f>
        <v/>
      </c>
      <c r="J147">
        <f>IFERROR(__xludf.DUMMYFUNCTION("""COMPUTED_VALUE"""),"緑")</f>
        <v/>
      </c>
      <c r="K147">
        <f>IFERROR(__xludf.DUMMYFUNCTION("""COMPUTED_VALUE"""),"chara")</f>
        <v/>
      </c>
      <c r="L147">
        <f>IFERROR(__xludf.DUMMYFUNCTION("""COMPUTED_VALUE"""),"テクニカル")</f>
        <v/>
      </c>
      <c r="M147">
        <f>IFERROR(__xludf.DUMMYFUNCTION("""COMPUTED_VALUE"""),"dageki_1")</f>
        <v/>
      </c>
      <c r="O147">
        <f>IFERROR(__xludf.DUMMYFUNCTION("""COMPUTED_VALUE"""),"shageki_1")</f>
        <v/>
      </c>
      <c r="Q147">
        <f>IFERROR(__xludf.DUMMYFUNCTION("""COMPUTED_VALUE"""),"1.34")</f>
        <v/>
      </c>
      <c r="R147">
        <f>IFERROR(__xludf.DUMMYFUNCTION("""COMPUTED_VALUE"""),"stop有 :1回目 0.34")</f>
        <v/>
      </c>
      <c r="S147">
        <f>IFERROR(__xludf.DUMMYFUNCTION("""COMPUTED_VALUE"""),"2.62")</f>
        <v/>
      </c>
      <c r="T147">
        <f>IFERROR(__xludf.DUMMYFUNCTION("""COMPUTED_VALUE"""),"stop有 :1回目 1.2")</f>
        <v/>
      </c>
      <c r="U147">
        <f>IFERROR(__xludf.DUMMYFUNCTION("""COMPUTED_VALUE"""),"2026/04/中旬")</f>
        <v/>
      </c>
      <c r="V147">
        <f>IFERROR(__xludf.DUMMYFUNCTION("""COMPUTED_VALUE"""),390812.49998842593)</f>
        <v/>
      </c>
      <c r="W147">
        <f>IFERROR(__xludf.DUMMYFUNCTION("""COMPUTED_VALUE"""),"catchcopy_character_chara_mar_00001.png")</f>
        <v/>
      </c>
      <c r="X147">
        <f>IFERROR(__xludf.DUMMYFUNCTION("""COMPUTED_VALUE"""),"enemy_icon_chara_mar_00001")</f>
        <v/>
      </c>
      <c r="Y147">
        <f>IFERROR(__xludf.DUMMYFUNCTION("""COMPUTED_VALUE"""),"boss_icon_chara_mar_00001")</f>
        <v/>
      </c>
    </row>
    <row r="148">
      <c r="A148">
        <f>IFERROR(__xludf.DUMMYFUNCTION("""COMPUTED_VALUE"""),"mar")</f>
        <v/>
      </c>
      <c r="B148">
        <f>IFERROR(__xludf.DUMMYFUNCTION("""COMPUTED_VALUE"""),"マリッジトキシン")</f>
        <v/>
      </c>
      <c r="C148">
        <f>IFERROR(__xludf.DUMMYFUNCTION("""COMPUTED_VALUE"""),"00002")</f>
        <v/>
      </c>
      <c r="D148">
        <f>IFERROR(__xludf.DUMMYFUNCTION("""COMPUTED_VALUE"""),"chara_mar_00002")</f>
        <v/>
      </c>
      <c r="E148">
        <f>IFERROR(__xludf.DUMMYFUNCTION("""COMPUTED_VALUE"""),"下呂 ヒカル（ドレスアップ）")</f>
        <v/>
      </c>
      <c r="F148">
        <f>IFERROR(__xludf.DUMMYFUNCTION("""COMPUTED_VALUE"""),"選定中")</f>
        <v/>
      </c>
      <c r="H148">
        <f>IFERROR(__xludf.DUMMYFUNCTION("""COMPUTED_VALUE"""),"SR")</f>
        <v/>
      </c>
      <c r="I148">
        <f>IFERROR(__xludf.DUMMYFUNCTION("""COMPUTED_VALUE"""),"DropSR")</f>
        <v/>
      </c>
      <c r="J148">
        <f>IFERROR(__xludf.DUMMYFUNCTION("""COMPUTED_VALUE"""),"青")</f>
        <v/>
      </c>
      <c r="K148">
        <f>IFERROR(__xludf.DUMMYFUNCTION("""COMPUTED_VALUE"""),"chara")</f>
        <v/>
      </c>
      <c r="L148">
        <f>IFERROR(__xludf.DUMMYFUNCTION("""COMPUTED_VALUE"""),"テクニカル")</f>
        <v/>
      </c>
    </row>
    <row r="149">
      <c r="A149">
        <f>IFERROR(__xludf.DUMMYFUNCTION("""COMPUTED_VALUE"""),"mar")</f>
        <v/>
      </c>
      <c r="B149">
        <f>IFERROR(__xludf.DUMMYFUNCTION("""COMPUTED_VALUE"""),"マリッジトキシン")</f>
        <v/>
      </c>
      <c r="C149">
        <f>IFERROR(__xludf.DUMMYFUNCTION("""COMPUTED_VALUE"""),"00101")</f>
        <v/>
      </c>
      <c r="D149">
        <f>IFERROR(__xludf.DUMMYFUNCTION("""COMPUTED_VALUE"""),"chara_mar_00101")</f>
        <v/>
      </c>
      <c r="E149">
        <f>IFERROR(__xludf.DUMMYFUNCTION("""COMPUTED_VALUE"""),"城崎 メイ")</f>
        <v/>
      </c>
      <c r="F149">
        <f>IFERROR(__xludf.DUMMYFUNCTION("""COMPUTED_VALUE"""),"城崎 メイ")</f>
        <v/>
      </c>
      <c r="G149">
        <f>IFERROR(__xludf.DUMMYFUNCTION("""COMPUTED_VALUE"""),"そんな提案初めて")</f>
        <v/>
      </c>
      <c r="H149">
        <f>IFERROR(__xludf.DUMMYFUNCTION("""COMPUTED_VALUE"""),"SSR")</f>
        <v/>
      </c>
      <c r="I149">
        <f>IFERROR(__xludf.DUMMYFUNCTION("""COMPUTED_VALUE"""),"PremiumSSR")</f>
        <v/>
      </c>
      <c r="J149">
        <f>IFERROR(__xludf.DUMMYFUNCTION("""COMPUTED_VALUE"""),"黄")</f>
        <v/>
      </c>
      <c r="K149">
        <f>IFERROR(__xludf.DUMMYFUNCTION("""COMPUTED_VALUE"""),"chara")</f>
        <v/>
      </c>
      <c r="L149">
        <f>IFERROR(__xludf.DUMMYFUNCTION("""COMPUTED_VALUE"""),"サポート")</f>
        <v/>
      </c>
      <c r="M149">
        <f>IFERROR(__xludf.DUMMYFUNCTION("""COMPUTED_VALUE"""),"dageki_1")</f>
        <v/>
      </c>
      <c r="O149">
        <f>IFERROR(__xludf.DUMMYFUNCTION("""COMPUTED_VALUE"""),"-")</f>
        <v/>
      </c>
      <c r="Q149">
        <f>IFERROR(__xludf.DUMMYFUNCTION("""COMPUTED_VALUE"""),"1.37")</f>
        <v/>
      </c>
      <c r="R149">
        <f>IFERROR(__xludf.DUMMYFUNCTION("""COMPUTED_VALUE"""),"stop有 :1回目 0.65")</f>
        <v/>
      </c>
      <c r="S149">
        <f>IFERROR(__xludf.DUMMYFUNCTION("""COMPUTED_VALUE"""),"2.67")</f>
        <v/>
      </c>
      <c r="T149">
        <f>IFERROR(__xludf.DUMMYFUNCTION("""COMPUTED_VALUE"""),"stop有 :1回目 0.83")</f>
        <v/>
      </c>
      <c r="U149">
        <f>IFERROR(__xludf.DUMMYFUNCTION("""COMPUTED_VALUE"""),"2026/04/中旬")</f>
        <v/>
      </c>
      <c r="V149">
        <f>IFERROR(__xludf.DUMMYFUNCTION("""COMPUTED_VALUE"""),390812.49998842593)</f>
        <v/>
      </c>
      <c r="W149">
        <f>IFERROR(__xludf.DUMMYFUNCTION("""COMPUTED_VALUE"""),"catchcopy_character_chara_mar_00101.png")</f>
        <v/>
      </c>
      <c r="X149">
        <f>IFERROR(__xludf.DUMMYFUNCTION("""COMPUTED_VALUE"""),"enemy_icon_chara_mar_00101")</f>
        <v/>
      </c>
      <c r="Y149">
        <f>IFERROR(__xludf.DUMMYFUNCTION("""COMPUTED_VALUE"""),"boss_icon_chara_mar_00101")</f>
        <v/>
      </c>
    </row>
    <row r="150">
      <c r="A150">
        <f>IFERROR(__xludf.DUMMYFUNCTION("""COMPUTED_VALUE"""),"mar")</f>
        <v/>
      </c>
      <c r="B150">
        <f>IFERROR(__xludf.DUMMYFUNCTION("""COMPUTED_VALUE"""),"マリッジトキシン")</f>
        <v/>
      </c>
      <c r="C150">
        <f>IFERROR(__xludf.DUMMYFUNCTION("""COMPUTED_VALUE"""),"00201")</f>
        <v/>
      </c>
      <c r="D150">
        <f>IFERROR(__xludf.DUMMYFUNCTION("""COMPUTED_VALUE"""),"chara_mar_00201")</f>
        <v/>
      </c>
      <c r="E150">
        <f>IFERROR(__xludf.DUMMYFUNCTION("""COMPUTED_VALUE"""),"姫川 杏子")</f>
        <v/>
      </c>
      <c r="F150">
        <f>IFERROR(__xludf.DUMMYFUNCTION("""COMPUTED_VALUE"""),"姫川 杏子")</f>
        <v/>
      </c>
      <c r="G150">
        <f>IFERROR(__xludf.DUMMYFUNCTION("""COMPUTED_VALUE"""),"サメフレのサメ重")</f>
        <v/>
      </c>
      <c r="H150">
        <f>IFERROR(__xludf.DUMMYFUNCTION("""COMPUTED_VALUE"""),"SR")</f>
        <v/>
      </c>
      <c r="I150">
        <f>IFERROR(__xludf.DUMMYFUNCTION("""COMPUTED_VALUE"""),"DropSR")</f>
        <v/>
      </c>
      <c r="J150">
        <f>IFERROR(__xludf.DUMMYFUNCTION("""COMPUTED_VALUE"""),"青")</f>
        <v/>
      </c>
      <c r="K150">
        <f>IFERROR(__xludf.DUMMYFUNCTION("""COMPUTED_VALUE"""),"chara")</f>
        <v/>
      </c>
      <c r="L150">
        <f>IFERROR(__xludf.DUMMYFUNCTION("""COMPUTED_VALUE"""),"ディフェンス")</f>
        <v/>
      </c>
      <c r="M150">
        <f>IFERROR(__xludf.DUMMYFUNCTION("""COMPUTED_VALUE"""),"dageki_1")</f>
        <v/>
      </c>
      <c r="O150">
        <f>IFERROR(__xludf.DUMMYFUNCTION("""COMPUTED_VALUE"""),"dageki_1")</f>
        <v/>
      </c>
      <c r="Q150">
        <f>IFERROR(__xludf.DUMMYFUNCTION("""COMPUTED_VALUE"""),"1.37")</f>
        <v/>
      </c>
      <c r="R150">
        <f>IFERROR(__xludf.DUMMYFUNCTION("""COMPUTED_VALUE"""),"stop有 :1回目 0.6")</f>
        <v/>
      </c>
      <c r="S150">
        <f>IFERROR(__xludf.DUMMYFUNCTION("""COMPUTED_VALUE"""),"2.51")</f>
        <v/>
      </c>
      <c r="T150">
        <f>IFERROR(__xludf.DUMMYFUNCTION("""COMPUTED_VALUE"""),"stop有 :1回目 1.0")</f>
        <v/>
      </c>
      <c r="U150">
        <f>IFERROR(__xludf.DUMMYFUNCTION("""COMPUTED_VALUE"""),"2026/04/中旬")</f>
        <v/>
      </c>
      <c r="V150">
        <f>IFERROR(__xludf.DUMMYFUNCTION("""COMPUTED_VALUE"""),390812.49998842593)</f>
        <v/>
      </c>
      <c r="W150">
        <f>IFERROR(__xludf.DUMMYFUNCTION("""COMPUTED_VALUE"""),"catchcopy_character_chara_mar_00201.png")</f>
        <v/>
      </c>
      <c r="X150">
        <f>IFERROR(__xludf.DUMMYFUNCTION("""COMPUTED_VALUE"""),"enemy_icon_chara_mar_00201")</f>
        <v/>
      </c>
      <c r="Y150">
        <f>IFERROR(__xludf.DUMMYFUNCTION("""COMPUTED_VALUE"""),"boss_icon_chara_mar_00201")</f>
        <v/>
      </c>
    </row>
    <row r="151">
      <c r="A151">
        <f>IFERROR(__xludf.DUMMYFUNCTION("""COMPUTED_VALUE"""),"mar")</f>
        <v/>
      </c>
      <c r="B151">
        <f>IFERROR(__xludf.DUMMYFUNCTION("""COMPUTED_VALUE"""),"マリッジトキシン")</f>
        <v/>
      </c>
      <c r="C151">
        <f>IFERROR(__xludf.DUMMYFUNCTION("""COMPUTED_VALUE"""),"00301")</f>
        <v/>
      </c>
      <c r="D151">
        <f>IFERROR(__xludf.DUMMYFUNCTION("""COMPUTED_VALUE"""),"chara_mar_00301")</f>
        <v/>
      </c>
      <c r="E151">
        <f>IFERROR(__xludf.DUMMYFUNCTION("""COMPUTED_VALUE"""),"嬉野 シオリ")</f>
        <v/>
      </c>
      <c r="F151">
        <f>IFERROR(__xludf.DUMMYFUNCTION("""COMPUTED_VALUE"""),"選定中")</f>
        <v/>
      </c>
      <c r="H151">
        <f>IFERROR(__xludf.DUMMYFUNCTION("""COMPUTED_VALUE"""),"SR")</f>
        <v/>
      </c>
      <c r="I151">
        <f>IFERROR(__xludf.DUMMYFUNCTION("""COMPUTED_VALUE"""),"DropSR")</f>
        <v/>
      </c>
      <c r="J151">
        <f>IFERROR(__xludf.DUMMYFUNCTION("""COMPUTED_VALUE"""),"青")</f>
        <v/>
      </c>
      <c r="K151">
        <f>IFERROR(__xludf.DUMMYFUNCTION("""COMPUTED_VALUE"""),"chara")</f>
        <v/>
      </c>
      <c r="L151">
        <f>IFERROR(__xludf.DUMMYFUNCTION("""COMPUTED_VALUE"""),"ディフェンス")</f>
        <v/>
      </c>
      <c r="U151">
        <f>IFERROR(__xludf.DUMMYFUNCTION("""COMPUTED_VALUE"""),"2026/04/中旬")</f>
        <v/>
      </c>
      <c r="V151">
        <f>IFERROR(__xludf.DUMMYFUNCTION("""COMPUTED_VALUE"""),390812.49998842593)</f>
        <v/>
      </c>
      <c r="W151">
        <f>IFERROR(__xludf.DUMMYFUNCTION("""COMPUTED_VALUE"""),"catchcopy_character_chara_mar_00301.png")</f>
        <v/>
      </c>
      <c r="X151">
        <f>IFERROR(__xludf.DUMMYFUNCTION("""COMPUTED_VALUE"""),"enemy_icon_chara_mar_00301")</f>
        <v/>
      </c>
      <c r="Y151">
        <f>IFERROR(__xludf.DUMMYFUNCTION("""COMPUTED_VALUE"""),"boss_icon_chara_mar_00301")</f>
        <v/>
      </c>
    </row>
    <row r="152">
      <c r="A152">
        <f>IFERROR(__xludf.DUMMYFUNCTION("""COMPUTED_VALUE"""),"mar")</f>
        <v/>
      </c>
      <c r="B152">
        <f>IFERROR(__xludf.DUMMYFUNCTION("""COMPUTED_VALUE"""),"マリッジトキシン")</f>
        <v/>
      </c>
      <c r="C152">
        <f>IFERROR(__xludf.DUMMYFUNCTION("""COMPUTED_VALUE"""),"00401")</f>
        <v/>
      </c>
      <c r="D152">
        <f>IFERROR(__xludf.DUMMYFUNCTION("""COMPUTED_VALUE"""),"chara_mar_00401")</f>
        <v/>
      </c>
      <c r="E152">
        <f>IFERROR(__xludf.DUMMYFUNCTION("""COMPUTED_VALUE"""),"鳴子")</f>
        <v/>
      </c>
      <c r="F152">
        <f>IFERROR(__xludf.DUMMYFUNCTION("""COMPUTED_VALUE"""),"音使い 鳴子")</f>
        <v/>
      </c>
      <c r="G152">
        <f>IFERROR(__xludf.DUMMYFUNCTION("""COMPUTED_VALUE"""),"変性血統＋＋【谺】")</f>
        <v/>
      </c>
      <c r="H152">
        <f>IFERROR(__xludf.DUMMYFUNCTION("""COMPUTED_VALUE"""),"SR")</f>
        <v/>
      </c>
      <c r="I152">
        <f>IFERROR(__xludf.DUMMYFUNCTION("""COMPUTED_VALUE"""),"DropSR")</f>
        <v/>
      </c>
      <c r="J152">
        <f>IFERROR(__xludf.DUMMYFUNCTION("""COMPUTED_VALUE"""),"赤")</f>
        <v/>
      </c>
      <c r="K152">
        <f>IFERROR(__xludf.DUMMYFUNCTION("""COMPUTED_VALUE"""),"chara")</f>
        <v/>
      </c>
      <c r="L152">
        <f>IFERROR(__xludf.DUMMYFUNCTION("""COMPUTED_VALUE"""),"テクニカル")</f>
        <v/>
      </c>
      <c r="M152">
        <f>IFERROR(__xludf.DUMMYFUNCTION("""COMPUTED_VALUE"""),"shageki_1")</f>
        <v/>
      </c>
      <c r="O152">
        <f>IFERROR(__xludf.DUMMYFUNCTION("""COMPUTED_VALUE"""),"zangeki_1")</f>
        <v/>
      </c>
      <c r="Q152">
        <f>IFERROR(__xludf.DUMMYFUNCTION("""COMPUTED_VALUE"""),"2.23")</f>
        <v/>
      </c>
      <c r="R152">
        <f>IFERROR(__xludf.DUMMYFUNCTION("""COMPUTED_VALUE"""),"stop有 :1回目 1")</f>
        <v/>
      </c>
      <c r="S152">
        <f>IFERROR(__xludf.DUMMYFUNCTION("""COMPUTED_VALUE"""),"2.27")</f>
        <v/>
      </c>
      <c r="T152">
        <f>IFERROR(__xludf.DUMMYFUNCTION("""COMPUTED_VALUE"""),"stop有 :1回目 1.5")</f>
        <v/>
      </c>
      <c r="U152">
        <f>IFERROR(__xludf.DUMMYFUNCTION("""COMPUTED_VALUE"""),"2026/04/中旬")</f>
        <v/>
      </c>
      <c r="V152">
        <f>IFERROR(__xludf.DUMMYFUNCTION("""COMPUTED_VALUE"""),390812.49998842593)</f>
        <v/>
      </c>
      <c r="W152">
        <f>IFERROR(__xludf.DUMMYFUNCTION("""COMPUTED_VALUE"""),"catchcopy_character_chara_mar_00401.png")</f>
        <v/>
      </c>
      <c r="X152">
        <f>IFERROR(__xludf.DUMMYFUNCTION("""COMPUTED_VALUE"""),"enemy_icon_chara_mar_00401")</f>
        <v/>
      </c>
      <c r="Y152">
        <f>IFERROR(__xludf.DUMMYFUNCTION("""COMPUTED_VALUE"""),"boss_icon_chara_mar_00401")</f>
        <v/>
      </c>
    </row>
    <row r="153">
      <c r="A153">
        <f>IFERROR(__xludf.DUMMYFUNCTION("""COMPUTED_VALUE"""),"sib")</f>
        <v/>
      </c>
      <c r="B153">
        <f>IFERROR(__xludf.DUMMYFUNCTION("""COMPUTED_VALUE"""),"シバつき物件")</f>
        <v/>
      </c>
      <c r="C153">
        <f>IFERROR(__xludf.DUMMYFUNCTION("""COMPUTED_VALUE"""),"00001")</f>
        <v/>
      </c>
      <c r="D153">
        <f>IFERROR(__xludf.DUMMYFUNCTION("""COMPUTED_VALUE"""),"chara_sib_00001")</f>
        <v/>
      </c>
      <c r="E153">
        <f>IFERROR(__xludf.DUMMYFUNCTION("""COMPUTED_VALUE"""),"百瀬 氷")</f>
        <v/>
      </c>
      <c r="F153">
        <f>IFERROR(__xludf.DUMMYFUNCTION("""COMPUTED_VALUE"""),"監修中")</f>
        <v/>
      </c>
      <c r="H153">
        <f>IFERROR(__xludf.DUMMYFUNCTION("""COMPUTED_VALUE"""),"UR")</f>
        <v/>
      </c>
      <c r="I153">
        <f>IFERROR(__xludf.DUMMYFUNCTION("""COMPUTED_VALUE"""),"PremiumUR")</f>
        <v/>
      </c>
      <c r="J153">
        <f>IFERROR(__xludf.DUMMYFUNCTION("""COMPUTED_VALUE"""),"黄")</f>
        <v/>
      </c>
      <c r="K153">
        <f>IFERROR(__xludf.DUMMYFUNCTION("""COMPUTED_VALUE"""),"chara")</f>
        <v/>
      </c>
      <c r="L153">
        <f>IFERROR(__xludf.DUMMYFUNCTION("""COMPUTED_VALUE"""),"ディフェンス")</f>
        <v/>
      </c>
      <c r="Q153">
        <f>IFERROR(__xludf.DUMMYFUNCTION("""COMPUTED_VALUE"""),"1.37")</f>
        <v/>
      </c>
      <c r="R153">
        <f>IFERROR(__xludf.DUMMYFUNCTION("""COMPUTED_VALUE"""),"stop有 :1回目 0.43")</f>
        <v/>
      </c>
      <c r="S153">
        <f>IFERROR(__xludf.DUMMYFUNCTION("""COMPUTED_VALUE"""),"2.5")</f>
        <v/>
      </c>
      <c r="T153">
        <f>IFERROR(__xludf.DUMMYFUNCTION("""COMPUTED_VALUE"""),"stop無 :1回目 0.96")</f>
        <v/>
      </c>
      <c r="U153">
        <f>IFERROR(__xludf.DUMMYFUNCTION("""COMPUTED_VALUE"""),"2026/04/中旬")</f>
        <v/>
      </c>
      <c r="V153">
        <f>IFERROR(__xludf.DUMMYFUNCTION("""COMPUTED_VALUE"""),390812.49998842593)</f>
        <v/>
      </c>
      <c r="W153">
        <f>IFERROR(__xludf.DUMMYFUNCTION("""COMPUTED_VALUE"""),"catchcopy_character_chara_sib_00001.png")</f>
        <v/>
      </c>
      <c r="X153">
        <f>IFERROR(__xludf.DUMMYFUNCTION("""COMPUTED_VALUE"""),"enemy_icon_chara_sib_00001")</f>
        <v/>
      </c>
      <c r="Y153">
        <f>IFERROR(__xludf.DUMMYFUNCTION("""COMPUTED_VALUE"""),"boss_icon_chara_sib_00001")</f>
        <v/>
      </c>
    </row>
    <row r="154">
      <c r="A154">
        <f>IFERROR(__xludf.DUMMYFUNCTION("""COMPUTED_VALUE"""),"nek")</f>
        <v/>
      </c>
      <c r="B154">
        <f>IFERROR(__xludf.DUMMYFUNCTION("""COMPUTED_VALUE"""),"猫田びより")</f>
        <v/>
      </c>
      <c r="C154">
        <f>IFERROR(__xludf.DUMMYFUNCTION("""COMPUTED_VALUE"""),"00001")</f>
        <v/>
      </c>
      <c r="D154">
        <f>IFERROR(__xludf.DUMMYFUNCTION("""COMPUTED_VALUE"""),"chara_nek_00001")</f>
        <v/>
      </c>
      <c r="E154">
        <f>IFERROR(__xludf.DUMMYFUNCTION("""COMPUTED_VALUE"""),"猫田さん")</f>
        <v/>
      </c>
      <c r="F154">
        <f>IFERROR(__xludf.DUMMYFUNCTION("""COMPUTED_VALUE"""),"猫田さん")</f>
        <v/>
      </c>
      <c r="G154">
        <f>IFERROR(__xludf.DUMMYFUNCTION("""COMPUTED_VALUE"""),"何も生み出せない事を教えてやるぜ")</f>
        <v/>
      </c>
      <c r="H154">
        <f>IFERROR(__xludf.DUMMYFUNCTION("""COMPUTED_VALUE"""),"SSR")</f>
        <v/>
      </c>
      <c r="I154">
        <f>IFERROR(__xludf.DUMMYFUNCTION("""COMPUTED_VALUE"""),"PremiumSSR")</f>
        <v/>
      </c>
      <c r="J154">
        <f>IFERROR(__xludf.DUMMYFUNCTION("""COMPUTED_VALUE"""),"黄")</f>
        <v/>
      </c>
      <c r="K154">
        <f>IFERROR(__xludf.DUMMYFUNCTION("""COMPUTED_VALUE"""),"chara")</f>
        <v/>
      </c>
      <c r="L154">
        <f>IFERROR(__xludf.DUMMYFUNCTION("""COMPUTED_VALUE"""),"アタック")</f>
        <v/>
      </c>
      <c r="M154">
        <f>IFERROR(__xludf.DUMMYFUNCTION("""COMPUTED_VALUE"""),"dageki_1")</f>
        <v/>
      </c>
      <c r="O154">
        <f>IFERROR(__xludf.DUMMYFUNCTION("""COMPUTED_VALUE"""),"dageki_1")</f>
        <v/>
      </c>
      <c r="Q154">
        <f>IFERROR(__xludf.DUMMYFUNCTION("""COMPUTED_VALUE"""),"1.37")</f>
        <v/>
      </c>
      <c r="R154">
        <f>IFERROR(__xludf.DUMMYFUNCTION("""COMPUTED_VALUE"""),"stop有 :1回目 0.5")</f>
        <v/>
      </c>
      <c r="S154">
        <f>IFERROR(__xludf.DUMMYFUNCTION("""COMPUTED_VALUE"""),"1.9")</f>
        <v/>
      </c>
      <c r="T154">
        <f>IFERROR(__xludf.DUMMYFUNCTION("""COMPUTED_VALUE"""),"stop有 :1回目 0.85")</f>
        <v/>
      </c>
      <c r="U154">
        <f>IFERROR(__xludf.DUMMYFUNCTION("""COMPUTED_VALUE"""),"2026/04/中旬")</f>
        <v/>
      </c>
      <c r="V154">
        <f>IFERROR(__xludf.DUMMYFUNCTION("""COMPUTED_VALUE"""),390812.49998842593)</f>
        <v/>
      </c>
      <c r="W154">
        <f>IFERROR(__xludf.DUMMYFUNCTION("""COMPUTED_VALUE"""),"catchcopy_character_chara_nek_00001.png")</f>
        <v/>
      </c>
      <c r="X154">
        <f>IFERROR(__xludf.DUMMYFUNCTION("""COMPUTED_VALUE"""),"enemy_icon_chara_nek_00001")</f>
        <v/>
      </c>
      <c r="Y154">
        <f>IFERROR(__xludf.DUMMYFUNCTION("""COMPUTED_VALUE"""),"boss_icon_chara_nek_00001")</f>
        <v/>
      </c>
    </row>
    <row r="155">
      <c r="A155">
        <f>IFERROR(__xludf.DUMMYFUNCTION("""COMPUTED_VALUE"""),"mad")</f>
        <v/>
      </c>
      <c r="B155">
        <f>IFERROR(__xludf.DUMMYFUNCTION("""COMPUTED_VALUE"""),"MAD")</f>
        <v/>
      </c>
      <c r="C155">
        <f>IFERROR(__xludf.DUMMYFUNCTION("""COMPUTED_VALUE"""),"00001")</f>
        <v/>
      </c>
      <c r="D155">
        <f>IFERROR(__xludf.DUMMYFUNCTION("""COMPUTED_VALUE"""),"chara_mad_00001")</f>
        <v/>
      </c>
      <c r="E155">
        <f>IFERROR(__xludf.DUMMYFUNCTION("""COMPUTED_VALUE"""),"ジョン（エイリアン形態）")</f>
        <v/>
      </c>
      <c r="F155">
        <f>IFERROR(__xludf.DUMMYFUNCTION("""COMPUTED_VALUE"""),"選定中")</f>
        <v/>
      </c>
      <c r="H155">
        <f>IFERROR(__xludf.DUMMYFUNCTION("""COMPUTED_VALUE"""),"UR")</f>
        <v/>
      </c>
      <c r="I155">
        <f>IFERROR(__xludf.DUMMYFUNCTION("""COMPUTED_VALUE"""),"PremiumUR")</f>
        <v/>
      </c>
      <c r="J155">
        <f>IFERROR(__xludf.DUMMYFUNCTION("""COMPUTED_VALUE"""),"青")</f>
        <v/>
      </c>
      <c r="K155">
        <f>IFERROR(__xludf.DUMMYFUNCTION("""COMPUTED_VALUE"""),"chara")</f>
        <v/>
      </c>
      <c r="L155">
        <f>IFERROR(__xludf.DUMMYFUNCTION("""COMPUTED_VALUE"""),"アタック")</f>
        <v/>
      </c>
      <c r="Q155">
        <f>IFERROR(__xludf.DUMMYFUNCTION("""COMPUTED_VALUE"""),"1.17")</f>
        <v/>
      </c>
      <c r="R155">
        <f>IFERROR(__xludf.DUMMYFUNCTION("""COMPUTED_VALUE"""),"stop有 :1回目 0.3")</f>
        <v/>
      </c>
      <c r="S155">
        <f>IFERROR(__xludf.DUMMYFUNCTION("""COMPUTED_VALUE"""),"3.33")</f>
        <v/>
      </c>
      <c r="T155">
        <f>IFERROR(__xludf.DUMMYFUNCTION("""COMPUTED_VALUE"""),"stop有 :1回目 0.75")</f>
        <v/>
      </c>
      <c r="U155">
        <f>IFERROR(__xludf.DUMMYFUNCTION("""COMPUTED_VALUE"""),"2026/06/上旬")</f>
        <v/>
      </c>
      <c r="V155">
        <f>IFERROR(__xludf.DUMMYFUNCTION("""COMPUTED_VALUE"""),390812.49998842593)</f>
        <v/>
      </c>
      <c r="W155">
        <f>IFERROR(__xludf.DUMMYFUNCTION("""COMPUTED_VALUE"""),"catchcopy_character_chara_mad_00001.png")</f>
        <v/>
      </c>
      <c r="X155">
        <f>IFERROR(__xludf.DUMMYFUNCTION("""COMPUTED_VALUE"""),"enemy_icon_chara_mad_00001")</f>
        <v/>
      </c>
      <c r="Y155">
        <f>IFERROR(__xludf.DUMMYFUNCTION("""COMPUTED_VALUE"""),"boss_icon_chara_mad_00001")</f>
        <v/>
      </c>
    </row>
    <row r="156">
      <c r="A156">
        <f>IFERROR(__xludf.DUMMYFUNCTION("""COMPUTED_VALUE"""),"mad")</f>
        <v/>
      </c>
      <c r="B156">
        <f>IFERROR(__xludf.DUMMYFUNCTION("""COMPUTED_VALUE"""),"MAD")</f>
        <v/>
      </c>
      <c r="C156">
        <f>IFERROR(__xludf.DUMMYFUNCTION("""COMPUTED_VALUE"""),"00101")</f>
        <v/>
      </c>
      <c r="D156">
        <f>IFERROR(__xludf.DUMMYFUNCTION("""COMPUTED_VALUE"""),"chara_mad_00101")</f>
        <v/>
      </c>
      <c r="E156">
        <f>IFERROR(__xludf.DUMMYFUNCTION("""COMPUTED_VALUE"""),"パノ")</f>
        <v/>
      </c>
      <c r="F156">
        <f>IFERROR(__xludf.DUMMYFUNCTION("""COMPUTED_VALUE"""),"選定中")</f>
        <v/>
      </c>
      <c r="H156">
        <f>IFERROR(__xludf.DUMMYFUNCTION("""COMPUTED_VALUE"""),"UR")</f>
        <v/>
      </c>
      <c r="I156">
        <f>IFERROR(__xludf.DUMMYFUNCTION("""COMPUTED_VALUE"""),"PremiumUR")</f>
        <v/>
      </c>
      <c r="J156">
        <f>IFERROR(__xludf.DUMMYFUNCTION("""COMPUTED_VALUE"""),"赤")</f>
        <v/>
      </c>
      <c r="K156">
        <f>IFERROR(__xludf.DUMMYFUNCTION("""COMPUTED_VALUE"""),"chara")</f>
        <v/>
      </c>
      <c r="L156">
        <f>IFERROR(__xludf.DUMMYFUNCTION("""COMPUTED_VALUE"""),"アタック")</f>
        <v/>
      </c>
      <c r="Q156">
        <f>IFERROR(__xludf.DUMMYFUNCTION("""COMPUTED_VALUE"""),"1.23")</f>
        <v/>
      </c>
      <c r="R156">
        <f>IFERROR(__xludf.DUMMYFUNCTION("""COMPUTED_VALUE"""),"0.4")</f>
        <v/>
      </c>
      <c r="S156">
        <f>IFERROR(__xludf.DUMMYFUNCTION("""COMPUTED_VALUE"""),"3.17")</f>
        <v/>
      </c>
      <c r="T156">
        <f>IFERROR(__xludf.DUMMYFUNCTION("""COMPUTED_VALUE"""),"stop有 :1回目 1")</f>
        <v/>
      </c>
      <c r="U156">
        <f>IFERROR(__xludf.DUMMYFUNCTION("""COMPUTED_VALUE"""),"2026/06/上旬")</f>
        <v/>
      </c>
      <c r="V156">
        <f>IFERROR(__xludf.DUMMYFUNCTION("""COMPUTED_VALUE"""),390812.49998842593)</f>
        <v/>
      </c>
      <c r="W156">
        <f>IFERROR(__xludf.DUMMYFUNCTION("""COMPUTED_VALUE"""),"catchcopy_character_chara_mad_00101.png")</f>
        <v/>
      </c>
      <c r="X156">
        <f>IFERROR(__xludf.DUMMYFUNCTION("""COMPUTED_VALUE"""),"enemy_icon_chara_mad_00101")</f>
        <v/>
      </c>
      <c r="Y156">
        <f>IFERROR(__xludf.DUMMYFUNCTION("""COMPUTED_VALUE"""),"boss_icon_chara_mad_00101")</f>
        <v/>
      </c>
    </row>
    <row r="157">
      <c r="A157">
        <f>IFERROR(__xludf.DUMMYFUNCTION("""COMPUTED_VALUE"""),"mad")</f>
        <v/>
      </c>
      <c r="B157">
        <f>IFERROR(__xludf.DUMMYFUNCTION("""COMPUTED_VALUE"""),"MAD")</f>
        <v/>
      </c>
      <c r="C157">
        <f>IFERROR(__xludf.DUMMYFUNCTION("""COMPUTED_VALUE"""),"00201")</f>
        <v/>
      </c>
      <c r="D157">
        <f>IFERROR(__xludf.DUMMYFUNCTION("""COMPUTED_VALUE"""),"chara_mad_00201")</f>
        <v/>
      </c>
      <c r="E157">
        <f>IFERROR(__xludf.DUMMYFUNCTION("""COMPUTED_VALUE"""),"アルダ")</f>
        <v/>
      </c>
      <c r="F157">
        <f>IFERROR(__xludf.DUMMYFUNCTION("""COMPUTED_VALUE"""),"選定中")</f>
        <v/>
      </c>
      <c r="H157">
        <f>IFERROR(__xludf.DUMMYFUNCTION("""COMPUTED_VALUE"""),"SR")</f>
        <v/>
      </c>
      <c r="I157">
        <f>IFERROR(__xludf.DUMMYFUNCTION("""COMPUTED_VALUE"""),"DropSR")</f>
        <v/>
      </c>
      <c r="J157">
        <f>IFERROR(__xludf.DUMMYFUNCTION("""COMPUTED_VALUE"""),"赤")</f>
        <v/>
      </c>
      <c r="K157">
        <f>IFERROR(__xludf.DUMMYFUNCTION("""COMPUTED_VALUE"""),"chara")</f>
        <v/>
      </c>
      <c r="L157">
        <f>IFERROR(__xludf.DUMMYFUNCTION("""COMPUTED_VALUE"""),"ディフェンス")</f>
        <v/>
      </c>
      <c r="Q157">
        <f>IFERROR(__xludf.DUMMYFUNCTION("""COMPUTED_VALUE"""),"1.33")</f>
        <v/>
      </c>
      <c r="R157">
        <f>IFERROR(__xludf.DUMMYFUNCTION("""COMPUTED_VALUE"""),"stop有 :1回目 0.43")</f>
        <v/>
      </c>
      <c r="S157">
        <f>IFERROR(__xludf.DUMMYFUNCTION("""COMPUTED_VALUE"""),"2.4")</f>
        <v/>
      </c>
      <c r="T157">
        <f>IFERROR(__xludf.DUMMYFUNCTION("""COMPUTED_VALUE"""),"stop無:1回目 0.26
stop無:2回目 0.4
stop有:3回目 1.23")</f>
        <v/>
      </c>
      <c r="U157">
        <f>IFERROR(__xludf.DUMMYFUNCTION("""COMPUTED_VALUE"""),"2026/06/上旬")</f>
        <v/>
      </c>
      <c r="V157">
        <f>IFERROR(__xludf.DUMMYFUNCTION("""COMPUTED_VALUE"""),390812.49998842593)</f>
        <v/>
      </c>
      <c r="W157">
        <f>IFERROR(__xludf.DUMMYFUNCTION("""COMPUTED_VALUE"""),"catchcopy_character_chara_mad_00201.png")</f>
        <v/>
      </c>
      <c r="X157">
        <f>IFERROR(__xludf.DUMMYFUNCTION("""COMPUTED_VALUE"""),"enemy_icon_chara_mad_00201")</f>
        <v/>
      </c>
      <c r="Y157">
        <f>IFERROR(__xludf.DUMMYFUNCTION("""COMPUTED_VALUE"""),"boss_icon_chara_mad_00201")</f>
        <v/>
      </c>
    </row>
    <row r="158">
      <c r="A158">
        <f>IFERROR(__xludf.DUMMYFUNCTION("""COMPUTED_VALUE"""),"mad")</f>
        <v/>
      </c>
      <c r="B158">
        <f>IFERROR(__xludf.DUMMYFUNCTION("""COMPUTED_VALUE"""),"MAD")</f>
        <v/>
      </c>
      <c r="C158">
        <f>IFERROR(__xludf.DUMMYFUNCTION("""COMPUTED_VALUE"""),"00301")</f>
        <v/>
      </c>
      <c r="D158">
        <f>IFERROR(__xludf.DUMMYFUNCTION("""COMPUTED_VALUE"""),"chara_mad_00301")</f>
        <v/>
      </c>
      <c r="E158">
        <f>IFERROR(__xludf.DUMMYFUNCTION("""COMPUTED_VALUE"""),"ボブ")</f>
        <v/>
      </c>
      <c r="F158">
        <f>IFERROR(__xludf.DUMMYFUNCTION("""COMPUTED_VALUE"""),"選定中")</f>
        <v/>
      </c>
      <c r="H158">
        <f>IFERROR(__xludf.DUMMYFUNCTION("""COMPUTED_VALUE"""),"SR")</f>
        <v/>
      </c>
      <c r="I158">
        <f>IFERROR(__xludf.DUMMYFUNCTION("""COMPUTED_VALUE"""),"DropSR")</f>
        <v/>
      </c>
      <c r="J158">
        <f>IFERROR(__xludf.DUMMYFUNCTION("""COMPUTED_VALUE"""),"緑")</f>
        <v/>
      </c>
      <c r="K158">
        <f>IFERROR(__xludf.DUMMYFUNCTION("""COMPUTED_VALUE"""),"chara")</f>
        <v/>
      </c>
      <c r="L158">
        <f>IFERROR(__xludf.DUMMYFUNCTION("""COMPUTED_VALUE"""),"サポート")</f>
        <v/>
      </c>
      <c r="Q158">
        <f>IFERROR(__xludf.DUMMYFUNCTION("""COMPUTED_VALUE"""),"1.72")</f>
        <v/>
      </c>
      <c r="R158">
        <f>IFERROR(__xludf.DUMMYFUNCTION("""COMPUTED_VALUE"""),"stop有 :1回目 0.71")</f>
        <v/>
      </c>
      <c r="S158">
        <f>IFERROR(__xludf.DUMMYFUNCTION("""COMPUTED_VALUE"""),"2.13")</f>
        <v/>
      </c>
      <c r="T158">
        <f>IFERROR(__xludf.DUMMYFUNCTION("""COMPUTED_VALUE"""),"stop無:1回目 0.5")</f>
        <v/>
      </c>
      <c r="U158">
        <f>IFERROR(__xludf.DUMMYFUNCTION("""COMPUTED_VALUE"""),"2026/06/上旬")</f>
        <v/>
      </c>
      <c r="V158">
        <f>IFERROR(__xludf.DUMMYFUNCTION("""COMPUTED_VALUE"""),390812.49998842593)</f>
        <v/>
      </c>
      <c r="W158">
        <f>IFERROR(__xludf.DUMMYFUNCTION("""COMPUTED_VALUE"""),"catchcopy_character_chara_mad_00301.png")</f>
        <v/>
      </c>
      <c r="X158">
        <f>IFERROR(__xludf.DUMMYFUNCTION("""COMPUTED_VALUE"""),"enemy_icon_chara_mad_00301")</f>
        <v/>
      </c>
      <c r="Y158">
        <f>IFERROR(__xludf.DUMMYFUNCTION("""COMPUTED_VALUE"""),"boss_icon_chara_mad_00301")</f>
        <v/>
      </c>
    </row>
    <row r="159">
      <c r="A159">
        <f>IFERROR(__xludf.DUMMYFUNCTION("""COMPUTED_VALUE"""),"syu")</f>
        <v/>
      </c>
      <c r="B159">
        <f>IFERROR(__xludf.DUMMYFUNCTION("""COMPUTED_VALUE"""),"終末のハーレム")</f>
        <v/>
      </c>
      <c r="C159">
        <f>IFERROR(__xludf.DUMMYFUNCTION("""COMPUTED_VALUE"""),"00001")</f>
        <v/>
      </c>
      <c r="D159">
        <f>IFERROR(__xludf.DUMMYFUNCTION("""COMPUTED_VALUE"""),"chara_syu_00001")</f>
        <v/>
      </c>
      <c r="E159">
        <f>IFERROR(__xludf.DUMMYFUNCTION("""COMPUTED_VALUE"""),"周防 美来")</f>
        <v/>
      </c>
      <c r="F159">
        <f>IFERROR(__xludf.DUMMYFUNCTION("""COMPUTED_VALUE"""),"選定中")</f>
        <v/>
      </c>
      <c r="H159">
        <f>IFERROR(__xludf.DUMMYFUNCTION("""COMPUTED_VALUE"""),"UR")</f>
        <v/>
      </c>
      <c r="I159">
        <f>IFERROR(__xludf.DUMMYFUNCTION("""COMPUTED_VALUE"""),"PremiumUR")</f>
        <v/>
      </c>
      <c r="J159">
        <f>IFERROR(__xludf.DUMMYFUNCTION("""COMPUTED_VALUE"""),"緑")</f>
        <v/>
      </c>
      <c r="K159">
        <f>IFERROR(__xludf.DUMMYFUNCTION("""COMPUTED_VALUE"""),"chara")</f>
        <v/>
      </c>
      <c r="L159">
        <f>IFERROR(__xludf.DUMMYFUNCTION("""COMPUTED_VALUE"""),"サポート")</f>
        <v/>
      </c>
      <c r="Q159">
        <f>IFERROR(__xludf.DUMMYFUNCTION("""COMPUTED_VALUE"""),"1.70")</f>
        <v/>
      </c>
      <c r="R159">
        <f>IFERROR(__xludf.DUMMYFUNCTION("""COMPUTED_VALUE"""),"stop有 :1回目 0.66")</f>
        <v/>
      </c>
      <c r="S159">
        <f>IFERROR(__xludf.DUMMYFUNCTION("""COMPUTED_VALUE"""),"3.1")</f>
        <v/>
      </c>
      <c r="T159">
        <f>IFERROR(__xludf.DUMMYFUNCTION("""COMPUTED_VALUE"""),"stop無:1回目 1.18")</f>
        <v/>
      </c>
      <c r="U159">
        <f>IFERROR(__xludf.DUMMYFUNCTION("""COMPUTED_VALUE"""),"2026/06/中旬")</f>
        <v/>
      </c>
      <c r="V159">
        <f>IFERROR(__xludf.DUMMYFUNCTION("""COMPUTED_VALUE"""),390812.49998842593)</f>
        <v/>
      </c>
      <c r="W159">
        <f>IFERROR(__xludf.DUMMYFUNCTION("""COMPUTED_VALUE"""),"catchcopy_character_chara_syu_00001.png")</f>
        <v/>
      </c>
      <c r="X159">
        <f>IFERROR(__xludf.DUMMYFUNCTION("""COMPUTED_VALUE"""),"enemy_icon_chara_syu_00001")</f>
        <v/>
      </c>
      <c r="Y159">
        <f>IFERROR(__xludf.DUMMYFUNCTION("""COMPUTED_VALUE"""),"boss_icon_chara_syu_00001")</f>
        <v/>
      </c>
    </row>
    <row r="160">
      <c r="A160">
        <f>IFERROR(__xludf.DUMMYFUNCTION("""COMPUTED_VALUE"""),"aft")</f>
        <v/>
      </c>
      <c r="B160">
        <f>IFERROR(__xludf.DUMMYFUNCTION("""COMPUTED_VALUE"""),"終末のハーレム After World")</f>
        <v/>
      </c>
      <c r="C160">
        <f>IFERROR(__xludf.DUMMYFUNCTION("""COMPUTED_VALUE"""),"00001")</f>
        <v/>
      </c>
      <c r="D160">
        <f>IFERROR(__xludf.DUMMYFUNCTION("""COMPUTED_VALUE"""),"chara_aft_00001")</f>
        <v/>
      </c>
      <c r="E160">
        <f>IFERROR(__xludf.DUMMYFUNCTION("""COMPUTED_VALUE"""),"溝下 乃薔薇")</f>
        <v/>
      </c>
      <c r="F160">
        <f>IFERROR(__xludf.DUMMYFUNCTION("""COMPUTED_VALUE"""),"選定中")</f>
        <v/>
      </c>
      <c r="H160">
        <f>IFERROR(__xludf.DUMMYFUNCTION("""COMPUTED_VALUE"""),"UR")</f>
        <v/>
      </c>
      <c r="I160">
        <f>IFERROR(__xludf.DUMMYFUNCTION("""COMPUTED_VALUE"""),"PremiumUR")</f>
        <v/>
      </c>
      <c r="J160">
        <f>IFERROR(__xludf.DUMMYFUNCTION("""COMPUTED_VALUE"""),"赤")</f>
        <v/>
      </c>
      <c r="K160">
        <f>IFERROR(__xludf.DUMMYFUNCTION("""COMPUTED_VALUE"""),"chara")</f>
        <v/>
      </c>
      <c r="L160">
        <f>IFERROR(__xludf.DUMMYFUNCTION("""COMPUTED_VALUE"""),"ディフェンス")</f>
        <v/>
      </c>
      <c r="Q160">
        <f>IFERROR(__xludf.DUMMYFUNCTION("""COMPUTED_VALUE"""),"1.75")</f>
        <v/>
      </c>
      <c r="R160">
        <f>IFERROR(__xludf.DUMMYFUNCTION("""COMPUTED_VALUE"""),"stop有:1回目 1.08")</f>
        <v/>
      </c>
      <c r="S160">
        <f>IFERROR(__xludf.DUMMYFUNCTION("""COMPUTED_VALUE"""),"3.63")</f>
        <v/>
      </c>
      <c r="T160">
        <f>IFERROR(__xludf.DUMMYFUNCTION("""COMPUTED_VALUE"""),"stop無:1回目 1.08")</f>
        <v/>
      </c>
      <c r="U160">
        <f>IFERROR(__xludf.DUMMYFUNCTION("""COMPUTED_VALUE"""),"2026/06/中旬")</f>
        <v/>
      </c>
      <c r="V160">
        <f>IFERROR(__xludf.DUMMYFUNCTION("""COMPUTED_VALUE"""),390812.49998842593)</f>
        <v/>
      </c>
      <c r="W160">
        <f>IFERROR(__xludf.DUMMYFUNCTION("""COMPUTED_VALUE"""),"catchcopy_character_chara_aft_00001.png")</f>
        <v/>
      </c>
      <c r="X160">
        <f>IFERROR(__xludf.DUMMYFUNCTION("""COMPUTED_VALUE"""),"enemy_icon_chara_aft_00001")</f>
        <v/>
      </c>
      <c r="Y160">
        <f>IFERROR(__xludf.DUMMYFUNCTION("""COMPUTED_VALUE"""),"boss_icon_chara_aft_00001")</f>
        <v/>
      </c>
    </row>
    <row r="161">
      <c r="A161">
        <f>IFERROR(__xludf.DUMMYFUNCTION("""COMPUTED_VALUE"""),"kut")</f>
        <v/>
      </c>
      <c r="B161">
        <f>IFERROR(__xludf.DUMMYFUNCTION("""COMPUTED_VALUE"""),"口が裂けても君には")</f>
        <v/>
      </c>
      <c r="C161">
        <f>IFERROR(__xludf.DUMMYFUNCTION("""COMPUTED_VALUE"""),"00001")</f>
        <v/>
      </c>
      <c r="D161">
        <f>IFERROR(__xludf.DUMMYFUNCTION("""COMPUTED_VALUE"""),"chara_kut_00001")</f>
        <v/>
      </c>
      <c r="E161">
        <f>IFERROR(__xludf.DUMMYFUNCTION("""COMPUTED_VALUE"""),"みろく")</f>
        <v/>
      </c>
      <c r="F161">
        <f>IFERROR(__xludf.DUMMYFUNCTION("""COMPUTED_VALUE"""),"選定中")</f>
        <v/>
      </c>
      <c r="H161">
        <f>IFERROR(__xludf.DUMMYFUNCTION("""COMPUTED_VALUE"""),"UR")</f>
        <v/>
      </c>
      <c r="I161">
        <f>IFERROR(__xludf.DUMMYFUNCTION("""COMPUTED_VALUE"""),"PremiumUR")</f>
        <v/>
      </c>
      <c r="J161">
        <f>IFERROR(__xludf.DUMMYFUNCTION("""COMPUTED_VALUE"""),"青")</f>
        <v/>
      </c>
      <c r="K161">
        <f>IFERROR(__xludf.DUMMYFUNCTION("""COMPUTED_VALUE"""),"chara")</f>
        <v/>
      </c>
      <c r="L161">
        <f>IFERROR(__xludf.DUMMYFUNCTION("""COMPUTED_VALUE"""),"テクニカル")</f>
        <v/>
      </c>
      <c r="Q161">
        <f>IFERROR(__xludf.DUMMYFUNCTION("""COMPUTED_VALUE"""),"1.67")</f>
        <v/>
      </c>
      <c r="R161">
        <f>IFERROR(__xludf.DUMMYFUNCTION("""COMPUTED_VALUE"""),"stop有:1回目 0.5")</f>
        <v/>
      </c>
      <c r="S161">
        <f>IFERROR(__xludf.DUMMYFUNCTION("""COMPUTED_VALUE"""),"3.43")</f>
        <v/>
      </c>
      <c r="T161">
        <f>IFERROR(__xludf.DUMMYFUNCTION("""COMPUTED_VALUE"""),"stop無:1回目 0.61")</f>
        <v/>
      </c>
      <c r="U161">
        <f>IFERROR(__xludf.DUMMYFUNCTION("""COMPUTED_VALUE"""),"2026/06/中旬")</f>
        <v/>
      </c>
      <c r="V161">
        <f>IFERROR(__xludf.DUMMYFUNCTION("""COMPUTED_VALUE"""),390812.49998842593)</f>
        <v/>
      </c>
      <c r="W161">
        <f>IFERROR(__xludf.DUMMYFUNCTION("""COMPUTED_VALUE"""),"catchcopy_character_chara_kut_00001.png")</f>
        <v/>
      </c>
      <c r="X161">
        <f>IFERROR(__xludf.DUMMYFUNCTION("""COMPUTED_VALUE"""),"enemy_icon_chara_kut_00001")</f>
        <v/>
      </c>
      <c r="Y161">
        <f>IFERROR(__xludf.DUMMYFUNCTION("""COMPUTED_VALUE"""),"boss_icon_chara_kut_00001")</f>
        <v/>
      </c>
    </row>
    <row r="162">
      <c r="A162">
        <f>IFERROR(__xludf.DUMMYFUNCTION("""COMPUTED_VALUE"""),"san")</f>
        <v/>
      </c>
      <c r="B162">
        <f>IFERROR(__xludf.DUMMYFUNCTION("""COMPUTED_VALUE"""),"サンキューピッチ")</f>
        <v/>
      </c>
      <c r="C162">
        <f>IFERROR(__xludf.DUMMYFUNCTION("""COMPUTED_VALUE"""),"00001")</f>
        <v/>
      </c>
      <c r="D162">
        <f>IFERROR(__xludf.DUMMYFUNCTION("""COMPUTED_VALUE"""),"chara_san_00001")</f>
        <v/>
      </c>
      <c r="E162">
        <f>IFERROR(__xludf.DUMMYFUNCTION("""COMPUTED_VALUE"""),"桐山 不折")</f>
        <v/>
      </c>
      <c r="F162">
        <f>IFERROR(__xludf.DUMMYFUNCTION("""COMPUTED_VALUE"""),"選定中")</f>
        <v/>
      </c>
      <c r="H162">
        <f>IFERROR(__xludf.DUMMYFUNCTION("""COMPUTED_VALUE"""),"UR")</f>
        <v/>
      </c>
      <c r="I162">
        <f>IFERROR(__xludf.DUMMYFUNCTION("""COMPUTED_VALUE"""),"PremiumUR")</f>
        <v/>
      </c>
      <c r="J162">
        <f>IFERROR(__xludf.DUMMYFUNCTION("""COMPUTED_VALUE"""),"黄")</f>
        <v/>
      </c>
      <c r="K162">
        <f>IFERROR(__xludf.DUMMYFUNCTION("""COMPUTED_VALUE"""),"chara")</f>
        <v/>
      </c>
      <c r="L162">
        <f>IFERROR(__xludf.DUMMYFUNCTION("""COMPUTED_VALUE"""),"アタック")</f>
        <v/>
      </c>
      <c r="Q162">
        <f>IFERROR(__xludf.DUMMYFUNCTION("""COMPUTED_VALUE"""),"1.63")</f>
        <v/>
      </c>
      <c r="R162">
        <f>IFERROR(__xludf.DUMMYFUNCTION("""COMPUTED_VALUE"""),"stop有:1回目 0.58")</f>
        <v/>
      </c>
      <c r="S162">
        <f>IFERROR(__xludf.DUMMYFUNCTION("""COMPUTED_VALUE"""),"2.85")</f>
        <v/>
      </c>
      <c r="T162">
        <f>IFERROR(__xludf.DUMMYFUNCTION("""COMPUTED_VALUE"""),"stop有 :1回目 1.18")</f>
        <v/>
      </c>
    </row>
    <row r="163">
      <c r="A163">
        <f>IFERROR(__xludf.DUMMYFUNCTION("""COMPUTED_VALUE"""),"san")</f>
        <v/>
      </c>
      <c r="B163">
        <f>IFERROR(__xludf.DUMMYFUNCTION("""COMPUTED_VALUE"""),"サンキューピッチ")</f>
        <v/>
      </c>
      <c r="C163">
        <f>IFERROR(__xludf.DUMMYFUNCTION("""COMPUTED_VALUE"""),"00101")</f>
        <v/>
      </c>
      <c r="D163">
        <f>IFERROR(__xludf.DUMMYFUNCTION("""COMPUTED_VALUE"""),"chara_san_00101")</f>
        <v/>
      </c>
      <c r="E163">
        <f>IFERROR(__xludf.DUMMYFUNCTION("""COMPUTED_VALUE"""),"三馬 正磨")</f>
        <v/>
      </c>
      <c r="F163">
        <f>IFERROR(__xludf.DUMMYFUNCTION("""COMPUTED_VALUE"""),"選定中")</f>
        <v/>
      </c>
      <c r="H163">
        <f>IFERROR(__xludf.DUMMYFUNCTION("""COMPUTED_VALUE"""),"SR")</f>
        <v/>
      </c>
      <c r="I163">
        <f>IFERROR(__xludf.DUMMYFUNCTION("""COMPUTED_VALUE"""),"DropSR")</f>
        <v/>
      </c>
      <c r="J163">
        <f>IFERROR(__xludf.DUMMYFUNCTION("""COMPUTED_VALUE"""),"赤")</f>
        <v/>
      </c>
      <c r="K163">
        <f>IFERROR(__xludf.DUMMYFUNCTION("""COMPUTED_VALUE"""),"chara")</f>
        <v/>
      </c>
      <c r="L163">
        <f>IFERROR(__xludf.DUMMYFUNCTION("""COMPUTED_VALUE"""),"アタック")</f>
        <v/>
      </c>
      <c r="Q163">
        <f>IFERROR(__xludf.DUMMYFUNCTION("""COMPUTED_VALUE"""),"1.57")</f>
        <v/>
      </c>
      <c r="R163">
        <f>IFERROR(__xludf.DUMMYFUNCTION("""COMPUTED_VALUE"""),"stop有:1回目 0.81")</f>
        <v/>
      </c>
      <c r="S163">
        <f>IFERROR(__xludf.DUMMYFUNCTION("""COMPUTED_VALUE"""),"2.67")</f>
        <v/>
      </c>
      <c r="T163">
        <f>IFERROR(__xludf.DUMMYFUNCTION("""COMPUTED_VALUE"""),"stop有 :1回目 1.6")</f>
        <v/>
      </c>
    </row>
    <row r="164">
      <c r="A164">
        <f>IFERROR(__xludf.DUMMYFUNCTION("""COMPUTED_VALUE"""),"sei")</f>
        <v/>
      </c>
      <c r="B164">
        <f>IFERROR(__xludf.DUMMYFUNCTION("""COMPUTED_VALUE"""),"正反対な君と僕")</f>
        <v/>
      </c>
      <c r="C164">
        <f>IFERROR(__xludf.DUMMYFUNCTION("""COMPUTED_VALUE"""),"00001")</f>
        <v/>
      </c>
      <c r="D164">
        <f>IFERROR(__xludf.DUMMYFUNCTION("""COMPUTED_VALUE"""),"chara_sei_00001")</f>
        <v/>
      </c>
      <c r="E164">
        <f>IFERROR(__xludf.DUMMYFUNCTION("""COMPUTED_VALUE"""),"鈴木 みゆ")</f>
        <v/>
      </c>
      <c r="F164">
        <f>IFERROR(__xludf.DUMMYFUNCTION("""COMPUTED_VALUE"""),"選定中")</f>
        <v/>
      </c>
      <c r="H164">
        <f>IFERROR(__xludf.DUMMYFUNCTION("""COMPUTED_VALUE"""),"UR")</f>
        <v/>
      </c>
      <c r="I164">
        <f>IFERROR(__xludf.DUMMYFUNCTION("""COMPUTED_VALUE"""),"PremiumUR")</f>
        <v/>
      </c>
      <c r="J164">
        <f>IFERROR(__xludf.DUMMYFUNCTION("""COMPUTED_VALUE"""),"赤")</f>
        <v/>
      </c>
      <c r="K164">
        <f>IFERROR(__xludf.DUMMYFUNCTION("""COMPUTED_VALUE"""),"chara")</f>
        <v/>
      </c>
      <c r="L164">
        <f>IFERROR(__xludf.DUMMYFUNCTION("""COMPUTED_VALUE"""),"ディフェンス")</f>
        <v/>
      </c>
    </row>
    <row r="165">
      <c r="A165">
        <f>IFERROR(__xludf.DUMMYFUNCTION("""COMPUTED_VALUE"""),"kus")</f>
        <v/>
      </c>
      <c r="B165">
        <f>IFERROR(__xludf.DUMMYFUNCTION("""COMPUTED_VALUE"""),"クソ女に幸あれ")</f>
        <v/>
      </c>
      <c r="C165">
        <f>IFERROR(__xludf.DUMMYFUNCTION("""COMPUTED_VALUE"""),"00001")</f>
        <v/>
      </c>
      <c r="D165">
        <f>IFERROR(__xludf.DUMMYFUNCTION("""COMPUTED_VALUE"""),"chara_kus_00001")</f>
        <v/>
      </c>
      <c r="E165">
        <f>IFERROR(__xludf.DUMMYFUNCTION("""COMPUTED_VALUE"""),"西川 檸檬
")</f>
        <v/>
      </c>
      <c r="F165">
        <f>IFERROR(__xludf.DUMMYFUNCTION("""COMPUTED_VALUE"""),"選定中")</f>
        <v/>
      </c>
      <c r="H165">
        <f>IFERROR(__xludf.DUMMYFUNCTION("""COMPUTED_VALUE"""),"UR")</f>
        <v/>
      </c>
      <c r="I165">
        <f>IFERROR(__xludf.DUMMYFUNCTION("""COMPUTED_VALUE"""),"PremiumUR")</f>
        <v/>
      </c>
      <c r="J165">
        <f>IFERROR(__xludf.DUMMYFUNCTION("""COMPUTED_VALUE"""),"青")</f>
        <v/>
      </c>
      <c r="K165">
        <f>IFERROR(__xludf.DUMMYFUNCTION("""COMPUTED_VALUE"""),"chara")</f>
        <v/>
      </c>
      <c r="L165">
        <f>IFERROR(__xludf.DUMMYFUNCTION("""COMPUTED_VALUE"""),"テクニカル")</f>
        <v/>
      </c>
    </row>
    <row r="166">
      <c r="A166">
        <f>IFERROR(__xludf.DUMMYFUNCTION("""COMPUTED_VALUE"""),"han")</f>
        <v/>
      </c>
      <c r="B166">
        <f>IFERROR(__xludf.DUMMYFUNCTION("""COMPUTED_VALUE"""),"半人前の恋人")</f>
        <v/>
      </c>
      <c r="C166">
        <f>IFERROR(__xludf.DUMMYFUNCTION("""COMPUTED_VALUE"""),"00001")</f>
        <v/>
      </c>
      <c r="D166">
        <f>IFERROR(__xludf.DUMMYFUNCTION("""COMPUTED_VALUE"""),"chara_han_00001")</f>
        <v/>
      </c>
      <c r="E166">
        <f>IFERROR(__xludf.DUMMYFUNCTION("""COMPUTED_VALUE"""),"杉崎 響子
")</f>
        <v/>
      </c>
      <c r="F166">
        <f>IFERROR(__xludf.DUMMYFUNCTION("""COMPUTED_VALUE"""),"選定中")</f>
        <v/>
      </c>
      <c r="H166">
        <f>IFERROR(__xludf.DUMMYFUNCTION("""COMPUTED_VALUE"""),"SSR")</f>
        <v/>
      </c>
      <c r="I166">
        <f>IFERROR(__xludf.DUMMYFUNCTION("""COMPUTED_VALUE"""),"PremiumSSR")</f>
        <v/>
      </c>
      <c r="J166">
        <f>IFERROR(__xludf.DUMMYFUNCTION("""COMPUTED_VALUE"""),"赤")</f>
        <v/>
      </c>
      <c r="K166">
        <f>IFERROR(__xludf.DUMMYFUNCTION("""COMPUTED_VALUE"""),"chara")</f>
        <v/>
      </c>
      <c r="L166">
        <f>IFERROR(__xludf.DUMMYFUNCTION("""COMPUTED_VALUE"""),"ディフェンス")</f>
        <v/>
      </c>
    </row>
    <row r="167">
      <c r="A167">
        <f>IFERROR(__xludf.DUMMYFUNCTION("""COMPUTED_VALUE"""),"kub")</f>
        <v/>
      </c>
      <c r="B167">
        <f>IFERROR(__xludf.DUMMYFUNCTION("""COMPUTED_VALUE"""),"久保さんは僕を許さない")</f>
        <v/>
      </c>
      <c r="C167">
        <f>IFERROR(__xludf.DUMMYFUNCTION("""COMPUTED_VALUE"""),"00001")</f>
        <v/>
      </c>
      <c r="D167">
        <f>IFERROR(__xludf.DUMMYFUNCTION("""COMPUTED_VALUE"""),"chara_kub_00001")</f>
        <v/>
      </c>
      <c r="E167">
        <f>IFERROR(__xludf.DUMMYFUNCTION("""COMPUTED_VALUE"""),"久保 渚咲
")</f>
        <v/>
      </c>
      <c r="F167">
        <f>IFERROR(__xludf.DUMMYFUNCTION("""COMPUTED_VALUE"""),"選定中")</f>
        <v/>
      </c>
      <c r="H167">
        <f>IFERROR(__xludf.DUMMYFUNCTION("""COMPUTED_VALUE"""),"SR")</f>
        <v/>
      </c>
      <c r="I167">
        <f>IFERROR(__xludf.DUMMYFUNCTION("""COMPUTED_VALUE"""),"DropSR")</f>
        <v/>
      </c>
      <c r="J167">
        <f>IFERROR(__xludf.DUMMYFUNCTION("""COMPUTED_VALUE"""),"緑")</f>
        <v/>
      </c>
      <c r="K167">
        <f>IFERROR(__xludf.DUMMYFUNCTION("""COMPUTED_VALUE"""),"chara")</f>
        <v/>
      </c>
      <c r="L167">
        <f>IFERROR(__xludf.DUMMYFUNCTION("""COMPUTED_VALUE"""),"アタック")</f>
        <v/>
      </c>
    </row>
    <row r="168">
      <c r="A168">
        <f>IFERROR(__xludf.DUMMYFUNCTION("""COMPUTED_VALUE"""),"c8m")</f>
        <v/>
      </c>
      <c r="B168">
        <f>IFERROR(__xludf.DUMMYFUNCTION("""COMPUTED_VALUE"""),"ちえりの恋は8メートル")</f>
        <v/>
      </c>
      <c r="C168">
        <f>IFERROR(__xludf.DUMMYFUNCTION("""COMPUTED_VALUE"""),"00001")</f>
        <v/>
      </c>
      <c r="D168">
        <f>IFERROR(__xludf.DUMMYFUNCTION("""COMPUTED_VALUE"""),"chara_c8m_00001")</f>
        <v/>
      </c>
      <c r="E168">
        <f>IFERROR(__xludf.DUMMYFUNCTION("""COMPUTED_VALUE"""),"大峰 ちえり
")</f>
        <v/>
      </c>
      <c r="F168">
        <f>IFERROR(__xludf.DUMMYFUNCTION("""COMPUTED_VALUE"""),"選定中")</f>
        <v/>
      </c>
      <c r="H168">
        <f>IFERROR(__xludf.DUMMYFUNCTION("""COMPUTED_VALUE"""),"SR")</f>
        <v/>
      </c>
      <c r="I168">
        <f>IFERROR(__xludf.DUMMYFUNCTION("""COMPUTED_VALUE"""),"DropSR")</f>
        <v/>
      </c>
      <c r="J168">
        <f>IFERROR(__xludf.DUMMYFUNCTION("""COMPUTED_VALUE"""),"無")</f>
        <v/>
      </c>
      <c r="K168">
        <f>IFERROR(__xludf.DUMMYFUNCTION("""COMPUTED_VALUE"""),"chara")</f>
        <v/>
      </c>
      <c r="L168">
        <f>IFERROR(__xludf.DUMMYFUNCTION("""COMPUTED_VALUE"""),"スペシャル")</f>
        <v/>
      </c>
    </row>
    <row r="169">
      <c r="A169">
        <f>IFERROR(__xludf.DUMMYFUNCTION("""COMPUTED_VALUE"""),"fan")</f>
        <v/>
      </c>
      <c r="B169">
        <f>IFERROR(__xludf.DUMMYFUNCTION("""COMPUTED_VALUE"""),"終末のハーレム ファンタジア")</f>
        <v/>
      </c>
      <c r="C169">
        <f>IFERROR(__xludf.DUMMYFUNCTION("""COMPUTED_VALUE"""),"00001")</f>
        <v/>
      </c>
      <c r="D169">
        <f>IFERROR(__xludf.DUMMYFUNCTION("""COMPUTED_VALUE"""),"chara_fan_00001")</f>
        <v/>
      </c>
      <c r="E169">
        <f>IFERROR(__xludf.DUMMYFUNCTION("""COMPUTED_VALUE"""),"ラティ")</f>
        <v/>
      </c>
      <c r="F169">
        <f>IFERROR(__xludf.DUMMYFUNCTION("""COMPUTED_VALUE"""),"選定中")</f>
        <v/>
      </c>
      <c r="H169">
        <f>IFERROR(__xludf.DUMMYFUNCTION("""COMPUTED_VALUE"""),"UR")</f>
        <v/>
      </c>
      <c r="I169">
        <f>IFERROR(__xludf.DUMMYFUNCTION("""COMPUTED_VALUE"""),"PremiumUR")</f>
        <v/>
      </c>
      <c r="J169">
        <f>IFERROR(__xludf.DUMMYFUNCTION("""COMPUTED_VALUE"""),"青")</f>
        <v/>
      </c>
      <c r="K169">
        <f>IFERROR(__xludf.DUMMYFUNCTION("""COMPUTED_VALUE"""),"chara")</f>
        <v/>
      </c>
      <c r="L169">
        <f>IFERROR(__xludf.DUMMYFUNCTION("""COMPUTED_VALUE"""),"テクニカル")</f>
        <v/>
      </c>
    </row>
    <row r="170">
      <c r="A170">
        <f>IFERROR(__xludf.DUMMYFUNCTION("""COMPUTED_VALUE"""),"kaw")</f>
        <v/>
      </c>
      <c r="B170">
        <f>IFERROR(__xludf.DUMMYFUNCTION("""COMPUTED_VALUE"""),"カワイスギクライシス")</f>
        <v/>
      </c>
      <c r="C170">
        <f>IFERROR(__xludf.DUMMYFUNCTION("""COMPUTED_VALUE"""),"00001")</f>
        <v/>
      </c>
      <c r="D170">
        <f>IFERROR(__xludf.DUMMYFUNCTION("""COMPUTED_VALUE"""),"chara_kaw_00001")</f>
        <v/>
      </c>
      <c r="E170">
        <f>IFERROR(__xludf.DUMMYFUNCTION("""COMPUTED_VALUE"""),"リザ・ルーナ")</f>
        <v/>
      </c>
      <c r="F170">
        <f>IFERROR(__xludf.DUMMYFUNCTION("""COMPUTED_VALUE"""),"選定中")</f>
        <v/>
      </c>
      <c r="H170">
        <f>IFERROR(__xludf.DUMMYFUNCTION("""COMPUTED_VALUE"""),"SR")</f>
        <v/>
      </c>
      <c r="I170">
        <f>IFERROR(__xludf.DUMMYFUNCTION("""COMPUTED_VALUE"""),"DropSR")</f>
        <v/>
      </c>
      <c r="J170">
        <f>IFERROR(__xludf.DUMMYFUNCTION("""COMPUTED_VALUE"""),"赤")</f>
        <v/>
      </c>
      <c r="K170">
        <f>IFERROR(__xludf.DUMMYFUNCTION("""COMPUTED_VALUE"""),"chara")</f>
        <v/>
      </c>
      <c r="L170">
        <f>IFERROR(__xludf.DUMMYFUNCTION("""COMPUTED_VALUE"""),"アタック")</f>
        <v/>
      </c>
    </row>
    <row r="171">
      <c r="A171">
        <f>IFERROR(__xludf.DUMMYFUNCTION("""COMPUTED_VALUE"""),"vig")</f>
        <v/>
      </c>
      <c r="B171">
        <f>IFERROR(__xludf.DUMMYFUNCTION("""COMPUTED_VALUE"""),"ヴィジランテ-僕のヒーローアカデミア ILLEGALS-")</f>
        <v/>
      </c>
      <c r="C171">
        <f>IFERROR(__xludf.DUMMYFUNCTION("""COMPUTED_VALUE"""),"00001")</f>
        <v/>
      </c>
      <c r="D171">
        <f>IFERROR(__xludf.DUMMYFUNCTION("""COMPUTED_VALUE"""),"chara_vig_00001")</f>
        <v/>
      </c>
      <c r="E171">
        <f>IFERROR(__xludf.DUMMYFUNCTION("""COMPUTED_VALUE"""),"灰廻 航一")</f>
        <v/>
      </c>
      <c r="F171">
        <f>IFERROR(__xludf.DUMMYFUNCTION("""COMPUTED_VALUE"""),"選定中")</f>
        <v/>
      </c>
      <c r="H171">
        <f>IFERROR(__xludf.DUMMYFUNCTION("""COMPUTED_VALUE"""),"UR")</f>
        <v/>
      </c>
      <c r="I171">
        <f>IFERROR(__xludf.DUMMYFUNCTION("""COMPUTED_VALUE"""),"PremiumUR")</f>
        <v/>
      </c>
      <c r="J171">
        <f>IFERROR(__xludf.DUMMYFUNCTION("""COMPUTED_VALUE"""),"黄")</f>
        <v/>
      </c>
      <c r="K171">
        <f>IFERROR(__xludf.DUMMYFUNCTION("""COMPUTED_VALUE"""),"chara")</f>
        <v/>
      </c>
      <c r="L171">
        <f>IFERROR(__xludf.DUMMYFUNCTION("""COMPUTED_VALUE"""),"アタック")</f>
        <v/>
      </c>
    </row>
    <row r="172">
      <c r="A172">
        <f>IFERROR(__xludf.DUMMYFUNCTION("""COMPUTED_VALUE"""),"vig")</f>
        <v/>
      </c>
      <c r="B172">
        <f>IFERROR(__xludf.DUMMYFUNCTION("""COMPUTED_VALUE"""),"ヴィジランテ-僕のヒーローアカデミア ILLEGALS-")</f>
        <v/>
      </c>
      <c r="C172">
        <f>IFERROR(__xludf.DUMMYFUNCTION("""COMPUTED_VALUE"""),"00101")</f>
        <v/>
      </c>
      <c r="D172">
        <f>IFERROR(__xludf.DUMMYFUNCTION("""COMPUTED_VALUE"""),"chara_vig_00101")</f>
        <v/>
      </c>
      <c r="E172">
        <f>IFERROR(__xludf.DUMMYFUNCTION("""COMPUTED_VALUE"""),"オールマイト")</f>
        <v/>
      </c>
      <c r="F172">
        <f>IFERROR(__xludf.DUMMYFUNCTION("""COMPUTED_VALUE"""),"選定中")</f>
        <v/>
      </c>
      <c r="H172">
        <f>IFERROR(__xludf.DUMMYFUNCTION("""COMPUTED_VALUE"""),"UR")</f>
        <v/>
      </c>
      <c r="I172">
        <f>IFERROR(__xludf.DUMMYFUNCTION("""COMPUTED_VALUE"""),"FestivalUR")</f>
        <v/>
      </c>
      <c r="J172">
        <f>IFERROR(__xludf.DUMMYFUNCTION("""COMPUTED_VALUE"""),"赤")</f>
        <v/>
      </c>
      <c r="K172">
        <f>IFERROR(__xludf.DUMMYFUNCTION("""COMPUTED_VALUE"""),"chara")</f>
        <v/>
      </c>
      <c r="L172">
        <f>IFERROR(__xludf.DUMMYFUNCTION("""COMPUTED_VALUE"""),"アタック")</f>
        <v/>
      </c>
    </row>
    <row r="173">
      <c r="A173">
        <f>IFERROR(__xludf.DUMMYFUNCTION("""COMPUTED_VALUE"""),"vig")</f>
        <v/>
      </c>
      <c r="B173">
        <f>IFERROR(__xludf.DUMMYFUNCTION("""COMPUTED_VALUE"""),"ヴィジランテ-僕のヒーローアカデミア ILLEGALS-")</f>
        <v/>
      </c>
      <c r="C173">
        <f>IFERROR(__xludf.DUMMYFUNCTION("""COMPUTED_VALUE"""),"00201")</f>
        <v/>
      </c>
      <c r="D173">
        <f>IFERROR(__xludf.DUMMYFUNCTION("""COMPUTED_VALUE"""),"chara_vig_00201")</f>
        <v/>
      </c>
      <c r="E173">
        <f>IFERROR(__xludf.DUMMYFUNCTION("""COMPUTED_VALUE"""),"イレイザーヘッド")</f>
        <v/>
      </c>
      <c r="F173">
        <f>IFERROR(__xludf.DUMMYFUNCTION("""COMPUTED_VALUE"""),"選定中")</f>
        <v/>
      </c>
      <c r="H173">
        <f>IFERROR(__xludf.DUMMYFUNCTION("""COMPUTED_VALUE"""),"UR")</f>
        <v/>
      </c>
      <c r="I173">
        <f>IFERROR(__xludf.DUMMYFUNCTION("""COMPUTED_VALUE"""),"FestivalUR")</f>
        <v/>
      </c>
      <c r="J173">
        <f>IFERROR(__xludf.DUMMYFUNCTION("""COMPUTED_VALUE"""),"青")</f>
        <v/>
      </c>
      <c r="K173">
        <f>IFERROR(__xludf.DUMMYFUNCTION("""COMPUTED_VALUE"""),"chara")</f>
        <v/>
      </c>
      <c r="L173">
        <f>IFERROR(__xludf.DUMMYFUNCTION("""COMPUTED_VALUE"""),"テクニカル")</f>
        <v/>
      </c>
    </row>
    <row r="174">
      <c r="A174">
        <f>IFERROR(__xludf.DUMMYFUNCTION("""COMPUTED_VALUE"""),"chi2")</f>
        <v/>
      </c>
      <c r="B174">
        <f>IFERROR(__xludf.DUMMYFUNCTION("""COMPUTED_VALUE"""),"チェンソーマン 第二部")</f>
        <v/>
      </c>
      <c r="C174">
        <f>IFERROR(__xludf.DUMMYFUNCTION("""COMPUTED_VALUE"""),"00001")</f>
        <v/>
      </c>
      <c r="D174">
        <f>IFERROR(__xludf.DUMMYFUNCTION("""COMPUTED_VALUE"""),"chara_chi2_00001")</f>
        <v/>
      </c>
      <c r="E174">
        <f>IFERROR(__xludf.DUMMYFUNCTION("""COMPUTED_VALUE"""),"三鷹 アサ&amp;ヨル")</f>
        <v/>
      </c>
      <c r="F174">
        <f>IFERROR(__xludf.DUMMYFUNCTION("""COMPUTED_VALUE"""),"選定中")</f>
        <v/>
      </c>
      <c r="H174">
        <f>IFERROR(__xludf.DUMMYFUNCTION("""COMPUTED_VALUE"""),"UR")</f>
        <v/>
      </c>
      <c r="I174">
        <f>IFERROR(__xludf.DUMMYFUNCTION("""COMPUTED_VALUE"""),"FestivalUR")</f>
        <v/>
      </c>
      <c r="J174">
        <f>IFERROR(__xludf.DUMMYFUNCTION("""COMPUTED_VALUE"""),"緑")</f>
        <v/>
      </c>
      <c r="K174">
        <f>IFERROR(__xludf.DUMMYFUNCTION("""COMPUTED_VALUE"""),"chara")</f>
        <v/>
      </c>
      <c r="L174">
        <f>IFERROR(__xludf.DUMMYFUNCTION("""COMPUTED_VALUE"""),"アタック")</f>
        <v/>
      </c>
    </row>
    <row r="175">
      <c r="A175">
        <f>IFERROR(__xludf.DUMMYFUNCTION("""COMPUTED_VALUE"""),"ssm")</f>
        <v/>
      </c>
      <c r="B175">
        <f>IFERROR(__xludf.DUMMYFUNCTION("""COMPUTED_VALUE"""),"すすめ！ジャンプへっぽこ探検隊！")</f>
        <v/>
      </c>
      <c r="C175">
        <f>IFERROR(__xludf.DUMMYFUNCTION("""COMPUTED_VALUE"""),"00001")</f>
        <v/>
      </c>
      <c r="D175">
        <f>IFERROR(__xludf.DUMMYFUNCTION("""COMPUTED_VALUE"""),"chara_ssm_00001")</f>
        <v/>
      </c>
      <c r="E175">
        <f>IFERROR(__xludf.DUMMYFUNCTION("""COMPUTED_VALUE"""),"サクライ タケシ 先生")</f>
        <v/>
      </c>
      <c r="F175">
        <f>IFERROR(__xludf.DUMMYFUNCTION("""COMPUTED_VALUE"""),"選定中")</f>
        <v/>
      </c>
      <c r="H175">
        <f>IFERROR(__xludf.DUMMYFUNCTION("""COMPUTED_VALUE"""),"SSR")</f>
        <v/>
      </c>
      <c r="I175">
        <f>IFERROR(__xludf.DUMMYFUNCTION("""COMPUTED_VALUE"""),"PremiumSR")</f>
        <v/>
      </c>
      <c r="J175">
        <f>IFERROR(__xludf.DUMMYFUNCTION("""COMPUTED_VALUE"""),"無")</f>
        <v/>
      </c>
      <c r="K175">
        <f>IFERROR(__xludf.DUMMYFUNCTION("""COMPUTED_VALUE"""),"chara")</f>
        <v/>
      </c>
      <c r="L175">
        <f>IFERROR(__xludf.DUMMYFUNCTION("""COMPUTED_VALUE"""),"ディフェンス")</f>
        <v/>
      </c>
    </row>
    <row r="176">
      <c r="A176">
        <f>IFERROR(__xludf.DUMMYFUNCTION("""COMPUTED_VALUE"""),"eiu")</f>
        <v/>
      </c>
      <c r="B176">
        <f>IFERROR(__xludf.DUMMYFUNCTION("""COMPUTED_VALUE"""),"英雄機関")</f>
        <v/>
      </c>
      <c r="C176">
        <f>IFERROR(__xludf.DUMMYFUNCTION("""COMPUTED_VALUE"""),"00001")</f>
        <v/>
      </c>
      <c r="D176">
        <f>IFERROR(__xludf.DUMMYFUNCTION("""COMPUTED_VALUE"""),"chara_eiu_00001")</f>
        <v/>
      </c>
      <c r="E176">
        <f>IFERROR(__xludf.DUMMYFUNCTION("""COMPUTED_VALUE"""),"レオニダス・タイラー")</f>
        <v/>
      </c>
      <c r="F176">
        <f>IFERROR(__xludf.DUMMYFUNCTION("""COMPUTED_VALUE"""),"選定中")</f>
        <v/>
      </c>
      <c r="H176">
        <f>IFERROR(__xludf.DUMMYFUNCTION("""COMPUTED_VALUE"""),"SR")</f>
        <v/>
      </c>
      <c r="I176">
        <f>IFERROR(__xludf.DUMMYFUNCTION("""COMPUTED_VALUE"""),"DropSR")</f>
        <v/>
      </c>
      <c r="J176">
        <f>IFERROR(__xludf.DUMMYFUNCTION("""COMPUTED_VALUE"""),"緑")</f>
        <v/>
      </c>
      <c r="K176">
        <f>IFERROR(__xludf.DUMMYFUNCTION("""COMPUTED_VALUE"""),"chara")</f>
        <v/>
      </c>
      <c r="L176">
        <f>IFERROR(__xludf.DUMMYFUNCTION("""COMPUTED_VALUE"""),"アタック")</f>
        <v/>
      </c>
    </row>
    <row r="177">
      <c r="A177">
        <f>IFERROR(__xludf.DUMMYFUNCTION("""COMPUTED_VALUE"""),"exo")</f>
        <v/>
      </c>
      <c r="B177">
        <f>IFERROR(__xludf.DUMMYFUNCTION("""COMPUTED_VALUE"""),"エクソシストを堕とせない")</f>
        <v/>
      </c>
      <c r="C177">
        <f>IFERROR(__xludf.DUMMYFUNCTION("""COMPUTED_VALUE"""),"00001")</f>
        <v/>
      </c>
      <c r="D177">
        <f>IFERROR(__xludf.DUMMYFUNCTION("""COMPUTED_VALUE"""),"chara_exo_00001")</f>
        <v/>
      </c>
      <c r="E177">
        <f>IFERROR(__xludf.DUMMYFUNCTION("""COMPUTED_VALUE"""),"少年神父")</f>
        <v/>
      </c>
      <c r="F177">
        <f>IFERROR(__xludf.DUMMYFUNCTION("""COMPUTED_VALUE"""),"選定中")</f>
        <v/>
      </c>
      <c r="H177">
        <f>IFERROR(__xludf.DUMMYFUNCTION("""COMPUTED_VALUE"""),"SR")</f>
        <v/>
      </c>
      <c r="I177">
        <f>IFERROR(__xludf.DUMMYFUNCTION("""COMPUTED_VALUE"""),"DropSR")</f>
        <v/>
      </c>
      <c r="J177">
        <f>IFERROR(__xludf.DUMMYFUNCTION("""COMPUTED_VALUE"""),"黄")</f>
        <v/>
      </c>
      <c r="K177">
        <f>IFERROR(__xludf.DUMMYFUNCTION("""COMPUTED_VALUE"""),"chara")</f>
        <v/>
      </c>
      <c r="L177">
        <f>IFERROR(__xludf.DUMMYFUNCTION("""COMPUTED_VALUE"""),"アタック")</f>
        <v/>
      </c>
    </row>
    <row r="178">
      <c r="A178">
        <f>IFERROR(__xludf.DUMMYFUNCTION("""COMPUTED_VALUE"""),"oto")</f>
        <v/>
      </c>
      <c r="B178">
        <f>IFERROR(__xludf.DUMMYFUNCTION("""COMPUTED_VALUE"""),"大人大戦")</f>
        <v/>
      </c>
      <c r="C178">
        <f>IFERROR(__xludf.DUMMYFUNCTION("""COMPUTED_VALUE"""),"00001")</f>
        <v/>
      </c>
      <c r="D178">
        <f>IFERROR(__xludf.DUMMYFUNCTION("""COMPUTED_VALUE"""),"chara_oto_00001")</f>
        <v/>
      </c>
      <c r="E178">
        <f>IFERROR(__xludf.DUMMYFUNCTION("""COMPUTED_VALUE"""),"浦島 優太郎")</f>
        <v/>
      </c>
      <c r="H178">
        <f>IFERROR(__xludf.DUMMYFUNCTION("""COMPUTED_VALUE"""),"SR")</f>
        <v/>
      </c>
      <c r="I178">
        <f>IFERROR(__xludf.DUMMYFUNCTION("""COMPUTED_VALUE"""),"DropSR")</f>
        <v/>
      </c>
      <c r="J178">
        <f>IFERROR(__xludf.DUMMYFUNCTION("""COMPUTED_VALUE"""),"赤")</f>
        <v/>
      </c>
      <c r="K178">
        <f>IFERROR(__xludf.DUMMYFUNCTION("""COMPUTED_VALUE"""),"chara")</f>
        <v/>
      </c>
      <c r="L178">
        <f>IFERROR(__xludf.DUMMYFUNCTION("""COMPUTED_VALUE"""),"サポート")</f>
        <v/>
      </c>
    </row>
    <row r="179">
      <c r="B179">
        <f>IFERROR(__xludf.DUMMYFUNCTION("""COMPUTED_VALUE"""),"error")</f>
        <v/>
      </c>
      <c r="D179">
        <f>IFERROR(__xludf.DUMMYFUNCTION("""COMPUTED_VALUE"""),"__")</f>
        <v/>
      </c>
    </row>
    <row r="180">
      <c r="B180">
        <f>IFERROR(__xludf.DUMMYFUNCTION("""COMPUTED_VALUE"""),"error")</f>
        <v/>
      </c>
      <c r="D180">
        <f>IFERROR(__xludf.DUMMYFUNCTION("""COMPUTED_VALUE"""),"__")</f>
        <v/>
      </c>
    </row>
    <row r="181">
      <c r="B181">
        <f>IFERROR(__xludf.DUMMYFUNCTION("""COMPUTED_VALUE"""),"error")</f>
        <v/>
      </c>
      <c r="D181">
        <f>IFERROR(__xludf.DUMMYFUNCTION("""COMPUTED_VALUE"""),"__")</f>
        <v/>
      </c>
    </row>
    <row r="182">
      <c r="B182">
        <f>IFERROR(__xludf.DUMMYFUNCTION("""COMPUTED_VALUE"""),"error")</f>
        <v/>
      </c>
      <c r="D182">
        <f>IFERROR(__xludf.DUMMYFUNCTION("""COMPUTED_VALUE"""),"__")</f>
        <v/>
      </c>
    </row>
    <row r="183">
      <c r="B183">
        <f>IFERROR(__xludf.DUMMYFUNCTION("""COMPUTED_VALUE"""),"error")</f>
        <v/>
      </c>
      <c r="D183">
        <f>IFERROR(__xludf.DUMMYFUNCTION("""COMPUTED_VALUE"""),"__")</f>
        <v/>
      </c>
    </row>
    <row r="184">
      <c r="B184">
        <f>IFERROR(__xludf.DUMMYFUNCTION("""COMPUTED_VALUE"""),"error")</f>
        <v/>
      </c>
      <c r="D184">
        <f>IFERROR(__xludf.DUMMYFUNCTION("""COMPUTED_VALUE"""),"__")</f>
        <v/>
      </c>
    </row>
    <row r="185">
      <c r="B185">
        <f>IFERROR(__xludf.DUMMYFUNCTION("""COMPUTED_VALUE"""),"error")</f>
        <v/>
      </c>
      <c r="D185">
        <f>IFERROR(__xludf.DUMMYFUNCTION("""COMPUTED_VALUE"""),"__")</f>
        <v/>
      </c>
    </row>
    <row r="186">
      <c r="B186">
        <f>IFERROR(__xludf.DUMMYFUNCTION("""COMPUTED_VALUE"""),"error")</f>
        <v/>
      </c>
      <c r="D186">
        <f>IFERROR(__xludf.DUMMYFUNCTION("""COMPUTED_VALUE"""),"__")</f>
        <v/>
      </c>
    </row>
    <row r="187">
      <c r="B187">
        <f>IFERROR(__xludf.DUMMYFUNCTION("""COMPUTED_VALUE"""),"error")</f>
        <v/>
      </c>
      <c r="D187">
        <f>IFERROR(__xludf.DUMMYFUNCTION("""COMPUTED_VALUE"""),"__")</f>
        <v/>
      </c>
    </row>
    <row r="188">
      <c r="B188">
        <f>IFERROR(__xludf.DUMMYFUNCTION("""COMPUTED_VALUE"""),"error")</f>
        <v/>
      </c>
      <c r="D188">
        <f>IFERROR(__xludf.DUMMYFUNCTION("""COMPUTED_VALUE"""),"__")</f>
        <v/>
      </c>
    </row>
    <row r="189">
      <c r="A189">
        <f>IFERROR(__xludf.DUMMYFUNCTION("""COMPUTED_VALUE"""),"以下エネミーを記載")</f>
        <v/>
      </c>
      <c r="F189">
        <f>IFERROR(__xludf.DUMMYFUNCTION("""COMPUTED_VALUE"""),"以下エネミーを記載")</f>
        <v/>
      </c>
      <c r="K189">
        <f>IFERROR(__xludf.DUMMYFUNCTION("""COMPUTED_VALUE"""),"以下エネミーを記載")</f>
        <v/>
      </c>
      <c r="Q189">
        <f>IFERROR(__xludf.DUMMYFUNCTION("""COMPUTED_VALUE"""),"以下エネミーを記載")</f>
        <v/>
      </c>
      <c r="V189">
        <f>IFERROR(__xludf.DUMMYFUNCTION("""COMPUTED_VALUE"""),"以下エネミーを記載")</f>
        <v/>
      </c>
      <c r="AA189">
        <f>IFERROR(__xludf.DUMMYFUNCTION("""COMPUTED_VALUE"""),"以下エネミーを記載")</f>
        <v/>
      </c>
    </row>
    <row r="191">
      <c r="A191">
        <f>IFERROR(__xludf.DUMMYFUNCTION("""COMPUTED_VALUE"""),"spy")</f>
        <v/>
      </c>
      <c r="B191">
        <f>IFERROR(__xludf.DUMMYFUNCTION("""COMPUTED_VALUE"""),"SPY×FAMILY")</f>
        <v/>
      </c>
      <c r="C191">
        <f>IFERROR(__xludf.DUMMYFUNCTION("""COMPUTED_VALUE"""),"00001")</f>
        <v/>
      </c>
      <c r="D191">
        <f>IFERROR(__xludf.DUMMYFUNCTION("""COMPUTED_VALUE"""),"enemy_spy_00001")</f>
        <v/>
      </c>
      <c r="E191">
        <f>IFERROR(__xludf.DUMMYFUNCTION("""COMPUTED_VALUE"""),"密輸組織の残党")</f>
        <v/>
      </c>
      <c r="F191">
        <f>IFERROR(__xludf.DUMMYFUNCTION("""COMPUTED_VALUE"""),"密輸組織の残党")</f>
        <v/>
      </c>
      <c r="K191">
        <f>IFERROR(__xludf.DUMMYFUNCTION("""COMPUTED_VALUE"""),"enemy")</f>
        <v/>
      </c>
      <c r="M191">
        <f>IFERROR(__xludf.DUMMYFUNCTION("""COMPUTED_VALUE"""),"shageki_1")</f>
        <v/>
      </c>
      <c r="N191">
        <f>IFERROR(__xludf.DUMMYFUNCTION("""COMPUTED_VALUE"""),"Short")</f>
        <v/>
      </c>
      <c r="Q191">
        <f>IFERROR(__xludf.DUMMYFUNCTION("""COMPUTED_VALUE"""),"1.00")</f>
        <v/>
      </c>
      <c r="R191">
        <f>IFERROR(__xludf.DUMMYFUNCTION("""COMPUTED_VALUE"""),"0.17")</f>
        <v/>
      </c>
      <c r="S191">
        <f>IFERROR(__xludf.DUMMYFUNCTION("""COMPUTED_VALUE"""),"-")</f>
        <v/>
      </c>
      <c r="T191">
        <f>IFERROR(__xludf.DUMMYFUNCTION("""COMPUTED_VALUE"""),"-")</f>
        <v/>
      </c>
      <c r="U191">
        <f>IFERROR(__xludf.DUMMYFUNCTION("""COMPUTED_VALUE"""),45658.0)</f>
        <v/>
      </c>
      <c r="V191">
        <f>IFERROR(__xludf.DUMMYFUNCTION("""COMPUTED_VALUE"""),390812.49998842593)</f>
        <v/>
      </c>
      <c r="W191">
        <f>IFERROR(__xludf.DUMMYFUNCTION("""COMPUTED_VALUE"""),"catchcopy_character_enemy_spy_00001.png")</f>
        <v/>
      </c>
      <c r="X191">
        <f>IFERROR(__xludf.DUMMYFUNCTION("""COMPUTED_VALUE"""),"enemy_icon_enemy_spy_00001")</f>
        <v/>
      </c>
      <c r="Y191">
        <f>IFERROR(__xludf.DUMMYFUNCTION("""COMPUTED_VALUE"""),"boss_icon_enemy_spy_00001")</f>
        <v/>
      </c>
      <c r="Z191">
        <f>IFERROR(__xludf.DUMMYFUNCTION("""COMPUTED_VALUE"""),"enemy_spy_00001_normal")</f>
        <v/>
      </c>
    </row>
    <row r="192">
      <c r="A192">
        <f>IFERROR(__xludf.DUMMYFUNCTION("""COMPUTED_VALUE"""),"spy")</f>
        <v/>
      </c>
      <c r="B192">
        <f>IFERROR(__xludf.DUMMYFUNCTION("""COMPUTED_VALUE"""),"SPY×FAMILY")</f>
        <v/>
      </c>
      <c r="C192">
        <f>IFERROR(__xludf.DUMMYFUNCTION("""COMPUTED_VALUE"""),"00101")</f>
        <v/>
      </c>
      <c r="D192">
        <f>IFERROR(__xludf.DUMMYFUNCTION("""COMPUTED_VALUE"""),"enemy_spy_00101")</f>
        <v/>
      </c>
      <c r="E192">
        <f>IFERROR(__xludf.DUMMYFUNCTION("""COMPUTED_VALUE"""),"グエン")</f>
        <v/>
      </c>
      <c r="F192">
        <f>IFERROR(__xludf.DUMMYFUNCTION("""COMPUTED_VALUE"""),"グエン")</f>
        <v/>
      </c>
      <c r="K192">
        <f>IFERROR(__xludf.DUMMYFUNCTION("""COMPUTED_VALUE"""),"enemy")</f>
        <v/>
      </c>
      <c r="M192">
        <f>IFERROR(__xludf.DUMMYFUNCTION("""COMPUTED_VALUE"""),"dageki_1")</f>
        <v/>
      </c>
      <c r="N192">
        <f>IFERROR(__xludf.DUMMYFUNCTION("""COMPUTED_VALUE"""),"Long")</f>
        <v/>
      </c>
      <c r="Q192">
        <f>IFERROR(__xludf.DUMMYFUNCTION("""COMPUTED_VALUE"""),"1.20")</f>
        <v/>
      </c>
      <c r="R192">
        <f>IFERROR(__xludf.DUMMYFUNCTION("""COMPUTED_VALUE"""),"0.50")</f>
        <v/>
      </c>
      <c r="S192">
        <f>IFERROR(__xludf.DUMMYFUNCTION("""COMPUTED_VALUE"""),"-")</f>
        <v/>
      </c>
      <c r="T192">
        <f>IFERROR(__xludf.DUMMYFUNCTION("""COMPUTED_VALUE"""),"-")</f>
        <v/>
      </c>
      <c r="U192">
        <f>IFERROR(__xludf.DUMMYFUNCTION("""COMPUTED_VALUE"""),45658.0)</f>
        <v/>
      </c>
      <c r="V192">
        <f>IFERROR(__xludf.DUMMYFUNCTION("""COMPUTED_VALUE"""),390812.49998842593)</f>
        <v/>
      </c>
      <c r="W192">
        <f>IFERROR(__xludf.DUMMYFUNCTION("""COMPUTED_VALUE"""),"catchcopy_character_enemy_spy_00101.png")</f>
        <v/>
      </c>
      <c r="X192">
        <f>IFERROR(__xludf.DUMMYFUNCTION("""COMPUTED_VALUE"""),"enemy_icon_enemy_spy_00101")</f>
        <v/>
      </c>
      <c r="Y192">
        <f>IFERROR(__xludf.DUMMYFUNCTION("""COMPUTED_VALUE"""),"boss_icon_enemy_spy_00101")</f>
        <v/>
      </c>
      <c r="Z192">
        <f>IFERROR(__xludf.DUMMYFUNCTION("""COMPUTED_VALUE"""),"enemy_spy_00101_normal")</f>
        <v/>
      </c>
    </row>
    <row r="193">
      <c r="A193">
        <f>IFERROR(__xludf.DUMMYFUNCTION("""COMPUTED_VALUE"""),"spy")</f>
        <v/>
      </c>
      <c r="B193">
        <f>IFERROR(__xludf.DUMMYFUNCTION("""COMPUTED_VALUE"""),"SPY×FAMILY")</f>
        <v/>
      </c>
      <c r="C193">
        <f>IFERROR(__xludf.DUMMYFUNCTION("""COMPUTED_VALUE"""),"00201")</f>
        <v/>
      </c>
      <c r="D193">
        <f>IFERROR(__xludf.DUMMYFUNCTION("""COMPUTED_VALUE"""),"enemy_spy_00201")</f>
        <v/>
      </c>
      <c r="E193">
        <f>IFERROR(__xludf.DUMMYFUNCTION("""COMPUTED_VALUE"""),"鎖窯使いのバーナビー")</f>
        <v/>
      </c>
      <c r="K193">
        <f>IFERROR(__xludf.DUMMYFUNCTION("""COMPUTED_VALUE"""),"enemy")</f>
        <v/>
      </c>
      <c r="N193">
        <f>IFERROR(__xludf.DUMMYFUNCTION("""COMPUTED_VALUE"""),"Long")</f>
        <v/>
      </c>
      <c r="S193">
        <f>IFERROR(__xludf.DUMMYFUNCTION("""COMPUTED_VALUE"""),"-")</f>
        <v/>
      </c>
      <c r="T193">
        <f>IFERROR(__xludf.DUMMYFUNCTION("""COMPUTED_VALUE"""),"-")</f>
        <v/>
      </c>
      <c r="U193">
        <f>IFERROR(__xludf.DUMMYFUNCTION("""COMPUTED_VALUE"""),45658.0)</f>
        <v/>
      </c>
      <c r="V193">
        <f>IFERROR(__xludf.DUMMYFUNCTION("""COMPUTED_VALUE"""),390812.49998842593)</f>
        <v/>
      </c>
      <c r="W193">
        <f>IFERROR(__xludf.DUMMYFUNCTION("""COMPUTED_VALUE"""),"catchcopy_character_enemy_spy_00201.png")</f>
        <v/>
      </c>
      <c r="X193">
        <f>IFERROR(__xludf.DUMMYFUNCTION("""COMPUTED_VALUE"""),"enemy_icon_enemy_spy_00201")</f>
        <v/>
      </c>
      <c r="Y193">
        <f>IFERROR(__xludf.DUMMYFUNCTION("""COMPUTED_VALUE"""),"boss_icon_enemy_spy_00201")</f>
        <v/>
      </c>
    </row>
    <row r="194">
      <c r="A194">
        <f>IFERROR(__xludf.DUMMYFUNCTION("""COMPUTED_VALUE"""),"spy")</f>
        <v/>
      </c>
      <c r="B194">
        <f>IFERROR(__xludf.DUMMYFUNCTION("""COMPUTED_VALUE"""),"SPY×FAMILY")</f>
        <v/>
      </c>
      <c r="C194">
        <f>IFERROR(__xludf.DUMMYFUNCTION("""COMPUTED_VALUE"""),"00301")</f>
        <v/>
      </c>
      <c r="D194">
        <f>IFERROR(__xludf.DUMMYFUNCTION("""COMPUTED_VALUE"""),"enemy_spy_00301")</f>
        <v/>
      </c>
      <c r="E194">
        <f>IFERROR(__xludf.DUMMYFUNCTION("""COMPUTED_VALUE"""),"毒霧使い")</f>
        <v/>
      </c>
      <c r="K194">
        <f>IFERROR(__xludf.DUMMYFUNCTION("""COMPUTED_VALUE"""),"enemy")</f>
        <v/>
      </c>
      <c r="N194">
        <f>IFERROR(__xludf.DUMMYFUNCTION("""COMPUTED_VALUE"""),"Middle")</f>
        <v/>
      </c>
      <c r="S194">
        <f>IFERROR(__xludf.DUMMYFUNCTION("""COMPUTED_VALUE"""),"-")</f>
        <v/>
      </c>
      <c r="T194">
        <f>IFERROR(__xludf.DUMMYFUNCTION("""COMPUTED_VALUE"""),"-")</f>
        <v/>
      </c>
      <c r="U194">
        <f>IFERROR(__xludf.DUMMYFUNCTION("""COMPUTED_VALUE"""),45658.0)</f>
        <v/>
      </c>
      <c r="V194">
        <f>IFERROR(__xludf.DUMMYFUNCTION("""COMPUTED_VALUE"""),390812.49998842593)</f>
        <v/>
      </c>
      <c r="W194">
        <f>IFERROR(__xludf.DUMMYFUNCTION("""COMPUTED_VALUE"""),"catchcopy_character_enemy_spy_00301.png")</f>
        <v/>
      </c>
      <c r="X194">
        <f>IFERROR(__xludf.DUMMYFUNCTION("""COMPUTED_VALUE"""),"enemy_icon_enemy_spy_00301")</f>
        <v/>
      </c>
      <c r="Y194">
        <f>IFERROR(__xludf.DUMMYFUNCTION("""COMPUTED_VALUE"""),"boss_icon_enemy_spy_00301")</f>
        <v/>
      </c>
    </row>
    <row r="195">
      <c r="A195">
        <f>IFERROR(__xludf.DUMMYFUNCTION("""COMPUTED_VALUE"""),"dan")</f>
        <v/>
      </c>
      <c r="B195">
        <f>IFERROR(__xludf.DUMMYFUNCTION("""COMPUTED_VALUE"""),"ダンダダン")</f>
        <v/>
      </c>
      <c r="C195">
        <f>IFERROR(__xludf.DUMMYFUNCTION("""COMPUTED_VALUE"""),"00001")</f>
        <v/>
      </c>
      <c r="D195">
        <f>IFERROR(__xludf.DUMMYFUNCTION("""COMPUTED_VALUE"""),"enemy_dan_00001")</f>
        <v/>
      </c>
      <c r="E195">
        <f>IFERROR(__xludf.DUMMYFUNCTION("""COMPUTED_VALUE"""),"セルポ星人")</f>
        <v/>
      </c>
      <c r="F195">
        <f>IFERROR(__xludf.DUMMYFUNCTION("""COMPUTED_VALUE"""),"セルポ星人")</f>
        <v/>
      </c>
      <c r="G195">
        <f>IFERROR(__xludf.DUMMYFUNCTION("""COMPUTED_VALUE"""),"ー")</f>
        <v/>
      </c>
      <c r="K195">
        <f>IFERROR(__xludf.DUMMYFUNCTION("""COMPUTED_VALUE"""),"enemy")</f>
        <v/>
      </c>
      <c r="M195">
        <f>IFERROR(__xludf.DUMMYFUNCTION("""COMPUTED_VALUE"""),"dageki_1")</f>
        <v/>
      </c>
      <c r="Q195">
        <f>IFERROR(__xludf.DUMMYFUNCTION("""COMPUTED_VALUE"""),"1.16")</f>
        <v/>
      </c>
      <c r="R195">
        <f>IFERROR(__xludf.DUMMYFUNCTION("""COMPUTED_VALUE"""),"0.50")</f>
        <v/>
      </c>
      <c r="S195">
        <f>IFERROR(__xludf.DUMMYFUNCTION("""COMPUTED_VALUE"""),"-")</f>
        <v/>
      </c>
      <c r="T195">
        <f>IFERROR(__xludf.DUMMYFUNCTION("""COMPUTED_VALUE"""),"-")</f>
        <v/>
      </c>
      <c r="U195">
        <f>IFERROR(__xludf.DUMMYFUNCTION("""COMPUTED_VALUE"""),45658.0)</f>
        <v/>
      </c>
      <c r="V195">
        <f>IFERROR(__xludf.DUMMYFUNCTION("""COMPUTED_VALUE"""),390812.49998842593)</f>
        <v/>
      </c>
      <c r="W195">
        <f>IFERROR(__xludf.DUMMYFUNCTION("""COMPUTED_VALUE"""),"catchcopy_character_enemy_dan_00001.png")</f>
        <v/>
      </c>
      <c r="X195">
        <f>IFERROR(__xludf.DUMMYFUNCTION("""COMPUTED_VALUE"""),"enemy_icon_enemy_dan_00001")</f>
        <v/>
      </c>
      <c r="Y195">
        <f>IFERROR(__xludf.DUMMYFUNCTION("""COMPUTED_VALUE"""),"boss_icon_enemy_dan_00001")</f>
        <v/>
      </c>
    </row>
    <row r="196">
      <c r="A196">
        <f>IFERROR(__xludf.DUMMYFUNCTION("""COMPUTED_VALUE"""),"dan")</f>
        <v/>
      </c>
      <c r="B196">
        <f>IFERROR(__xludf.DUMMYFUNCTION("""COMPUTED_VALUE"""),"ダンダダン")</f>
        <v/>
      </c>
      <c r="C196">
        <f>IFERROR(__xludf.DUMMYFUNCTION("""COMPUTED_VALUE"""),"00101")</f>
        <v/>
      </c>
      <c r="D196">
        <f>IFERROR(__xludf.DUMMYFUNCTION("""COMPUTED_VALUE"""),"enemy_dan_00101")</f>
        <v/>
      </c>
      <c r="E196">
        <f>IFERROR(__xludf.DUMMYFUNCTION("""COMPUTED_VALUE"""),"セルポ星人（変身）")</f>
        <v/>
      </c>
      <c r="F196">
        <f>IFERROR(__xludf.DUMMYFUNCTION("""COMPUTED_VALUE"""),"セルポ星人(変身)")</f>
        <v/>
      </c>
      <c r="G196">
        <f>IFERROR(__xludf.DUMMYFUNCTION("""COMPUTED_VALUE"""),"ー")</f>
        <v/>
      </c>
      <c r="K196">
        <f>IFERROR(__xludf.DUMMYFUNCTION("""COMPUTED_VALUE"""),"enemy")</f>
        <v/>
      </c>
      <c r="M196">
        <f>IFERROR(__xludf.DUMMYFUNCTION("""COMPUTED_VALUE"""),"dageki_1")</f>
        <v/>
      </c>
      <c r="Q196">
        <f>IFERROR(__xludf.DUMMYFUNCTION("""COMPUTED_VALUE"""),"1.40")</f>
        <v/>
      </c>
      <c r="R196">
        <f>IFERROR(__xludf.DUMMYFUNCTION("""COMPUTED_VALUE"""),"0.70")</f>
        <v/>
      </c>
      <c r="S196">
        <f>IFERROR(__xludf.DUMMYFUNCTION("""COMPUTED_VALUE"""),"-")</f>
        <v/>
      </c>
      <c r="T196">
        <f>IFERROR(__xludf.DUMMYFUNCTION("""COMPUTED_VALUE"""),"-")</f>
        <v/>
      </c>
      <c r="U196">
        <f>IFERROR(__xludf.DUMMYFUNCTION("""COMPUTED_VALUE"""),45658.0)</f>
        <v/>
      </c>
      <c r="V196">
        <f>IFERROR(__xludf.DUMMYFUNCTION("""COMPUTED_VALUE"""),390812.49998842593)</f>
        <v/>
      </c>
      <c r="W196">
        <f>IFERROR(__xludf.DUMMYFUNCTION("""COMPUTED_VALUE"""),"catchcopy_character_enemy_dan_00101.png")</f>
        <v/>
      </c>
      <c r="X196">
        <f>IFERROR(__xludf.DUMMYFUNCTION("""COMPUTED_VALUE"""),"enemy_icon_enemy_dan_00101")</f>
        <v/>
      </c>
      <c r="Y196">
        <f>IFERROR(__xludf.DUMMYFUNCTION("""COMPUTED_VALUE"""),"boss_icon_enemy_dan_00101")</f>
        <v/>
      </c>
      <c r="Z196">
        <f>IFERROR(__xludf.DUMMYFUNCTION("""COMPUTED_VALUE"""),"enemy_dan_00101_normal")</f>
        <v/>
      </c>
    </row>
    <row r="197">
      <c r="A197">
        <f>IFERROR(__xludf.DUMMYFUNCTION("""COMPUTED_VALUE"""),"dan")</f>
        <v/>
      </c>
      <c r="B197">
        <f>IFERROR(__xludf.DUMMYFUNCTION("""COMPUTED_VALUE"""),"ダンダダン")</f>
        <v/>
      </c>
      <c r="C197">
        <f>IFERROR(__xludf.DUMMYFUNCTION("""COMPUTED_VALUE"""),"00201")</f>
        <v/>
      </c>
      <c r="D197">
        <f>IFERROR(__xludf.DUMMYFUNCTION("""COMPUTED_VALUE"""),"enemy_dan_00201")</f>
        <v/>
      </c>
      <c r="E197">
        <f>IFERROR(__xludf.DUMMYFUNCTION("""COMPUTED_VALUE"""),"ターボババア")</f>
        <v/>
      </c>
      <c r="F197">
        <f>IFERROR(__xludf.DUMMYFUNCTION("""COMPUTED_VALUE"""),"ターボババア")</f>
        <v/>
      </c>
      <c r="G197">
        <f>IFERROR(__xludf.DUMMYFUNCTION("""COMPUTED_VALUE"""),"ー")</f>
        <v/>
      </c>
      <c r="K197">
        <f>IFERROR(__xludf.DUMMYFUNCTION("""COMPUTED_VALUE"""),"enemy")</f>
        <v/>
      </c>
      <c r="M197">
        <f>IFERROR(__xludf.DUMMYFUNCTION("""COMPUTED_VALUE"""),"dageki_1")</f>
        <v/>
      </c>
      <c r="Q197">
        <f>IFERROR(__xludf.DUMMYFUNCTION("""COMPUTED_VALUE"""),"1.50")</f>
        <v/>
      </c>
      <c r="R197">
        <f>IFERROR(__xludf.DUMMYFUNCTION("""COMPUTED_VALUE"""),"0.40")</f>
        <v/>
      </c>
      <c r="S197">
        <f>IFERROR(__xludf.DUMMYFUNCTION("""COMPUTED_VALUE"""),"-")</f>
        <v/>
      </c>
      <c r="T197">
        <f>IFERROR(__xludf.DUMMYFUNCTION("""COMPUTED_VALUE"""),"-")</f>
        <v/>
      </c>
      <c r="U197">
        <f>IFERROR(__xludf.DUMMYFUNCTION("""COMPUTED_VALUE"""),45658.0)</f>
        <v/>
      </c>
      <c r="V197">
        <f>IFERROR(__xludf.DUMMYFUNCTION("""COMPUTED_VALUE"""),390812.49998842593)</f>
        <v/>
      </c>
      <c r="W197">
        <f>IFERROR(__xludf.DUMMYFUNCTION("""COMPUTED_VALUE"""),"catchcopy_character_enemy_dan_00201.png")</f>
        <v/>
      </c>
      <c r="X197">
        <f>IFERROR(__xludf.DUMMYFUNCTION("""COMPUTED_VALUE"""),"enemy_icon_enemy_dan_00201")</f>
        <v/>
      </c>
      <c r="Y197">
        <f>IFERROR(__xludf.DUMMYFUNCTION("""COMPUTED_VALUE"""),"boss_icon_enemy_dan_00201")</f>
        <v/>
      </c>
    </row>
    <row r="198">
      <c r="A198">
        <f>IFERROR(__xludf.DUMMYFUNCTION("""COMPUTED_VALUE"""),"dan")</f>
        <v/>
      </c>
      <c r="B198">
        <f>IFERROR(__xludf.DUMMYFUNCTION("""COMPUTED_VALUE"""),"ダンダダン")</f>
        <v/>
      </c>
      <c r="C198">
        <f>IFERROR(__xludf.DUMMYFUNCTION("""COMPUTED_VALUE"""),"00301")</f>
        <v/>
      </c>
      <c r="D198">
        <f>IFERROR(__xludf.DUMMYFUNCTION("""COMPUTED_VALUE"""),"enemy_dan_00301")</f>
        <v/>
      </c>
      <c r="E198">
        <f>IFERROR(__xludf.DUMMYFUNCTION("""COMPUTED_VALUE"""),"アクロバティックさらさら")</f>
        <v/>
      </c>
      <c r="F198">
        <f>IFERROR(__xludf.DUMMYFUNCTION("""COMPUTED_VALUE"""),"アクロバティックさらさら")</f>
        <v/>
      </c>
      <c r="G198">
        <f>IFERROR(__xludf.DUMMYFUNCTION("""COMPUTED_VALUE"""),"ー")</f>
        <v/>
      </c>
      <c r="K198">
        <f>IFERROR(__xludf.DUMMYFUNCTION("""COMPUTED_VALUE"""),"enemy")</f>
        <v/>
      </c>
      <c r="M198">
        <f>IFERROR(__xludf.DUMMYFUNCTION("""COMPUTED_VALUE"""),"dageki_1")</f>
        <v/>
      </c>
      <c r="N198">
        <f>IFERROR(__xludf.DUMMYFUNCTION("""COMPUTED_VALUE"""),"Middle")</f>
        <v/>
      </c>
      <c r="Q198">
        <f>IFERROR(__xludf.DUMMYFUNCTION("""COMPUTED_VALUE"""),"1.20")</f>
        <v/>
      </c>
      <c r="R198">
        <f>IFERROR(__xludf.DUMMYFUNCTION("""COMPUTED_VALUE"""),"0.27")</f>
        <v/>
      </c>
      <c r="S198">
        <f>IFERROR(__xludf.DUMMYFUNCTION("""COMPUTED_VALUE"""),"-")</f>
        <v/>
      </c>
      <c r="T198">
        <f>IFERROR(__xludf.DUMMYFUNCTION("""COMPUTED_VALUE"""),"-")</f>
        <v/>
      </c>
      <c r="U198">
        <f>IFERROR(__xludf.DUMMYFUNCTION("""COMPUTED_VALUE"""),45658.0)</f>
        <v/>
      </c>
      <c r="V198">
        <f>IFERROR(__xludf.DUMMYFUNCTION("""COMPUTED_VALUE"""),390812.49998842593)</f>
        <v/>
      </c>
      <c r="W198">
        <f>IFERROR(__xludf.DUMMYFUNCTION("""COMPUTED_VALUE"""),"catchcopy_character_enemy_dan_00301.png")</f>
        <v/>
      </c>
      <c r="X198">
        <f>IFERROR(__xludf.DUMMYFUNCTION("""COMPUTED_VALUE"""),"enemy_icon_enemy_dan_00301")</f>
        <v/>
      </c>
      <c r="Y198">
        <f>IFERROR(__xludf.DUMMYFUNCTION("""COMPUTED_VALUE"""),"boss_icon_enemy_dan_00301")</f>
        <v/>
      </c>
      <c r="Z198">
        <f>IFERROR(__xludf.DUMMYFUNCTION("""COMPUTED_VALUE"""),"enemy_dan_00301_normal")</f>
        <v/>
      </c>
    </row>
    <row r="199">
      <c r="A199">
        <f>IFERROR(__xludf.DUMMYFUNCTION("""COMPUTED_VALUE"""),"gom")</f>
        <v/>
      </c>
      <c r="B199">
        <f>IFERROR(__xludf.DUMMYFUNCTION("""COMPUTED_VALUE"""),"姫様“拷問”の時間です")</f>
        <v/>
      </c>
      <c r="C199">
        <f>IFERROR(__xludf.DUMMYFUNCTION("""COMPUTED_VALUE"""),"00101")</f>
        <v/>
      </c>
      <c r="D199">
        <f>IFERROR(__xludf.DUMMYFUNCTION("""COMPUTED_VALUE"""),"enemy_gom_00101")</f>
        <v/>
      </c>
      <c r="E199">
        <f>IFERROR(__xludf.DUMMYFUNCTION("""COMPUTED_VALUE"""),"トーチャー・トルチュール")</f>
        <v/>
      </c>
      <c r="F199">
        <f>IFERROR(__xludf.DUMMYFUNCTION("""COMPUTED_VALUE"""),"トーチャー・トルチュール")</f>
        <v/>
      </c>
      <c r="G199">
        <f>IFERROR(__xludf.DUMMYFUNCTION("""COMPUTED_VALUE"""),"""拷問""の時間です")</f>
        <v/>
      </c>
      <c r="K199">
        <f>IFERROR(__xludf.DUMMYFUNCTION("""COMPUTED_VALUE"""),"enemy")</f>
        <v/>
      </c>
      <c r="L199">
        <f>IFERROR(__xludf.DUMMYFUNCTION("""COMPUTED_VALUE"""),"テクニカル")</f>
        <v/>
      </c>
      <c r="M199">
        <f>IFERROR(__xludf.DUMMYFUNCTION("""COMPUTED_VALUE"""),"dageki_2")</f>
        <v/>
      </c>
      <c r="P199">
        <f>IFERROR(__xludf.DUMMYFUNCTION("""COMPUTED_VALUE"""),"00101")</f>
        <v/>
      </c>
      <c r="Q199">
        <f>IFERROR(__xludf.DUMMYFUNCTION("""COMPUTED_VALUE"""),"2.90")</f>
        <v/>
      </c>
      <c r="R199">
        <f>IFERROR(__xludf.DUMMYFUNCTION("""COMPUTED_VALUE"""),"1.00")</f>
        <v/>
      </c>
      <c r="S199">
        <f>IFERROR(__xludf.DUMMYFUNCTION("""COMPUTED_VALUE"""),"-")</f>
        <v/>
      </c>
      <c r="T199">
        <f>IFERROR(__xludf.DUMMYFUNCTION("""COMPUTED_VALUE"""),"-")</f>
        <v/>
      </c>
      <c r="U199">
        <f>IFERROR(__xludf.DUMMYFUNCTION("""COMPUTED_VALUE"""),45658.0)</f>
        <v/>
      </c>
      <c r="V199">
        <f>IFERROR(__xludf.DUMMYFUNCTION("""COMPUTED_VALUE"""),390812.49998842593)</f>
        <v/>
      </c>
      <c r="W199">
        <f>IFERROR(__xludf.DUMMYFUNCTION("""COMPUTED_VALUE"""),"catchcopy_character_enemy_gom_00101.png")</f>
        <v/>
      </c>
      <c r="X199">
        <f>IFERROR(__xludf.DUMMYFUNCTION("""COMPUTED_VALUE"""),"enemy_icon_enemy_gom_00101")</f>
        <v/>
      </c>
      <c r="Y199">
        <f>IFERROR(__xludf.DUMMYFUNCTION("""COMPUTED_VALUE"""),"boss_icon_enemy_gom_00101")</f>
        <v/>
      </c>
      <c r="Z199">
        <f>IFERROR(__xludf.DUMMYFUNCTION("""COMPUTED_VALUE"""),"chara_gom_00101_normal")</f>
        <v/>
      </c>
    </row>
    <row r="200">
      <c r="A200">
        <f>IFERROR(__xludf.DUMMYFUNCTION("""COMPUTED_VALUE"""),"gom")</f>
        <v/>
      </c>
      <c r="B200">
        <f>IFERROR(__xludf.DUMMYFUNCTION("""COMPUTED_VALUE"""),"姫様“拷問”の時間です")</f>
        <v/>
      </c>
      <c r="C200">
        <f>IFERROR(__xludf.DUMMYFUNCTION("""COMPUTED_VALUE"""),"00001")</f>
        <v/>
      </c>
      <c r="D200">
        <f>IFERROR(__xludf.DUMMYFUNCTION("""COMPUTED_VALUE"""),"enemy_gom_00001")</f>
        <v/>
      </c>
      <c r="E200">
        <f>IFERROR(__xludf.DUMMYFUNCTION("""COMPUTED_VALUE"""),"カナッジ")</f>
        <v/>
      </c>
      <c r="F200">
        <f>IFERROR(__xludf.DUMMYFUNCTION("""COMPUTED_VALUE"""),"カナッジ")</f>
        <v/>
      </c>
      <c r="G200">
        <f>IFERROR(__xludf.DUMMYFUNCTION("""COMPUTED_VALUE"""),"ー")</f>
        <v/>
      </c>
      <c r="J200">
        <f>IFERROR(__xludf.DUMMYFUNCTION("""COMPUTED_VALUE"""),"無")</f>
        <v/>
      </c>
      <c r="K200">
        <f>IFERROR(__xludf.DUMMYFUNCTION("""COMPUTED_VALUE"""),"enemy")</f>
        <v/>
      </c>
      <c r="Q200">
        <f>IFERROR(__xludf.DUMMYFUNCTION("""COMPUTED_VALUE"""),"1.60")</f>
        <v/>
      </c>
      <c r="R200">
        <f>IFERROR(__xludf.DUMMYFUNCTION("""COMPUTED_VALUE"""),"0.50")</f>
        <v/>
      </c>
      <c r="S200">
        <f>IFERROR(__xludf.DUMMYFUNCTION("""COMPUTED_VALUE"""),"-")</f>
        <v/>
      </c>
      <c r="T200">
        <f>IFERROR(__xludf.DUMMYFUNCTION("""COMPUTED_VALUE"""),"-")</f>
        <v/>
      </c>
      <c r="U200">
        <f>IFERROR(__xludf.DUMMYFUNCTION("""COMPUTED_VALUE"""),45658.0)</f>
        <v/>
      </c>
      <c r="V200">
        <f>IFERROR(__xludf.DUMMYFUNCTION("""COMPUTED_VALUE"""),390812.49998842593)</f>
        <v/>
      </c>
      <c r="W200">
        <f>IFERROR(__xludf.DUMMYFUNCTION("""COMPUTED_VALUE"""),"catchcopy_character_enemy_gom_00001.png")</f>
        <v/>
      </c>
      <c r="X200">
        <f>IFERROR(__xludf.DUMMYFUNCTION("""COMPUTED_VALUE"""),"enemy_icon_enemy_gom_00001")</f>
        <v/>
      </c>
      <c r="Y200">
        <f>IFERROR(__xludf.DUMMYFUNCTION("""COMPUTED_VALUE"""),"boss_icon_enemy_gom_00001")</f>
        <v/>
      </c>
    </row>
    <row r="201">
      <c r="A201">
        <f>IFERROR(__xludf.DUMMYFUNCTION("""COMPUTED_VALUE"""),"gom")</f>
        <v/>
      </c>
      <c r="B201">
        <f>IFERROR(__xludf.DUMMYFUNCTION("""COMPUTED_VALUE"""),"姫様“拷問”の時間です")</f>
        <v/>
      </c>
      <c r="C201">
        <f>IFERROR(__xludf.DUMMYFUNCTION("""COMPUTED_VALUE"""),"00201")</f>
        <v/>
      </c>
      <c r="D201">
        <f>IFERROR(__xludf.DUMMYFUNCTION("""COMPUTED_VALUE"""),"enemy_gom_00201")</f>
        <v/>
      </c>
      <c r="E201">
        <f>IFERROR(__xludf.DUMMYFUNCTION("""COMPUTED_VALUE"""),"クロル")</f>
        <v/>
      </c>
      <c r="F201">
        <f>IFERROR(__xludf.DUMMYFUNCTION("""COMPUTED_VALUE"""),"クロル")</f>
        <v/>
      </c>
      <c r="G201">
        <f>IFERROR(__xludf.DUMMYFUNCTION("""COMPUTED_VALUE"""),"ー")</f>
        <v/>
      </c>
      <c r="K201">
        <f>IFERROR(__xludf.DUMMYFUNCTION("""COMPUTED_VALUE"""),"enemy")</f>
        <v/>
      </c>
      <c r="M201">
        <f>IFERROR(__xludf.DUMMYFUNCTION("""COMPUTED_VALUE"""),"dageki_1")</f>
        <v/>
      </c>
      <c r="Q201">
        <f>IFERROR(__xludf.DUMMYFUNCTION("""COMPUTED_VALUE"""),"1.30")</f>
        <v/>
      </c>
      <c r="R201">
        <f>IFERROR(__xludf.DUMMYFUNCTION("""COMPUTED_VALUE"""),"0.30")</f>
        <v/>
      </c>
      <c r="S201">
        <f>IFERROR(__xludf.DUMMYFUNCTION("""COMPUTED_VALUE"""),"-")</f>
        <v/>
      </c>
      <c r="T201">
        <f>IFERROR(__xludf.DUMMYFUNCTION("""COMPUTED_VALUE"""),"-")</f>
        <v/>
      </c>
      <c r="U201">
        <f>IFERROR(__xludf.DUMMYFUNCTION("""COMPUTED_VALUE"""),45658.0)</f>
        <v/>
      </c>
      <c r="V201">
        <f>IFERROR(__xludf.DUMMYFUNCTION("""COMPUTED_VALUE"""),390812.49998842593)</f>
        <v/>
      </c>
      <c r="W201">
        <f>IFERROR(__xludf.DUMMYFUNCTION("""COMPUTED_VALUE"""),"catchcopy_character_enemy_gom_00201.png")</f>
        <v/>
      </c>
      <c r="X201">
        <f>IFERROR(__xludf.DUMMYFUNCTION("""COMPUTED_VALUE"""),"enemy_icon_enemy_gom_00201")</f>
        <v/>
      </c>
      <c r="Y201">
        <f>IFERROR(__xludf.DUMMYFUNCTION("""COMPUTED_VALUE"""),"boss_icon_enemy_gom_00201")</f>
        <v/>
      </c>
    </row>
    <row r="202">
      <c r="A202">
        <f>IFERROR(__xludf.DUMMYFUNCTION("""COMPUTED_VALUE"""),"gom")</f>
        <v/>
      </c>
      <c r="B202">
        <f>IFERROR(__xludf.DUMMYFUNCTION("""COMPUTED_VALUE"""),"姫様“拷問”の時間です")</f>
        <v/>
      </c>
      <c r="C202">
        <f>IFERROR(__xludf.DUMMYFUNCTION("""COMPUTED_VALUE"""),"00301")</f>
        <v/>
      </c>
      <c r="D202">
        <f>IFERROR(__xludf.DUMMYFUNCTION("""COMPUTED_VALUE"""),"enemy_gom_00301")</f>
        <v/>
      </c>
      <c r="E202">
        <f>IFERROR(__xludf.DUMMYFUNCTION("""COMPUTED_VALUE"""),"キュイ")</f>
        <v/>
      </c>
      <c r="F202">
        <f>IFERROR(__xludf.DUMMYFUNCTION("""COMPUTED_VALUE"""),"キュイ")</f>
        <v/>
      </c>
      <c r="G202">
        <f>IFERROR(__xludf.DUMMYFUNCTION("""COMPUTED_VALUE"""),"ー")</f>
        <v/>
      </c>
      <c r="K202">
        <f>IFERROR(__xludf.DUMMYFUNCTION("""COMPUTED_VALUE"""),"enemy")</f>
        <v/>
      </c>
      <c r="L202">
        <f>IFERROR(__xludf.DUMMYFUNCTION("""COMPUTED_VALUE"""),"ディフェンス")</f>
        <v/>
      </c>
      <c r="M202">
        <f>IFERROR(__xludf.DUMMYFUNCTION("""COMPUTED_VALUE"""),"dageki_1")</f>
        <v/>
      </c>
      <c r="Q202">
        <f>IFERROR(__xludf.DUMMYFUNCTION("""COMPUTED_VALUE"""),"2.76")</f>
        <v/>
      </c>
      <c r="R202">
        <f>IFERROR(__xludf.DUMMYFUNCTION("""COMPUTED_VALUE"""),"1.50")</f>
        <v/>
      </c>
      <c r="S202">
        <f>IFERROR(__xludf.DUMMYFUNCTION("""COMPUTED_VALUE"""),"-")</f>
        <v/>
      </c>
      <c r="T202">
        <f>IFERROR(__xludf.DUMMYFUNCTION("""COMPUTED_VALUE"""),"-")</f>
        <v/>
      </c>
      <c r="U202">
        <f>IFERROR(__xludf.DUMMYFUNCTION("""COMPUTED_VALUE"""),45658.0)</f>
        <v/>
      </c>
      <c r="V202">
        <f>IFERROR(__xludf.DUMMYFUNCTION("""COMPUTED_VALUE"""),390812.49998842593)</f>
        <v/>
      </c>
      <c r="W202">
        <f>IFERROR(__xludf.DUMMYFUNCTION("""COMPUTED_VALUE"""),"catchcopy_character_enemy_gom_00001.png")</f>
        <v/>
      </c>
      <c r="X202">
        <f>IFERROR(__xludf.DUMMYFUNCTION("""COMPUTED_VALUE"""),"enemy_icon_enemy_gom_00301")</f>
        <v/>
      </c>
      <c r="Y202">
        <f>IFERROR(__xludf.DUMMYFUNCTION("""COMPUTED_VALUE"""),"boss_icon_enemy_gom_00301")</f>
        <v/>
      </c>
    </row>
    <row r="203">
      <c r="A203">
        <f>IFERROR(__xludf.DUMMYFUNCTION("""COMPUTED_VALUE"""),"gom")</f>
        <v/>
      </c>
      <c r="B203">
        <f>IFERROR(__xludf.DUMMYFUNCTION("""COMPUTED_VALUE"""),"姫様“拷問”の時間です")</f>
        <v/>
      </c>
      <c r="C203">
        <f>IFERROR(__xludf.DUMMYFUNCTION("""COMPUTED_VALUE"""),"00401")</f>
        <v/>
      </c>
      <c r="D203">
        <f>IFERROR(__xludf.DUMMYFUNCTION("""COMPUTED_VALUE"""),"enemy_gom_00401")</f>
        <v/>
      </c>
      <c r="E203">
        <f>IFERROR(__xludf.DUMMYFUNCTION("""COMPUTED_VALUE"""),"たこ焼きくん")</f>
        <v/>
      </c>
      <c r="F203">
        <f>IFERROR(__xludf.DUMMYFUNCTION("""COMPUTED_VALUE"""),"たこ焼きくん")</f>
        <v/>
      </c>
      <c r="G203">
        <f>IFERROR(__xludf.DUMMYFUNCTION("""COMPUTED_VALUE"""),"ー")</f>
        <v/>
      </c>
      <c r="K203">
        <f>IFERROR(__xludf.DUMMYFUNCTION("""COMPUTED_VALUE"""),"enemy")</f>
        <v/>
      </c>
      <c r="L203">
        <f>IFERROR(__xludf.DUMMYFUNCTION("""COMPUTED_VALUE"""),"アタック")</f>
        <v/>
      </c>
      <c r="M203">
        <f>IFERROR(__xludf.DUMMYFUNCTION("""COMPUTED_VALUE"""),"dageki_1")</f>
        <v/>
      </c>
      <c r="Q203">
        <f>IFERROR(__xludf.DUMMYFUNCTION("""COMPUTED_VALUE"""),"1.00")</f>
        <v/>
      </c>
      <c r="R203">
        <f>IFERROR(__xludf.DUMMYFUNCTION("""COMPUTED_VALUE"""),"0.833")</f>
        <v/>
      </c>
      <c r="S203">
        <f>IFERROR(__xludf.DUMMYFUNCTION("""COMPUTED_VALUE"""),"-")</f>
        <v/>
      </c>
      <c r="T203">
        <f>IFERROR(__xludf.DUMMYFUNCTION("""COMPUTED_VALUE"""),"-")</f>
        <v/>
      </c>
      <c r="U203">
        <f>IFERROR(__xludf.DUMMYFUNCTION("""COMPUTED_VALUE"""),45658.0)</f>
        <v/>
      </c>
      <c r="V203">
        <f>IFERROR(__xludf.DUMMYFUNCTION("""COMPUTED_VALUE"""),390812.49998842593)</f>
        <v/>
      </c>
      <c r="W203">
        <f>IFERROR(__xludf.DUMMYFUNCTION("""COMPUTED_VALUE"""),"catchcopy_character_enemy_gom_00002.png")</f>
        <v/>
      </c>
      <c r="X203">
        <f>IFERROR(__xludf.DUMMYFUNCTION("""COMPUTED_VALUE"""),"enemy_icon_enemy_gom_00401")</f>
        <v/>
      </c>
      <c r="Y203">
        <f>IFERROR(__xludf.DUMMYFUNCTION("""COMPUTED_VALUE"""),"boss_icon_enemy_gom_00401")</f>
        <v/>
      </c>
      <c r="Z203">
        <f>IFERROR(__xludf.DUMMYFUNCTION("""COMPUTED_VALUE"""),"enemy_dan_00401_normal")</f>
        <v/>
      </c>
    </row>
    <row r="204">
      <c r="A204">
        <f>IFERROR(__xludf.DUMMYFUNCTION("""COMPUTED_VALUE"""),"gom")</f>
        <v/>
      </c>
      <c r="B204">
        <f>IFERROR(__xludf.DUMMYFUNCTION("""COMPUTED_VALUE"""),"姫様“拷問”の時間です")</f>
        <v/>
      </c>
      <c r="C204">
        <f>IFERROR(__xludf.DUMMYFUNCTION("""COMPUTED_VALUE"""),"00402")</f>
        <v/>
      </c>
      <c r="D204">
        <f>IFERROR(__xludf.DUMMYFUNCTION("""COMPUTED_VALUE"""),"enemy_gom_00402")</f>
        <v/>
      </c>
      <c r="E204">
        <f>IFERROR(__xludf.DUMMYFUNCTION("""COMPUTED_VALUE"""),"たこ焼き")</f>
        <v/>
      </c>
      <c r="F204">
        <f>IFERROR(__xludf.DUMMYFUNCTION("""COMPUTED_VALUE"""),"たこ焼き")</f>
        <v/>
      </c>
      <c r="G204">
        <f>IFERROR(__xludf.DUMMYFUNCTION("""COMPUTED_VALUE"""),"ー")</f>
        <v/>
      </c>
      <c r="K204">
        <f>IFERROR(__xludf.DUMMYFUNCTION("""COMPUTED_VALUE"""),"enemy")</f>
        <v/>
      </c>
      <c r="L204">
        <f>IFERROR(__xludf.DUMMYFUNCTION("""COMPUTED_VALUE"""),"アタック")</f>
        <v/>
      </c>
      <c r="M204">
        <f>IFERROR(__xludf.DUMMYFUNCTION("""COMPUTED_VALUE"""),"dageki_1")</f>
        <v/>
      </c>
      <c r="Q204">
        <f>IFERROR(__xludf.DUMMYFUNCTION("""COMPUTED_VALUE"""),"1.00")</f>
        <v/>
      </c>
      <c r="R204">
        <f>IFERROR(__xludf.DUMMYFUNCTION("""COMPUTED_VALUE"""),"0.833")</f>
        <v/>
      </c>
      <c r="S204">
        <f>IFERROR(__xludf.DUMMYFUNCTION("""COMPUTED_VALUE"""),"-")</f>
        <v/>
      </c>
      <c r="T204">
        <f>IFERROR(__xludf.DUMMYFUNCTION("""COMPUTED_VALUE"""),"-")</f>
        <v/>
      </c>
      <c r="U204">
        <f>IFERROR(__xludf.DUMMYFUNCTION("""COMPUTED_VALUE"""),45658.0)</f>
        <v/>
      </c>
      <c r="V204">
        <f>IFERROR(__xludf.DUMMYFUNCTION("""COMPUTED_VALUE"""),390812.49998842593)</f>
        <v/>
      </c>
      <c r="W204">
        <f>IFERROR(__xludf.DUMMYFUNCTION("""COMPUTED_VALUE"""),"catchcopy_character_enemy_gom_00001.png")</f>
        <v/>
      </c>
      <c r="X204">
        <f>IFERROR(__xludf.DUMMYFUNCTION("""COMPUTED_VALUE"""),"enemy_icon_enemy_gom_00402")</f>
        <v/>
      </c>
      <c r="Y204">
        <f>IFERROR(__xludf.DUMMYFUNCTION("""COMPUTED_VALUE"""),"boss_icon_enemy_gom_00402")</f>
        <v/>
      </c>
    </row>
    <row r="205">
      <c r="A205">
        <f>IFERROR(__xludf.DUMMYFUNCTION("""COMPUTED_VALUE"""),"gom")</f>
        <v/>
      </c>
      <c r="B205">
        <f>IFERROR(__xludf.DUMMYFUNCTION("""COMPUTED_VALUE"""),"姫様“拷問”の時間です")</f>
        <v/>
      </c>
      <c r="C205">
        <f>IFERROR(__xludf.DUMMYFUNCTION("""COMPUTED_VALUE"""),"00501")</f>
        <v/>
      </c>
      <c r="D205">
        <f>IFERROR(__xludf.DUMMYFUNCTION("""COMPUTED_VALUE"""),"enemy_gom_00501")</f>
        <v/>
      </c>
      <c r="E205">
        <f>IFERROR(__xludf.DUMMYFUNCTION("""COMPUTED_VALUE"""),"バタートースト")</f>
        <v/>
      </c>
      <c r="F205">
        <f>IFERROR(__xludf.DUMMYFUNCTION("""COMPUTED_VALUE"""),"バタートースト")</f>
        <v/>
      </c>
      <c r="G205">
        <f>IFERROR(__xludf.DUMMYFUNCTION("""COMPUTED_VALUE"""),"ー")</f>
        <v/>
      </c>
      <c r="K205">
        <f>IFERROR(__xludf.DUMMYFUNCTION("""COMPUTED_VALUE"""),"enemy")</f>
        <v/>
      </c>
      <c r="L205">
        <f>IFERROR(__xludf.DUMMYFUNCTION("""COMPUTED_VALUE"""),"ディフェンス")</f>
        <v/>
      </c>
      <c r="M205">
        <f>IFERROR(__xludf.DUMMYFUNCTION("""COMPUTED_VALUE"""),"dageki_1")</f>
        <v/>
      </c>
      <c r="Q205">
        <f>IFERROR(__xludf.DUMMYFUNCTION("""COMPUTED_VALUE"""),"1.00")</f>
        <v/>
      </c>
      <c r="R205">
        <f>IFERROR(__xludf.DUMMYFUNCTION("""COMPUTED_VALUE"""),"0.833")</f>
        <v/>
      </c>
      <c r="S205">
        <f>IFERROR(__xludf.DUMMYFUNCTION("""COMPUTED_VALUE"""),"-")</f>
        <v/>
      </c>
      <c r="T205">
        <f>IFERROR(__xludf.DUMMYFUNCTION("""COMPUTED_VALUE"""),"-")</f>
        <v/>
      </c>
      <c r="U205">
        <f>IFERROR(__xludf.DUMMYFUNCTION("""COMPUTED_VALUE"""),45658.0)</f>
        <v/>
      </c>
      <c r="V205">
        <f>IFERROR(__xludf.DUMMYFUNCTION("""COMPUTED_VALUE"""),390812.49998842593)</f>
        <v/>
      </c>
      <c r="W205">
        <f>IFERROR(__xludf.DUMMYFUNCTION("""COMPUTED_VALUE"""),"catchcopy_character_enemy_gom_00001.png")</f>
        <v/>
      </c>
      <c r="X205">
        <f>IFERROR(__xludf.DUMMYFUNCTION("""COMPUTED_VALUE"""),"enemy_icon_enemy_gom_00501")</f>
        <v/>
      </c>
      <c r="Y205">
        <f>IFERROR(__xludf.DUMMYFUNCTION("""COMPUTED_VALUE"""),"boss_icon_enemy_gom_00501")</f>
        <v/>
      </c>
    </row>
    <row r="206">
      <c r="A206">
        <f>IFERROR(__xludf.DUMMYFUNCTION("""COMPUTED_VALUE"""),"gom")</f>
        <v/>
      </c>
      <c r="B206">
        <f>IFERROR(__xludf.DUMMYFUNCTION("""COMPUTED_VALUE"""),"姫様“拷問”の時間です")</f>
        <v/>
      </c>
      <c r="C206">
        <f>IFERROR(__xludf.DUMMYFUNCTION("""COMPUTED_VALUE"""),"00502")</f>
        <v/>
      </c>
      <c r="D206">
        <f>IFERROR(__xludf.DUMMYFUNCTION("""COMPUTED_VALUE"""),"enemy_gom_00502")</f>
        <v/>
      </c>
      <c r="E206">
        <f>IFERROR(__xludf.DUMMYFUNCTION("""COMPUTED_VALUE"""),"割きトースト")</f>
        <v/>
      </c>
      <c r="F206">
        <f>IFERROR(__xludf.DUMMYFUNCTION("""COMPUTED_VALUE"""),"割きトースト")</f>
        <v/>
      </c>
      <c r="G206">
        <f>IFERROR(__xludf.DUMMYFUNCTION("""COMPUTED_VALUE"""),"ー")</f>
        <v/>
      </c>
      <c r="K206">
        <f>IFERROR(__xludf.DUMMYFUNCTION("""COMPUTED_VALUE"""),"enemy")</f>
        <v/>
      </c>
      <c r="L206">
        <f>IFERROR(__xludf.DUMMYFUNCTION("""COMPUTED_VALUE"""),"アタック")</f>
        <v/>
      </c>
      <c r="M206">
        <f>IFERROR(__xludf.DUMMYFUNCTION("""COMPUTED_VALUE"""),"dageki_1")</f>
        <v/>
      </c>
      <c r="Q206">
        <f>IFERROR(__xludf.DUMMYFUNCTION("""COMPUTED_VALUE"""),"1.00")</f>
        <v/>
      </c>
      <c r="R206">
        <f>IFERROR(__xludf.DUMMYFUNCTION("""COMPUTED_VALUE"""),"0.833")</f>
        <v/>
      </c>
      <c r="S206">
        <f>IFERROR(__xludf.DUMMYFUNCTION("""COMPUTED_VALUE"""),"-")</f>
        <v/>
      </c>
      <c r="T206">
        <f>IFERROR(__xludf.DUMMYFUNCTION("""COMPUTED_VALUE"""),"-")</f>
        <v/>
      </c>
      <c r="U206">
        <f>IFERROR(__xludf.DUMMYFUNCTION("""COMPUTED_VALUE"""),45658.0)</f>
        <v/>
      </c>
      <c r="V206">
        <f>IFERROR(__xludf.DUMMYFUNCTION("""COMPUTED_VALUE"""),390812.49998842593)</f>
        <v/>
      </c>
      <c r="W206">
        <f>IFERROR(__xludf.DUMMYFUNCTION("""COMPUTED_VALUE"""),"catchcopy_character_enemy_gom_00001.png")</f>
        <v/>
      </c>
      <c r="X206">
        <f>IFERROR(__xludf.DUMMYFUNCTION("""COMPUTED_VALUE"""),"enemy_icon_enemy_gom_00502")</f>
        <v/>
      </c>
      <c r="Y206">
        <f>IFERROR(__xludf.DUMMYFUNCTION("""COMPUTED_VALUE"""),"boss_icon_enemy_gom_00502")</f>
        <v/>
      </c>
    </row>
    <row r="207">
      <c r="A207">
        <f>IFERROR(__xludf.DUMMYFUNCTION("""COMPUTED_VALUE"""),"gom")</f>
        <v/>
      </c>
      <c r="B207">
        <f>IFERROR(__xludf.DUMMYFUNCTION("""COMPUTED_VALUE"""),"姫様“拷問”の時間です")</f>
        <v/>
      </c>
      <c r="C207">
        <f>IFERROR(__xludf.DUMMYFUNCTION("""COMPUTED_VALUE"""),"00601")</f>
        <v/>
      </c>
      <c r="D207">
        <f>IFERROR(__xludf.DUMMYFUNCTION("""COMPUTED_VALUE"""),"enemy_gom_00601")</f>
        <v/>
      </c>
      <c r="E207">
        <f>IFERROR(__xludf.DUMMYFUNCTION("""COMPUTED_VALUE"""),"ゴリラのマーチA")</f>
        <v/>
      </c>
      <c r="F207">
        <f>IFERROR(__xludf.DUMMYFUNCTION("""COMPUTED_VALUE"""),"ゴリラのマーチ")</f>
        <v/>
      </c>
      <c r="G207">
        <f>IFERROR(__xludf.DUMMYFUNCTION("""COMPUTED_VALUE"""),"ー")</f>
        <v/>
      </c>
      <c r="K207">
        <f>IFERROR(__xludf.DUMMYFUNCTION("""COMPUTED_VALUE"""),"enemy")</f>
        <v/>
      </c>
      <c r="L207">
        <f>IFERROR(__xludf.DUMMYFUNCTION("""COMPUTED_VALUE"""),"アタック")</f>
        <v/>
      </c>
      <c r="M207">
        <f>IFERROR(__xludf.DUMMYFUNCTION("""COMPUTED_VALUE"""),"dageki_1")</f>
        <v/>
      </c>
      <c r="Q207">
        <f>IFERROR(__xludf.DUMMYFUNCTION("""COMPUTED_VALUE"""),"1")</f>
        <v/>
      </c>
      <c r="R207">
        <f>IFERROR(__xludf.DUMMYFUNCTION("""COMPUTED_VALUE"""),"0.833")</f>
        <v/>
      </c>
      <c r="S207">
        <f>IFERROR(__xludf.DUMMYFUNCTION("""COMPUTED_VALUE"""),"-")</f>
        <v/>
      </c>
      <c r="T207">
        <f>IFERROR(__xludf.DUMMYFUNCTION("""COMPUTED_VALUE"""),"-")</f>
        <v/>
      </c>
      <c r="U207">
        <f>IFERROR(__xludf.DUMMYFUNCTION("""COMPUTED_VALUE"""),45658.0)</f>
        <v/>
      </c>
      <c r="V207">
        <f>IFERROR(__xludf.DUMMYFUNCTION("""COMPUTED_VALUE"""),390812.49998842593)</f>
        <v/>
      </c>
      <c r="W207">
        <f>IFERROR(__xludf.DUMMYFUNCTION("""COMPUTED_VALUE"""),"catchcopy_character_enemy_gom_00001.png")</f>
        <v/>
      </c>
      <c r="X207">
        <f>IFERROR(__xludf.DUMMYFUNCTION("""COMPUTED_VALUE"""),"enemy_icon_enemy_gom_00601")</f>
        <v/>
      </c>
      <c r="Y207">
        <f>IFERROR(__xludf.DUMMYFUNCTION("""COMPUTED_VALUE"""),"boss_icon_enemy_gom_00601")</f>
        <v/>
      </c>
    </row>
    <row r="208">
      <c r="A208">
        <f>IFERROR(__xludf.DUMMYFUNCTION("""COMPUTED_VALUE"""),"gom")</f>
        <v/>
      </c>
      <c r="B208">
        <f>IFERROR(__xludf.DUMMYFUNCTION("""COMPUTED_VALUE"""),"姫様“拷問”の時間です")</f>
        <v/>
      </c>
      <c r="C208">
        <f>IFERROR(__xludf.DUMMYFUNCTION("""COMPUTED_VALUE"""),"00611")</f>
        <v/>
      </c>
      <c r="D208">
        <f>IFERROR(__xludf.DUMMYFUNCTION("""COMPUTED_VALUE"""),"enemy_gom_00611")</f>
        <v/>
      </c>
      <c r="E208">
        <f>IFERROR(__xludf.DUMMYFUNCTION("""COMPUTED_VALUE"""),"ゴリラのマーチB")</f>
        <v/>
      </c>
      <c r="F208">
        <f>IFERROR(__xludf.DUMMYFUNCTION("""COMPUTED_VALUE"""),"ゴリラのマーチ")</f>
        <v/>
      </c>
      <c r="G208">
        <f>IFERROR(__xludf.DUMMYFUNCTION("""COMPUTED_VALUE"""),"ー")</f>
        <v/>
      </c>
      <c r="K208">
        <f>IFERROR(__xludf.DUMMYFUNCTION("""COMPUTED_VALUE"""),"enemy")</f>
        <v/>
      </c>
      <c r="L208">
        <f>IFERROR(__xludf.DUMMYFUNCTION("""COMPUTED_VALUE"""),"アタック")</f>
        <v/>
      </c>
      <c r="M208">
        <f>IFERROR(__xludf.DUMMYFUNCTION("""COMPUTED_VALUE"""),"dageki_1")</f>
        <v/>
      </c>
      <c r="Q208">
        <f>IFERROR(__xludf.DUMMYFUNCTION("""COMPUTED_VALUE"""),"1")</f>
        <v/>
      </c>
      <c r="R208">
        <f>IFERROR(__xludf.DUMMYFUNCTION("""COMPUTED_VALUE"""),"0.833")</f>
        <v/>
      </c>
      <c r="S208">
        <f>IFERROR(__xludf.DUMMYFUNCTION("""COMPUTED_VALUE"""),"-")</f>
        <v/>
      </c>
      <c r="T208">
        <f>IFERROR(__xludf.DUMMYFUNCTION("""COMPUTED_VALUE"""),"-")</f>
        <v/>
      </c>
      <c r="U208">
        <f>IFERROR(__xludf.DUMMYFUNCTION("""COMPUTED_VALUE"""),45658.0)</f>
        <v/>
      </c>
      <c r="V208">
        <f>IFERROR(__xludf.DUMMYFUNCTION("""COMPUTED_VALUE"""),390812.49998842593)</f>
        <v/>
      </c>
      <c r="W208">
        <f>IFERROR(__xludf.DUMMYFUNCTION("""COMPUTED_VALUE"""),"catchcopy_character_enemy_gom_00001.png")</f>
        <v/>
      </c>
      <c r="X208">
        <f>IFERROR(__xludf.DUMMYFUNCTION("""COMPUTED_VALUE"""),"enemy_icon_enemy_gom_00611")</f>
        <v/>
      </c>
      <c r="Y208">
        <f>IFERROR(__xludf.DUMMYFUNCTION("""COMPUTED_VALUE"""),"boss_icon_enemy_gom_00611")</f>
        <v/>
      </c>
    </row>
    <row r="209">
      <c r="A209">
        <f>IFERROR(__xludf.DUMMYFUNCTION("""COMPUTED_VALUE"""),"gom")</f>
        <v/>
      </c>
      <c r="B209">
        <f>IFERROR(__xludf.DUMMYFUNCTION("""COMPUTED_VALUE"""),"姫様“拷問”の時間です")</f>
        <v/>
      </c>
      <c r="C209">
        <f>IFERROR(__xludf.DUMMYFUNCTION("""COMPUTED_VALUE"""),"00621")</f>
        <v/>
      </c>
      <c r="D209">
        <f>IFERROR(__xludf.DUMMYFUNCTION("""COMPUTED_VALUE"""),"enemy_gom_00621")</f>
        <v/>
      </c>
      <c r="E209">
        <f>IFERROR(__xludf.DUMMYFUNCTION("""COMPUTED_VALUE"""),"ゴリラのマーチC")</f>
        <v/>
      </c>
      <c r="F209">
        <f>IFERROR(__xludf.DUMMYFUNCTION("""COMPUTED_VALUE"""),"ゴリラのマーチ")</f>
        <v/>
      </c>
      <c r="G209">
        <f>IFERROR(__xludf.DUMMYFUNCTION("""COMPUTED_VALUE"""),"ー")</f>
        <v/>
      </c>
      <c r="K209">
        <f>IFERROR(__xludf.DUMMYFUNCTION("""COMPUTED_VALUE"""),"enemy")</f>
        <v/>
      </c>
      <c r="L209">
        <f>IFERROR(__xludf.DUMMYFUNCTION("""COMPUTED_VALUE"""),"アタック")</f>
        <v/>
      </c>
      <c r="M209">
        <f>IFERROR(__xludf.DUMMYFUNCTION("""COMPUTED_VALUE"""),"dageki_1")</f>
        <v/>
      </c>
      <c r="Q209">
        <f>IFERROR(__xludf.DUMMYFUNCTION("""COMPUTED_VALUE"""),"1")</f>
        <v/>
      </c>
      <c r="R209">
        <f>IFERROR(__xludf.DUMMYFUNCTION("""COMPUTED_VALUE"""),"0.833")</f>
        <v/>
      </c>
      <c r="S209">
        <f>IFERROR(__xludf.DUMMYFUNCTION("""COMPUTED_VALUE"""),"-")</f>
        <v/>
      </c>
      <c r="T209">
        <f>IFERROR(__xludf.DUMMYFUNCTION("""COMPUTED_VALUE"""),"-")</f>
        <v/>
      </c>
      <c r="U209">
        <f>IFERROR(__xludf.DUMMYFUNCTION("""COMPUTED_VALUE"""),45658.0)</f>
        <v/>
      </c>
      <c r="V209">
        <f>IFERROR(__xludf.DUMMYFUNCTION("""COMPUTED_VALUE"""),390812.49998842593)</f>
        <v/>
      </c>
      <c r="W209">
        <f>IFERROR(__xludf.DUMMYFUNCTION("""COMPUTED_VALUE"""),"catchcopy_character_enemy_gom_00001.png")</f>
        <v/>
      </c>
      <c r="X209">
        <f>IFERROR(__xludf.DUMMYFUNCTION("""COMPUTED_VALUE"""),"enemy_icon_enemy_gom_00621")</f>
        <v/>
      </c>
      <c r="Y209">
        <f>IFERROR(__xludf.DUMMYFUNCTION("""COMPUTED_VALUE"""),"boss_icon_enemy_gom_00621")</f>
        <v/>
      </c>
    </row>
    <row r="210">
      <c r="A210">
        <f>IFERROR(__xludf.DUMMYFUNCTION("""COMPUTED_VALUE"""),"gom")</f>
        <v/>
      </c>
      <c r="B210">
        <f>IFERROR(__xludf.DUMMYFUNCTION("""COMPUTED_VALUE"""),"姫様“拷問”の時間です")</f>
        <v/>
      </c>
      <c r="C210">
        <f>IFERROR(__xludf.DUMMYFUNCTION("""COMPUTED_VALUE"""),"00631")</f>
        <v/>
      </c>
      <c r="D210">
        <f>IFERROR(__xludf.DUMMYFUNCTION("""COMPUTED_VALUE"""),"enemy_gom_00631")</f>
        <v/>
      </c>
      <c r="E210">
        <f>IFERROR(__xludf.DUMMYFUNCTION("""COMPUTED_VALUE"""),"ゴリラのマーチD")</f>
        <v/>
      </c>
      <c r="F210">
        <f>IFERROR(__xludf.DUMMYFUNCTION("""COMPUTED_VALUE"""),"ゴリラのマーチ")</f>
        <v/>
      </c>
      <c r="G210">
        <f>IFERROR(__xludf.DUMMYFUNCTION("""COMPUTED_VALUE"""),"ー")</f>
        <v/>
      </c>
      <c r="K210">
        <f>IFERROR(__xludf.DUMMYFUNCTION("""COMPUTED_VALUE"""),"enemy")</f>
        <v/>
      </c>
      <c r="L210">
        <f>IFERROR(__xludf.DUMMYFUNCTION("""COMPUTED_VALUE"""),"アタック")</f>
        <v/>
      </c>
      <c r="M210">
        <f>IFERROR(__xludf.DUMMYFUNCTION("""COMPUTED_VALUE"""),"dageki_1")</f>
        <v/>
      </c>
      <c r="Q210">
        <f>IFERROR(__xludf.DUMMYFUNCTION("""COMPUTED_VALUE"""),"1")</f>
        <v/>
      </c>
      <c r="R210">
        <f>IFERROR(__xludf.DUMMYFUNCTION("""COMPUTED_VALUE"""),"0.833")</f>
        <v/>
      </c>
      <c r="S210">
        <f>IFERROR(__xludf.DUMMYFUNCTION("""COMPUTED_VALUE"""),"-")</f>
        <v/>
      </c>
      <c r="T210">
        <f>IFERROR(__xludf.DUMMYFUNCTION("""COMPUTED_VALUE"""),"-")</f>
        <v/>
      </c>
      <c r="U210">
        <f>IFERROR(__xludf.DUMMYFUNCTION("""COMPUTED_VALUE"""),45658.0)</f>
        <v/>
      </c>
      <c r="V210">
        <f>IFERROR(__xludf.DUMMYFUNCTION("""COMPUTED_VALUE"""),390812.49998842593)</f>
        <v/>
      </c>
      <c r="W210">
        <f>IFERROR(__xludf.DUMMYFUNCTION("""COMPUTED_VALUE"""),"catchcopy_character_enemy_gom_00001.png")</f>
        <v/>
      </c>
      <c r="X210">
        <f>IFERROR(__xludf.DUMMYFUNCTION("""COMPUTED_VALUE"""),"enemy_icon_enemy_gom_00631")</f>
        <v/>
      </c>
      <c r="Y210">
        <f>IFERROR(__xludf.DUMMYFUNCTION("""COMPUTED_VALUE"""),"boss_icon_enemy_gom_00631")</f>
        <v/>
      </c>
    </row>
    <row r="211">
      <c r="A211">
        <f>IFERROR(__xludf.DUMMYFUNCTION("""COMPUTED_VALUE"""),"gom")</f>
        <v/>
      </c>
      <c r="B211">
        <f>IFERROR(__xludf.DUMMYFUNCTION("""COMPUTED_VALUE"""),"姫様“拷問”の時間です")</f>
        <v/>
      </c>
      <c r="C211">
        <f>IFERROR(__xludf.DUMMYFUNCTION("""COMPUTED_VALUE"""),"00701")</f>
        <v/>
      </c>
      <c r="D211">
        <f>IFERROR(__xludf.DUMMYFUNCTION("""COMPUTED_VALUE"""),"enemy_gom_00701")</f>
        <v/>
      </c>
      <c r="E211">
        <f>IFERROR(__xludf.DUMMYFUNCTION("""COMPUTED_VALUE"""),"ラーメン")</f>
        <v/>
      </c>
      <c r="F211">
        <f>IFERROR(__xludf.DUMMYFUNCTION("""COMPUTED_VALUE"""),"ラーメン")</f>
        <v/>
      </c>
      <c r="G211">
        <f>IFERROR(__xludf.DUMMYFUNCTION("""COMPUTED_VALUE"""),"ー")</f>
        <v/>
      </c>
      <c r="K211">
        <f>IFERROR(__xludf.DUMMYFUNCTION("""COMPUTED_VALUE"""),"enemy")</f>
        <v/>
      </c>
      <c r="L211">
        <f>IFERROR(__xludf.DUMMYFUNCTION("""COMPUTED_VALUE"""),"アタック")</f>
        <v/>
      </c>
      <c r="M211">
        <f>IFERROR(__xludf.DUMMYFUNCTION("""COMPUTED_VALUE"""),"dageki_1")</f>
        <v/>
      </c>
      <c r="Q211">
        <f>IFERROR(__xludf.DUMMYFUNCTION("""COMPUTED_VALUE"""),"1.00")</f>
        <v/>
      </c>
      <c r="R211">
        <f>IFERROR(__xludf.DUMMYFUNCTION("""COMPUTED_VALUE"""),"0.833")</f>
        <v/>
      </c>
      <c r="S211">
        <f>IFERROR(__xludf.DUMMYFUNCTION("""COMPUTED_VALUE"""),"-")</f>
        <v/>
      </c>
      <c r="T211">
        <f>IFERROR(__xludf.DUMMYFUNCTION("""COMPUTED_VALUE"""),"-")</f>
        <v/>
      </c>
      <c r="U211">
        <f>IFERROR(__xludf.DUMMYFUNCTION("""COMPUTED_VALUE"""),45658.0)</f>
        <v/>
      </c>
      <c r="V211">
        <f>IFERROR(__xludf.DUMMYFUNCTION("""COMPUTED_VALUE"""),390812.49998842593)</f>
        <v/>
      </c>
      <c r="W211">
        <f>IFERROR(__xludf.DUMMYFUNCTION("""COMPUTED_VALUE"""),"catchcopy_character_enemy_gom_00001.png")</f>
        <v/>
      </c>
      <c r="X211">
        <f>IFERROR(__xludf.DUMMYFUNCTION("""COMPUTED_VALUE"""),"enemy_icon_enemy_gom_00701")</f>
        <v/>
      </c>
      <c r="Y211">
        <f>IFERROR(__xludf.DUMMYFUNCTION("""COMPUTED_VALUE"""),"boss_icon_enemy_gom_00701")</f>
        <v/>
      </c>
    </row>
    <row r="212">
      <c r="A212">
        <f>IFERROR(__xludf.DUMMYFUNCTION("""COMPUTED_VALUE"""),"gom")</f>
        <v/>
      </c>
      <c r="B212">
        <f>IFERROR(__xludf.DUMMYFUNCTION("""COMPUTED_VALUE"""),"姫様“拷問”の時間です")</f>
        <v/>
      </c>
      <c r="C212">
        <f>IFERROR(__xludf.DUMMYFUNCTION("""COMPUTED_VALUE"""),"00801")</f>
        <v/>
      </c>
      <c r="D212">
        <f>IFERROR(__xludf.DUMMYFUNCTION("""COMPUTED_VALUE"""),"enemy_gom_00801")</f>
        <v/>
      </c>
      <c r="E212">
        <f>IFERROR(__xludf.DUMMYFUNCTION("""COMPUTED_VALUE"""),"ライス")</f>
        <v/>
      </c>
      <c r="F212">
        <f>IFERROR(__xludf.DUMMYFUNCTION("""COMPUTED_VALUE"""),"ライス")</f>
        <v/>
      </c>
      <c r="G212">
        <f>IFERROR(__xludf.DUMMYFUNCTION("""COMPUTED_VALUE"""),"ー")</f>
        <v/>
      </c>
      <c r="K212">
        <f>IFERROR(__xludf.DUMMYFUNCTION("""COMPUTED_VALUE"""),"enemy")</f>
        <v/>
      </c>
      <c r="L212">
        <f>IFERROR(__xludf.DUMMYFUNCTION("""COMPUTED_VALUE"""),"ディフェンス")</f>
        <v/>
      </c>
      <c r="M212">
        <f>IFERROR(__xludf.DUMMYFUNCTION("""COMPUTED_VALUE"""),"dageki_1")</f>
        <v/>
      </c>
      <c r="Q212">
        <f>IFERROR(__xludf.DUMMYFUNCTION("""COMPUTED_VALUE"""),"1.00")</f>
        <v/>
      </c>
      <c r="R212">
        <f>IFERROR(__xludf.DUMMYFUNCTION("""COMPUTED_VALUE"""),"0.833")</f>
        <v/>
      </c>
      <c r="S212">
        <f>IFERROR(__xludf.DUMMYFUNCTION("""COMPUTED_VALUE"""),"-")</f>
        <v/>
      </c>
      <c r="T212">
        <f>IFERROR(__xludf.DUMMYFUNCTION("""COMPUTED_VALUE"""),"-")</f>
        <v/>
      </c>
      <c r="U212">
        <f>IFERROR(__xludf.DUMMYFUNCTION("""COMPUTED_VALUE"""),45658.0)</f>
        <v/>
      </c>
      <c r="V212">
        <f>IFERROR(__xludf.DUMMYFUNCTION("""COMPUTED_VALUE"""),390812.49998842593)</f>
        <v/>
      </c>
      <c r="W212">
        <f>IFERROR(__xludf.DUMMYFUNCTION("""COMPUTED_VALUE"""),"catchcopy_character_enemy_gom_00001.png")</f>
        <v/>
      </c>
      <c r="X212">
        <f>IFERROR(__xludf.DUMMYFUNCTION("""COMPUTED_VALUE"""),"enemy_icon_enemy_gom_00801")</f>
        <v/>
      </c>
      <c r="Y212">
        <f>IFERROR(__xludf.DUMMYFUNCTION("""COMPUTED_VALUE"""),"boss_icon_enemy_gom_00801")</f>
        <v/>
      </c>
    </row>
    <row r="213">
      <c r="A213">
        <f>IFERROR(__xludf.DUMMYFUNCTION("""COMPUTED_VALUE"""),"gom")</f>
        <v/>
      </c>
      <c r="B213">
        <f>IFERROR(__xludf.DUMMYFUNCTION("""COMPUTED_VALUE"""),"姫様“拷問”の時間です")</f>
        <v/>
      </c>
      <c r="C213">
        <f>IFERROR(__xludf.DUMMYFUNCTION("""COMPUTED_VALUE"""),"00901")</f>
        <v/>
      </c>
      <c r="D213">
        <f>IFERROR(__xludf.DUMMYFUNCTION("""COMPUTED_VALUE"""),"enemy_gom_00901")</f>
        <v/>
      </c>
      <c r="E213">
        <f>IFERROR(__xludf.DUMMYFUNCTION("""COMPUTED_VALUE"""),"ライス(海苔)")</f>
        <v/>
      </c>
      <c r="F213">
        <f>IFERROR(__xludf.DUMMYFUNCTION("""COMPUTED_VALUE"""),"ライス (海苔)")</f>
        <v/>
      </c>
      <c r="G213">
        <f>IFERROR(__xludf.DUMMYFUNCTION("""COMPUTED_VALUE"""),"ー")</f>
        <v/>
      </c>
      <c r="K213">
        <f>IFERROR(__xludf.DUMMYFUNCTION("""COMPUTED_VALUE"""),"enemy")</f>
        <v/>
      </c>
      <c r="L213">
        <f>IFERROR(__xludf.DUMMYFUNCTION("""COMPUTED_VALUE"""),"アタック")</f>
        <v/>
      </c>
      <c r="M213">
        <f>IFERROR(__xludf.DUMMYFUNCTION("""COMPUTED_VALUE"""),"dageki_1")</f>
        <v/>
      </c>
      <c r="Q213">
        <f>IFERROR(__xludf.DUMMYFUNCTION("""COMPUTED_VALUE"""),"1.00")</f>
        <v/>
      </c>
      <c r="R213">
        <f>IFERROR(__xludf.DUMMYFUNCTION("""COMPUTED_VALUE"""),"0.833")</f>
        <v/>
      </c>
      <c r="S213">
        <f>IFERROR(__xludf.DUMMYFUNCTION("""COMPUTED_VALUE"""),"-")</f>
        <v/>
      </c>
      <c r="T213">
        <f>IFERROR(__xludf.DUMMYFUNCTION("""COMPUTED_VALUE"""),"-")</f>
        <v/>
      </c>
      <c r="U213">
        <f>IFERROR(__xludf.DUMMYFUNCTION("""COMPUTED_VALUE"""),45658.0)</f>
        <v/>
      </c>
      <c r="V213">
        <f>IFERROR(__xludf.DUMMYFUNCTION("""COMPUTED_VALUE"""),390812.49998842593)</f>
        <v/>
      </c>
      <c r="W213">
        <f>IFERROR(__xludf.DUMMYFUNCTION("""COMPUTED_VALUE"""),"catchcopy_character_enemy_gom_00001.png")</f>
        <v/>
      </c>
      <c r="X213">
        <f>IFERROR(__xludf.DUMMYFUNCTION("""COMPUTED_VALUE"""),"enemy_icon_enemy_gom_00901")</f>
        <v/>
      </c>
      <c r="Y213">
        <f>IFERROR(__xludf.DUMMYFUNCTION("""COMPUTED_VALUE"""),"boss_icon_enemy_gom_00901")</f>
        <v/>
      </c>
    </row>
    <row r="214">
      <c r="A214">
        <f>IFERROR(__xludf.DUMMYFUNCTION("""COMPUTED_VALUE"""),"gom")</f>
        <v/>
      </c>
      <c r="B214">
        <f>IFERROR(__xludf.DUMMYFUNCTION("""COMPUTED_VALUE"""),"姫様“拷問”の時間です")</f>
        <v/>
      </c>
      <c r="C214">
        <f>IFERROR(__xludf.DUMMYFUNCTION("""COMPUTED_VALUE"""),"01001")</f>
        <v/>
      </c>
      <c r="D214">
        <f>IFERROR(__xludf.DUMMYFUNCTION("""COMPUTED_VALUE"""),"enemy_gom_01001")</f>
        <v/>
      </c>
      <c r="E214">
        <f>IFERROR(__xludf.DUMMYFUNCTION("""COMPUTED_VALUE"""),"あんぱん")</f>
        <v/>
      </c>
      <c r="F214">
        <f>IFERROR(__xludf.DUMMYFUNCTION("""COMPUTED_VALUE"""),"あんぱん")</f>
        <v/>
      </c>
      <c r="G214">
        <f>IFERROR(__xludf.DUMMYFUNCTION("""COMPUTED_VALUE"""),"ー")</f>
        <v/>
      </c>
      <c r="K214">
        <f>IFERROR(__xludf.DUMMYFUNCTION("""COMPUTED_VALUE"""),"enemy")</f>
        <v/>
      </c>
      <c r="S214">
        <f>IFERROR(__xludf.DUMMYFUNCTION("""COMPUTED_VALUE"""),"-")</f>
        <v/>
      </c>
      <c r="T214">
        <f>IFERROR(__xludf.DUMMYFUNCTION("""COMPUTED_VALUE"""),"-")</f>
        <v/>
      </c>
      <c r="U214">
        <f>IFERROR(__xludf.DUMMYFUNCTION("""COMPUTED_VALUE"""),45658.0)</f>
        <v/>
      </c>
      <c r="V214">
        <f>IFERROR(__xludf.DUMMYFUNCTION("""COMPUTED_VALUE"""),390812.49998842593)</f>
        <v/>
      </c>
      <c r="W214">
        <f>IFERROR(__xludf.DUMMYFUNCTION("""COMPUTED_VALUE"""),"catchcopy_character_enemy_gom_00001.png")</f>
        <v/>
      </c>
      <c r="X214">
        <f>IFERROR(__xludf.DUMMYFUNCTION("""COMPUTED_VALUE"""),"enemy_icon_enemy_gom_01001")</f>
        <v/>
      </c>
      <c r="Y214">
        <f>IFERROR(__xludf.DUMMYFUNCTION("""COMPUTED_VALUE"""),"boss_icon_enemy_gom_01001")</f>
        <v/>
      </c>
    </row>
    <row r="215">
      <c r="A215">
        <f>IFERROR(__xludf.DUMMYFUNCTION("""COMPUTED_VALUE"""),"gom")</f>
        <v/>
      </c>
      <c r="B215">
        <f>IFERROR(__xludf.DUMMYFUNCTION("""COMPUTED_VALUE"""),"姫様“拷問”の時間です")</f>
        <v/>
      </c>
      <c r="C215">
        <f>IFERROR(__xludf.DUMMYFUNCTION("""COMPUTED_VALUE"""),"01002")</f>
        <v/>
      </c>
      <c r="D215">
        <f>IFERROR(__xludf.DUMMYFUNCTION("""COMPUTED_VALUE"""),"enemy_gom_01002")</f>
        <v/>
      </c>
      <c r="E215">
        <f>IFERROR(__xludf.DUMMYFUNCTION("""COMPUTED_VALUE"""),"トーストあんぱん")</f>
        <v/>
      </c>
      <c r="F215">
        <f>IFERROR(__xludf.DUMMYFUNCTION("""COMPUTED_VALUE"""),"トーストあんぱん")</f>
        <v/>
      </c>
      <c r="G215">
        <f>IFERROR(__xludf.DUMMYFUNCTION("""COMPUTED_VALUE"""),"ー")</f>
        <v/>
      </c>
      <c r="K215">
        <f>IFERROR(__xludf.DUMMYFUNCTION("""COMPUTED_VALUE"""),"enemy")</f>
        <v/>
      </c>
      <c r="S215">
        <f>IFERROR(__xludf.DUMMYFUNCTION("""COMPUTED_VALUE"""),"-")</f>
        <v/>
      </c>
      <c r="T215">
        <f>IFERROR(__xludf.DUMMYFUNCTION("""COMPUTED_VALUE"""),"-")</f>
        <v/>
      </c>
      <c r="U215">
        <f>IFERROR(__xludf.DUMMYFUNCTION("""COMPUTED_VALUE"""),45658.0)</f>
        <v/>
      </c>
      <c r="V215">
        <f>IFERROR(__xludf.DUMMYFUNCTION("""COMPUTED_VALUE"""),390812.49998842593)</f>
        <v/>
      </c>
      <c r="W215">
        <f>IFERROR(__xludf.DUMMYFUNCTION("""COMPUTED_VALUE"""),"catchcopy_character_enemy_gom_00001.png")</f>
        <v/>
      </c>
      <c r="X215">
        <f>IFERROR(__xludf.DUMMYFUNCTION("""COMPUTED_VALUE"""),"enemy_icon_enemy_gom_01002")</f>
        <v/>
      </c>
      <c r="Y215">
        <f>IFERROR(__xludf.DUMMYFUNCTION("""COMPUTED_VALUE"""),"boss_icon_enemy_gom_01002")</f>
        <v/>
      </c>
    </row>
    <row r="216">
      <c r="A216">
        <f>IFERROR(__xludf.DUMMYFUNCTION("""COMPUTED_VALUE"""),"gom")</f>
        <v/>
      </c>
      <c r="B216">
        <f>IFERROR(__xludf.DUMMYFUNCTION("""COMPUTED_VALUE"""),"姫様“拷問”の時間です")</f>
        <v/>
      </c>
      <c r="C216">
        <f>IFERROR(__xludf.DUMMYFUNCTION("""COMPUTED_VALUE"""),"01101")</f>
        <v/>
      </c>
      <c r="D216">
        <f>IFERROR(__xludf.DUMMYFUNCTION("""COMPUTED_VALUE"""),"enemy_gom_01101")</f>
        <v/>
      </c>
      <c r="E216">
        <f>IFERROR(__xludf.DUMMYFUNCTION("""COMPUTED_VALUE"""),"魔王ゴッドサンダー")</f>
        <v/>
      </c>
      <c r="F216">
        <f>IFERROR(__xludf.DUMMYFUNCTION("""COMPUTED_VALUE"""),"魔王ゴッドサンダー")</f>
        <v/>
      </c>
      <c r="G216">
        <f>IFERROR(__xludf.DUMMYFUNCTION("""COMPUTED_VALUE"""),"ー")</f>
        <v/>
      </c>
      <c r="K216">
        <f>IFERROR(__xludf.DUMMYFUNCTION("""COMPUTED_VALUE"""),"enemy")</f>
        <v/>
      </c>
      <c r="S216">
        <f>IFERROR(__xludf.DUMMYFUNCTION("""COMPUTED_VALUE"""),"-")</f>
        <v/>
      </c>
      <c r="T216">
        <f>IFERROR(__xludf.DUMMYFUNCTION("""COMPUTED_VALUE"""),"-")</f>
        <v/>
      </c>
      <c r="U216">
        <f>IFERROR(__xludf.DUMMYFUNCTION("""COMPUTED_VALUE"""),45658.0)</f>
        <v/>
      </c>
      <c r="V216">
        <f>IFERROR(__xludf.DUMMYFUNCTION("""COMPUTED_VALUE"""),390812.49998842593)</f>
        <v/>
      </c>
      <c r="W216">
        <f>IFERROR(__xludf.DUMMYFUNCTION("""COMPUTED_VALUE"""),"catchcopy_character_enemy_gom_00001.png")</f>
        <v/>
      </c>
      <c r="X216">
        <f>IFERROR(__xludf.DUMMYFUNCTION("""COMPUTED_VALUE"""),"enemy_icon_enemy_gom_01101")</f>
        <v/>
      </c>
      <c r="Y216">
        <f>IFERROR(__xludf.DUMMYFUNCTION("""COMPUTED_VALUE"""),"boss_icon_enemy_gom_01101")</f>
        <v/>
      </c>
    </row>
    <row r="217">
      <c r="A217">
        <f>IFERROR(__xludf.DUMMYFUNCTION("""COMPUTED_VALUE"""),"chi")</f>
        <v/>
      </c>
      <c r="B217">
        <f>IFERROR(__xludf.DUMMYFUNCTION("""COMPUTED_VALUE"""),"チェンソーマン")</f>
        <v/>
      </c>
      <c r="C217">
        <f>IFERROR(__xludf.DUMMYFUNCTION("""COMPUTED_VALUE"""),"00001")</f>
        <v/>
      </c>
      <c r="D217">
        <f>IFERROR(__xludf.DUMMYFUNCTION("""COMPUTED_VALUE"""),"enemy_chi_00001")</f>
        <v/>
      </c>
      <c r="E217">
        <f>IFERROR(__xludf.DUMMYFUNCTION("""COMPUTED_VALUE"""),"ゾンビの悪魔")</f>
        <v/>
      </c>
      <c r="F217">
        <f>IFERROR(__xludf.DUMMYFUNCTION("""COMPUTED_VALUE"""),"ゾンビの悪魔")</f>
        <v/>
      </c>
      <c r="G217">
        <f>IFERROR(__xludf.DUMMYFUNCTION("""COMPUTED_VALUE"""),"ー")</f>
        <v/>
      </c>
      <c r="K217">
        <f>IFERROR(__xludf.DUMMYFUNCTION("""COMPUTED_VALUE"""),"enemy")</f>
        <v/>
      </c>
      <c r="M217">
        <f>IFERROR(__xludf.DUMMYFUNCTION("""COMPUTED_VALUE"""),"dageki_2")</f>
        <v/>
      </c>
      <c r="Q217">
        <f>IFERROR(__xludf.DUMMYFUNCTION("""COMPUTED_VALUE"""),"1.13")</f>
        <v/>
      </c>
      <c r="R217">
        <f>IFERROR(__xludf.DUMMYFUNCTION("""COMPUTED_VALUE"""),"0.20")</f>
        <v/>
      </c>
      <c r="S217">
        <f>IFERROR(__xludf.DUMMYFUNCTION("""COMPUTED_VALUE"""),"-")</f>
        <v/>
      </c>
      <c r="T217">
        <f>IFERROR(__xludf.DUMMYFUNCTION("""COMPUTED_VALUE"""),"-")</f>
        <v/>
      </c>
      <c r="U217">
        <f>IFERROR(__xludf.DUMMYFUNCTION("""COMPUTED_VALUE"""),45658.0)</f>
        <v/>
      </c>
      <c r="V217">
        <f>IFERROR(__xludf.DUMMYFUNCTION("""COMPUTED_VALUE"""),390812.49998842593)</f>
        <v/>
      </c>
      <c r="W217">
        <f>IFERROR(__xludf.DUMMYFUNCTION("""COMPUTED_VALUE"""),"catchcopy_character_enemy_chi_00001.png")</f>
        <v/>
      </c>
      <c r="X217">
        <f>IFERROR(__xludf.DUMMYFUNCTION("""COMPUTED_VALUE"""),"enemy_icon_enemy_chi_00001")</f>
        <v/>
      </c>
      <c r="Y217">
        <f>IFERROR(__xludf.DUMMYFUNCTION("""COMPUTED_VALUE"""),"boss_icon_enemy_chi_00001")</f>
        <v/>
      </c>
      <c r="Z217">
        <f>IFERROR(__xludf.DUMMYFUNCTION("""COMPUTED_VALUE"""),"enemy_chi_00001_normal")</f>
        <v/>
      </c>
    </row>
    <row r="218">
      <c r="A218">
        <f>IFERROR(__xludf.DUMMYFUNCTION("""COMPUTED_VALUE"""),"chi")</f>
        <v/>
      </c>
      <c r="B218">
        <f>IFERROR(__xludf.DUMMYFUNCTION("""COMPUTED_VALUE"""),"チェンソーマン")</f>
        <v/>
      </c>
      <c r="C218">
        <f>IFERROR(__xludf.DUMMYFUNCTION("""COMPUTED_VALUE"""),"00101")</f>
        <v/>
      </c>
      <c r="D218">
        <f>IFERROR(__xludf.DUMMYFUNCTION("""COMPUTED_VALUE"""),"enemy_chi_00101")</f>
        <v/>
      </c>
      <c r="E218">
        <f>IFERROR(__xludf.DUMMYFUNCTION("""COMPUTED_VALUE"""),"ゾンビ")</f>
        <v/>
      </c>
      <c r="F218">
        <f>IFERROR(__xludf.DUMMYFUNCTION("""COMPUTED_VALUE"""),"ゾンビ")</f>
        <v/>
      </c>
      <c r="G218">
        <f>IFERROR(__xludf.DUMMYFUNCTION("""COMPUTED_VALUE"""),"ー")</f>
        <v/>
      </c>
      <c r="K218">
        <f>IFERROR(__xludf.DUMMYFUNCTION("""COMPUTED_VALUE"""),"enemy")</f>
        <v/>
      </c>
      <c r="M218">
        <f>IFERROR(__xludf.DUMMYFUNCTION("""COMPUTED_VALUE"""),"dageki_1")</f>
        <v/>
      </c>
      <c r="Q218">
        <f>IFERROR(__xludf.DUMMYFUNCTION("""COMPUTED_VALUE"""),"1.90")</f>
        <v/>
      </c>
      <c r="R218">
        <f>IFERROR(__xludf.DUMMYFUNCTION("""COMPUTED_VALUE"""),"0.66")</f>
        <v/>
      </c>
      <c r="S218">
        <f>IFERROR(__xludf.DUMMYFUNCTION("""COMPUTED_VALUE"""),"-")</f>
        <v/>
      </c>
      <c r="T218">
        <f>IFERROR(__xludf.DUMMYFUNCTION("""COMPUTED_VALUE"""),"-")</f>
        <v/>
      </c>
      <c r="U218">
        <f>IFERROR(__xludf.DUMMYFUNCTION("""COMPUTED_VALUE"""),45658.0)</f>
        <v/>
      </c>
      <c r="V218">
        <f>IFERROR(__xludf.DUMMYFUNCTION("""COMPUTED_VALUE"""),390812.49998842593)</f>
        <v/>
      </c>
      <c r="W218">
        <f>IFERROR(__xludf.DUMMYFUNCTION("""COMPUTED_VALUE"""),"catchcopy_character_enemy_chi_00101.png")</f>
        <v/>
      </c>
      <c r="X218">
        <f>IFERROR(__xludf.DUMMYFUNCTION("""COMPUTED_VALUE"""),"enemy_icon_enemy_chi_00101")</f>
        <v/>
      </c>
      <c r="Y218">
        <f>IFERROR(__xludf.DUMMYFUNCTION("""COMPUTED_VALUE"""),"boss_icon_enemy_chi_00101")</f>
        <v/>
      </c>
    </row>
    <row r="219">
      <c r="A219">
        <f>IFERROR(__xludf.DUMMYFUNCTION("""COMPUTED_VALUE"""),"chi")</f>
        <v/>
      </c>
      <c r="B219">
        <f>IFERROR(__xludf.DUMMYFUNCTION("""COMPUTED_VALUE"""),"チェンソーマン")</f>
        <v/>
      </c>
      <c r="C219">
        <f>IFERROR(__xludf.DUMMYFUNCTION("""COMPUTED_VALUE"""),"00201")</f>
        <v/>
      </c>
      <c r="D219">
        <f>IFERROR(__xludf.DUMMYFUNCTION("""COMPUTED_VALUE"""),"enemy_chi_00201")</f>
        <v/>
      </c>
      <c r="E219">
        <f>IFERROR(__xludf.DUMMYFUNCTION("""COMPUTED_VALUE"""),"コウモリの悪魔")</f>
        <v/>
      </c>
      <c r="F219">
        <f>IFERROR(__xludf.DUMMYFUNCTION("""COMPUTED_VALUE"""),"コウモリの悪魔")</f>
        <v/>
      </c>
      <c r="G219">
        <f>IFERROR(__xludf.DUMMYFUNCTION("""COMPUTED_VALUE"""),"ー")</f>
        <v/>
      </c>
      <c r="K219">
        <f>IFERROR(__xludf.DUMMYFUNCTION("""COMPUTED_VALUE"""),"enemy")</f>
        <v/>
      </c>
      <c r="M219">
        <f>IFERROR(__xludf.DUMMYFUNCTION("""COMPUTED_VALUE"""),"dageki_1")</f>
        <v/>
      </c>
      <c r="Q219">
        <f>IFERROR(__xludf.DUMMYFUNCTION("""COMPUTED_VALUE"""),"1.34")</f>
        <v/>
      </c>
      <c r="R219">
        <f>IFERROR(__xludf.DUMMYFUNCTION("""COMPUTED_VALUE"""),"0.33")</f>
        <v/>
      </c>
      <c r="S219">
        <f>IFERROR(__xludf.DUMMYFUNCTION("""COMPUTED_VALUE"""),"-")</f>
        <v/>
      </c>
      <c r="T219">
        <f>IFERROR(__xludf.DUMMYFUNCTION("""COMPUTED_VALUE"""),"-")</f>
        <v/>
      </c>
      <c r="U219">
        <f>IFERROR(__xludf.DUMMYFUNCTION("""COMPUTED_VALUE"""),45658.0)</f>
        <v/>
      </c>
      <c r="V219">
        <f>IFERROR(__xludf.DUMMYFUNCTION("""COMPUTED_VALUE"""),390812.49998842593)</f>
        <v/>
      </c>
      <c r="W219">
        <f>IFERROR(__xludf.DUMMYFUNCTION("""COMPUTED_VALUE"""),"catchcopy_character_enemy_chi_00201.png")</f>
        <v/>
      </c>
      <c r="X219">
        <f>IFERROR(__xludf.DUMMYFUNCTION("""COMPUTED_VALUE"""),"enemy_icon_enemy_chi_00201")</f>
        <v/>
      </c>
      <c r="Y219">
        <f>IFERROR(__xludf.DUMMYFUNCTION("""COMPUTED_VALUE"""),"boss_icon_enemy_chi_00201")</f>
        <v/>
      </c>
      <c r="Z219">
        <f>IFERROR(__xludf.DUMMYFUNCTION("""COMPUTED_VALUE"""),"enemy_chi_00201_normal")</f>
        <v/>
      </c>
    </row>
    <row r="220">
      <c r="A220">
        <f>IFERROR(__xludf.DUMMYFUNCTION("""COMPUTED_VALUE"""),"kai")</f>
        <v/>
      </c>
      <c r="B220">
        <f>IFERROR(__xludf.DUMMYFUNCTION("""COMPUTED_VALUE"""),"怪獣８号")</f>
        <v/>
      </c>
      <c r="C220">
        <f>IFERROR(__xludf.DUMMYFUNCTION("""COMPUTED_VALUE"""),"00001")</f>
        <v/>
      </c>
      <c r="D220">
        <f>IFERROR(__xludf.DUMMYFUNCTION("""COMPUTED_VALUE"""),"enemy_kai_00001")</f>
        <v/>
      </c>
      <c r="E220">
        <f>IFERROR(__xludf.DUMMYFUNCTION("""COMPUTED_VALUE"""),"怪獣 本獣")</f>
        <v/>
      </c>
      <c r="F220">
        <f>IFERROR(__xludf.DUMMYFUNCTION("""COMPUTED_VALUE"""),"怪獣 本獣")</f>
        <v/>
      </c>
      <c r="G220">
        <f>IFERROR(__xludf.DUMMYFUNCTION("""COMPUTED_VALUE"""),"ー")</f>
        <v/>
      </c>
      <c r="K220">
        <f>IFERROR(__xludf.DUMMYFUNCTION("""COMPUTED_VALUE"""),"enemy")</f>
        <v/>
      </c>
      <c r="M220">
        <f>IFERROR(__xludf.DUMMYFUNCTION("""COMPUTED_VALUE"""),"dageki_1")</f>
        <v/>
      </c>
      <c r="Q220">
        <f>IFERROR(__xludf.DUMMYFUNCTION("""COMPUTED_VALUE"""),"2.34")</f>
        <v/>
      </c>
      <c r="R220">
        <f>IFERROR(__xludf.DUMMYFUNCTION("""COMPUTED_VALUE"""),"stop有:1回目 1.00")</f>
        <v/>
      </c>
      <c r="S220">
        <f>IFERROR(__xludf.DUMMYFUNCTION("""COMPUTED_VALUE"""),"-")</f>
        <v/>
      </c>
      <c r="T220">
        <f>IFERROR(__xludf.DUMMYFUNCTION("""COMPUTED_VALUE"""),"-")</f>
        <v/>
      </c>
      <c r="U220">
        <f>IFERROR(__xludf.DUMMYFUNCTION("""COMPUTED_VALUE"""),45658.0)</f>
        <v/>
      </c>
      <c r="V220">
        <f>IFERROR(__xludf.DUMMYFUNCTION("""COMPUTED_VALUE"""),390812.49998842593)</f>
        <v/>
      </c>
      <c r="W220">
        <f>IFERROR(__xludf.DUMMYFUNCTION("""COMPUTED_VALUE"""),"catchcopy_character_enemy_kai_00001.png")</f>
        <v/>
      </c>
      <c r="X220">
        <f>IFERROR(__xludf.DUMMYFUNCTION("""COMPUTED_VALUE"""),"enemy_icon_enemy_kai_00001")</f>
        <v/>
      </c>
      <c r="Y220">
        <f>IFERROR(__xludf.DUMMYFUNCTION("""COMPUTED_VALUE"""),"boss_icon_enemy_kai_00001")</f>
        <v/>
      </c>
    </row>
    <row r="221">
      <c r="A221">
        <f>IFERROR(__xludf.DUMMYFUNCTION("""COMPUTED_VALUE"""),"kai")</f>
        <v/>
      </c>
      <c r="B221">
        <f>IFERROR(__xludf.DUMMYFUNCTION("""COMPUTED_VALUE"""),"怪獣８号")</f>
        <v/>
      </c>
      <c r="C221">
        <f>IFERROR(__xludf.DUMMYFUNCTION("""COMPUTED_VALUE"""),"00101")</f>
        <v/>
      </c>
      <c r="D221">
        <f>IFERROR(__xludf.DUMMYFUNCTION("""COMPUTED_VALUE"""),"enemy_kai_00101")</f>
        <v/>
      </c>
      <c r="E221">
        <f>IFERROR(__xludf.DUMMYFUNCTION("""COMPUTED_VALUE"""),"怪獣 余獣")</f>
        <v/>
      </c>
      <c r="F221">
        <f>IFERROR(__xludf.DUMMYFUNCTION("""COMPUTED_VALUE"""),"怪獣 余獣")</f>
        <v/>
      </c>
      <c r="G221">
        <f>IFERROR(__xludf.DUMMYFUNCTION("""COMPUTED_VALUE"""),"ー")</f>
        <v/>
      </c>
      <c r="K221">
        <f>IFERROR(__xludf.DUMMYFUNCTION("""COMPUTED_VALUE"""),"enemy")</f>
        <v/>
      </c>
      <c r="M221">
        <f>IFERROR(__xludf.DUMMYFUNCTION("""COMPUTED_VALUE"""),"dageki_1")</f>
        <v/>
      </c>
      <c r="Q221">
        <f>IFERROR(__xludf.DUMMYFUNCTION("""COMPUTED_VALUE"""),"1.23")</f>
        <v/>
      </c>
      <c r="R221">
        <f>IFERROR(__xludf.DUMMYFUNCTION("""COMPUTED_VALUE"""),"stop有:1回目 0.56")</f>
        <v/>
      </c>
      <c r="S221">
        <f>IFERROR(__xludf.DUMMYFUNCTION("""COMPUTED_VALUE"""),"-")</f>
        <v/>
      </c>
      <c r="T221">
        <f>IFERROR(__xludf.DUMMYFUNCTION("""COMPUTED_VALUE"""),"-")</f>
        <v/>
      </c>
      <c r="U221">
        <f>IFERROR(__xludf.DUMMYFUNCTION("""COMPUTED_VALUE"""),45658.0)</f>
        <v/>
      </c>
      <c r="V221">
        <f>IFERROR(__xludf.DUMMYFUNCTION("""COMPUTED_VALUE"""),390812.49998842593)</f>
        <v/>
      </c>
      <c r="W221">
        <f>IFERROR(__xludf.DUMMYFUNCTION("""COMPUTED_VALUE"""),"catchcopy_character_enemy_kai_00101.png")</f>
        <v/>
      </c>
      <c r="X221">
        <f>IFERROR(__xludf.DUMMYFUNCTION("""COMPUTED_VALUE"""),"enemy_icon_enemy_kai_00101")</f>
        <v/>
      </c>
      <c r="Y221">
        <f>IFERROR(__xludf.DUMMYFUNCTION("""COMPUTED_VALUE"""),"boss_icon_enemy_kai_00101")</f>
        <v/>
      </c>
    </row>
    <row r="222">
      <c r="A222">
        <f>IFERROR(__xludf.DUMMYFUNCTION("""COMPUTED_VALUE"""),"kai")</f>
        <v/>
      </c>
      <c r="B222">
        <f>IFERROR(__xludf.DUMMYFUNCTION("""COMPUTED_VALUE"""),"怪獣８号")</f>
        <v/>
      </c>
      <c r="C222">
        <f>IFERROR(__xludf.DUMMYFUNCTION("""COMPUTED_VALUE"""),"00201")</f>
        <v/>
      </c>
      <c r="D222">
        <f>IFERROR(__xludf.DUMMYFUNCTION("""COMPUTED_VALUE"""),"enemy_kai_00201")</f>
        <v/>
      </c>
      <c r="E222">
        <f>IFERROR(__xludf.DUMMYFUNCTION("""COMPUTED_VALUE"""),"怪獣９号")</f>
        <v/>
      </c>
      <c r="F222">
        <f>IFERROR(__xludf.DUMMYFUNCTION("""COMPUTED_VALUE"""),"怪獣９号")</f>
        <v/>
      </c>
      <c r="G222">
        <f>IFERROR(__xludf.DUMMYFUNCTION("""COMPUTED_VALUE"""),"ー")</f>
        <v/>
      </c>
      <c r="K222">
        <f>IFERROR(__xludf.DUMMYFUNCTION("""COMPUTED_VALUE"""),"enemy")</f>
        <v/>
      </c>
      <c r="M222">
        <f>IFERROR(__xludf.DUMMYFUNCTION("""COMPUTED_VALUE"""),"shageki_1")</f>
        <v/>
      </c>
      <c r="Q222">
        <f>IFERROR(__xludf.DUMMYFUNCTION("""COMPUTED_VALUE"""),"2.47")</f>
        <v/>
      </c>
      <c r="R222">
        <f>IFERROR(__xludf.DUMMYFUNCTION("""COMPUTED_VALUE"""),"stop有:1回目 1.26")</f>
        <v/>
      </c>
      <c r="S222">
        <f>IFERROR(__xludf.DUMMYFUNCTION("""COMPUTED_VALUE"""),"-")</f>
        <v/>
      </c>
      <c r="T222">
        <f>IFERROR(__xludf.DUMMYFUNCTION("""COMPUTED_VALUE"""),"-")</f>
        <v/>
      </c>
      <c r="U222">
        <f>IFERROR(__xludf.DUMMYFUNCTION("""COMPUTED_VALUE"""),45658.0)</f>
        <v/>
      </c>
      <c r="V222">
        <f>IFERROR(__xludf.DUMMYFUNCTION("""COMPUTED_VALUE"""),390812.49998842593)</f>
        <v/>
      </c>
      <c r="W222">
        <f>IFERROR(__xludf.DUMMYFUNCTION("""COMPUTED_VALUE"""),"catchcopy_character_enemy_kai_00201.png")</f>
        <v/>
      </c>
      <c r="X222">
        <f>IFERROR(__xludf.DUMMYFUNCTION("""COMPUTED_VALUE"""),"enemy_icon_enemy_kai_00201")</f>
        <v/>
      </c>
      <c r="Y222">
        <f>IFERROR(__xludf.DUMMYFUNCTION("""COMPUTED_VALUE"""),"boss_icon_enemy_kai_00201")</f>
        <v/>
      </c>
    </row>
    <row r="223">
      <c r="A223">
        <f>IFERROR(__xludf.DUMMYFUNCTION("""COMPUTED_VALUE"""),"kai")</f>
        <v/>
      </c>
      <c r="B223">
        <f>IFERROR(__xludf.DUMMYFUNCTION("""COMPUTED_VALUE"""),"怪獣８号")</f>
        <v/>
      </c>
      <c r="C223">
        <f>IFERROR(__xludf.DUMMYFUNCTION("""COMPUTED_VALUE"""),"00301")</f>
        <v/>
      </c>
      <c r="D223">
        <f>IFERROR(__xludf.DUMMYFUNCTION("""COMPUTED_VALUE"""),"enemy_kai_00301")</f>
        <v/>
      </c>
      <c r="E223">
        <f>IFERROR(__xludf.DUMMYFUNCTION("""COMPUTED_VALUE"""),"蜘蛛の怪獣")</f>
        <v/>
      </c>
      <c r="F223">
        <f>IFERROR(__xludf.DUMMYFUNCTION("""COMPUTED_VALUE"""),"蜘蛛の怪獣")</f>
        <v/>
      </c>
      <c r="G223">
        <f>IFERROR(__xludf.DUMMYFUNCTION("""COMPUTED_VALUE"""),"ー")</f>
        <v/>
      </c>
      <c r="K223">
        <f>IFERROR(__xludf.DUMMYFUNCTION("""COMPUTED_VALUE"""),"enemy")</f>
        <v/>
      </c>
      <c r="M223">
        <f>IFERROR(__xludf.DUMMYFUNCTION("""COMPUTED_VALUE"""),"dageki_1")</f>
        <v/>
      </c>
      <c r="Q223">
        <f>IFERROR(__xludf.DUMMYFUNCTION("""COMPUTED_VALUE"""),"1.00")</f>
        <v/>
      </c>
      <c r="R223">
        <f>IFERROR(__xludf.DUMMYFUNCTION("""COMPUTED_VALUE"""),"0.40")</f>
        <v/>
      </c>
      <c r="S223">
        <f>IFERROR(__xludf.DUMMYFUNCTION("""COMPUTED_VALUE"""),"-")</f>
        <v/>
      </c>
      <c r="T223">
        <f>IFERROR(__xludf.DUMMYFUNCTION("""COMPUTED_VALUE"""),"-")</f>
        <v/>
      </c>
    </row>
    <row r="224">
      <c r="A224">
        <f>IFERROR(__xludf.DUMMYFUNCTION("""COMPUTED_VALUE"""),"kai")</f>
        <v/>
      </c>
      <c r="B224">
        <f>IFERROR(__xludf.DUMMYFUNCTION("""COMPUTED_VALUE"""),"怪獣８号")</f>
        <v/>
      </c>
      <c r="C224">
        <f>IFERROR(__xludf.DUMMYFUNCTION("""COMPUTED_VALUE"""),"00401")</f>
        <v/>
      </c>
      <c r="D224">
        <f>IFERROR(__xludf.DUMMYFUNCTION("""COMPUTED_VALUE"""),"enemy_kai_00401")</f>
        <v/>
      </c>
      <c r="E224">
        <f>IFERROR(__xludf.DUMMYFUNCTION("""COMPUTED_VALUE"""),"怪獣１０号")</f>
        <v/>
      </c>
      <c r="F224">
        <f>IFERROR(__xludf.DUMMYFUNCTION("""COMPUTED_VALUE"""),"怪獣１０号")</f>
        <v/>
      </c>
      <c r="G224">
        <f>IFERROR(__xludf.DUMMYFUNCTION("""COMPUTED_VALUE"""),"ー")</f>
        <v/>
      </c>
      <c r="K224">
        <f>IFERROR(__xludf.DUMMYFUNCTION("""COMPUTED_VALUE"""),"enemy")</f>
        <v/>
      </c>
      <c r="M224">
        <f>IFERROR(__xludf.DUMMYFUNCTION("""COMPUTED_VALUE"""),"dageki_1")</f>
        <v/>
      </c>
      <c r="Q224">
        <f>IFERROR(__xludf.DUMMYFUNCTION("""COMPUTED_VALUE"""),"1.30")</f>
        <v/>
      </c>
      <c r="R224">
        <f>IFERROR(__xludf.DUMMYFUNCTION("""COMPUTED_VALUE"""),"stop有:1回目 0.55")</f>
        <v/>
      </c>
      <c r="S224">
        <f>IFERROR(__xludf.DUMMYFUNCTION("""COMPUTED_VALUE"""),"-")</f>
        <v/>
      </c>
      <c r="T224">
        <f>IFERROR(__xludf.DUMMYFUNCTION("""COMPUTED_VALUE"""),"-")</f>
        <v/>
      </c>
    </row>
    <row r="225">
      <c r="A225">
        <f>IFERROR(__xludf.DUMMYFUNCTION("""COMPUTED_VALUE"""),"sur")</f>
        <v/>
      </c>
      <c r="B225">
        <f>IFERROR(__xludf.DUMMYFUNCTION("""COMPUTED_VALUE"""),"魔都精兵のスレイブ")</f>
        <v/>
      </c>
      <c r="C225">
        <f>IFERROR(__xludf.DUMMYFUNCTION("""COMPUTED_VALUE"""),"00001")</f>
        <v/>
      </c>
      <c r="D225">
        <f>IFERROR(__xludf.DUMMYFUNCTION("""COMPUTED_VALUE"""),"enemy_sur_00001")</f>
        <v/>
      </c>
      <c r="E225">
        <f>IFERROR(__xludf.DUMMYFUNCTION("""COMPUTED_VALUE"""),"和倉 青羽")</f>
        <v/>
      </c>
      <c r="F225">
        <f>IFERROR(__xludf.DUMMYFUNCTION("""COMPUTED_VALUE"""),"和倉 青羽")</f>
        <v/>
      </c>
      <c r="G225">
        <f>IFERROR(__xludf.DUMMYFUNCTION("""COMPUTED_VALUE"""),"ー")</f>
        <v/>
      </c>
      <c r="K225">
        <f>IFERROR(__xludf.DUMMYFUNCTION("""COMPUTED_VALUE"""),"enemy")</f>
        <v/>
      </c>
      <c r="M225">
        <f>IFERROR(__xludf.DUMMYFUNCTION("""COMPUTED_VALUE"""),"dageki_1")</f>
        <v/>
      </c>
      <c r="Q225">
        <f>IFERROR(__xludf.DUMMYFUNCTION("""COMPUTED_VALUE"""),"1.24")</f>
        <v/>
      </c>
      <c r="R225">
        <f>IFERROR(__xludf.DUMMYFUNCTION("""COMPUTED_VALUE"""),"stop有:1回目 0.50")</f>
        <v/>
      </c>
      <c r="S225">
        <f>IFERROR(__xludf.DUMMYFUNCTION("""COMPUTED_VALUE"""),"-")</f>
        <v/>
      </c>
      <c r="T225">
        <f>IFERROR(__xludf.DUMMYFUNCTION("""COMPUTED_VALUE"""),"-")</f>
        <v/>
      </c>
      <c r="U225">
        <f>IFERROR(__xludf.DUMMYFUNCTION("""COMPUTED_VALUE"""),45658.0)</f>
        <v/>
      </c>
      <c r="V225">
        <f>IFERROR(__xludf.DUMMYFUNCTION("""COMPUTED_VALUE"""),390812.49998842593)</f>
        <v/>
      </c>
      <c r="W225">
        <f>IFERROR(__xludf.DUMMYFUNCTION("""COMPUTED_VALUE"""),"catchcopy_character_enemy_sur_00001.png")</f>
        <v/>
      </c>
      <c r="X225">
        <f>IFERROR(__xludf.DUMMYFUNCTION("""COMPUTED_VALUE"""),"enemy_icon_enemy_sur_00001")</f>
        <v/>
      </c>
      <c r="Y225">
        <f>IFERROR(__xludf.DUMMYFUNCTION("""COMPUTED_VALUE"""),"boss_icon_enemy_sur_00001")</f>
        <v/>
      </c>
    </row>
    <row r="226">
      <c r="A226">
        <f>IFERROR(__xludf.DUMMYFUNCTION("""COMPUTED_VALUE"""),"sur")</f>
        <v/>
      </c>
      <c r="B226">
        <f>IFERROR(__xludf.DUMMYFUNCTION("""COMPUTED_VALUE"""),"魔都精兵のスレイブ")</f>
        <v/>
      </c>
      <c r="C226">
        <f>IFERROR(__xludf.DUMMYFUNCTION("""COMPUTED_VALUE"""),"00101")</f>
        <v/>
      </c>
      <c r="D226">
        <f>IFERROR(__xludf.DUMMYFUNCTION("""COMPUTED_VALUE"""),"enemy_sur_00101")</f>
        <v/>
      </c>
      <c r="E226">
        <f>IFERROR(__xludf.DUMMYFUNCTION("""COMPUTED_VALUE"""),"醜鬼")</f>
        <v/>
      </c>
      <c r="F226">
        <f>IFERROR(__xludf.DUMMYFUNCTION("""COMPUTED_VALUE"""),"醜鬼")</f>
        <v/>
      </c>
      <c r="G226">
        <f>IFERROR(__xludf.DUMMYFUNCTION("""COMPUTED_VALUE"""),"ー")</f>
        <v/>
      </c>
      <c r="K226">
        <f>IFERROR(__xludf.DUMMYFUNCTION("""COMPUTED_VALUE"""),"enemy")</f>
        <v/>
      </c>
      <c r="L226">
        <f>IFERROR(__xludf.DUMMYFUNCTION("""COMPUTED_VALUE"""),"ディフェンス")</f>
        <v/>
      </c>
      <c r="M226">
        <f>IFERROR(__xludf.DUMMYFUNCTION("""COMPUTED_VALUE"""),"dageki_1")</f>
        <v/>
      </c>
      <c r="Q226">
        <f>IFERROR(__xludf.DUMMYFUNCTION("""COMPUTED_VALUE"""),"0.80")</f>
        <v/>
      </c>
      <c r="R226">
        <f>IFERROR(__xludf.DUMMYFUNCTION("""COMPUTED_VALUE"""),"0.30")</f>
        <v/>
      </c>
      <c r="S226">
        <f>IFERROR(__xludf.DUMMYFUNCTION("""COMPUTED_VALUE"""),"-")</f>
        <v/>
      </c>
      <c r="T226">
        <f>IFERROR(__xludf.DUMMYFUNCTION("""COMPUTED_VALUE"""),"-")</f>
        <v/>
      </c>
      <c r="U226">
        <f>IFERROR(__xludf.DUMMYFUNCTION("""COMPUTED_VALUE"""),45658.0)</f>
        <v/>
      </c>
      <c r="V226">
        <f>IFERROR(__xludf.DUMMYFUNCTION("""COMPUTED_VALUE"""),390812.49998842593)</f>
        <v/>
      </c>
      <c r="W226">
        <f>IFERROR(__xludf.DUMMYFUNCTION("""COMPUTED_VALUE"""),"catchcopy_character_enemy_sur_00101.png")</f>
        <v/>
      </c>
      <c r="X226">
        <f>IFERROR(__xludf.DUMMYFUNCTION("""COMPUTED_VALUE"""),"enemy_icon_enemy_sur_00101")</f>
        <v/>
      </c>
      <c r="Y226">
        <f>IFERROR(__xludf.DUMMYFUNCTION("""COMPUTED_VALUE"""),"boss_icon_enemy_sur_00101")</f>
        <v/>
      </c>
    </row>
    <row r="227">
      <c r="A227">
        <f>IFERROR(__xludf.DUMMYFUNCTION("""COMPUTED_VALUE"""),"jig")</f>
        <v/>
      </c>
      <c r="B227">
        <f>IFERROR(__xludf.DUMMYFUNCTION("""COMPUTED_VALUE"""),"地獄楽")</f>
        <v/>
      </c>
      <c r="C227">
        <f>IFERROR(__xludf.DUMMYFUNCTION("""COMPUTED_VALUE"""),"00001")</f>
        <v/>
      </c>
      <c r="D227">
        <f>IFERROR(__xludf.DUMMYFUNCTION("""COMPUTED_VALUE"""),"enemy_jig_00001")</f>
        <v/>
      </c>
      <c r="E227">
        <f>IFERROR(__xludf.DUMMYFUNCTION("""COMPUTED_VALUE"""),"門神")</f>
        <v/>
      </c>
      <c r="F227">
        <f>IFERROR(__xludf.DUMMYFUNCTION("""COMPUTED_VALUE"""),"門神")</f>
        <v/>
      </c>
      <c r="G227">
        <f>IFERROR(__xludf.DUMMYFUNCTION("""COMPUTED_VALUE"""),"ー")</f>
        <v/>
      </c>
      <c r="K227">
        <f>IFERROR(__xludf.DUMMYFUNCTION("""COMPUTED_VALUE"""),"enemy")</f>
        <v/>
      </c>
      <c r="L227">
        <f>IFERROR(__xludf.DUMMYFUNCTION("""COMPUTED_VALUE"""),"ディフェンス")</f>
        <v/>
      </c>
      <c r="M227">
        <f>IFERROR(__xludf.DUMMYFUNCTION("""COMPUTED_VALUE"""),"dageki_1")</f>
        <v/>
      </c>
      <c r="Q227">
        <f>IFERROR(__xludf.DUMMYFUNCTION("""COMPUTED_VALUE"""),"1.83")</f>
        <v/>
      </c>
      <c r="R227">
        <f>IFERROR(__xludf.DUMMYFUNCTION("""COMPUTED_VALUE"""),"0.83")</f>
        <v/>
      </c>
      <c r="S227">
        <f>IFERROR(__xludf.DUMMYFUNCTION("""COMPUTED_VALUE"""),"-")</f>
        <v/>
      </c>
      <c r="T227">
        <f>IFERROR(__xludf.DUMMYFUNCTION("""COMPUTED_VALUE"""),"-")</f>
        <v/>
      </c>
      <c r="U227">
        <f>IFERROR(__xludf.DUMMYFUNCTION("""COMPUTED_VALUE"""),45658.0)</f>
        <v/>
      </c>
      <c r="V227">
        <f>IFERROR(__xludf.DUMMYFUNCTION("""COMPUTED_VALUE"""),390812.49998842593)</f>
        <v/>
      </c>
      <c r="W227">
        <f>IFERROR(__xludf.DUMMYFUNCTION("""COMPUTED_VALUE"""),"catchcopy_character_enemy_jig_00001.png")</f>
        <v/>
      </c>
      <c r="X227">
        <f>IFERROR(__xludf.DUMMYFUNCTION("""COMPUTED_VALUE"""),"enemy_icon_enemy_jig_00001")</f>
        <v/>
      </c>
      <c r="Y227">
        <f>IFERROR(__xludf.DUMMYFUNCTION("""COMPUTED_VALUE"""),"boss_icon_enemy_jig_00001")</f>
        <v/>
      </c>
      <c r="Z227">
        <f>IFERROR(__xludf.DUMMYFUNCTION("""COMPUTED_VALUE"""),"enemy_jig_00001_normal")</f>
        <v/>
      </c>
    </row>
    <row r="228">
      <c r="A228">
        <f>IFERROR(__xludf.DUMMYFUNCTION("""COMPUTED_VALUE"""),"jig")</f>
        <v/>
      </c>
      <c r="B228">
        <f>IFERROR(__xludf.DUMMYFUNCTION("""COMPUTED_VALUE"""),"地獄楽")</f>
        <v/>
      </c>
      <c r="C228">
        <f>IFERROR(__xludf.DUMMYFUNCTION("""COMPUTED_VALUE"""),"00101")</f>
        <v/>
      </c>
      <c r="D228">
        <f>IFERROR(__xludf.DUMMYFUNCTION("""COMPUTED_VALUE"""),"enemy_jig_00101")</f>
        <v/>
      </c>
      <c r="E228">
        <f>IFERROR(__xludf.DUMMYFUNCTION("""COMPUTED_VALUE"""),"門神 （小）")</f>
        <v/>
      </c>
      <c r="F228">
        <f>IFERROR(__xludf.DUMMYFUNCTION("""COMPUTED_VALUE"""),"門神 (小)")</f>
        <v/>
      </c>
      <c r="G228">
        <f>IFERROR(__xludf.DUMMYFUNCTION("""COMPUTED_VALUE"""),"ー")</f>
        <v/>
      </c>
      <c r="K228">
        <f>IFERROR(__xludf.DUMMYFUNCTION("""COMPUTED_VALUE"""),"enemy")</f>
        <v/>
      </c>
      <c r="L228">
        <f>IFERROR(__xludf.DUMMYFUNCTION("""COMPUTED_VALUE"""),"ディフェンス")</f>
        <v/>
      </c>
      <c r="M228">
        <f>IFERROR(__xludf.DUMMYFUNCTION("""COMPUTED_VALUE"""),"dageki_1")</f>
        <v/>
      </c>
      <c r="Q228">
        <f>IFERROR(__xludf.DUMMYFUNCTION("""COMPUTED_VALUE"""),"1.83")</f>
        <v/>
      </c>
      <c r="R228">
        <f>IFERROR(__xludf.DUMMYFUNCTION("""COMPUTED_VALUE"""),"0.83")</f>
        <v/>
      </c>
      <c r="S228">
        <f>IFERROR(__xludf.DUMMYFUNCTION("""COMPUTED_VALUE"""),"-")</f>
        <v/>
      </c>
      <c r="T228">
        <f>IFERROR(__xludf.DUMMYFUNCTION("""COMPUTED_VALUE"""),"-")</f>
        <v/>
      </c>
      <c r="U228">
        <f>IFERROR(__xludf.DUMMYFUNCTION("""COMPUTED_VALUE"""),45658.0)</f>
        <v/>
      </c>
      <c r="V228">
        <f>IFERROR(__xludf.DUMMYFUNCTION("""COMPUTED_VALUE"""),390812.49998842593)</f>
        <v/>
      </c>
      <c r="W228">
        <f>IFERROR(__xludf.DUMMYFUNCTION("""COMPUTED_VALUE"""),"catchcopy_character_enemy_jig_00101.png")</f>
        <v/>
      </c>
      <c r="X228">
        <f>IFERROR(__xludf.DUMMYFUNCTION("""COMPUTED_VALUE"""),"enemy_icon_enemy_jig_00101")</f>
        <v/>
      </c>
      <c r="Y228">
        <f>IFERROR(__xludf.DUMMYFUNCTION("""COMPUTED_VALUE"""),"boss_icon_enemy_jig_00101")</f>
        <v/>
      </c>
      <c r="Z228">
        <f>IFERROR(__xludf.DUMMYFUNCTION("""COMPUTED_VALUE"""),"enemy_jig_00101_normal")</f>
        <v/>
      </c>
    </row>
    <row r="229">
      <c r="A229">
        <f>IFERROR(__xludf.DUMMYFUNCTION("""COMPUTED_VALUE"""),"jig")</f>
        <v/>
      </c>
      <c r="B229">
        <f>IFERROR(__xludf.DUMMYFUNCTION("""COMPUTED_VALUE"""),"地獄楽")</f>
        <v/>
      </c>
      <c r="C229">
        <f>IFERROR(__xludf.DUMMYFUNCTION("""COMPUTED_VALUE"""),"00201")</f>
        <v/>
      </c>
      <c r="D229">
        <f>IFERROR(__xludf.DUMMYFUNCTION("""COMPUTED_VALUE"""),"enemy_jig_00201")</f>
        <v/>
      </c>
      <c r="E229">
        <f>IFERROR(__xludf.DUMMYFUNCTION("""COMPUTED_VALUE"""),"門神 （大）")</f>
        <v/>
      </c>
      <c r="F229">
        <f>IFERROR(__xludf.DUMMYFUNCTION("""COMPUTED_VALUE"""),"門神 (大)")</f>
        <v/>
      </c>
      <c r="G229">
        <f>IFERROR(__xludf.DUMMYFUNCTION("""COMPUTED_VALUE"""),"ー")</f>
        <v/>
      </c>
      <c r="K229">
        <f>IFERROR(__xludf.DUMMYFUNCTION("""COMPUTED_VALUE"""),"enemy")</f>
        <v/>
      </c>
      <c r="L229">
        <f>IFERROR(__xludf.DUMMYFUNCTION("""COMPUTED_VALUE"""),"ディフェンス")</f>
        <v/>
      </c>
      <c r="M229">
        <f>IFERROR(__xludf.DUMMYFUNCTION("""COMPUTED_VALUE"""),"dageki_1")</f>
        <v/>
      </c>
      <c r="Q229">
        <f>IFERROR(__xludf.DUMMYFUNCTION("""COMPUTED_VALUE"""),"1.83")</f>
        <v/>
      </c>
      <c r="R229">
        <f>IFERROR(__xludf.DUMMYFUNCTION("""COMPUTED_VALUE"""),"0.83")</f>
        <v/>
      </c>
      <c r="S229">
        <f>IFERROR(__xludf.DUMMYFUNCTION("""COMPUTED_VALUE"""),"-")</f>
        <v/>
      </c>
      <c r="T229">
        <f>IFERROR(__xludf.DUMMYFUNCTION("""COMPUTED_VALUE"""),"-")</f>
        <v/>
      </c>
      <c r="U229">
        <f>IFERROR(__xludf.DUMMYFUNCTION("""COMPUTED_VALUE"""),45658.0)</f>
        <v/>
      </c>
      <c r="V229">
        <f>IFERROR(__xludf.DUMMYFUNCTION("""COMPUTED_VALUE"""),390812.49998842593)</f>
        <v/>
      </c>
      <c r="W229">
        <f>IFERROR(__xludf.DUMMYFUNCTION("""COMPUTED_VALUE"""),"catchcopy_character_enemy_jig_00201.png")</f>
        <v/>
      </c>
      <c r="X229">
        <f>IFERROR(__xludf.DUMMYFUNCTION("""COMPUTED_VALUE"""),"enemy_icon_enemy_jig_00201")</f>
        <v/>
      </c>
      <c r="Y229">
        <f>IFERROR(__xludf.DUMMYFUNCTION("""COMPUTED_VALUE"""),"boss_icon_enemy_jig_00201")</f>
        <v/>
      </c>
      <c r="Z229">
        <f>IFERROR(__xludf.DUMMYFUNCTION("""COMPUTED_VALUE"""),"enemy_jig_00201_normal")</f>
        <v/>
      </c>
    </row>
    <row r="230">
      <c r="A230">
        <f>IFERROR(__xludf.DUMMYFUNCTION("""COMPUTED_VALUE"""),"jig")</f>
        <v/>
      </c>
      <c r="B230">
        <f>IFERROR(__xludf.DUMMYFUNCTION("""COMPUTED_VALUE"""),"地獄楽")</f>
        <v/>
      </c>
      <c r="C230">
        <f>IFERROR(__xludf.DUMMYFUNCTION("""COMPUTED_VALUE"""),"00301")</f>
        <v/>
      </c>
      <c r="D230">
        <f>IFERROR(__xludf.DUMMYFUNCTION("""COMPUTED_VALUE"""),"enemy_jig_00301")</f>
        <v/>
      </c>
      <c r="E230">
        <f>IFERROR(__xludf.DUMMYFUNCTION("""COMPUTED_VALUE"""),"竈神 魚")</f>
        <v/>
      </c>
      <c r="F230">
        <f>IFERROR(__xludf.DUMMYFUNCTION("""COMPUTED_VALUE"""),"竈神 魚")</f>
        <v/>
      </c>
      <c r="G230">
        <f>IFERROR(__xludf.DUMMYFUNCTION("""COMPUTED_VALUE"""),"ー")</f>
        <v/>
      </c>
      <c r="K230">
        <f>IFERROR(__xludf.DUMMYFUNCTION("""COMPUTED_VALUE"""),"enemy")</f>
        <v/>
      </c>
      <c r="L230">
        <f>IFERROR(__xludf.DUMMYFUNCTION("""COMPUTED_VALUE"""),"アタック")</f>
        <v/>
      </c>
      <c r="M230">
        <f>IFERROR(__xludf.DUMMYFUNCTION("""COMPUTED_VALUE"""),"dageki_1")</f>
        <v/>
      </c>
      <c r="Q230">
        <f>IFERROR(__xludf.DUMMYFUNCTION("""COMPUTED_VALUE"""),"1.50")</f>
        <v/>
      </c>
      <c r="R230">
        <f>IFERROR(__xludf.DUMMYFUNCTION("""COMPUTED_VALUE"""),"0.66")</f>
        <v/>
      </c>
      <c r="S230">
        <f>IFERROR(__xludf.DUMMYFUNCTION("""COMPUTED_VALUE"""),"-")</f>
        <v/>
      </c>
      <c r="T230">
        <f>IFERROR(__xludf.DUMMYFUNCTION("""COMPUTED_VALUE"""),"-")</f>
        <v/>
      </c>
      <c r="U230">
        <f>IFERROR(__xludf.DUMMYFUNCTION("""COMPUTED_VALUE"""),45658.0)</f>
        <v/>
      </c>
      <c r="V230">
        <f>IFERROR(__xludf.DUMMYFUNCTION("""COMPUTED_VALUE"""),390812.49998842593)</f>
        <v/>
      </c>
      <c r="W230">
        <f>IFERROR(__xludf.DUMMYFUNCTION("""COMPUTED_VALUE"""),"catchcopy_character_enemy_jig_00301.png")</f>
        <v/>
      </c>
      <c r="X230">
        <f>IFERROR(__xludf.DUMMYFUNCTION("""COMPUTED_VALUE"""),"enemy_icon_enemy_jig_00301")</f>
        <v/>
      </c>
      <c r="Y230">
        <f>IFERROR(__xludf.DUMMYFUNCTION("""COMPUTED_VALUE"""),"boss_icon_enemy_jig_00301")</f>
        <v/>
      </c>
    </row>
    <row r="231">
      <c r="A231">
        <f>IFERROR(__xludf.DUMMYFUNCTION("""COMPUTED_VALUE"""),"jig")</f>
        <v/>
      </c>
      <c r="B231">
        <f>IFERROR(__xludf.DUMMYFUNCTION("""COMPUTED_VALUE"""),"地獄楽")</f>
        <v/>
      </c>
      <c r="C231">
        <f>IFERROR(__xludf.DUMMYFUNCTION("""COMPUTED_VALUE"""),"00401")</f>
        <v/>
      </c>
      <c r="D231">
        <f>IFERROR(__xludf.DUMMYFUNCTION("""COMPUTED_VALUE"""),"enemy_jig_00401")</f>
        <v/>
      </c>
      <c r="E231">
        <f>IFERROR(__xludf.DUMMYFUNCTION("""COMPUTED_VALUE"""),"極楽蝶")</f>
        <v/>
      </c>
      <c r="F231">
        <f>IFERROR(__xludf.DUMMYFUNCTION("""COMPUTED_VALUE"""),"極楽蝶")</f>
        <v/>
      </c>
      <c r="G231">
        <f>IFERROR(__xludf.DUMMYFUNCTION("""COMPUTED_VALUE"""),"ー")</f>
        <v/>
      </c>
      <c r="K231">
        <f>IFERROR(__xludf.DUMMYFUNCTION("""COMPUTED_VALUE"""),"enemy")</f>
        <v/>
      </c>
      <c r="L231">
        <f>IFERROR(__xludf.DUMMYFUNCTION("""COMPUTED_VALUE"""),"アタック")</f>
        <v/>
      </c>
      <c r="M231">
        <f>IFERROR(__xludf.DUMMYFUNCTION("""COMPUTED_VALUE"""),"dageki_2")</f>
        <v/>
      </c>
      <c r="Q231">
        <f>IFERROR(__xludf.DUMMYFUNCTION("""COMPUTED_VALUE"""),"1.30")</f>
        <v/>
      </c>
      <c r="R231">
        <f>IFERROR(__xludf.DUMMYFUNCTION("""COMPUTED_VALUE"""),"0.66")</f>
        <v/>
      </c>
      <c r="S231">
        <f>IFERROR(__xludf.DUMMYFUNCTION("""COMPUTED_VALUE"""),"-")</f>
        <v/>
      </c>
      <c r="T231">
        <f>IFERROR(__xludf.DUMMYFUNCTION("""COMPUTED_VALUE"""),"-")</f>
        <v/>
      </c>
      <c r="U231">
        <f>IFERROR(__xludf.DUMMYFUNCTION("""COMPUTED_VALUE"""),45658.0)</f>
        <v/>
      </c>
      <c r="V231">
        <f>IFERROR(__xludf.DUMMYFUNCTION("""COMPUTED_VALUE"""),390812.49998842593)</f>
        <v/>
      </c>
      <c r="W231">
        <f>IFERROR(__xludf.DUMMYFUNCTION("""COMPUTED_VALUE"""),"catchcopy_character_enemy_jig_00401.png")</f>
        <v/>
      </c>
      <c r="X231">
        <f>IFERROR(__xludf.DUMMYFUNCTION("""COMPUTED_VALUE"""),"enemy_icon_enemy_jig_00401")</f>
        <v/>
      </c>
      <c r="Y231">
        <f>IFERROR(__xludf.DUMMYFUNCTION("""COMPUTED_VALUE"""),"boss_icon_enemy_jig_00401")</f>
        <v/>
      </c>
    </row>
    <row r="232">
      <c r="A232">
        <f>IFERROR(__xludf.DUMMYFUNCTION("""COMPUTED_VALUE"""),"jig")</f>
        <v/>
      </c>
      <c r="B232">
        <f>IFERROR(__xludf.DUMMYFUNCTION("""COMPUTED_VALUE"""),"地獄楽")</f>
        <v/>
      </c>
      <c r="C232">
        <f>IFERROR(__xludf.DUMMYFUNCTION("""COMPUTED_VALUE"""),"00402")</f>
        <v/>
      </c>
      <c r="D232">
        <f>IFERROR(__xludf.DUMMYFUNCTION("""COMPUTED_VALUE"""),"enemy_jig_00402")</f>
        <v/>
      </c>
      <c r="E232">
        <f>IFERROR(__xludf.DUMMYFUNCTION("""COMPUTED_VALUE"""),"極楽蝶")</f>
        <v/>
      </c>
      <c r="F232">
        <f>IFERROR(__xludf.DUMMYFUNCTION("""COMPUTED_VALUE"""),"極楽蝶")</f>
        <v/>
      </c>
      <c r="G232">
        <f>IFERROR(__xludf.DUMMYFUNCTION("""COMPUTED_VALUE"""),"ー")</f>
        <v/>
      </c>
      <c r="K232">
        <f>IFERROR(__xludf.DUMMYFUNCTION("""COMPUTED_VALUE"""),"enemy")</f>
        <v/>
      </c>
      <c r="L232">
        <f>IFERROR(__xludf.DUMMYFUNCTION("""COMPUTED_VALUE"""),"アタック")</f>
        <v/>
      </c>
      <c r="M232">
        <f>IFERROR(__xludf.DUMMYFUNCTION("""COMPUTED_VALUE"""),"dageki_2")</f>
        <v/>
      </c>
      <c r="Q232">
        <f>IFERROR(__xludf.DUMMYFUNCTION("""COMPUTED_VALUE"""),"2.10")</f>
        <v/>
      </c>
      <c r="R232">
        <f>IFERROR(__xludf.DUMMYFUNCTION("""COMPUTED_VALUE"""),"0.60")</f>
        <v/>
      </c>
      <c r="S232">
        <f>IFERROR(__xludf.DUMMYFUNCTION("""COMPUTED_VALUE"""),"-")</f>
        <v/>
      </c>
      <c r="T232">
        <f>IFERROR(__xludf.DUMMYFUNCTION("""COMPUTED_VALUE"""),"-")</f>
        <v/>
      </c>
      <c r="U232">
        <f>IFERROR(__xludf.DUMMYFUNCTION("""COMPUTED_VALUE"""),45658.0)</f>
        <v/>
      </c>
      <c r="V232">
        <f>IFERROR(__xludf.DUMMYFUNCTION("""COMPUTED_VALUE"""),390812.49998842593)</f>
        <v/>
      </c>
      <c r="W232">
        <f>IFERROR(__xludf.DUMMYFUNCTION("""COMPUTED_VALUE"""),"catchcopy_character_enemy_jig_00402.png")</f>
        <v/>
      </c>
      <c r="X232">
        <f>IFERROR(__xludf.DUMMYFUNCTION("""COMPUTED_VALUE"""),"enemy_icon_enemy_jig_00402")</f>
        <v/>
      </c>
      <c r="Y232">
        <f>IFERROR(__xludf.DUMMYFUNCTION("""COMPUTED_VALUE"""),"boss_icon_enemy_jig_00402")</f>
        <v/>
      </c>
      <c r="Z232">
        <f>IFERROR(__xludf.DUMMYFUNCTION("""COMPUTED_VALUE"""),"enemy_jig_00402_normal")</f>
        <v/>
      </c>
    </row>
    <row r="233">
      <c r="A233">
        <f>IFERROR(__xludf.DUMMYFUNCTION("""COMPUTED_VALUE"""),"jig")</f>
        <v/>
      </c>
      <c r="B233">
        <f>IFERROR(__xludf.DUMMYFUNCTION("""COMPUTED_VALUE"""),"地獄楽")</f>
        <v/>
      </c>
      <c r="C233">
        <f>IFERROR(__xludf.DUMMYFUNCTION("""COMPUTED_VALUE"""),"00501")</f>
        <v/>
      </c>
      <c r="D233">
        <f>IFERROR(__xludf.DUMMYFUNCTION("""COMPUTED_VALUE"""),"enemy_jig_00501")</f>
        <v/>
      </c>
      <c r="E233">
        <f>IFERROR(__xludf.DUMMYFUNCTION("""COMPUTED_VALUE"""),"山田浅ェ門 源嗣")</f>
        <v/>
      </c>
      <c r="F233">
        <f>IFERROR(__xludf.DUMMYFUNCTION("""COMPUTED_VALUE"""),"山田浅ェ門 源嗣")</f>
        <v/>
      </c>
      <c r="G233">
        <f>IFERROR(__xludf.DUMMYFUNCTION("""COMPUTED_VALUE"""),"ー")</f>
        <v/>
      </c>
      <c r="K233">
        <f>IFERROR(__xludf.DUMMYFUNCTION("""COMPUTED_VALUE"""),"enemy")</f>
        <v/>
      </c>
      <c r="L233">
        <f>IFERROR(__xludf.DUMMYFUNCTION("""COMPUTED_VALUE"""),"ディフェンス")</f>
        <v/>
      </c>
      <c r="M233">
        <f>IFERROR(__xludf.DUMMYFUNCTION("""COMPUTED_VALUE"""),"zangeki_1")</f>
        <v/>
      </c>
      <c r="Q233">
        <f>IFERROR(__xludf.DUMMYFUNCTION("""COMPUTED_VALUE"""),"1.43")</f>
        <v/>
      </c>
      <c r="R233">
        <f>IFERROR(__xludf.DUMMYFUNCTION("""COMPUTED_VALUE"""),"0.66")</f>
        <v/>
      </c>
      <c r="S233">
        <f>IFERROR(__xludf.DUMMYFUNCTION("""COMPUTED_VALUE"""),"-")</f>
        <v/>
      </c>
      <c r="T233">
        <f>IFERROR(__xludf.DUMMYFUNCTION("""COMPUTED_VALUE"""),"-")</f>
        <v/>
      </c>
      <c r="U233">
        <f>IFERROR(__xludf.DUMMYFUNCTION("""COMPUTED_VALUE"""),45658.0)</f>
        <v/>
      </c>
      <c r="V233">
        <f>IFERROR(__xludf.DUMMYFUNCTION("""COMPUTED_VALUE"""),390812.49998842593)</f>
        <v/>
      </c>
      <c r="W233">
        <f>IFERROR(__xludf.DUMMYFUNCTION("""COMPUTED_VALUE"""),"catchcopy_character_enemy_jig_00501.png")</f>
        <v/>
      </c>
      <c r="X233">
        <f>IFERROR(__xludf.DUMMYFUNCTION("""COMPUTED_VALUE"""),"enemy_icon_enemy_jig_00501")</f>
        <v/>
      </c>
      <c r="Y233">
        <f>IFERROR(__xludf.DUMMYFUNCTION("""COMPUTED_VALUE"""),"boss_icon_enemy_jig_00501")</f>
        <v/>
      </c>
      <c r="Z233">
        <f>IFERROR(__xludf.DUMMYFUNCTION("""COMPUTED_VALUE"""),"enemy_jig_00501_normal")</f>
        <v/>
      </c>
    </row>
    <row r="234">
      <c r="A234">
        <f>IFERROR(__xludf.DUMMYFUNCTION("""COMPUTED_VALUE"""),"jig")</f>
        <v/>
      </c>
      <c r="B234">
        <f>IFERROR(__xludf.DUMMYFUNCTION("""COMPUTED_VALUE"""),"地獄楽")</f>
        <v/>
      </c>
      <c r="C234">
        <f>IFERROR(__xludf.DUMMYFUNCTION("""COMPUTED_VALUE"""),"00601")</f>
        <v/>
      </c>
      <c r="D234">
        <f>IFERROR(__xludf.DUMMYFUNCTION("""COMPUTED_VALUE"""),"enemy_jig_00601")</f>
        <v/>
      </c>
      <c r="E234">
        <f>IFERROR(__xludf.DUMMYFUNCTION("""COMPUTED_VALUE"""),"朱槿")</f>
        <v/>
      </c>
      <c r="F234">
        <f>IFERROR(__xludf.DUMMYFUNCTION("""COMPUTED_VALUE"""),"朱槿")</f>
        <v/>
      </c>
      <c r="G234">
        <f>IFERROR(__xludf.DUMMYFUNCTION("""COMPUTED_VALUE"""),"ー")</f>
        <v/>
      </c>
      <c r="K234">
        <f>IFERROR(__xludf.DUMMYFUNCTION("""COMPUTED_VALUE"""),"enemy")</f>
        <v/>
      </c>
      <c r="Q234">
        <f>IFERROR(__xludf.DUMMYFUNCTION("""COMPUTED_VALUE"""),"1.5")</f>
        <v/>
      </c>
      <c r="R234">
        <f>IFERROR(__xludf.DUMMYFUNCTION("""COMPUTED_VALUE"""),"0.75")</f>
        <v/>
      </c>
      <c r="S234">
        <f>IFERROR(__xludf.DUMMYFUNCTION("""COMPUTED_VALUE"""),"-")</f>
        <v/>
      </c>
      <c r="T234">
        <f>IFERROR(__xludf.DUMMYFUNCTION("""COMPUTED_VALUE"""),"-")</f>
        <v/>
      </c>
      <c r="U234">
        <f>IFERROR(__xludf.DUMMYFUNCTION("""COMPUTED_VALUE"""),46038.625)</f>
        <v/>
      </c>
      <c r="V234">
        <f>IFERROR(__xludf.DUMMYFUNCTION("""COMPUTED_VALUE"""),390812.49998842593)</f>
        <v/>
      </c>
      <c r="W234">
        <f>IFERROR(__xludf.DUMMYFUNCTION("""COMPUTED_VALUE"""),"catchcopy_character_enemy_jig_00601.png")</f>
        <v/>
      </c>
      <c r="X234">
        <f>IFERROR(__xludf.DUMMYFUNCTION("""COMPUTED_VALUE"""),"enemy_icon_enemy_jig_00601")</f>
        <v/>
      </c>
      <c r="Y234">
        <f>IFERROR(__xludf.DUMMYFUNCTION("""COMPUTED_VALUE"""),"boss_icon_enemy_jig_00501")</f>
        <v/>
      </c>
    </row>
    <row r="235">
      <c r="A235">
        <f>IFERROR(__xludf.DUMMYFUNCTION("""COMPUTED_VALUE"""),"mag")</f>
        <v/>
      </c>
      <c r="B235">
        <f>IFERROR(__xludf.DUMMYFUNCTION("""COMPUTED_VALUE"""),"株式会社マジルミエ")</f>
        <v/>
      </c>
      <c r="C235">
        <f>IFERROR(__xludf.DUMMYFUNCTION("""COMPUTED_VALUE"""),"00001")</f>
        <v/>
      </c>
      <c r="D235">
        <f>IFERROR(__xludf.DUMMYFUNCTION("""COMPUTED_VALUE"""),"enemy_mag_00001")</f>
        <v/>
      </c>
      <c r="E235">
        <f>IFERROR(__xludf.DUMMYFUNCTION("""COMPUTED_VALUE"""),"冷却系の怪異")</f>
        <v/>
      </c>
      <c r="F235">
        <f>IFERROR(__xludf.DUMMYFUNCTION("""COMPUTED_VALUE"""),"冷却系怪異")</f>
        <v/>
      </c>
      <c r="G235">
        <f>IFERROR(__xludf.DUMMYFUNCTION("""COMPUTED_VALUE"""),"ー")</f>
        <v/>
      </c>
      <c r="K235">
        <f>IFERROR(__xludf.DUMMYFUNCTION("""COMPUTED_VALUE"""),"enemy")</f>
        <v/>
      </c>
      <c r="M235">
        <f>IFERROR(__xludf.DUMMYFUNCTION("""COMPUTED_VALUE"""),"shageki_1")</f>
        <v/>
      </c>
      <c r="P235">
        <f>IFERROR(__xludf.DUMMYFUNCTION("""COMPUTED_VALUE"""),"00001")</f>
        <v/>
      </c>
      <c r="Q235">
        <f>IFERROR(__xludf.DUMMYFUNCTION("""COMPUTED_VALUE"""),"1.50")</f>
        <v/>
      </c>
      <c r="R235">
        <f>IFERROR(__xludf.DUMMYFUNCTION("""COMPUTED_VALUE"""),"0.80")</f>
        <v/>
      </c>
      <c r="S235">
        <f>IFERROR(__xludf.DUMMYFUNCTION("""COMPUTED_VALUE"""),"-")</f>
        <v/>
      </c>
      <c r="T235">
        <f>IFERROR(__xludf.DUMMYFUNCTION("""COMPUTED_VALUE"""),"-")</f>
        <v/>
      </c>
      <c r="U235">
        <f>IFERROR(__xludf.DUMMYFUNCTION("""COMPUTED_VALUE"""),45658.0)</f>
        <v/>
      </c>
      <c r="V235">
        <f>IFERROR(__xludf.DUMMYFUNCTION("""COMPUTED_VALUE"""),390812.49998842593)</f>
        <v/>
      </c>
      <c r="W235">
        <f>IFERROR(__xludf.DUMMYFUNCTION("""COMPUTED_VALUE"""),"catchcopy_character_enemy_mag_00001.png")</f>
        <v/>
      </c>
      <c r="X235">
        <f>IFERROR(__xludf.DUMMYFUNCTION("""COMPUTED_VALUE"""),"enemy_icon_enemy_mag_00001")</f>
        <v/>
      </c>
      <c r="Y235">
        <f>IFERROR(__xludf.DUMMYFUNCTION("""COMPUTED_VALUE"""),"boss_icon_enemy_mag_00001")</f>
        <v/>
      </c>
      <c r="Z235">
        <f>IFERROR(__xludf.DUMMYFUNCTION("""COMPUTED_VALUE"""),"enemy_mag_00001_normal")</f>
        <v/>
      </c>
    </row>
    <row r="236">
      <c r="A236">
        <f>IFERROR(__xludf.DUMMYFUNCTION("""COMPUTED_VALUE"""),"mag")</f>
        <v/>
      </c>
      <c r="B236">
        <f>IFERROR(__xludf.DUMMYFUNCTION("""COMPUTED_VALUE"""),"株式会社マジルミエ")</f>
        <v/>
      </c>
      <c r="C236">
        <f>IFERROR(__xludf.DUMMYFUNCTION("""COMPUTED_VALUE"""),"00101")</f>
        <v/>
      </c>
      <c r="D236">
        <f>IFERROR(__xludf.DUMMYFUNCTION("""COMPUTED_VALUE"""),"enemy_mag_00101")</f>
        <v/>
      </c>
      <c r="E236">
        <f>IFERROR(__xludf.DUMMYFUNCTION("""COMPUTED_VALUE"""),"つらら")</f>
        <v/>
      </c>
      <c r="F236">
        <f>IFERROR(__xludf.DUMMYFUNCTION("""COMPUTED_VALUE"""),"つらら")</f>
        <v/>
      </c>
      <c r="G236">
        <f>IFERROR(__xludf.DUMMYFUNCTION("""COMPUTED_VALUE"""),"ー")</f>
        <v/>
      </c>
      <c r="K236">
        <f>IFERROR(__xludf.DUMMYFUNCTION("""COMPUTED_VALUE"""),"enemy")</f>
        <v/>
      </c>
      <c r="M236">
        <f>IFERROR(__xludf.DUMMYFUNCTION("""COMPUTED_VALUE"""),"zangeki_1")</f>
        <v/>
      </c>
      <c r="P236">
        <f>IFERROR(__xludf.DUMMYFUNCTION("""COMPUTED_VALUE"""),"00101")</f>
        <v/>
      </c>
      <c r="Q236">
        <f>IFERROR(__xludf.DUMMYFUNCTION("""COMPUTED_VALUE"""),"0.37")</f>
        <v/>
      </c>
      <c r="R236">
        <f>IFERROR(__xludf.DUMMYFUNCTION("""COMPUTED_VALUE"""),"stop有:1回目 0.20")</f>
        <v/>
      </c>
      <c r="S236">
        <f>IFERROR(__xludf.DUMMYFUNCTION("""COMPUTED_VALUE"""),"-")</f>
        <v/>
      </c>
      <c r="T236">
        <f>IFERROR(__xludf.DUMMYFUNCTION("""COMPUTED_VALUE"""),"-")</f>
        <v/>
      </c>
      <c r="U236">
        <f>IFERROR(__xludf.DUMMYFUNCTION("""COMPUTED_VALUE"""),45658.0)</f>
        <v/>
      </c>
      <c r="V236">
        <f>IFERROR(__xludf.DUMMYFUNCTION("""COMPUTED_VALUE"""),390812.49998842593)</f>
        <v/>
      </c>
      <c r="W236">
        <f>IFERROR(__xludf.DUMMYFUNCTION("""COMPUTED_VALUE"""),"catchcopy_character_enemy_mag_00101.png")</f>
        <v/>
      </c>
      <c r="X236">
        <f>IFERROR(__xludf.DUMMYFUNCTION("""COMPUTED_VALUE"""),"enemy_icon_enemy_mag_00101")</f>
        <v/>
      </c>
      <c r="Y236">
        <f>IFERROR(__xludf.DUMMYFUNCTION("""COMPUTED_VALUE"""),"boss_icon_enemy_mag_00101")</f>
        <v/>
      </c>
    </row>
    <row r="237">
      <c r="A237">
        <f>IFERROR(__xludf.DUMMYFUNCTION("""COMPUTED_VALUE"""),"mag")</f>
        <v/>
      </c>
      <c r="B237">
        <f>IFERROR(__xludf.DUMMYFUNCTION("""COMPUTED_VALUE"""),"株式会社マジルミエ")</f>
        <v/>
      </c>
      <c r="C237">
        <f>IFERROR(__xludf.DUMMYFUNCTION("""COMPUTED_VALUE"""),"00201")</f>
        <v/>
      </c>
      <c r="D237">
        <f>IFERROR(__xludf.DUMMYFUNCTION("""COMPUTED_VALUE"""),"enemy_mag_00201")</f>
        <v/>
      </c>
      <c r="E237">
        <f>IFERROR(__xludf.DUMMYFUNCTION("""COMPUTED_VALUE"""),"建造物寄生型の怪異（大）")</f>
        <v/>
      </c>
      <c r="F237">
        <f>IFERROR(__xludf.DUMMYFUNCTION("""COMPUTED_VALUE"""),"建造物寄生型の怪異 (大)")</f>
        <v/>
      </c>
      <c r="G237">
        <f>IFERROR(__xludf.DUMMYFUNCTION("""COMPUTED_VALUE"""),"ー")</f>
        <v/>
      </c>
      <c r="K237">
        <f>IFERROR(__xludf.DUMMYFUNCTION("""COMPUTED_VALUE"""),"enemy")</f>
        <v/>
      </c>
      <c r="M237">
        <f>IFERROR(__xludf.DUMMYFUNCTION("""COMPUTED_VALUE"""),"dageki_1")</f>
        <v/>
      </c>
      <c r="P237">
        <f>IFERROR(__xludf.DUMMYFUNCTION("""COMPUTED_VALUE"""),"00201")</f>
        <v/>
      </c>
      <c r="Q237">
        <f>IFERROR(__xludf.DUMMYFUNCTION("""COMPUTED_VALUE"""),"1.50")</f>
        <v/>
      </c>
      <c r="R237">
        <f>IFERROR(__xludf.DUMMYFUNCTION("""COMPUTED_VALUE"""),"0.74")</f>
        <v/>
      </c>
      <c r="S237">
        <f>IFERROR(__xludf.DUMMYFUNCTION("""COMPUTED_VALUE"""),"-")</f>
        <v/>
      </c>
      <c r="T237">
        <f>IFERROR(__xludf.DUMMYFUNCTION("""COMPUTED_VALUE"""),"-")</f>
        <v/>
      </c>
      <c r="U237">
        <f>IFERROR(__xludf.DUMMYFUNCTION("""COMPUTED_VALUE"""),45658.0)</f>
        <v/>
      </c>
      <c r="V237">
        <f>IFERROR(__xludf.DUMMYFUNCTION("""COMPUTED_VALUE"""),390812.49998842593)</f>
        <v/>
      </c>
      <c r="W237">
        <f>IFERROR(__xludf.DUMMYFUNCTION("""COMPUTED_VALUE"""),"catchcopy_character_enemy_mag_00201.png")</f>
        <v/>
      </c>
      <c r="X237">
        <f>IFERROR(__xludf.DUMMYFUNCTION("""COMPUTED_VALUE"""),"enemy_icon_enemy_mag_00201")</f>
        <v/>
      </c>
      <c r="Y237">
        <f>IFERROR(__xludf.DUMMYFUNCTION("""COMPUTED_VALUE"""),"boss_icon_enemy_mag_00201")</f>
        <v/>
      </c>
      <c r="Z237">
        <f>IFERROR(__xludf.DUMMYFUNCTION("""COMPUTED_VALUE"""),"enemy_mag_00201_normal")</f>
        <v/>
      </c>
    </row>
    <row r="238">
      <c r="A238">
        <f>IFERROR(__xludf.DUMMYFUNCTION("""COMPUTED_VALUE"""),"mag")</f>
        <v/>
      </c>
      <c r="B238">
        <f>IFERROR(__xludf.DUMMYFUNCTION("""COMPUTED_VALUE"""),"株式会社マジルミエ")</f>
        <v/>
      </c>
      <c r="C238">
        <f>IFERROR(__xludf.DUMMYFUNCTION("""COMPUTED_VALUE"""),"00301")</f>
        <v/>
      </c>
      <c r="D238">
        <f>IFERROR(__xludf.DUMMYFUNCTION("""COMPUTED_VALUE"""),"enemy_mag_00301")</f>
        <v/>
      </c>
      <c r="E238">
        <f>IFERROR(__xludf.DUMMYFUNCTION("""COMPUTED_VALUE"""),"建造物寄生型の怪異（小）")</f>
        <v/>
      </c>
      <c r="F238">
        <f>IFERROR(__xludf.DUMMYFUNCTION("""COMPUTED_VALUE"""),"建造物寄生型の怪異")</f>
        <v/>
      </c>
      <c r="G238">
        <f>IFERROR(__xludf.DUMMYFUNCTION("""COMPUTED_VALUE"""),"ー")</f>
        <v/>
      </c>
      <c r="K238">
        <f>IFERROR(__xludf.DUMMYFUNCTION("""COMPUTED_VALUE"""),"enemy")</f>
        <v/>
      </c>
      <c r="M238">
        <f>IFERROR(__xludf.DUMMYFUNCTION("""COMPUTED_VALUE"""),"dageki_2")</f>
        <v/>
      </c>
      <c r="P238">
        <f>IFERROR(__xludf.DUMMYFUNCTION("""COMPUTED_VALUE"""),"00301")</f>
        <v/>
      </c>
      <c r="Q238">
        <f>IFERROR(__xludf.DUMMYFUNCTION("""COMPUTED_VALUE"""),"1.50")</f>
        <v/>
      </c>
      <c r="R238">
        <f>IFERROR(__xludf.DUMMYFUNCTION("""COMPUTED_VALUE"""),"0.74")</f>
        <v/>
      </c>
      <c r="S238">
        <f>IFERROR(__xludf.DUMMYFUNCTION("""COMPUTED_VALUE"""),"-")</f>
        <v/>
      </c>
      <c r="T238">
        <f>IFERROR(__xludf.DUMMYFUNCTION("""COMPUTED_VALUE"""),"-")</f>
        <v/>
      </c>
      <c r="U238">
        <f>IFERROR(__xludf.DUMMYFUNCTION("""COMPUTED_VALUE"""),45658.0)</f>
        <v/>
      </c>
      <c r="V238">
        <f>IFERROR(__xludf.DUMMYFUNCTION("""COMPUTED_VALUE"""),390812.49998842593)</f>
        <v/>
      </c>
      <c r="W238">
        <f>IFERROR(__xludf.DUMMYFUNCTION("""COMPUTED_VALUE"""),"catchcopy_character_enemy_mag_00301.png")</f>
        <v/>
      </c>
      <c r="X238">
        <f>IFERROR(__xludf.DUMMYFUNCTION("""COMPUTED_VALUE"""),"enemy_icon_enemy_mag_00301")</f>
        <v/>
      </c>
      <c r="Y238">
        <f>IFERROR(__xludf.DUMMYFUNCTION("""COMPUTED_VALUE"""),"boss_icon_enemy_mag_00301")</f>
        <v/>
      </c>
    </row>
    <row r="239">
      <c r="A239">
        <f>IFERROR(__xludf.DUMMYFUNCTION("""COMPUTED_VALUE"""),"mag")</f>
        <v/>
      </c>
      <c r="B239">
        <f>IFERROR(__xludf.DUMMYFUNCTION("""COMPUTED_VALUE"""),"株式会社マジルミエ")</f>
        <v/>
      </c>
      <c r="C239">
        <f>IFERROR(__xludf.DUMMYFUNCTION("""COMPUTED_VALUE"""),"00401")</f>
        <v/>
      </c>
      <c r="D239">
        <f>IFERROR(__xludf.DUMMYFUNCTION("""COMPUTED_VALUE"""),"enemy_mag_00401")</f>
        <v/>
      </c>
      <c r="E239">
        <f>IFERROR(__xludf.DUMMYFUNCTION("""COMPUTED_VALUE"""),"工事現場の怪異")</f>
        <v/>
      </c>
      <c r="F239">
        <f>IFERROR(__xludf.DUMMYFUNCTION("""COMPUTED_VALUE"""),"工事現場の怪異")</f>
        <v/>
      </c>
      <c r="K239">
        <f>IFERROR(__xludf.DUMMYFUNCTION("""COMPUTED_VALUE"""),"enemy")</f>
        <v/>
      </c>
      <c r="Q239">
        <f>IFERROR(__xludf.DUMMYFUNCTION("""COMPUTED_VALUE"""),"1.67")</f>
        <v/>
      </c>
      <c r="R239">
        <f>IFERROR(__xludf.DUMMYFUNCTION("""COMPUTED_VALUE"""),"stop有:0.84")</f>
        <v/>
      </c>
      <c r="S239">
        <f>IFERROR(__xludf.DUMMYFUNCTION("""COMPUTED_VALUE"""),"-")</f>
        <v/>
      </c>
      <c r="T239">
        <f>IFERROR(__xludf.DUMMYFUNCTION("""COMPUTED_VALUE"""),"-")</f>
        <v/>
      </c>
    </row>
    <row r="240">
      <c r="A240">
        <f>IFERROR(__xludf.DUMMYFUNCTION("""COMPUTED_VALUE"""),"sum")</f>
        <v/>
      </c>
      <c r="B240">
        <f>IFERROR(__xludf.DUMMYFUNCTION("""COMPUTED_VALUE"""),"サマータイムレンダ")</f>
        <v/>
      </c>
      <c r="C240">
        <f>IFERROR(__xludf.DUMMYFUNCTION("""COMPUTED_VALUE"""),"00001")</f>
        <v/>
      </c>
      <c r="D240">
        <f>IFERROR(__xludf.DUMMYFUNCTION("""COMPUTED_VALUE"""),"enemy_sum_00001")</f>
        <v/>
      </c>
      <c r="E240">
        <f>IFERROR(__xludf.DUMMYFUNCTION("""COMPUTED_VALUE"""),"影")</f>
        <v/>
      </c>
      <c r="F240">
        <f>IFERROR(__xludf.DUMMYFUNCTION("""COMPUTED_VALUE"""),"影")</f>
        <v/>
      </c>
      <c r="G240">
        <f>IFERROR(__xludf.DUMMYFUNCTION("""COMPUTED_VALUE"""),"ー")</f>
        <v/>
      </c>
      <c r="K240">
        <f>IFERROR(__xludf.DUMMYFUNCTION("""COMPUTED_VALUE"""),"enemy")</f>
        <v/>
      </c>
      <c r="L240">
        <f>IFERROR(__xludf.DUMMYFUNCTION("""COMPUTED_VALUE"""),"ディフェンス")</f>
        <v/>
      </c>
      <c r="M240">
        <f>IFERROR(__xludf.DUMMYFUNCTION("""COMPUTED_VALUE"""),"dageki_1")</f>
        <v/>
      </c>
      <c r="P240">
        <f>IFERROR(__xludf.DUMMYFUNCTION("""COMPUTED_VALUE"""),"00001")</f>
        <v/>
      </c>
      <c r="Q240">
        <f>IFERROR(__xludf.DUMMYFUNCTION("""COMPUTED_VALUE"""),"1.50")</f>
        <v/>
      </c>
      <c r="R240">
        <f>IFERROR(__xludf.DUMMYFUNCTION("""COMPUTED_VALUE"""),"0.66")</f>
        <v/>
      </c>
      <c r="S240">
        <f>IFERROR(__xludf.DUMMYFUNCTION("""COMPUTED_VALUE"""),"-")</f>
        <v/>
      </c>
      <c r="T240">
        <f>IFERROR(__xludf.DUMMYFUNCTION("""COMPUTED_VALUE"""),"-")</f>
        <v/>
      </c>
      <c r="U240">
        <f>IFERROR(__xludf.DUMMYFUNCTION("""COMPUTED_VALUE"""),45658.0)</f>
        <v/>
      </c>
      <c r="V240">
        <f>IFERROR(__xludf.DUMMYFUNCTION("""COMPUTED_VALUE"""),390812.49998842593)</f>
        <v/>
      </c>
      <c r="W240">
        <f>IFERROR(__xludf.DUMMYFUNCTION("""COMPUTED_VALUE"""),"catchcopy_character_enemy_sum_00001.png")</f>
        <v/>
      </c>
      <c r="X240">
        <f>IFERROR(__xludf.DUMMYFUNCTION("""COMPUTED_VALUE"""),"enemy_icon_enemy_sum_00001")</f>
        <v/>
      </c>
      <c r="Y240">
        <f>IFERROR(__xludf.DUMMYFUNCTION("""COMPUTED_VALUE"""),"boss_icon_enemy_sum_00001")</f>
        <v/>
      </c>
      <c r="Z240">
        <f>IFERROR(__xludf.DUMMYFUNCTION("""COMPUTED_VALUE"""),"enemy_sum_00001_normal")</f>
        <v/>
      </c>
    </row>
    <row r="241">
      <c r="A241">
        <f>IFERROR(__xludf.DUMMYFUNCTION("""COMPUTED_VALUE"""),"sum")</f>
        <v/>
      </c>
      <c r="B241">
        <f>IFERROR(__xludf.DUMMYFUNCTION("""COMPUTED_VALUE"""),"サマータイムレンダ")</f>
        <v/>
      </c>
      <c r="C241">
        <f>IFERROR(__xludf.DUMMYFUNCTION("""COMPUTED_VALUE"""),"00101")</f>
        <v/>
      </c>
      <c r="D241">
        <f>IFERROR(__xludf.DUMMYFUNCTION("""COMPUTED_VALUE"""),"enemy_sum_00101")</f>
        <v/>
      </c>
      <c r="E241">
        <f>IFERROR(__xludf.DUMMYFUNCTION("""COMPUTED_VALUE"""),"小舟 澪(影)_拳銃")</f>
        <v/>
      </c>
      <c r="F241">
        <f>IFERROR(__xludf.DUMMYFUNCTION("""COMPUTED_VALUE"""),"小舟 澪の影 (拳銃)")</f>
        <v/>
      </c>
      <c r="G241">
        <f>IFERROR(__xludf.DUMMYFUNCTION("""COMPUTED_VALUE"""),"ー")</f>
        <v/>
      </c>
      <c r="K241">
        <f>IFERROR(__xludf.DUMMYFUNCTION("""COMPUTED_VALUE"""),"enemy")</f>
        <v/>
      </c>
      <c r="L241">
        <f>IFERROR(__xludf.DUMMYFUNCTION("""COMPUTED_VALUE"""),"アタック")</f>
        <v/>
      </c>
      <c r="M241">
        <f>IFERROR(__xludf.DUMMYFUNCTION("""COMPUTED_VALUE"""),"shageki_1")</f>
        <v/>
      </c>
      <c r="P241">
        <f>IFERROR(__xludf.DUMMYFUNCTION("""COMPUTED_VALUE"""),"00101")</f>
        <v/>
      </c>
      <c r="Q241">
        <f>IFERROR(__xludf.DUMMYFUNCTION("""COMPUTED_VALUE"""),"1.40")</f>
        <v/>
      </c>
      <c r="R241">
        <f>IFERROR(__xludf.DUMMYFUNCTION("""COMPUTED_VALUE"""),"0.60")</f>
        <v/>
      </c>
      <c r="S241">
        <f>IFERROR(__xludf.DUMMYFUNCTION("""COMPUTED_VALUE"""),"-")</f>
        <v/>
      </c>
      <c r="T241">
        <f>IFERROR(__xludf.DUMMYFUNCTION("""COMPUTED_VALUE"""),"-")</f>
        <v/>
      </c>
      <c r="U241">
        <f>IFERROR(__xludf.DUMMYFUNCTION("""COMPUTED_VALUE"""),45658.0)</f>
        <v/>
      </c>
      <c r="V241">
        <f>IFERROR(__xludf.DUMMYFUNCTION("""COMPUTED_VALUE"""),390812.49998842593)</f>
        <v/>
      </c>
      <c r="W241">
        <f>IFERROR(__xludf.DUMMYFUNCTION("""COMPUTED_VALUE"""),"catchcopy_character_enemy_sum_00101.png")</f>
        <v/>
      </c>
      <c r="X241">
        <f>IFERROR(__xludf.DUMMYFUNCTION("""COMPUTED_VALUE"""),"enemy_icon_enemy_sum_00101")</f>
        <v/>
      </c>
      <c r="Y241">
        <f>IFERROR(__xludf.DUMMYFUNCTION("""COMPUTED_VALUE"""),"boss_icon_enemy_sum_00101")</f>
        <v/>
      </c>
      <c r="Z241">
        <f>IFERROR(__xludf.DUMMYFUNCTION("""COMPUTED_VALUE"""),"enemy_sum_00101_normal")</f>
        <v/>
      </c>
    </row>
    <row r="242">
      <c r="A242">
        <f>IFERROR(__xludf.DUMMYFUNCTION("""COMPUTED_VALUE"""),"sum")</f>
        <v/>
      </c>
      <c r="B242">
        <f>IFERROR(__xludf.DUMMYFUNCTION("""COMPUTED_VALUE"""),"サマータイムレンダ")</f>
        <v/>
      </c>
      <c r="C242">
        <f>IFERROR(__xludf.DUMMYFUNCTION("""COMPUTED_VALUE"""),"00201")</f>
        <v/>
      </c>
      <c r="D242">
        <f>IFERROR(__xludf.DUMMYFUNCTION("""COMPUTED_VALUE"""),"enemy_sum_00201")</f>
        <v/>
      </c>
      <c r="E242">
        <f>IFERROR(__xludf.DUMMYFUNCTION("""COMPUTED_VALUE"""),"小舟 澪(影)_包丁")</f>
        <v/>
      </c>
      <c r="F242">
        <f>IFERROR(__xludf.DUMMYFUNCTION("""COMPUTED_VALUE"""),"小舟 澪の影 (包丁)")</f>
        <v/>
      </c>
      <c r="G242">
        <f>IFERROR(__xludf.DUMMYFUNCTION("""COMPUTED_VALUE"""),"ー")</f>
        <v/>
      </c>
      <c r="K242">
        <f>IFERROR(__xludf.DUMMYFUNCTION("""COMPUTED_VALUE"""),"enemy")</f>
        <v/>
      </c>
      <c r="L242">
        <f>IFERROR(__xludf.DUMMYFUNCTION("""COMPUTED_VALUE"""),"アタック")</f>
        <v/>
      </c>
      <c r="M242">
        <f>IFERROR(__xludf.DUMMYFUNCTION("""COMPUTED_VALUE"""),"zangeki_1")</f>
        <v/>
      </c>
      <c r="P242">
        <f>IFERROR(__xludf.DUMMYFUNCTION("""COMPUTED_VALUE"""),"00201")</f>
        <v/>
      </c>
      <c r="Q242">
        <f>IFERROR(__xludf.DUMMYFUNCTION("""COMPUTED_VALUE"""),"1.40")</f>
        <v/>
      </c>
      <c r="R242">
        <f>IFERROR(__xludf.DUMMYFUNCTION("""COMPUTED_VALUE"""),"0.66")</f>
        <v/>
      </c>
      <c r="S242">
        <f>IFERROR(__xludf.DUMMYFUNCTION("""COMPUTED_VALUE"""),"-")</f>
        <v/>
      </c>
      <c r="T242">
        <f>IFERROR(__xludf.DUMMYFUNCTION("""COMPUTED_VALUE"""),"-")</f>
        <v/>
      </c>
      <c r="U242">
        <f>IFERROR(__xludf.DUMMYFUNCTION("""COMPUTED_VALUE"""),45658.0)</f>
        <v/>
      </c>
      <c r="V242">
        <f>IFERROR(__xludf.DUMMYFUNCTION("""COMPUTED_VALUE"""),390812.49998842593)</f>
        <v/>
      </c>
      <c r="W242">
        <f>IFERROR(__xludf.DUMMYFUNCTION("""COMPUTED_VALUE"""),"catchcopy_character_enemy_sum_00201.png")</f>
        <v/>
      </c>
      <c r="X242">
        <f>IFERROR(__xludf.DUMMYFUNCTION("""COMPUTED_VALUE"""),"enemy_icon_enemy_sum_00201")</f>
        <v/>
      </c>
      <c r="Y242">
        <f>IFERROR(__xludf.DUMMYFUNCTION("""COMPUTED_VALUE"""),"boss_icon_enemy_sum_00201")</f>
        <v/>
      </c>
      <c r="Z242">
        <f>IFERROR(__xludf.DUMMYFUNCTION("""COMPUTED_VALUE"""),"enemy_sum_00201_normal")</f>
        <v/>
      </c>
    </row>
    <row r="243">
      <c r="A243">
        <f>IFERROR(__xludf.DUMMYFUNCTION("""COMPUTED_VALUE"""),"you")</f>
        <v/>
      </c>
      <c r="B243">
        <f>IFERROR(__xludf.DUMMYFUNCTION("""COMPUTED_VALUE"""),"幼稚園WARS")</f>
        <v/>
      </c>
      <c r="C243">
        <f>IFERROR(__xludf.DUMMYFUNCTION("""COMPUTED_VALUE"""),"00001")</f>
        <v/>
      </c>
      <c r="D243">
        <f>IFERROR(__xludf.DUMMYFUNCTION("""COMPUTED_VALUE"""),"enemy_you_00001")</f>
        <v/>
      </c>
      <c r="E243">
        <f>IFERROR(__xludf.DUMMYFUNCTION("""COMPUTED_VALUE"""),"暗殺者（近）")</f>
        <v/>
      </c>
      <c r="F243">
        <f>IFERROR(__xludf.DUMMYFUNCTION("""COMPUTED_VALUE"""),"不良系金髪イケメン")</f>
        <v/>
      </c>
      <c r="G243">
        <f>IFERROR(__xludf.DUMMYFUNCTION("""COMPUTED_VALUE"""),"ー")</f>
        <v/>
      </c>
      <c r="K243">
        <f>IFERROR(__xludf.DUMMYFUNCTION("""COMPUTED_VALUE"""),"enemy")</f>
        <v/>
      </c>
      <c r="L243">
        <f>IFERROR(__xludf.DUMMYFUNCTION("""COMPUTED_VALUE"""),"アタック")</f>
        <v/>
      </c>
      <c r="M243">
        <f>IFERROR(__xludf.DUMMYFUNCTION("""COMPUTED_VALUE"""),"zangeki_1")</f>
        <v/>
      </c>
      <c r="Q243">
        <f>IFERROR(__xludf.DUMMYFUNCTION("""COMPUTED_VALUE"""),"1.27")</f>
        <v/>
      </c>
      <c r="R243">
        <f>IFERROR(__xludf.DUMMYFUNCTION("""COMPUTED_VALUE"""),"stop有0.5")</f>
        <v/>
      </c>
      <c r="S243">
        <f>IFERROR(__xludf.DUMMYFUNCTION("""COMPUTED_VALUE"""),"-")</f>
        <v/>
      </c>
      <c r="T243">
        <f>IFERROR(__xludf.DUMMYFUNCTION("""COMPUTED_VALUE"""),"-")</f>
        <v/>
      </c>
      <c r="U243">
        <f>IFERROR(__xludf.DUMMYFUNCTION("""COMPUTED_VALUE"""),46055.625)</f>
        <v/>
      </c>
      <c r="V243">
        <f>IFERROR(__xludf.DUMMYFUNCTION("""COMPUTED_VALUE"""),390812.49998842593)</f>
        <v/>
      </c>
      <c r="W243">
        <f>IFERROR(__xludf.DUMMYFUNCTION("""COMPUTED_VALUE"""),"catchcopy_character_enemy_you_00001.png")</f>
        <v/>
      </c>
      <c r="X243">
        <f>IFERROR(__xludf.DUMMYFUNCTION("""COMPUTED_VALUE"""),"enemy_icon_enemy_you_00001")</f>
        <v/>
      </c>
      <c r="Y243">
        <f>IFERROR(__xludf.DUMMYFUNCTION("""COMPUTED_VALUE"""),"boss_icon_enemy_you_00001")</f>
        <v/>
      </c>
    </row>
    <row r="244">
      <c r="A244">
        <f>IFERROR(__xludf.DUMMYFUNCTION("""COMPUTED_VALUE"""),"you")</f>
        <v/>
      </c>
      <c r="B244">
        <f>IFERROR(__xludf.DUMMYFUNCTION("""COMPUTED_VALUE"""),"幼稚園WARS")</f>
        <v/>
      </c>
      <c r="C244">
        <f>IFERROR(__xludf.DUMMYFUNCTION("""COMPUTED_VALUE"""),"00101")</f>
        <v/>
      </c>
      <c r="D244">
        <f>IFERROR(__xludf.DUMMYFUNCTION("""COMPUTED_VALUE"""),"enemy_you_00101")</f>
        <v/>
      </c>
      <c r="E244">
        <f>IFERROR(__xludf.DUMMYFUNCTION("""COMPUTED_VALUE"""),"暗殺者（遠）")</f>
        <v/>
      </c>
      <c r="F244">
        <f>IFERROR(__xludf.DUMMYFUNCTION("""COMPUTED_VALUE"""),"イケメンじゃない殺し屋")</f>
        <v/>
      </c>
      <c r="G244">
        <f>IFERROR(__xludf.DUMMYFUNCTION("""COMPUTED_VALUE"""),"ー")</f>
        <v/>
      </c>
      <c r="K244">
        <f>IFERROR(__xludf.DUMMYFUNCTION("""COMPUTED_VALUE"""),"enemy")</f>
        <v/>
      </c>
      <c r="L244">
        <f>IFERROR(__xludf.DUMMYFUNCTION("""COMPUTED_VALUE"""),"アタック")</f>
        <v/>
      </c>
      <c r="M244">
        <f>IFERROR(__xludf.DUMMYFUNCTION("""COMPUTED_VALUE"""),"shageki_1")</f>
        <v/>
      </c>
      <c r="Q244">
        <f>IFERROR(__xludf.DUMMYFUNCTION("""COMPUTED_VALUE"""),"1.27")</f>
        <v/>
      </c>
      <c r="R244">
        <f>IFERROR(__xludf.DUMMYFUNCTION("""COMPUTED_VALUE"""),"0.56")</f>
        <v/>
      </c>
      <c r="S244">
        <f>IFERROR(__xludf.DUMMYFUNCTION("""COMPUTED_VALUE"""),"-")</f>
        <v/>
      </c>
      <c r="T244">
        <f>IFERROR(__xludf.DUMMYFUNCTION("""COMPUTED_VALUE"""),"-")</f>
        <v/>
      </c>
      <c r="U244">
        <f>IFERROR(__xludf.DUMMYFUNCTION("""COMPUTED_VALUE"""),46055.625)</f>
        <v/>
      </c>
      <c r="V244">
        <f>IFERROR(__xludf.DUMMYFUNCTION("""COMPUTED_VALUE"""),390812.49998842593)</f>
        <v/>
      </c>
      <c r="W244">
        <f>IFERROR(__xludf.DUMMYFUNCTION("""COMPUTED_VALUE"""),"catchcopy_character_enemy_you_00101.png")</f>
        <v/>
      </c>
      <c r="X244">
        <f>IFERROR(__xludf.DUMMYFUNCTION("""COMPUTED_VALUE"""),"enemy_icon_enemy_you_00101")</f>
        <v/>
      </c>
      <c r="Y244">
        <f>IFERROR(__xludf.DUMMYFUNCTION("""COMPUTED_VALUE"""),"boss_icon_enemy_you_00101")</f>
        <v/>
      </c>
    </row>
    <row r="245">
      <c r="A245">
        <f>IFERROR(__xludf.DUMMYFUNCTION("""COMPUTED_VALUE"""),"kim")</f>
        <v/>
      </c>
      <c r="B245">
        <f>IFERROR(__xludf.DUMMYFUNCTION("""COMPUTED_VALUE"""),"君のことが大大大大大好きな100人の彼女")</f>
        <v/>
      </c>
      <c r="C245">
        <f>IFERROR(__xludf.DUMMYFUNCTION("""COMPUTED_VALUE"""),"00001")</f>
        <v/>
      </c>
      <c r="D245">
        <f>IFERROR(__xludf.DUMMYFUNCTION("""COMPUTED_VALUE"""),"enemy_kim_00001")</f>
        <v/>
      </c>
      <c r="E245">
        <f>IFERROR(__xludf.DUMMYFUNCTION("""COMPUTED_VALUE"""),"愛城 恋太郎")</f>
        <v/>
      </c>
      <c r="F245">
        <f>IFERROR(__xludf.DUMMYFUNCTION("""COMPUTED_VALUE"""),"愛城 恋太郎")</f>
        <v/>
      </c>
      <c r="G245">
        <f>IFERROR(__xludf.DUMMYFUNCTION("""COMPUTED_VALUE"""),"ー")</f>
        <v/>
      </c>
      <c r="K245">
        <f>IFERROR(__xludf.DUMMYFUNCTION("""COMPUTED_VALUE"""),"enemy")</f>
        <v/>
      </c>
      <c r="L245">
        <f>IFERROR(__xludf.DUMMYFUNCTION("""COMPUTED_VALUE"""),"アタック")</f>
        <v/>
      </c>
      <c r="Q245">
        <f>IFERROR(__xludf.DUMMYFUNCTION("""COMPUTED_VALUE"""),"1.27")</f>
        <v/>
      </c>
      <c r="R245">
        <f>IFERROR(__xludf.DUMMYFUNCTION("""COMPUTED_VALUE"""),"stop有:0.2")</f>
        <v/>
      </c>
      <c r="S245">
        <f>IFERROR(__xludf.DUMMYFUNCTION("""COMPUTED_VALUE"""),"-")</f>
        <v/>
      </c>
      <c r="T245">
        <f>IFERROR(__xludf.DUMMYFUNCTION("""COMPUTED_VALUE"""),"-")</f>
        <v/>
      </c>
      <c r="U245">
        <f>IFERROR(__xludf.DUMMYFUNCTION("""COMPUTED_VALUE"""),45658.0)</f>
        <v/>
      </c>
      <c r="V245">
        <f>IFERROR(__xludf.DUMMYFUNCTION("""COMPUTED_VALUE"""),390812.49998842593)</f>
        <v/>
      </c>
      <c r="W245">
        <f>IFERROR(__xludf.DUMMYFUNCTION("""COMPUTED_VALUE"""),"catchcopy_character_enemy_kim_00001.png")</f>
        <v/>
      </c>
      <c r="X245">
        <f>IFERROR(__xludf.DUMMYFUNCTION("""COMPUTED_VALUE"""),"enemy_icon_enemy_kim_00001")</f>
        <v/>
      </c>
      <c r="Y245">
        <f>IFERROR(__xludf.DUMMYFUNCTION("""COMPUTED_VALUE"""),"boss_icon_enemy_kim_00001")</f>
        <v/>
      </c>
    </row>
    <row r="246">
      <c r="A246">
        <f>IFERROR(__xludf.DUMMYFUNCTION("""COMPUTED_VALUE"""),"kim")</f>
        <v/>
      </c>
      <c r="B246">
        <f>IFERROR(__xludf.DUMMYFUNCTION("""COMPUTED_VALUE"""),"君のことが大大大大大好きな100人の彼女")</f>
        <v/>
      </c>
      <c r="C246">
        <f>IFERROR(__xludf.DUMMYFUNCTION("""COMPUTED_VALUE"""),"00101")</f>
        <v/>
      </c>
      <c r="D246">
        <f>IFERROR(__xludf.DUMMYFUNCTION("""COMPUTED_VALUE"""),"enemy_kim_00101")</f>
        <v/>
      </c>
      <c r="E246">
        <f>IFERROR(__xludf.DUMMYFUNCTION("""COMPUTED_VALUE"""),"学生A（男）")</f>
        <v/>
      </c>
      <c r="G246">
        <f>IFERROR(__xludf.DUMMYFUNCTION("""COMPUTED_VALUE"""),"ー")</f>
        <v/>
      </c>
      <c r="K246">
        <f>IFERROR(__xludf.DUMMYFUNCTION("""COMPUTED_VALUE"""),"enemy")</f>
        <v/>
      </c>
      <c r="L246">
        <f>IFERROR(__xludf.DUMMYFUNCTION("""COMPUTED_VALUE"""),"アタック")</f>
        <v/>
      </c>
      <c r="S246">
        <f>IFERROR(__xludf.DUMMYFUNCTION("""COMPUTED_VALUE"""),"-")</f>
        <v/>
      </c>
      <c r="T246">
        <f>IFERROR(__xludf.DUMMYFUNCTION("""COMPUTED_VALUE"""),"-")</f>
        <v/>
      </c>
      <c r="U246">
        <f>IFERROR(__xludf.DUMMYFUNCTION("""COMPUTED_VALUE"""),45658.0)</f>
        <v/>
      </c>
      <c r="V246">
        <f>IFERROR(__xludf.DUMMYFUNCTION("""COMPUTED_VALUE"""),390812.49998842593)</f>
        <v/>
      </c>
      <c r="W246">
        <f>IFERROR(__xludf.DUMMYFUNCTION("""COMPUTED_VALUE"""),"catchcopy_character_enemy_kim_00101.png")</f>
        <v/>
      </c>
      <c r="X246">
        <f>IFERROR(__xludf.DUMMYFUNCTION("""COMPUTED_VALUE"""),"enemy_icon_enemy_kim_00101")</f>
        <v/>
      </c>
      <c r="Y246">
        <f>IFERROR(__xludf.DUMMYFUNCTION("""COMPUTED_VALUE"""),"boss_icon_enemy_kim_00101")</f>
        <v/>
      </c>
    </row>
    <row r="247">
      <c r="A247">
        <f>IFERROR(__xludf.DUMMYFUNCTION("""COMPUTED_VALUE"""),"hut")</f>
        <v/>
      </c>
      <c r="B247">
        <f>IFERROR(__xludf.DUMMYFUNCTION("""COMPUTED_VALUE"""),"ふつうの軽音部")</f>
        <v/>
      </c>
      <c r="C247">
        <f>IFERROR(__xludf.DUMMYFUNCTION("""COMPUTED_VALUE"""),"00001")</f>
        <v/>
      </c>
      <c r="D247">
        <f>IFERROR(__xludf.DUMMYFUNCTION("""COMPUTED_VALUE"""),"enemy_hut_00001")</f>
        <v/>
      </c>
      <c r="E247">
        <f>IFERROR(__xludf.DUMMYFUNCTION("""COMPUTED_VALUE"""),"鷹見 項希")</f>
        <v/>
      </c>
      <c r="F247">
        <f>IFERROR(__xludf.DUMMYFUNCTION("""COMPUTED_VALUE"""),"鷹見 項希")</f>
        <v/>
      </c>
      <c r="G247">
        <f>IFERROR(__xludf.DUMMYFUNCTION("""COMPUTED_VALUE"""),"ー")</f>
        <v/>
      </c>
      <c r="K247">
        <f>IFERROR(__xludf.DUMMYFUNCTION("""COMPUTED_VALUE"""),"enemy")</f>
        <v/>
      </c>
      <c r="L247">
        <f>IFERROR(__xludf.DUMMYFUNCTION("""COMPUTED_VALUE"""),"アタック")</f>
        <v/>
      </c>
      <c r="Q247">
        <f>IFERROR(__xludf.DUMMYFUNCTION("""COMPUTED_VALUE"""),"1.37")</f>
        <v/>
      </c>
      <c r="R247">
        <f>IFERROR(__xludf.DUMMYFUNCTION("""COMPUTED_VALUE"""),"stop有:0.51")</f>
        <v/>
      </c>
      <c r="S247">
        <f>IFERROR(__xludf.DUMMYFUNCTION("""COMPUTED_VALUE"""),"-")</f>
        <v/>
      </c>
      <c r="T247">
        <f>IFERROR(__xludf.DUMMYFUNCTION("""COMPUTED_VALUE"""),"-")</f>
        <v/>
      </c>
      <c r="U247">
        <f>IFERROR(__xludf.DUMMYFUNCTION("""COMPUTED_VALUE"""),45658.0)</f>
        <v/>
      </c>
      <c r="V247">
        <f>IFERROR(__xludf.DUMMYFUNCTION("""COMPUTED_VALUE"""),390812.49998842593)</f>
        <v/>
      </c>
      <c r="W247">
        <f>IFERROR(__xludf.DUMMYFUNCTION("""COMPUTED_VALUE"""),"catchcopy_character_enemy_hut_00001.png")</f>
        <v/>
      </c>
      <c r="X247">
        <f>IFERROR(__xludf.DUMMYFUNCTION("""COMPUTED_VALUE"""),"enemy_icon_enemy_hut_00001")</f>
        <v/>
      </c>
      <c r="Y247">
        <f>IFERROR(__xludf.DUMMYFUNCTION("""COMPUTED_VALUE"""),"boss_icon_enemy_hut_00001")</f>
        <v/>
      </c>
    </row>
    <row r="248">
      <c r="A248">
        <f>IFERROR(__xludf.DUMMYFUNCTION("""COMPUTED_VALUE"""),"hut")</f>
        <v/>
      </c>
      <c r="B248">
        <f>IFERROR(__xludf.DUMMYFUNCTION("""COMPUTED_VALUE"""),"ふつうの軽音部")</f>
        <v/>
      </c>
      <c r="C248">
        <f>IFERROR(__xludf.DUMMYFUNCTION("""COMPUTED_VALUE"""),"00101")</f>
        <v/>
      </c>
      <c r="D248">
        <f>IFERROR(__xludf.DUMMYFUNCTION("""COMPUTED_VALUE"""),"enemy_hut_00101")</f>
        <v/>
      </c>
      <c r="E248">
        <f>IFERROR(__xludf.DUMMYFUNCTION("""COMPUTED_VALUE"""),"学生B")</f>
        <v/>
      </c>
      <c r="F248">
        <f>IFERROR(__xludf.DUMMYFUNCTION("""COMPUTED_VALUE"""),"学生A")</f>
        <v/>
      </c>
      <c r="G248">
        <f>IFERROR(__xludf.DUMMYFUNCTION("""COMPUTED_VALUE"""),"ー")</f>
        <v/>
      </c>
      <c r="K248">
        <f>IFERROR(__xludf.DUMMYFUNCTION("""COMPUTED_VALUE"""),"enemy")</f>
        <v/>
      </c>
      <c r="L248">
        <f>IFERROR(__xludf.DUMMYFUNCTION("""COMPUTED_VALUE"""),"アタック")</f>
        <v/>
      </c>
      <c r="Q248">
        <f>IFERROR(__xludf.DUMMYFUNCTION("""COMPUTED_VALUE"""),"1.28")</f>
        <v/>
      </c>
      <c r="R248">
        <f>IFERROR(__xludf.DUMMYFUNCTION("""COMPUTED_VALUE"""),"stop有:0.25")</f>
        <v/>
      </c>
      <c r="S248">
        <f>IFERROR(__xludf.DUMMYFUNCTION("""COMPUTED_VALUE"""),"-")</f>
        <v/>
      </c>
      <c r="T248">
        <f>IFERROR(__xludf.DUMMYFUNCTION("""COMPUTED_VALUE"""),"-")</f>
        <v/>
      </c>
      <c r="U248">
        <f>IFERROR(__xludf.DUMMYFUNCTION("""COMPUTED_VALUE"""),45658.0)</f>
        <v/>
      </c>
      <c r="V248">
        <f>IFERROR(__xludf.DUMMYFUNCTION("""COMPUTED_VALUE"""),390812.49998842593)</f>
        <v/>
      </c>
      <c r="W248">
        <f>IFERROR(__xludf.DUMMYFUNCTION("""COMPUTED_VALUE"""),"catchcopy_character_enemy_hut_00101.png")</f>
        <v/>
      </c>
      <c r="X248">
        <f>IFERROR(__xludf.DUMMYFUNCTION("""COMPUTED_VALUE"""),"enemy_icon_enemy_hut_00101")</f>
        <v/>
      </c>
      <c r="Y248">
        <f>IFERROR(__xludf.DUMMYFUNCTION("""COMPUTED_VALUE"""),"boss_icon_enemy_hut_00101")</f>
        <v/>
      </c>
    </row>
    <row r="249">
      <c r="A249">
        <f>IFERROR(__xludf.DUMMYFUNCTION("""COMPUTED_VALUE"""),"aya")</f>
        <v/>
      </c>
      <c r="B249">
        <f>IFERROR(__xludf.DUMMYFUNCTION("""COMPUTED_VALUE"""),"あやかしトライアングル")</f>
        <v/>
      </c>
      <c r="C249">
        <f>IFERROR(__xludf.DUMMYFUNCTION("""COMPUTED_VALUE"""),"00001")</f>
        <v/>
      </c>
      <c r="D249">
        <f>IFERROR(__xludf.DUMMYFUNCTION("""COMPUTED_VALUE"""),"enemy_aya_00001")</f>
        <v/>
      </c>
      <c r="E249">
        <f>IFERROR(__xludf.DUMMYFUNCTION("""COMPUTED_VALUE"""),"シロガネ")</f>
        <v/>
      </c>
      <c r="F249">
        <f>IFERROR(__xludf.DUMMYFUNCTION("""COMPUTED_VALUE"""),"シロガネ")</f>
        <v/>
      </c>
      <c r="G249">
        <f>IFERROR(__xludf.DUMMYFUNCTION("""COMPUTED_VALUE"""),"ー")</f>
        <v/>
      </c>
      <c r="K249">
        <f>IFERROR(__xludf.DUMMYFUNCTION("""COMPUTED_VALUE"""),"enemy")</f>
        <v/>
      </c>
      <c r="L249">
        <f>IFERROR(__xludf.DUMMYFUNCTION("""COMPUTED_VALUE"""),"アタック")</f>
        <v/>
      </c>
      <c r="R249">
        <f>IFERROR(__xludf.DUMMYFUNCTION("""COMPUTED_VALUE"""),"stop有:0.63")</f>
        <v/>
      </c>
      <c r="S249">
        <f>IFERROR(__xludf.DUMMYFUNCTION("""COMPUTED_VALUE"""),"-")</f>
        <v/>
      </c>
      <c r="T249">
        <f>IFERROR(__xludf.DUMMYFUNCTION("""COMPUTED_VALUE"""),"-")</f>
        <v/>
      </c>
      <c r="U249">
        <f>IFERROR(__xludf.DUMMYFUNCTION("""COMPUTED_VALUE"""),"2026/04/中旬")</f>
        <v/>
      </c>
      <c r="V249">
        <f>IFERROR(__xludf.DUMMYFUNCTION("""COMPUTED_VALUE"""),390812.49998842593)</f>
        <v/>
      </c>
      <c r="W249">
        <f>IFERROR(__xludf.DUMMYFUNCTION("""COMPUTED_VALUE"""),"catchcopy_character_enemy_aya_00001.png")</f>
        <v/>
      </c>
      <c r="X249">
        <f>IFERROR(__xludf.DUMMYFUNCTION("""COMPUTED_VALUE"""),"enemy_icon_enemy_aya_00001")</f>
        <v/>
      </c>
      <c r="Y249">
        <f>IFERROR(__xludf.DUMMYFUNCTION("""COMPUTED_VALUE"""),"boss_icon_enemy_aya_00001")</f>
        <v/>
      </c>
    </row>
    <row r="250">
      <c r="A250">
        <f>IFERROR(__xludf.DUMMYFUNCTION("""COMPUTED_VALUE"""),"mar")</f>
        <v/>
      </c>
      <c r="B250">
        <f>IFERROR(__xludf.DUMMYFUNCTION("""COMPUTED_VALUE"""),"マリッジトキシン")</f>
        <v/>
      </c>
      <c r="C250">
        <f>IFERROR(__xludf.DUMMYFUNCTION("""COMPUTED_VALUE"""),"00001")</f>
        <v/>
      </c>
      <c r="D250">
        <f>IFERROR(__xludf.DUMMYFUNCTION("""COMPUTED_VALUE"""),"enemy_mar_00001")</f>
        <v/>
      </c>
      <c r="E250">
        <f>IFERROR(__xludf.DUMMYFUNCTION("""COMPUTED_VALUE"""),"水使い")</f>
        <v/>
      </c>
      <c r="F250">
        <f>IFERROR(__xludf.DUMMYFUNCTION("""COMPUTED_VALUE"""),"水使い 潮")</f>
        <v/>
      </c>
      <c r="G250">
        <f>IFERROR(__xludf.DUMMYFUNCTION("""COMPUTED_VALUE"""),"ー")</f>
        <v/>
      </c>
      <c r="K250">
        <f>IFERROR(__xludf.DUMMYFUNCTION("""COMPUTED_VALUE"""),"enemy")</f>
        <v/>
      </c>
      <c r="L250">
        <f>IFERROR(__xludf.DUMMYFUNCTION("""COMPUTED_VALUE"""),"アタック")</f>
        <v/>
      </c>
      <c r="M250">
        <f>IFERROR(__xludf.DUMMYFUNCTION("""COMPUTED_VALUE"""),"dageki_1")</f>
        <v/>
      </c>
      <c r="Q250">
        <f>IFERROR(__xludf.DUMMYFUNCTION("""COMPUTED_VALUE"""),"1.22")</f>
        <v/>
      </c>
      <c r="R250">
        <f>IFERROR(__xludf.DUMMYFUNCTION("""COMPUTED_VALUE"""),"stop無:1回目 0.28
stop無:2回目 0.46
stop無:3回目 0.66
stop有:4回目 0.76")</f>
        <v/>
      </c>
      <c r="S250">
        <f>IFERROR(__xludf.DUMMYFUNCTION("""COMPUTED_VALUE"""),"-")</f>
        <v/>
      </c>
      <c r="T250">
        <f>IFERROR(__xludf.DUMMYFUNCTION("""COMPUTED_VALUE"""),"-")</f>
        <v/>
      </c>
      <c r="U250">
        <f>IFERROR(__xludf.DUMMYFUNCTION("""COMPUTED_VALUE"""),"2026/05/上旬マリッジトキシン")</f>
        <v/>
      </c>
      <c r="V250">
        <f>IFERROR(__xludf.DUMMYFUNCTION("""COMPUTED_VALUE"""),390812.49998842593)</f>
        <v/>
      </c>
      <c r="W250">
        <f>IFERROR(__xludf.DUMMYFUNCTION("""COMPUTED_VALUE"""),"catchcopy_character_enemy_mar_00001.png")</f>
        <v/>
      </c>
      <c r="X250">
        <f>IFERROR(__xludf.DUMMYFUNCTION("""COMPUTED_VALUE"""),"enemy_icon_enemy_mar_00001")</f>
        <v/>
      </c>
      <c r="Y250">
        <f>IFERROR(__xludf.DUMMYFUNCTION("""COMPUTED_VALUE"""),"boss_icon_enemy_mar_00001")</f>
        <v/>
      </c>
    </row>
    <row r="251">
      <c r="A251">
        <f>IFERROR(__xludf.DUMMYFUNCTION("""COMPUTED_VALUE"""),"mad")</f>
        <v/>
      </c>
      <c r="B251">
        <f>IFERROR(__xludf.DUMMYFUNCTION("""COMPUTED_VALUE"""),"MAD")</f>
        <v/>
      </c>
      <c r="C251">
        <f>IFERROR(__xludf.DUMMYFUNCTION("""COMPUTED_VALUE"""),"00001")</f>
        <v/>
      </c>
      <c r="D251">
        <f>IFERROR(__xludf.DUMMYFUNCTION("""COMPUTED_VALUE"""),"enemy_mad_00001")</f>
        <v/>
      </c>
      <c r="E251">
        <f>IFERROR(__xludf.DUMMYFUNCTION("""COMPUTED_VALUE"""),"エイリアン")</f>
        <v/>
      </c>
      <c r="K251">
        <f>IFERROR(__xludf.DUMMYFUNCTION("""COMPUTED_VALUE"""),"enemy")</f>
        <v/>
      </c>
      <c r="L251">
        <f>IFERROR(__xludf.DUMMYFUNCTION("""COMPUTED_VALUE"""),"アタック")</f>
        <v/>
      </c>
      <c r="Q251">
        <f>IFERROR(__xludf.DUMMYFUNCTION("""COMPUTED_VALUE"""),"1.63")</f>
        <v/>
      </c>
      <c r="R251">
        <f>IFERROR(__xludf.DUMMYFUNCTION("""COMPUTED_VALUE"""),"stop有:0.7")</f>
        <v/>
      </c>
      <c r="S251">
        <f>IFERROR(__xludf.DUMMYFUNCTION("""COMPUTED_VALUE"""),"-")</f>
        <v/>
      </c>
      <c r="T251">
        <f>IFERROR(__xludf.DUMMYFUNCTION("""COMPUTED_VALUE"""),"-")</f>
        <v/>
      </c>
      <c r="U251">
        <f>IFERROR(__xludf.DUMMYFUNCTION("""COMPUTED_VALUE"""),"26/06上旬MAD")</f>
        <v/>
      </c>
      <c r="V251">
        <f>IFERROR(__xludf.DUMMYFUNCTION("""COMPUTED_VALUE"""),390812.49998842593)</f>
        <v/>
      </c>
      <c r="W251">
        <f>IFERROR(__xludf.DUMMYFUNCTION("""COMPUTED_VALUE"""),"catchcopy_character_enemy_mad_00001.png")</f>
        <v/>
      </c>
      <c r="X251">
        <f>IFERROR(__xludf.DUMMYFUNCTION("""COMPUTED_VALUE"""),"enemy_icon_enemy_mad_00001")</f>
        <v/>
      </c>
      <c r="Y251">
        <f>IFERROR(__xludf.DUMMYFUNCTION("""COMPUTED_VALUE"""),"boss_icon_enemy_mad_00001")</f>
        <v/>
      </c>
    </row>
    <row r="252">
      <c r="A252">
        <f>IFERROR(__xludf.DUMMYFUNCTION("""COMPUTED_VALUE"""),"syu")</f>
        <v/>
      </c>
      <c r="B252">
        <f>IFERROR(__xludf.DUMMYFUNCTION("""COMPUTED_VALUE"""),"終末のハーレム")</f>
        <v/>
      </c>
      <c r="C252">
        <f>IFERROR(__xludf.DUMMYFUNCTION("""COMPUTED_VALUE"""),"00001")</f>
        <v/>
      </c>
      <c r="D252">
        <f>IFERROR(__xludf.DUMMYFUNCTION("""COMPUTED_VALUE"""),"enemy_syu_00001")</f>
        <v/>
      </c>
      <c r="E252">
        <f>IFERROR(__xludf.DUMMYFUNCTION("""COMPUTED_VALUE"""),"水原 怜人")</f>
        <v/>
      </c>
      <c r="K252">
        <f>IFERROR(__xludf.DUMMYFUNCTION("""COMPUTED_VALUE"""),"enemy")</f>
        <v/>
      </c>
      <c r="L252">
        <f>IFERROR(__xludf.DUMMYFUNCTION("""COMPUTED_VALUE"""),"アタック")</f>
        <v/>
      </c>
      <c r="Q252">
        <f>IFERROR(__xludf.DUMMYFUNCTION("""COMPUTED_VALUE"""),"1.57")</f>
        <v/>
      </c>
      <c r="R252">
        <f>IFERROR(__xludf.DUMMYFUNCTION("""COMPUTED_VALUE"""),"stop有:0.58")</f>
        <v/>
      </c>
      <c r="U252">
        <f>IFERROR(__xludf.DUMMYFUNCTION("""COMPUTED_VALUE"""),"26/06中旬ジュンブラ")</f>
        <v/>
      </c>
      <c r="V252">
        <f>IFERROR(__xludf.DUMMYFUNCTION("""COMPUTED_VALUE"""),390812.49998842593)</f>
        <v/>
      </c>
      <c r="W252">
        <f>IFERROR(__xludf.DUMMYFUNCTION("""COMPUTED_VALUE"""),"catchcopy_character_enemy_syu_00001.png")</f>
        <v/>
      </c>
      <c r="X252">
        <f>IFERROR(__xludf.DUMMYFUNCTION("""COMPUTED_VALUE"""),"enemy_icon_enemy_syu_00001")</f>
        <v/>
      </c>
      <c r="Y252">
        <f>IFERROR(__xludf.DUMMYFUNCTION("""COMPUTED_VALUE"""),"boss_icon_enemy_syu_00001")</f>
        <v/>
      </c>
    </row>
    <row r="253">
      <c r="A253">
        <f>IFERROR(__xludf.DUMMYFUNCTION("""COMPUTED_VALUE"""),"aft")</f>
        <v/>
      </c>
      <c r="B253">
        <f>IFERROR(__xludf.DUMMYFUNCTION("""COMPUTED_VALUE"""),"終末のハーレム After World")</f>
        <v/>
      </c>
      <c r="C253">
        <f>IFERROR(__xludf.DUMMYFUNCTION("""COMPUTED_VALUE"""),"00001")</f>
        <v/>
      </c>
      <c r="D253">
        <f>IFERROR(__xludf.DUMMYFUNCTION("""COMPUTED_VALUE"""),"enemy_aft_00001")</f>
        <v/>
      </c>
      <c r="E253">
        <f>IFERROR(__xludf.DUMMYFUNCTION("""COMPUTED_VALUE"""),"金村 陸")</f>
        <v/>
      </c>
      <c r="K253">
        <f>IFERROR(__xludf.DUMMYFUNCTION("""COMPUTED_VALUE"""),"enemy")</f>
        <v/>
      </c>
      <c r="L253">
        <f>IFERROR(__xludf.DUMMYFUNCTION("""COMPUTED_VALUE"""),"アタック")</f>
        <v/>
      </c>
      <c r="Q253">
        <f>IFERROR(__xludf.DUMMYFUNCTION("""COMPUTED_VALUE"""),"1.57")</f>
        <v/>
      </c>
      <c r="R253">
        <f>IFERROR(__xludf.DUMMYFUNCTION("""COMPUTED_VALUE"""),"stop有:0.41")</f>
        <v/>
      </c>
      <c r="U253">
        <f>IFERROR(__xludf.DUMMYFUNCTION("""COMPUTED_VALUE"""),"26/06中旬ジュンブラ")</f>
        <v/>
      </c>
      <c r="V253">
        <f>IFERROR(__xludf.DUMMYFUNCTION("""COMPUTED_VALUE"""),390812.49998842593)</f>
        <v/>
      </c>
      <c r="W253">
        <f>IFERROR(__xludf.DUMMYFUNCTION("""COMPUTED_VALUE"""),"catchcopy_character_enemy_aft_00001.png")</f>
        <v/>
      </c>
      <c r="X253">
        <f>IFERROR(__xludf.DUMMYFUNCTION("""COMPUTED_VALUE"""),"enemy_icon_enemy_aft_00001")</f>
        <v/>
      </c>
      <c r="Y253">
        <f>IFERROR(__xludf.DUMMYFUNCTION("""COMPUTED_VALUE"""),"boss_icon_enemy_aft_00001")</f>
        <v/>
      </c>
    </row>
    <row r="254">
      <c r="A254">
        <f>IFERROR(__xludf.DUMMYFUNCTION("""COMPUTED_VALUE"""),"kut")</f>
        <v/>
      </c>
      <c r="B254">
        <f>IFERROR(__xludf.DUMMYFUNCTION("""COMPUTED_VALUE"""),"口が裂けても君には")</f>
        <v/>
      </c>
      <c r="C254">
        <f>IFERROR(__xludf.DUMMYFUNCTION("""COMPUTED_VALUE"""),"00001")</f>
        <v/>
      </c>
      <c r="D254">
        <f>IFERROR(__xludf.DUMMYFUNCTION("""COMPUTED_VALUE"""),"enemy_kut_00001")</f>
        <v/>
      </c>
      <c r="E254">
        <f>IFERROR(__xludf.DUMMYFUNCTION("""COMPUTED_VALUE"""),"茶乃 紅一")</f>
        <v/>
      </c>
      <c r="K254">
        <f>IFERROR(__xludf.DUMMYFUNCTION("""COMPUTED_VALUE"""),"enemy")</f>
        <v/>
      </c>
      <c r="L254">
        <f>IFERROR(__xludf.DUMMYFUNCTION("""COMPUTED_VALUE"""),"ディフェンス")</f>
        <v/>
      </c>
      <c r="Q254">
        <f>IFERROR(__xludf.DUMMYFUNCTION("""COMPUTED_VALUE"""),"1.55")</f>
        <v/>
      </c>
      <c r="R254">
        <f>IFERROR(__xludf.DUMMYFUNCTION("""COMPUTED_VALUE"""),"stop有:0.55")</f>
        <v/>
      </c>
      <c r="U254">
        <f>IFERROR(__xludf.DUMMYFUNCTION("""COMPUTED_VALUE"""),"26/06中旬ジュンブラ")</f>
        <v/>
      </c>
      <c r="V254">
        <f>IFERROR(__xludf.DUMMYFUNCTION("""COMPUTED_VALUE"""),390812.49998842593)</f>
        <v/>
      </c>
      <c r="W254">
        <f>IFERROR(__xludf.DUMMYFUNCTION("""COMPUTED_VALUE"""),"catchcopy_character_enemy_kut_00001.png")</f>
        <v/>
      </c>
      <c r="X254">
        <f>IFERROR(__xludf.DUMMYFUNCTION("""COMPUTED_VALUE"""),"enemy_icon_enemy_kut_00001")</f>
        <v/>
      </c>
      <c r="Y254">
        <f>IFERROR(__xludf.DUMMYFUNCTION("""COMPUTED_VALUE"""),"boss_icon_enemy_kut_00001")</f>
        <v/>
      </c>
    </row>
    <row r="255">
      <c r="A255">
        <f>IFERROR(__xludf.DUMMYFUNCTION("""COMPUTED_VALUE"""),"kai")</f>
        <v/>
      </c>
      <c r="B255">
        <f>IFERROR(__xludf.DUMMYFUNCTION("""COMPUTED_VALUE"""),"怪獣８号")</f>
        <v/>
      </c>
      <c r="C255">
        <f>IFERROR(__xludf.DUMMYFUNCTION("""COMPUTED_VALUE"""),"00002")</f>
        <v/>
      </c>
      <c r="D255">
        <f>IFERROR(__xludf.DUMMYFUNCTION("""COMPUTED_VALUE"""),"enemy_kai_00002")</f>
        <v/>
      </c>
      <c r="E255">
        <f>IFERROR(__xludf.DUMMYFUNCTION("""COMPUTED_VALUE"""),"本獣(8巻ver.)")</f>
        <v/>
      </c>
      <c r="K255">
        <f>IFERROR(__xludf.DUMMYFUNCTION("""COMPUTED_VALUE"""),"enemy")</f>
        <v/>
      </c>
      <c r="L255">
        <f>IFERROR(__xludf.DUMMYFUNCTION("""COMPUTED_VALUE"""),"アタック")</f>
        <v/>
      </c>
      <c r="U255">
        <f>IFERROR(__xludf.DUMMYFUNCTION("""COMPUTED_VALUE"""),"26/07上旬怪獣8号")</f>
        <v/>
      </c>
      <c r="V255">
        <f>IFERROR(__xludf.DUMMYFUNCTION("""COMPUTED_VALUE"""),390812.49998842593)</f>
        <v/>
      </c>
      <c r="W255">
        <f>IFERROR(__xludf.DUMMYFUNCTION("""COMPUTED_VALUE"""),"catchcopy_character_enemy_kai_00002.png")</f>
        <v/>
      </c>
      <c r="X255">
        <f>IFERROR(__xludf.DUMMYFUNCTION("""COMPUTED_VALUE"""),"enemy_icon_enemy_kai_00002")</f>
        <v/>
      </c>
      <c r="Y255">
        <f>IFERROR(__xludf.DUMMYFUNCTION("""COMPUTED_VALUE"""),"boss_icon_enemy_kai_00002")</f>
        <v/>
      </c>
    </row>
    <row r="256">
      <c r="A256">
        <f>IFERROR(__xludf.DUMMYFUNCTION("""COMPUTED_VALUE"""),"kai")</f>
        <v/>
      </c>
      <c r="B256">
        <f>IFERROR(__xludf.DUMMYFUNCTION("""COMPUTED_VALUE"""),"怪獣８号")</f>
        <v/>
      </c>
      <c r="C256">
        <f>IFERROR(__xludf.DUMMYFUNCTION("""COMPUTED_VALUE"""),"00501")</f>
        <v/>
      </c>
      <c r="D256">
        <f>IFERROR(__xludf.DUMMYFUNCTION("""COMPUTED_VALUE"""),"enemy_kai_00501")</f>
        <v/>
      </c>
      <c r="E256">
        <f>IFERROR(__xludf.DUMMYFUNCTION("""COMPUTED_VALUE"""),"怪獣9号(差分)")</f>
        <v/>
      </c>
      <c r="K256">
        <f>IFERROR(__xludf.DUMMYFUNCTION("""COMPUTED_VALUE"""),"enemy")</f>
        <v/>
      </c>
      <c r="L256">
        <f>IFERROR(__xludf.DUMMYFUNCTION("""COMPUTED_VALUE"""),"アタック")</f>
        <v/>
      </c>
      <c r="U256">
        <f>IFERROR(__xludf.DUMMYFUNCTION("""COMPUTED_VALUE"""),"26/07上旬怪獣8号")</f>
        <v/>
      </c>
      <c r="V256">
        <f>IFERROR(__xludf.DUMMYFUNCTION("""COMPUTED_VALUE"""),390812.49998842593)</f>
        <v/>
      </c>
      <c r="W256">
        <f>IFERROR(__xludf.DUMMYFUNCTION("""COMPUTED_VALUE"""),"catchcopy_character_enemy_kai_00501.png")</f>
        <v/>
      </c>
      <c r="X256">
        <f>IFERROR(__xludf.DUMMYFUNCTION("""COMPUTED_VALUE"""),"enemy_icon_enemy_kai_00501")</f>
        <v/>
      </c>
      <c r="Y256">
        <f>IFERROR(__xludf.DUMMYFUNCTION("""COMPUTED_VALUE"""),"boss_icon_enemy_kai_00501")</f>
        <v/>
      </c>
    </row>
    <row r="257">
      <c r="A257">
        <f>IFERROR(__xludf.DUMMYFUNCTION("""COMPUTED_VALUE"""),"osh")</f>
        <v/>
      </c>
      <c r="B257">
        <f>IFERROR(__xludf.DUMMYFUNCTION("""COMPUTED_VALUE"""),"【推しの子】")</f>
        <v/>
      </c>
      <c r="C257">
        <f>IFERROR(__xludf.DUMMYFUNCTION("""COMPUTED_VALUE"""),"00001")</f>
        <v/>
      </c>
      <c r="D257">
        <f>IFERROR(__xludf.DUMMYFUNCTION("""COMPUTED_VALUE"""),"enemy_osh_00001")</f>
        <v/>
      </c>
      <c r="E257">
        <f>IFERROR(__xludf.DUMMYFUNCTION("""COMPUTED_VALUE"""),"姫川 大輝 (東京ブレイド編ver.)")</f>
        <v/>
      </c>
      <c r="K257">
        <f>IFERROR(__xludf.DUMMYFUNCTION("""COMPUTED_VALUE"""),"enemy")</f>
        <v/>
      </c>
    </row>
    <row r="258">
      <c r="A258">
        <f>IFERROR(__xludf.DUMMYFUNCTION("""COMPUTED_VALUE"""),"osh")</f>
        <v/>
      </c>
      <c r="B258">
        <f>IFERROR(__xludf.DUMMYFUNCTION("""COMPUTED_VALUE"""),"【推しの子】")</f>
        <v/>
      </c>
      <c r="C258">
        <f>IFERROR(__xludf.DUMMYFUNCTION("""COMPUTED_VALUE"""),"00101")</f>
        <v/>
      </c>
      <c r="D258">
        <f>IFERROR(__xludf.DUMMYFUNCTION("""COMPUTED_VALUE"""),"enemy_osh_00101")</f>
        <v/>
      </c>
      <c r="E258">
        <f>IFERROR(__xludf.DUMMYFUNCTION("""COMPUTED_VALUE"""),"鳴嶋 メルト (東京ブレイド編ver.)")</f>
        <v/>
      </c>
      <c r="K258">
        <f>IFERROR(__xludf.DUMMYFUNCTION("""COMPUTED_VALUE"""),"enemy")</f>
        <v/>
      </c>
    </row>
    <row r="259">
      <c r="A259">
        <f>IFERROR(__xludf.DUMMYFUNCTION("""COMPUTED_VALUE"""),"osh")</f>
        <v/>
      </c>
      <c r="B259">
        <f>IFERROR(__xludf.DUMMYFUNCTION("""COMPUTED_VALUE"""),"【推しの子】")</f>
        <v/>
      </c>
      <c r="C259">
        <f>IFERROR(__xludf.DUMMYFUNCTION("""COMPUTED_VALUE"""),"00201")</f>
        <v/>
      </c>
      <c r="D259">
        <f>IFERROR(__xludf.DUMMYFUNCTION("""COMPUTED_VALUE"""),"enemy_osh_00201")</f>
        <v/>
      </c>
      <c r="E259">
        <f>IFERROR(__xludf.DUMMYFUNCTION("""COMPUTED_VALUE"""),"鴨志田 朔夜 (東京ブレイド編ver.)")</f>
        <v/>
      </c>
      <c r="K259">
        <f>IFERROR(__xludf.DUMMYFUNCTION("""COMPUTED_VALUE"""),"enemy")</f>
        <v/>
      </c>
    </row>
    <row r="260">
      <c r="A260">
        <f>IFERROR(__xludf.DUMMYFUNCTION("""COMPUTED_VALUE"""),"eiu")</f>
        <v/>
      </c>
      <c r="B260">
        <f>IFERROR(__xludf.DUMMYFUNCTION("""COMPUTED_VALUE"""),"英雄機関")</f>
        <v/>
      </c>
      <c r="C260">
        <f>IFERROR(__xludf.DUMMYFUNCTION("""COMPUTED_VALUE"""),"00001")</f>
        <v/>
      </c>
      <c r="D260">
        <f>IFERROR(__xludf.DUMMYFUNCTION("""COMPUTED_VALUE"""),"enemy_eiu_00001")</f>
        <v/>
      </c>
      <c r="E260">
        <f>IFERROR(__xludf.DUMMYFUNCTION("""COMPUTED_VALUE"""),"星獣")</f>
        <v/>
      </c>
      <c r="F260">
        <f>IFERROR(__xludf.DUMMYFUNCTION("""COMPUTED_VALUE"""),"選定中")</f>
        <v/>
      </c>
      <c r="K260">
        <f>IFERROR(__xludf.DUMMYFUNCTION("""COMPUTED_VALUE"""),"enemy")</f>
        <v/>
      </c>
    </row>
    <row r="261">
      <c r="B261">
        <f>IFERROR(__xludf.DUMMYFUNCTION("""COMPUTED_VALUE"""),"error")</f>
        <v/>
      </c>
      <c r="D261">
        <f>IFERROR(__xludf.DUMMYFUNCTION("""COMPUTED_VALUE"""),"__")</f>
        <v/>
      </c>
    </row>
    <row r="262">
      <c r="B262">
        <f>IFERROR(__xludf.DUMMYFUNCTION("""COMPUTED_VALUE"""),"error")</f>
        <v/>
      </c>
      <c r="D262">
        <f>IFERROR(__xludf.DUMMYFUNCTION("""COMPUTED_VALUE"""),"__")</f>
        <v/>
      </c>
    </row>
    <row r="263">
      <c r="B263">
        <f>IFERROR(__xludf.DUMMYFUNCTION("""COMPUTED_VALUE"""),"error")</f>
        <v/>
      </c>
      <c r="D263">
        <f>IFERROR(__xludf.DUMMYFUNCTION("""COMPUTED_VALUE"""),"__")</f>
        <v/>
      </c>
    </row>
    <row r="264">
      <c r="B264">
        <f>IFERROR(__xludf.DUMMYFUNCTION("""COMPUTED_VALUE"""),"error")</f>
        <v/>
      </c>
      <c r="D264">
        <f>IFERROR(__xludf.DUMMYFUNCTION("""COMPUTED_VALUE"""),"__")</f>
        <v/>
      </c>
    </row>
    <row r="265">
      <c r="B265">
        <f>IFERROR(__xludf.DUMMYFUNCTION("""COMPUTED_VALUE"""),"error")</f>
        <v/>
      </c>
      <c r="D265">
        <f>IFERROR(__xludf.DUMMYFUNCTION("""COMPUTED_VALUE"""),"__")</f>
        <v/>
      </c>
    </row>
    <row r="266">
      <c r="B266">
        <f>IFERROR(__xludf.DUMMYFUNCTION("""COMPUTED_VALUE"""),"error")</f>
        <v/>
      </c>
      <c r="D266">
        <f>IFERROR(__xludf.DUMMYFUNCTION("""COMPUTED_VALUE"""),"__")</f>
        <v/>
      </c>
    </row>
    <row r="267">
      <c r="B267">
        <f>IFERROR(__xludf.DUMMYFUNCTION("""COMPUTED_VALUE"""),"error")</f>
        <v/>
      </c>
      <c r="D267">
        <f>IFERROR(__xludf.DUMMYFUNCTION("""COMPUTED_VALUE"""),"__")</f>
        <v/>
      </c>
    </row>
    <row r="268">
      <c r="B268">
        <f>IFERROR(__xludf.DUMMYFUNCTION("""COMPUTED_VALUE"""),"error")</f>
        <v/>
      </c>
      <c r="D268">
        <f>IFERROR(__xludf.DUMMYFUNCTION("""COMPUTED_VALUE"""),"__")</f>
        <v/>
      </c>
    </row>
    <row r="269">
      <c r="B269">
        <f>IFERROR(__xludf.DUMMYFUNCTION("""COMPUTED_VALUE"""),"error")</f>
        <v/>
      </c>
      <c r="D269">
        <f>IFERROR(__xludf.DUMMYFUNCTION("""COMPUTED_VALUE"""),"__")</f>
        <v/>
      </c>
    </row>
    <row r="270">
      <c r="A270">
        <f>IFERROR(__xludf.DUMMYFUNCTION("""COMPUTED_VALUE"""),"glo")</f>
        <v/>
      </c>
      <c r="B270">
        <f>IFERROR(__xludf.DUMMYFUNCTION("""COMPUTED_VALUE"""),"GLOW")</f>
        <v/>
      </c>
      <c r="C270">
        <f>IFERROR(__xludf.DUMMYFUNCTION("""COMPUTED_VALUE"""),"00001")</f>
        <v/>
      </c>
      <c r="D270">
        <f>IFERROR(__xludf.DUMMYFUNCTION("""COMPUTED_VALUE"""),"enemy_glo_00001")</f>
        <v/>
      </c>
      <c r="E270">
        <f>IFERROR(__xludf.DUMMYFUNCTION("""COMPUTED_VALUE"""),"ファントム")</f>
        <v/>
      </c>
      <c r="F270">
        <f>IFERROR(__xludf.DUMMYFUNCTION("""COMPUTED_VALUE"""),"ファントム")</f>
        <v/>
      </c>
      <c r="G270">
        <f>IFERROR(__xludf.DUMMYFUNCTION("""COMPUTED_VALUE"""),"ー")</f>
        <v/>
      </c>
      <c r="K270">
        <f>IFERROR(__xludf.DUMMYFUNCTION("""COMPUTED_VALUE"""),"enemy")</f>
        <v/>
      </c>
      <c r="L270">
        <f>IFERROR(__xludf.DUMMYFUNCTION("""COMPUTED_VALUE"""),"アタック")</f>
        <v/>
      </c>
      <c r="M270">
        <f>IFERROR(__xludf.DUMMYFUNCTION("""COMPUTED_VALUE"""),"dageki_1")</f>
        <v/>
      </c>
      <c r="P270">
        <f>IFERROR(__xludf.DUMMYFUNCTION("""COMPUTED_VALUE"""),"00001")</f>
        <v/>
      </c>
      <c r="Q270">
        <f>IFERROR(__xludf.DUMMYFUNCTION("""COMPUTED_VALUE"""),"1.00")</f>
        <v/>
      </c>
      <c r="R270">
        <f>IFERROR(__xludf.DUMMYFUNCTION("""COMPUTED_VALUE"""),"0.50")</f>
        <v/>
      </c>
      <c r="U270">
        <f>IFERROR(__xludf.DUMMYFUNCTION("""COMPUTED_VALUE"""),45658.0)</f>
        <v/>
      </c>
      <c r="V270">
        <f>IFERROR(__xludf.DUMMYFUNCTION("""COMPUTED_VALUE"""),390812.49998842593)</f>
        <v/>
      </c>
      <c r="W270">
        <f>IFERROR(__xludf.DUMMYFUNCTION("""COMPUTED_VALUE"""),"catchcopy_character_enemy_glo_00001.png")</f>
        <v/>
      </c>
      <c r="X270">
        <f>IFERROR(__xludf.DUMMYFUNCTION("""COMPUTED_VALUE"""),"enemy_icon_enemy_glo_00001")</f>
        <v/>
      </c>
      <c r="Y270">
        <f>IFERROR(__xludf.DUMMYFUNCTION("""COMPUTED_VALUE"""),"boss_icon_enemy_glo_00001")</f>
        <v/>
      </c>
      <c r="Z270">
        <f>IFERROR(__xludf.DUMMYFUNCTION("""COMPUTED_VALUE"""),"enemy_glo_00001_normal")</f>
        <v/>
      </c>
      <c r="AA270">
        <f>IFERROR(__xludf.DUMMYFUNCTION("""COMPUTED_VALUE"""),"enemy_glo_00001_special")</f>
        <v/>
      </c>
    </row>
    <row r="271">
      <c r="A271">
        <f>IFERROR(__xludf.DUMMYFUNCTION("""COMPUTED_VALUE"""),"glo")</f>
        <v/>
      </c>
      <c r="B271">
        <f>IFERROR(__xludf.DUMMYFUNCTION("""COMPUTED_VALUE"""),"GLOW")</f>
        <v/>
      </c>
      <c r="C271">
        <f>IFERROR(__xludf.DUMMYFUNCTION("""COMPUTED_VALUE"""),"00002")</f>
        <v/>
      </c>
      <c r="D271">
        <f>IFERROR(__xludf.DUMMYFUNCTION("""COMPUTED_VALUE"""),"enemy_glo_00002")</f>
        <v/>
      </c>
      <c r="E271">
        <f>IFERROR(__xludf.DUMMYFUNCTION("""COMPUTED_VALUE"""),"サイリウム持ちファントム")</f>
        <v/>
      </c>
      <c r="F271">
        <f>IFERROR(__xludf.DUMMYFUNCTION("""COMPUTED_VALUE"""),"推し活ファントム")</f>
        <v/>
      </c>
      <c r="G271">
        <f>IFERROR(__xludf.DUMMYFUNCTION("""COMPUTED_VALUE"""),"ー")</f>
        <v/>
      </c>
      <c r="K271">
        <f>IFERROR(__xludf.DUMMYFUNCTION("""COMPUTED_VALUE"""),"enemy")</f>
        <v/>
      </c>
      <c r="L271">
        <f>IFERROR(__xludf.DUMMYFUNCTION("""COMPUTED_VALUE"""),"アタック")</f>
        <v/>
      </c>
      <c r="M271">
        <f>IFERROR(__xludf.DUMMYFUNCTION("""COMPUTED_VALUE"""),"dageki_1")</f>
        <v/>
      </c>
      <c r="P271">
        <f>IFERROR(__xludf.DUMMYFUNCTION("""COMPUTED_VALUE"""),"00002")</f>
        <v/>
      </c>
      <c r="Q271">
        <f>IFERROR(__xludf.DUMMYFUNCTION("""COMPUTED_VALUE"""),"1.17")</f>
        <v/>
      </c>
      <c r="R271">
        <f>IFERROR(__xludf.DUMMYFUNCTION("""COMPUTED_VALUE"""),"stop有:1回目 0.6")</f>
        <v/>
      </c>
      <c r="U271">
        <f>IFERROR(__xludf.DUMMYFUNCTION("""COMPUTED_VALUE"""),45658.0)</f>
        <v/>
      </c>
      <c r="V271">
        <f>IFERROR(__xludf.DUMMYFUNCTION("""COMPUTED_VALUE"""),390812.49998842593)</f>
        <v/>
      </c>
      <c r="W271">
        <f>IFERROR(__xludf.DUMMYFUNCTION("""COMPUTED_VALUE"""),"catchcopy_character_enemy_glo_00002.png")</f>
        <v/>
      </c>
      <c r="X271">
        <f>IFERROR(__xludf.DUMMYFUNCTION("""COMPUTED_VALUE"""),"enemy_icon_enemy_glo_00002")</f>
        <v/>
      </c>
      <c r="Y271">
        <f>IFERROR(__xludf.DUMMYFUNCTION("""COMPUTED_VALUE"""),"boss_icon_enemy_glo_00002")</f>
        <v/>
      </c>
    </row>
    <row r="272">
      <c r="A272">
        <f>IFERROR(__xludf.DUMMYFUNCTION("""COMPUTED_VALUE"""),"glo")</f>
        <v/>
      </c>
      <c r="B272">
        <f>IFERROR(__xludf.DUMMYFUNCTION("""COMPUTED_VALUE"""),"GLOW")</f>
        <v/>
      </c>
      <c r="C272">
        <f>IFERROR(__xludf.DUMMYFUNCTION("""COMPUTED_VALUE"""),"00003")</f>
        <v/>
      </c>
      <c r="D272">
        <f>IFERROR(__xludf.DUMMYFUNCTION("""COMPUTED_VALUE"""),"enemy_glo_00003")</f>
        <v/>
      </c>
      <c r="E272">
        <f>IFERROR(__xludf.DUMMYFUNCTION("""COMPUTED_VALUE"""),"バッターファントム")</f>
        <v/>
      </c>
      <c r="K272">
        <f>IFERROR(__xludf.DUMMYFUNCTION("""COMPUTED_VALUE"""),"enemy")</f>
        <v/>
      </c>
      <c r="Q272">
        <f>IFERROR(__xludf.DUMMYFUNCTION("""COMPUTED_VALUE"""),"1.57")</f>
        <v/>
      </c>
      <c r="R272">
        <f>IFERROR(__xludf.DUMMYFUNCTION("""COMPUTED_VALUE"""),"stop有:1回目 0.68")</f>
        <v/>
      </c>
    </row>
    <row r="273">
      <c r="A273">
        <f>IFERROR(__xludf.DUMMYFUNCTION("""COMPUTED_VALUE"""),"glo")</f>
        <v/>
      </c>
      <c r="B273">
        <f>IFERROR(__xludf.DUMMYFUNCTION("""COMPUTED_VALUE"""),"GLOW")</f>
        <v/>
      </c>
      <c r="C273">
        <f>IFERROR(__xludf.DUMMYFUNCTION("""COMPUTED_VALUE"""),"00004")</f>
        <v/>
      </c>
      <c r="D273">
        <f>IFERROR(__xludf.DUMMYFUNCTION("""COMPUTED_VALUE"""),"enemy_glo_00004")</f>
        <v/>
      </c>
      <c r="E273">
        <f>IFERROR(__xludf.DUMMYFUNCTION("""COMPUTED_VALUE"""),"ピッチャーファントム")</f>
        <v/>
      </c>
      <c r="K273">
        <f>IFERROR(__xludf.DUMMYFUNCTION("""COMPUTED_VALUE"""),"enemy")</f>
        <v/>
      </c>
      <c r="Q273">
        <f>IFERROR(__xludf.DUMMYFUNCTION("""COMPUTED_VALUE"""),"1.6")</f>
        <v/>
      </c>
      <c r="R273">
        <f>IFERROR(__xludf.DUMMYFUNCTION("""COMPUTED_VALUE"""),"stop有:1回目 0.7")</f>
        <v/>
      </c>
    </row>
    <row r="274">
      <c r="A274">
        <f>IFERROR(__xludf.DUMMYFUNCTION("""COMPUTED_VALUE"""),"glo")</f>
        <v/>
      </c>
      <c r="B274">
        <f>IFERROR(__xludf.DUMMYFUNCTION("""COMPUTED_VALUE"""),"GLOW")</f>
        <v/>
      </c>
      <c r="C274">
        <f>IFERROR(__xludf.DUMMYFUNCTION("""COMPUTED_VALUE"""),"00005")</f>
        <v/>
      </c>
      <c r="D274">
        <f>IFERROR(__xludf.DUMMYFUNCTION("""COMPUTED_VALUE"""),"enemy_glo_00005")</f>
        <v/>
      </c>
      <c r="E274">
        <f>IFERROR(__xludf.DUMMYFUNCTION("""COMPUTED_VALUE"""),"野球帽ファントム")</f>
        <v/>
      </c>
      <c r="K274">
        <f>IFERROR(__xludf.DUMMYFUNCTION("""COMPUTED_VALUE"""),"enemy")</f>
        <v/>
      </c>
      <c r="Q274">
        <f>IFERROR(__xludf.DUMMYFUNCTION("""COMPUTED_VALUE"""),"1.57")</f>
        <v/>
      </c>
      <c r="R274">
        <f>IFERROR(__xludf.DUMMYFUNCTION("""COMPUTED_VALUE"""),"stop有:1回目 0.6")</f>
        <v/>
      </c>
      <c r="S274">
        <f>IFERROR(__xludf.DUMMYFUNCTION("""COMPUTED_VALUE"""),"-")</f>
        <v/>
      </c>
      <c r="T274">
        <f>IFERROR(__xludf.DUMMYFUNCTION("""COMPUTED_VALUE"""),"-")</f>
        <v/>
      </c>
    </row>
    <row r="275">
      <c r="A275">
        <f>IFERROR(__xludf.DUMMYFUNCTION("""COMPUTED_VALUE"""),"glo")</f>
        <v/>
      </c>
      <c r="B275">
        <f>IFERROR(__xludf.DUMMYFUNCTION("""COMPUTED_VALUE"""),"GLOW")</f>
        <v/>
      </c>
      <c r="C275">
        <f>IFERROR(__xludf.DUMMYFUNCTION("""COMPUTED_VALUE"""),"00006")</f>
        <v/>
      </c>
      <c r="D275">
        <f>IFERROR(__xludf.DUMMYFUNCTION("""COMPUTED_VALUE"""),"enemy_glo_00006")</f>
        <v/>
      </c>
      <c r="E275">
        <f>IFERROR(__xludf.DUMMYFUNCTION("""COMPUTED_VALUE"""),"ジューンブライドファントム")</f>
        <v/>
      </c>
      <c r="K275">
        <f>IFERROR(__xludf.DUMMYFUNCTION("""COMPUTED_VALUE"""),"enemy")</f>
        <v/>
      </c>
      <c r="Q275">
        <f>IFERROR(__xludf.DUMMYFUNCTION("""COMPUTED_VALUE"""),"1.17")</f>
        <v/>
      </c>
      <c r="R275">
        <f>IFERROR(__xludf.DUMMYFUNCTION("""COMPUTED_VALUE"""),"stop有:1回目 0.6")</f>
        <v/>
      </c>
      <c r="S275">
        <f>IFERROR(__xludf.DUMMYFUNCTION("""COMPUTED_VALUE"""),"-")</f>
        <v/>
      </c>
      <c r="T275">
        <f>IFERROR(__xludf.DUMMYFUNCTION("""COMPUTED_VALUE"""),"-")</f>
        <v/>
      </c>
    </row>
    <row r="276">
      <c r="A276">
        <f>IFERROR(__xludf.DUMMYFUNCTION("""COMPUTED_VALUE"""),"glo")</f>
        <v/>
      </c>
      <c r="B276">
        <f>IFERROR(__xludf.DUMMYFUNCTION("""COMPUTED_VALUE"""),"GLOW")</f>
        <v/>
      </c>
      <c r="C276">
        <f>IFERROR(__xludf.DUMMYFUNCTION("""COMPUTED_VALUE"""),"00007")</f>
        <v/>
      </c>
      <c r="D276">
        <f>IFERROR(__xludf.DUMMYFUNCTION("""COMPUTED_VALUE"""),"enemy_glo_00007")</f>
        <v/>
      </c>
      <c r="E276">
        <f>IFERROR(__xludf.DUMMYFUNCTION("""COMPUTED_VALUE"""),"黒服ファントム")</f>
        <v/>
      </c>
      <c r="K276">
        <f>IFERROR(__xludf.DUMMYFUNCTION("""COMPUTED_VALUE"""),"enemy")</f>
        <v/>
      </c>
    </row>
    <row r="277">
      <c r="A277">
        <f>IFERROR(__xludf.DUMMYFUNCTION("""COMPUTED_VALUE"""),"glo")</f>
        <v/>
      </c>
      <c r="B277">
        <f>IFERROR(__xludf.DUMMYFUNCTION("""COMPUTED_VALUE"""),"GLOW")</f>
        <v/>
      </c>
      <c r="C277">
        <f>IFERROR(__xludf.DUMMYFUNCTION("""COMPUTED_VALUE"""),"00101")</f>
        <v/>
      </c>
      <c r="D277">
        <f>IFERROR(__xludf.DUMMYFUNCTION("""COMPUTED_VALUE"""),"enemy_glo_00101")</f>
        <v/>
      </c>
      <c r="E277">
        <f>IFERROR(__xludf.DUMMYFUNCTION("""COMPUTED_VALUE"""),"中ボスエネミー")</f>
        <v/>
      </c>
      <c r="F277">
        <f>IFERROR(__xludf.DUMMYFUNCTION("""COMPUTED_VALUE"""),"ボスファントム")</f>
        <v/>
      </c>
      <c r="G277">
        <f>IFERROR(__xludf.DUMMYFUNCTION("""COMPUTED_VALUE"""),"ー")</f>
        <v/>
      </c>
      <c r="K277">
        <f>IFERROR(__xludf.DUMMYFUNCTION("""COMPUTED_VALUE"""),"enemy")</f>
        <v/>
      </c>
      <c r="L277">
        <f>IFERROR(__xludf.DUMMYFUNCTION("""COMPUTED_VALUE"""),"アタック")</f>
        <v/>
      </c>
      <c r="M277">
        <f>IFERROR(__xludf.DUMMYFUNCTION("""COMPUTED_VALUE"""),"-")</f>
        <v/>
      </c>
      <c r="P277">
        <f>IFERROR(__xludf.DUMMYFUNCTION("""COMPUTED_VALUE"""),"00101")</f>
        <v/>
      </c>
      <c r="Q277">
        <f>IFERROR(__xludf.DUMMYFUNCTION("""COMPUTED_VALUE"""),"1.17")</f>
        <v/>
      </c>
      <c r="R277">
        <f>IFERROR(__xludf.DUMMYFUNCTION("""COMPUTED_VALUE"""),"stop有:1回目 0.56")</f>
        <v/>
      </c>
      <c r="S277">
        <f>IFERROR(__xludf.DUMMYFUNCTION("""COMPUTED_VALUE"""),"-")</f>
        <v/>
      </c>
      <c r="T277">
        <f>IFERROR(__xludf.DUMMYFUNCTION("""COMPUTED_VALUE"""),"-")</f>
        <v/>
      </c>
      <c r="U277">
        <f>IFERROR(__xludf.DUMMYFUNCTION("""COMPUTED_VALUE"""),45658.0)</f>
        <v/>
      </c>
      <c r="V277">
        <f>IFERROR(__xludf.DUMMYFUNCTION("""COMPUTED_VALUE"""),390812.49998842593)</f>
        <v/>
      </c>
      <c r="W277">
        <f>IFERROR(__xludf.DUMMYFUNCTION("""COMPUTED_VALUE"""),"catchcopy_character_enemy_glo_00101.png")</f>
        <v/>
      </c>
      <c r="X277">
        <f>IFERROR(__xludf.DUMMYFUNCTION("""COMPUTED_VALUE"""),"enemy_icon_enemy_glo_00101")</f>
        <v/>
      </c>
      <c r="Y277">
        <f>IFERROR(__xludf.DUMMYFUNCTION("""COMPUTED_VALUE"""),"boss_icon_enemy_glo_00101")</f>
        <v/>
      </c>
    </row>
    <row r="278">
      <c r="A278">
        <f>IFERROR(__xludf.DUMMYFUNCTION("""COMPUTED_VALUE"""),"glo")</f>
        <v/>
      </c>
      <c r="B278">
        <f>IFERROR(__xludf.DUMMYFUNCTION("""COMPUTED_VALUE"""),"GLOW")</f>
        <v/>
      </c>
      <c r="C278">
        <f>IFERROR(__xludf.DUMMYFUNCTION("""COMPUTED_VALUE"""),"00901")</f>
        <v/>
      </c>
      <c r="D278">
        <f>IFERROR(__xludf.DUMMYFUNCTION("""COMPUTED_VALUE"""),"enemy_glo_00901")</f>
        <v/>
      </c>
      <c r="E278">
        <f>IFERROR(__xludf.DUMMYFUNCTION("""COMPUTED_VALUE"""),"宝箱")</f>
        <v/>
      </c>
      <c r="F278">
        <f>IFERROR(__xludf.DUMMYFUNCTION("""COMPUTED_VALUE"""),"宝箱")</f>
        <v/>
      </c>
      <c r="G278">
        <f>IFERROR(__xludf.DUMMYFUNCTION("""COMPUTED_VALUE"""),"ー")</f>
        <v/>
      </c>
      <c r="J278">
        <f>IFERROR(__xludf.DUMMYFUNCTION("""COMPUTED_VALUE"""),"無")</f>
        <v/>
      </c>
      <c r="K278">
        <f>IFERROR(__xludf.DUMMYFUNCTION("""COMPUTED_VALUE"""),"enemy")</f>
        <v/>
      </c>
      <c r="L278">
        <f>IFERROR(__xludf.DUMMYFUNCTION("""COMPUTED_VALUE"""),"アタック")</f>
        <v/>
      </c>
      <c r="M278">
        <f>IFERROR(__xludf.DUMMYFUNCTION("""COMPUTED_VALUE"""),"-")</f>
        <v/>
      </c>
      <c r="P278">
        <f>IFERROR(__xludf.DUMMYFUNCTION("""COMPUTED_VALUE"""),"00901")</f>
        <v/>
      </c>
      <c r="U278">
        <f>IFERROR(__xludf.DUMMYFUNCTION("""COMPUTED_VALUE"""),45658.0)</f>
        <v/>
      </c>
      <c r="V278">
        <f>IFERROR(__xludf.DUMMYFUNCTION("""COMPUTED_VALUE"""),390812.49998842593)</f>
        <v/>
      </c>
      <c r="W278">
        <f>IFERROR(__xludf.DUMMYFUNCTION("""COMPUTED_VALUE"""),"catchcopy_character_enemy_glo_00901.png")</f>
        <v/>
      </c>
      <c r="X278">
        <f>IFERROR(__xludf.DUMMYFUNCTION("""COMPUTED_VALUE"""),"enemy_icon_enemy_glo_00901")</f>
        <v/>
      </c>
      <c r="Y278">
        <f>IFERROR(__xludf.DUMMYFUNCTION("""COMPUTED_VALUE"""),"boss_icon_enemy_glo_00901")</f>
        <v/>
      </c>
    </row>
    <row r="279">
      <c r="J279">
        <f>IFERROR(__xludf.DUMMYFUNCTION("""COMPUTED_VALUE"""),"無")</f>
        <v/>
      </c>
      <c r="L279">
        <f>IFERROR(__xludf.DUMMYFUNCTION("""COMPUTED_VALUE"""),"アタック")</f>
        <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sheetData>
    <row r="1">
      <c r="A1">
        <f>IFERROR(__xludf.DUMMYFUNCTION("IMPORTRANGE(""https://docs.google.com/spreadsheets/d/1oJmkDK37Qizzdaxn4KCwh1BMwdNWuHCx3AGH8BC9yu0/edit?gid=781951868#gid=781951868"",""BGM!A:G"")"),"BGM/SE関連")</f>
        <v/>
      </c>
    </row>
    <row r="2">
      <c r="A2">
        <f>IFERROR(__xludf.DUMMYFUNCTION("""COMPUTED_VALUE"""),"ファイル名")</f>
        <v/>
      </c>
      <c r="B2">
        <f>IFERROR(__xludf.DUMMYFUNCTION("""COMPUTED_VALUE"""),"旧ファイル名
（対応後削除予定）")</f>
        <v/>
      </c>
      <c r="C2">
        <f>IFERROR(__xludf.DUMMYFUNCTION("""COMPUTED_VALUE"""),"使用箇所")</f>
        <v/>
      </c>
      <c r="E2">
        <f>IFERROR(__xludf.DUMMYFUNCTION("""COMPUTED_VALUE"""),"サウンド名称")</f>
        <v/>
      </c>
      <c r="F2">
        <f>IFERROR(__xludf.DUMMYFUNCTION("""COMPUTED_VALUE"""),"格納フォルダ")</f>
        <v/>
      </c>
      <c r="G2">
        <f>IFERROR(__xludf.DUMMYFUNCTION("""COMPUTED_VALUE"""),"備考（クエストでの使用箇所など）")</f>
        <v/>
      </c>
    </row>
    <row r="3">
      <c r="C3">
        <f>IFERROR(__xludf.DUMMYFUNCTION("""COMPUTED_VALUE"""),"分類")</f>
        <v/>
      </c>
      <c r="D3">
        <f>IFERROR(__xludf.DUMMYFUNCTION("""COMPUTED_VALUE"""),"使用画面")</f>
        <v/>
      </c>
    </row>
    <row r="4">
      <c r="A4">
        <f>IFERROR(__xludf.DUMMYFUNCTION("""COMPUTED_VALUE"""),"SSE_SBG_003_001")</f>
        <v/>
      </c>
      <c r="B4">
        <f>IFERROR(__xludf.DUMMYFUNCTION("""COMPUTED_VALUE"""),"ingame_001_2")</f>
        <v/>
      </c>
      <c r="C4">
        <f>IFERROR(__xludf.DUMMYFUNCTION("""COMPUTED_VALUE"""),"バトル")</f>
        <v/>
      </c>
      <c r="D4">
        <f>IFERROR(__xludf.DUMMYFUNCTION("""COMPUTED_VALUE"""),"メイン・イベントクエスト バトル系1")</f>
        <v/>
      </c>
      <c r="E4">
        <f>IFERROR(__xludf.DUMMYFUNCTION("""COMPUTED_VALUE"""),"メイン・イベントクエストのインゲームでバトル系の作品で使用します")</f>
        <v/>
      </c>
    </row>
    <row r="5">
      <c r="A5">
        <f>IFERROR(__xludf.DUMMYFUNCTION("""COMPUTED_VALUE"""),"SSE_SBG_003_002")</f>
        <v/>
      </c>
      <c r="B5">
        <f>IFERROR(__xludf.DUMMYFUNCTION("""COMPUTED_VALUE"""),"ingame_001
ingame_002
ingame_003")</f>
        <v/>
      </c>
      <c r="C5">
        <f>IFERROR(__xludf.DUMMYFUNCTION("""COMPUTED_VALUE"""),"バトル")</f>
        <v/>
      </c>
      <c r="D5">
        <f>IFERROR(__xludf.DUMMYFUNCTION("""COMPUTED_VALUE"""),"メイン・イベントクエスト 日常・ギャグ系")</f>
        <v/>
      </c>
      <c r="E5">
        <f>IFERROR(__xludf.DUMMYFUNCTION("""COMPUTED_VALUE"""),"メイン・イベントクエストのインゲームで日常・ギャグ系の作品で使用します")</f>
        <v/>
      </c>
    </row>
    <row r="6">
      <c r="A6">
        <f>IFERROR(__xludf.DUMMYFUNCTION("""COMPUTED_VALUE"""),"SSE_SBG_003_003")</f>
        <v/>
      </c>
      <c r="B6">
        <f>IFERROR(__xludf.DUMMYFUNCTION("""COMPUTED_VALUE"""),"ingame_001_3")</f>
        <v/>
      </c>
      <c r="C6">
        <f>IFERROR(__xludf.DUMMYFUNCTION("""COMPUTED_VALUE"""),"バトル")</f>
        <v/>
      </c>
      <c r="D6">
        <f>IFERROR(__xludf.DUMMYFUNCTION("""COMPUTED_VALUE"""),"メイン・イベントクエスト シリアス系")</f>
        <v/>
      </c>
      <c r="E6">
        <f>IFERROR(__xludf.DUMMYFUNCTION("""COMPUTED_VALUE"""),"メイン・イベントクエストのインゲームでシリアス系の作品で使用します")</f>
        <v/>
      </c>
    </row>
    <row r="7">
      <c r="A7">
        <f>IFERROR(__xludf.DUMMYFUNCTION("""COMPUTED_VALUE"""),"SSE_SBG_003_004")</f>
        <v/>
      </c>
      <c r="C7">
        <f>IFERROR(__xludf.DUMMYFUNCTION("""COMPUTED_VALUE"""),"バトル")</f>
        <v/>
      </c>
      <c r="D7">
        <f>IFERROR(__xludf.DUMMYFUNCTION("""COMPUTED_VALUE"""),"メイン・イベントクエスト 強敵/ボスバトル1")</f>
        <v/>
      </c>
      <c r="E7">
        <f>IFERROR(__xludf.DUMMYFUNCTION("""COMPUTED_VALUE"""),"メイン・イベントクエストのインゲームで強敵登場時に使用します")</f>
        <v/>
      </c>
      <c r="G7">
        <f>IFERROR(__xludf.DUMMYFUNCTION("""COMPUTED_VALUE"""),"ボス登場時に使用")</f>
        <v/>
      </c>
    </row>
    <row r="8">
      <c r="A8">
        <f>IFERROR(__xludf.DUMMYFUNCTION("""COMPUTED_VALUE"""),"SSE_SBG_003_005")</f>
        <v/>
      </c>
      <c r="C8">
        <f>IFERROR(__xludf.DUMMYFUNCTION("""COMPUTED_VALUE"""),"バトル")</f>
        <v/>
      </c>
      <c r="D8">
        <f>IFERROR(__xludf.DUMMYFUNCTION("""COMPUTED_VALUE"""),"メイン・イベントクエスト ラブコメ系1")</f>
        <v/>
      </c>
      <c r="E8">
        <f>IFERROR(__xludf.DUMMYFUNCTION("""COMPUTED_VALUE"""),"メイン・イベントクエストのインゲームでラブコメ系の作品で使用します")</f>
        <v/>
      </c>
      <c r="G8">
        <f>IFERROR(__xludf.DUMMYFUNCTION("""COMPUTED_VALUE"""),"※MIX前音源のため使用不可
（権利としてはWPが持っている音源）")</f>
        <v/>
      </c>
    </row>
    <row r="9">
      <c r="A9">
        <f>IFERROR(__xludf.DUMMYFUNCTION("""COMPUTED_VALUE"""),"SSE_SBG_003_006")</f>
        <v/>
      </c>
      <c r="C9">
        <f>IFERROR(__xludf.DUMMYFUNCTION("""COMPUTED_VALUE"""),"バトル")</f>
        <v/>
      </c>
      <c r="D9">
        <f>IFERROR(__xludf.DUMMYFUNCTION("""COMPUTED_VALUE"""),"メイン・イベントクエスト バトル5 バトル系2")</f>
        <v/>
      </c>
      <c r="E9">
        <f>IFERROR(__xludf.DUMMYFUNCTION("""COMPUTED_VALUE"""),"メイン・イベントクエストのインゲームでバトル系の作品で使用します")</f>
        <v/>
      </c>
    </row>
    <row r="10">
      <c r="A10">
        <f>IFERROR(__xludf.DUMMYFUNCTION("""COMPUTED_VALUE"""),"SSE_SBG_003_007")</f>
        <v/>
      </c>
      <c r="C10">
        <f>IFERROR(__xludf.DUMMYFUNCTION("""COMPUTED_VALUE"""),"バトル")</f>
        <v/>
      </c>
      <c r="D10">
        <f>IFERROR(__xludf.DUMMYFUNCTION("""COMPUTED_VALUE"""),"メイン・イベントクエスト強敵/ボス登場時2
（高難度）")</f>
        <v/>
      </c>
      <c r="E10">
        <f>IFERROR(__xludf.DUMMYFUNCTION("""COMPUTED_VALUE"""),"難易度が高難度のメイン・イベントクエストのインゲームで強敵登場時に使用します")</f>
        <v/>
      </c>
      <c r="G10">
        <f>IFERROR(__xludf.DUMMYFUNCTION("""COMPUTED_VALUE"""),"高難度クエストに使用")</f>
        <v/>
      </c>
    </row>
    <row r="11">
      <c r="A11">
        <f>IFERROR(__xludf.DUMMYFUNCTION("""COMPUTED_VALUE"""),"SSE_SBG_003_008")</f>
        <v/>
      </c>
      <c r="C11">
        <f>IFERROR(__xludf.DUMMYFUNCTION("""COMPUTED_VALUE"""),"バトル")</f>
        <v/>
      </c>
      <c r="D11">
        <f>IFERROR(__xludf.DUMMYFUNCTION("""COMPUTED_VALUE"""),"メイン・イベントクエスト（高難易度）バトル1")</f>
        <v/>
      </c>
      <c r="E11">
        <f>IFERROR(__xludf.DUMMYFUNCTION("""COMPUTED_VALUE"""),"難易度が高難度のメイン・イベントクエストのインゲームでバトル系の作品で使用します")</f>
        <v/>
      </c>
    </row>
    <row r="12">
      <c r="A12">
        <f>IFERROR(__xludf.DUMMYFUNCTION("""COMPUTED_VALUE"""),"SSE_SBG_003_009")</f>
        <v/>
      </c>
      <c r="C12">
        <f>IFERROR(__xludf.DUMMYFUNCTION("""COMPUTED_VALUE"""),"バトル")</f>
        <v/>
      </c>
      <c r="D12">
        <f>IFERROR(__xludf.DUMMYFUNCTION("""COMPUTED_VALUE"""),"メイン・イベントクエスト ラブコメ系2")</f>
        <v/>
      </c>
      <c r="E12">
        <f>IFERROR(__xludf.DUMMYFUNCTION("""COMPUTED_VALUE"""),"メイン・イベントクエストのインゲームでラブコメ系の作品で使用します")</f>
        <v/>
      </c>
      <c r="F12">
        <f>IFERROR(__xludf.DUMMYFUNCTION("""COMPUTED_VALUE"""),"https://app.box.com/folder/303904861699")</f>
        <v/>
      </c>
    </row>
    <row r="13">
      <c r="A13">
        <f>IFERROR(__xludf.DUMMYFUNCTION("""COMPUTED_VALUE"""),"SSE_SBG_003_010")</f>
        <v/>
      </c>
      <c r="C13">
        <f>IFERROR(__xludf.DUMMYFUNCTION("""COMPUTED_VALUE"""),"バトル")</f>
        <v/>
      </c>
      <c r="D13">
        <f>IFERROR(__xludf.DUMMYFUNCTION("""COMPUTED_VALUE"""),"降臨バトル ")</f>
        <v/>
      </c>
      <c r="E13">
        <f>IFERROR(__xludf.DUMMYFUNCTION("""COMPUTED_VALUE"""),"降臨バトルのインゲームで使用します")</f>
        <v/>
      </c>
      <c r="F13">
        <f>IFERROR(__xludf.DUMMYFUNCTION("""COMPUTED_VALUE"""),"https://app.box.com/folder/313090384535")</f>
        <v/>
      </c>
    </row>
    <row r="14">
      <c r="A14">
        <f>IFERROR(__xludf.DUMMYFUNCTION("""COMPUTED_VALUE"""),"SSE_SBG_000_001")</f>
        <v/>
      </c>
      <c r="C14">
        <f>IFERROR(__xludf.DUMMYFUNCTION("""COMPUTED_VALUE"""),"タイトル・ホーム")</f>
        <v/>
      </c>
      <c r="D14">
        <f>IFERROR(__xludf.DUMMYFUNCTION("""COMPUTED_VALUE"""),"タイトル")</f>
        <v/>
      </c>
      <c r="E14">
        <f>IFERROR(__xludf.DUMMYFUNCTION("""COMPUTED_VALUE"""),"タイトル画面で使用します")</f>
        <v/>
      </c>
      <c r="F14">
        <f>IFERROR(__xludf.DUMMYFUNCTION("""COMPUTED_VALUE"""),"https://app.box.com/folder/313090384535")</f>
        <v/>
      </c>
    </row>
    <row r="15">
      <c r="A15">
        <f>IFERROR(__xludf.DUMMYFUNCTION("""COMPUTED_VALUE"""),"SSE_SBG_000_002")</f>
        <v/>
      </c>
      <c r="C15">
        <f>IFERROR(__xludf.DUMMYFUNCTION("""COMPUTED_VALUE"""),"タイトル・ホーム")</f>
        <v/>
      </c>
      <c r="D15">
        <f>IFERROR(__xludf.DUMMYFUNCTION("""COMPUTED_VALUE"""),"ホーム1")</f>
        <v/>
      </c>
      <c r="E15">
        <f>IFERROR(__xludf.DUMMYFUNCTION("""COMPUTED_VALUE"""),"ホーム画面（定常）で使用します")</f>
        <v/>
      </c>
      <c r="F15">
        <f>IFERROR(__xludf.DUMMYFUNCTION("""COMPUTED_VALUE"""),"https://app.box.com/folder/307822120496")</f>
        <v/>
      </c>
    </row>
    <row r="16">
      <c r="A16">
        <f>IFERROR(__xludf.DUMMYFUNCTION("""COMPUTED_VALUE"""),"SSE_SBG_000_003")</f>
        <v/>
      </c>
      <c r="C16">
        <f>IFERROR(__xludf.DUMMYFUNCTION("""COMPUTED_VALUE"""),"タイトル・ホーム")</f>
        <v/>
      </c>
      <c r="D16">
        <f>IFERROR(__xludf.DUMMYFUNCTION("""COMPUTED_VALUE"""),"ホーム2")</f>
        <v/>
      </c>
      <c r="E16">
        <f>IFERROR(__xludf.DUMMYFUNCTION("""COMPUTED_VALUE"""),"ホーム画面で使用します
→いいジャン祭周年系イベントなど開催時に使用します")</f>
        <v/>
      </c>
      <c r="F16">
        <f>IFERROR(__xludf.DUMMYFUNCTION("""COMPUTED_VALUE"""),"https://app.box.com/folder/309364595927")</f>
        <v/>
      </c>
    </row>
    <row r="17">
      <c r="A17">
        <f>IFERROR(__xludf.DUMMYFUNCTION("""COMPUTED_VALUE"""),"SSE_SBG_001_001")</f>
        <v/>
      </c>
      <c r="C17">
        <f>IFERROR(__xludf.DUMMYFUNCTION("""COMPUTED_VALUE"""),"システム")</f>
        <v/>
      </c>
      <c r="D17">
        <f>IFERROR(__xludf.DUMMYFUNCTION("""COMPUTED_VALUE"""),"バトルリザルト")</f>
        <v/>
      </c>
      <c r="E17">
        <f>IFERROR(__xludf.DUMMYFUNCTION("""COMPUTED_VALUE"""),"バトルリザルト画面で使用します")</f>
        <v/>
      </c>
      <c r="F17">
        <f>IFERROR(__xludf.DUMMYFUNCTION("""COMPUTED_VALUE"""),"https://app.box.com/folder/309364595927")</f>
        <v/>
      </c>
    </row>
    <row r="18">
      <c r="A18">
        <f>IFERROR(__xludf.DUMMYFUNCTION("""COMPUTED_VALUE"""),"SSE_SBG_000_004")</f>
        <v/>
      </c>
      <c r="C18">
        <f>IFERROR(__xludf.DUMMYFUNCTION("""COMPUTED_VALUE"""),"タイトル・ホーム")</f>
        <v/>
      </c>
      <c r="D18">
        <f>IFERROR(__xludf.DUMMYFUNCTION("""COMPUTED_VALUE"""),"イベントTOP")</f>
        <v/>
      </c>
      <c r="E18">
        <f>IFERROR(__xludf.DUMMYFUNCTION("""COMPUTED_VALUE"""),"イベントTOP画面で使用します
→以下の画面でも流れます
・コイン獲得クエストTOP画面
・降臨バトルTOP画面
・いいジャン祭TOP画面
・いいジャン祭ステージ選択画面")</f>
        <v/>
      </c>
      <c r="F18">
        <f>IFERROR(__xludf.DUMMYFUNCTION("""COMPUTED_VALUE"""),"https://app.box.com/folder/313090384535")</f>
        <v/>
      </c>
    </row>
    <row r="19">
      <c r="A19">
        <f>IFERROR(__xludf.DUMMYFUNCTION("""COMPUTED_VALUE"""),"SSE_SBG_000_005")</f>
        <v/>
      </c>
      <c r="C19">
        <f>IFERROR(__xludf.DUMMYFUNCTION("""COMPUTED_VALUE"""),"#N/A")</f>
        <v/>
      </c>
    </row>
    <row r="20">
      <c r="A20">
        <f>IFERROR(__xludf.DUMMYFUNCTION("""COMPUTED_VALUE"""),"SSE_SBG_002_001")</f>
        <v/>
      </c>
      <c r="C20">
        <f>IFERROR(__xludf.DUMMYFUNCTION("""COMPUTED_VALUE"""),"ガシャ")</f>
        <v/>
      </c>
      <c r="D20">
        <f>IFERROR(__xludf.DUMMYFUNCTION("""COMPUTED_VALUE"""),"ガシャ演出")</f>
        <v/>
      </c>
      <c r="E20">
        <f>IFERROR(__xludf.DUMMYFUNCTION("""COMPUTED_VALUE"""),"ガシャ演出で使用します")</f>
        <v/>
      </c>
      <c r="F20">
        <f>IFERROR(__xludf.DUMMYFUNCTION("""COMPUTED_VALUE"""),"https://app.box.com/file/1721214030733")</f>
        <v/>
      </c>
    </row>
    <row r="21">
      <c r="A21">
        <f>IFERROR(__xludf.DUMMYFUNCTION("""COMPUTED_VALUE"""),"SSE_SBG_002_002")</f>
        <v/>
      </c>
      <c r="C21">
        <f>IFERROR(__xludf.DUMMYFUNCTION("""COMPUTED_VALUE"""),"ガシャ")</f>
        <v/>
      </c>
      <c r="D21">
        <f>IFERROR(__xludf.DUMMYFUNCTION("""COMPUTED_VALUE"""),"ガシャリザルト画面")</f>
        <v/>
      </c>
      <c r="E21">
        <f>IFERROR(__xludf.DUMMYFUNCTION("""COMPUTED_VALUE"""),"ガシャリザルト画面で使用します")</f>
        <v/>
      </c>
      <c r="F21">
        <f>IFERROR(__xludf.DUMMYFUNCTION("""COMPUTED_VALUE"""),"https://app.box.com/file/1721214030733")</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2026-02-23T09:44:32Z</dcterms:created>
  <dcterms:modified xsi:type="dcterms:W3CDTF">2026-02-23T09:44:32Z</dcterms:modified>
</cp:coreProperties>
</file>