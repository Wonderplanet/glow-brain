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5話" sheetId="12" state="visible" r:id="rId12"/>
    <sheet name="6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1">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
      <patternFill patternType="solid">
        <fgColor rgb="FFFFF2CC"/>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7">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applyAlignment="1" pivotButton="0" quotePrefix="0" xfId="0">
      <alignment/>
    </xf>
    <xf numFmtId="14" fontId="1" fillId="0" borderId="3" pivotButton="0" quotePrefix="0" xfId="0"/>
    <xf numFmtId="0" fontId="1" fillId="0" borderId="1" applyAlignment="1" pivotButton="0" quotePrefix="0" xfId="0">
      <alignment/>
    </xf>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9" fillId="20" borderId="0" applyAlignment="1" pivotButton="0" quotePrefix="0" xfId="0">
      <alignment vertical="bottom"/>
    </xf>
    <xf numFmtId="0" fontId="4" fillId="20" borderId="0" applyAlignment="1" pivotButton="0" quotePrefix="0" xfId="0">
      <alignment vertical="bottom"/>
    </xf>
    <xf numFmtId="0" fontId="0" fillId="20" borderId="0" pivotButton="0" quotePrefix="0" xfId="0"/>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6" t="n"/>
      <c r="E8" s="5" t="n"/>
      <c r="F8" s="305" t="n"/>
    </row>
    <row r="9">
      <c r="A9" s="305" t="b">
        <v>0</v>
      </c>
      <c r="B9" s="305" t="n"/>
      <c r="C9" s="2" t="n"/>
      <c r="D9" s="6" t="n"/>
      <c r="E9" s="7" t="n"/>
      <c r="F9" s="305" t="n"/>
    </row>
    <row r="10">
      <c r="A10" s="305" t="b">
        <v>0</v>
      </c>
      <c r="B10" s="305" t="n"/>
      <c r="C10" s="2" t="n"/>
      <c r="D10" s="6" t="n"/>
      <c r="E10" s="7" t="n"/>
      <c r="F10" s="305" t="n"/>
    </row>
    <row r="11">
      <c r="A11" s="305" t="b">
        <v>0</v>
      </c>
      <c r="B11" s="305" t="n"/>
      <c r="C11" s="2" t="n"/>
      <c r="D11" s="6" t="n"/>
      <c r="E11" s="7" t="n"/>
      <c r="F11" s="305" t="n"/>
    </row>
    <row r="12">
      <c r="A12" s="305" t="b">
        <v>0</v>
      </c>
      <c r="B12" s="305" t="n"/>
      <c r="C12" s="2" t="n"/>
      <c r="D12" s="6" t="n"/>
      <c r="E12" s="7" t="n"/>
      <c r="F12" s="305" t="n"/>
    </row>
    <row r="13">
      <c r="A13" s="305" t="b">
        <v>0</v>
      </c>
      <c r="B13" s="305" t="n"/>
      <c r="C13" s="2" t="n"/>
      <c r="D13" s="6" t="n"/>
      <c r="E13" s="7" t="n"/>
      <c r="F13" s="305" t="n"/>
    </row>
    <row r="14">
      <c r="A14" s="305" t="b">
        <v>0</v>
      </c>
      <c r="B14" s="305" t="n"/>
      <c r="C14" s="2" t="n"/>
      <c r="D14" s="6" t="n"/>
      <c r="E14" s="7" t="n"/>
      <c r="F14" s="305" t="n"/>
    </row>
    <row r="15">
      <c r="A15" s="305" t="b">
        <v>0</v>
      </c>
      <c r="B15" s="305" t="n"/>
      <c r="C15" s="2" t="n"/>
      <c r="D15" s="6" t="n"/>
      <c r="E15" s="7" t="n"/>
      <c r="F15" s="305" t="n"/>
    </row>
    <row r="16">
      <c r="A16" s="305" t="b">
        <v>0</v>
      </c>
      <c r="B16" s="305" t="n"/>
      <c r="C16" s="2" t="n"/>
      <c r="D16" s="6" t="n"/>
      <c r="E16" s="7" t="n"/>
      <c r="F16" s="305" t="n"/>
    </row>
    <row r="17">
      <c r="A17" s="305" t="b">
        <v>0</v>
      </c>
      <c r="B17" s="305" t="n"/>
      <c r="C17" s="2" t="n"/>
      <c r="D17" s="6" t="n"/>
      <c r="E17" s="7" t="n"/>
      <c r="F17" s="305" t="n"/>
    </row>
    <row r="18">
      <c r="A18" s="305" t="b">
        <v>0</v>
      </c>
      <c r="B18" s="305" t="n"/>
      <c r="C18" s="2" t="n"/>
      <c r="D18" s="6" t="n"/>
      <c r="E18" s="7" t="n"/>
      <c r="F18" s="305" t="n"/>
    </row>
    <row r="19">
      <c r="A19" s="305" t="b">
        <v>0</v>
      </c>
      <c r="B19" s="305" t="n"/>
      <c r="C19" s="2" t="n"/>
      <c r="D19" s="6"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37"/>
  <sheetViews>
    <sheetView workbookViewId="0">
      <selection activeCell="A1" sqref="A1"/>
    </sheetView>
  </sheetViews>
  <sheetFormatPr baseColWidth="8" defaultColWidth="12.63" defaultRowHeight="15.75" customHeight="1"/>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row r="10">
      <c r="A10" s="280" t="inlineStr">
        <is>
          <t>5話</t>
        </is>
      </c>
      <c r="C10" s="280" t="inlineStr">
        <is>
          <t>event_jig1_charaget01_00005</t>
        </is>
      </c>
      <c r="E10" s="280" t="n">
        <v>1</v>
      </c>
      <c r="G10" s="280" t="inlineStr">
        <is>
          <t>InitialSummon</t>
        </is>
      </c>
      <c r="H10" s="280" t="n">
        <v>0</v>
      </c>
      <c r="I10" s="280" t="inlineStr">
        <is>
          <t>SummonEnemy</t>
        </is>
      </c>
      <c r="J10" s="280" t="inlineStr">
        <is>
          <t>e_jig_00601_jig1_charaget01_Boss_Colorless</t>
        </is>
      </c>
      <c r="L10" s="280" t="n">
        <v>1</v>
      </c>
      <c r="M10" s="280" t="n">
        <v>0</v>
      </c>
      <c r="N10" s="280" t="inlineStr">
        <is>
          <t>None</t>
        </is>
      </c>
      <c r="O10" s="280" t="n">
        <v>0.7</v>
      </c>
      <c r="P10" s="280" t="inlineStr">
        <is>
          <t>Damage</t>
        </is>
      </c>
      <c r="Q10" s="280" t="n">
        <v>1</v>
      </c>
      <c r="R10" s="280" t="inlineStr">
        <is>
          <t>None</t>
        </is>
      </c>
      <c r="T10" s="280" t="inlineStr">
        <is>
          <t>None</t>
        </is>
      </c>
      <c r="W10" s="280" t="b">
        <v>1</v>
      </c>
      <c r="Y10" s="280" t="inlineStr">
        <is>
          <t>Default</t>
        </is>
      </c>
      <c r="Z10" s="280" t="inlineStr">
        <is>
          <t>Normal</t>
        </is>
      </c>
      <c r="AA10" s="280" t="n">
        <v>12</v>
      </c>
      <c r="AB10" s="280" t="n">
        <v>4.5</v>
      </c>
      <c r="AC10" s="280" t="n">
        <v>1</v>
      </c>
      <c r="AD10" s="280" t="n">
        <v>200</v>
      </c>
      <c r="AE10" s="280" t="n">
        <v>0</v>
      </c>
      <c r="AG10" s="280" t="inlineStr">
        <is>
          <t>None</t>
        </is>
      </c>
      <c r="AI10" s="280" t="n">
        <v>202601010</v>
      </c>
    </row>
    <row r="11">
      <c r="A11" s="280" t="inlineStr">
        <is>
          <t>5話</t>
        </is>
      </c>
      <c r="C11" s="280" t="inlineStr">
        <is>
          <t>event_jig1_charaget01_00005</t>
        </is>
      </c>
      <c r="E11" s="280" t="n">
        <v>2</v>
      </c>
      <c r="G11" s="280" t="inlineStr">
        <is>
          <t>ElapsedTime</t>
        </is>
      </c>
      <c r="H11" s="280" t="n">
        <v>2500</v>
      </c>
      <c r="I11" s="280" t="inlineStr">
        <is>
          <t>SummonEnemy</t>
        </is>
      </c>
      <c r="J11" s="280" t="inlineStr">
        <is>
          <t>e_jig_00301_jig1_charaget01_Normal_Green</t>
        </is>
      </c>
      <c r="L11" s="280" t="n">
        <v>2</v>
      </c>
      <c r="M11" s="280" t="n">
        <v>2000</v>
      </c>
      <c r="N11" s="280" t="inlineStr">
        <is>
          <t>None</t>
        </is>
      </c>
      <c r="P11" s="280" t="inlineStr">
        <is>
          <t>None</t>
        </is>
      </c>
      <c r="R11" s="280" t="inlineStr">
        <is>
          <t>None</t>
        </is>
      </c>
      <c r="T11" s="280" t="inlineStr">
        <is>
          <t>None</t>
        </is>
      </c>
      <c r="W11" s="280" t="b">
        <v>0</v>
      </c>
      <c r="Y11" s="280" t="inlineStr">
        <is>
          <t>Default</t>
        </is>
      </c>
      <c r="Z11" s="280" t="inlineStr">
        <is>
          <t>Normal</t>
        </is>
      </c>
      <c r="AA11" s="280" t="n">
        <v>23</v>
      </c>
      <c r="AB11" s="280" t="n">
        <v>3</v>
      </c>
      <c r="AC11" s="280" t="n">
        <v>1</v>
      </c>
      <c r="AD11" s="280" t="n">
        <v>100</v>
      </c>
      <c r="AE11" s="280" t="n">
        <v>0</v>
      </c>
      <c r="AG11" s="280" t="inlineStr">
        <is>
          <t>None</t>
        </is>
      </c>
      <c r="AI11" s="280" t="n">
        <v>202601010</v>
      </c>
    </row>
    <row r="12">
      <c r="A12" s="280" t="inlineStr">
        <is>
          <t>5話</t>
        </is>
      </c>
      <c r="C12" s="280" t="inlineStr">
        <is>
          <t>event_jig1_charaget01_00005</t>
        </is>
      </c>
      <c r="E12" s="280" t="n">
        <v>3</v>
      </c>
      <c r="G12" s="280" t="inlineStr">
        <is>
          <t>FriendUnitDead</t>
        </is>
      </c>
      <c r="H12" s="280" t="n">
        <v>2</v>
      </c>
      <c r="I12" s="280" t="inlineStr">
        <is>
          <t>SummonEnemy</t>
        </is>
      </c>
      <c r="J12" s="280" t="inlineStr">
        <is>
          <t>e_jig_00301_jig1_charaget01_Normal_Green</t>
        </is>
      </c>
      <c r="L12" s="280" t="n">
        <v>1</v>
      </c>
      <c r="M12" s="280" t="n">
        <v>0</v>
      </c>
      <c r="N12" s="280" t="inlineStr">
        <is>
          <t>None</t>
        </is>
      </c>
      <c r="P12" s="280" t="inlineStr">
        <is>
          <t>None</t>
        </is>
      </c>
      <c r="R12" s="280" t="inlineStr">
        <is>
          <t>None</t>
        </is>
      </c>
      <c r="T12" s="280" t="inlineStr">
        <is>
          <t>None</t>
        </is>
      </c>
      <c r="W12" s="280" t="b">
        <v>0</v>
      </c>
      <c r="Y12" s="280" t="inlineStr">
        <is>
          <t>Default</t>
        </is>
      </c>
      <c r="Z12" s="280" t="inlineStr">
        <is>
          <t>Normal</t>
        </is>
      </c>
      <c r="AA12" s="280" t="n">
        <v>23</v>
      </c>
      <c r="AB12" s="280" t="n">
        <v>3</v>
      </c>
      <c r="AC12" s="280" t="n">
        <v>1</v>
      </c>
      <c r="AD12" s="280" t="n">
        <v>100</v>
      </c>
      <c r="AE12" s="280" t="n">
        <v>0</v>
      </c>
      <c r="AF12" s="280" t="n">
        <v>1750</v>
      </c>
      <c r="AG12" s="280" t="inlineStr">
        <is>
          <t>None</t>
        </is>
      </c>
      <c r="AI12" s="280" t="n">
        <v>202601010</v>
      </c>
    </row>
    <row r="13">
      <c r="A13" s="280" t="inlineStr">
        <is>
          <t>5話</t>
        </is>
      </c>
      <c r="C13" s="280" t="inlineStr">
        <is>
          <t>event_jig1_charaget01_00005</t>
        </is>
      </c>
      <c r="E13" s="280" t="n">
        <v>4</v>
      </c>
      <c r="G13" s="280" t="inlineStr">
        <is>
          <t>ElapsedTime</t>
        </is>
      </c>
      <c r="H13" s="280" t="n">
        <v>1200</v>
      </c>
      <c r="I13" s="280" t="inlineStr">
        <is>
          <t>SummonEnemy</t>
        </is>
      </c>
      <c r="J13" s="280" t="inlineStr">
        <is>
          <t>e_jig_00401_jig1_charaget01_Normal_Green</t>
        </is>
      </c>
      <c r="L13" s="280" t="n">
        <v>5</v>
      </c>
      <c r="M13" s="280" t="n">
        <v>1500</v>
      </c>
      <c r="N13" s="280" t="inlineStr">
        <is>
          <t>None</t>
        </is>
      </c>
      <c r="P13" s="280" t="inlineStr">
        <is>
          <t>None</t>
        </is>
      </c>
      <c r="R13" s="280" t="inlineStr">
        <is>
          <t>None</t>
        </is>
      </c>
      <c r="T13" s="280" t="inlineStr">
        <is>
          <t>None</t>
        </is>
      </c>
      <c r="W13" s="280" t="b">
        <v>0</v>
      </c>
      <c r="Y13" s="280" t="inlineStr">
        <is>
          <t>Default</t>
        </is>
      </c>
      <c r="Z13" s="280" t="inlineStr">
        <is>
          <t>Normal</t>
        </is>
      </c>
      <c r="AA13" s="280" t="n">
        <v>10</v>
      </c>
      <c r="AB13" s="280" t="n">
        <v>2.5</v>
      </c>
      <c r="AC13" s="280" t="n">
        <v>1</v>
      </c>
      <c r="AD13" s="280" t="n">
        <v>100</v>
      </c>
      <c r="AE13" s="280" t="n">
        <v>0</v>
      </c>
      <c r="AG13" s="280" t="inlineStr">
        <is>
          <t>None</t>
        </is>
      </c>
      <c r="AI13" s="280" t="n">
        <v>202601010</v>
      </c>
    </row>
    <row r="14">
      <c r="A14" s="280" t="inlineStr">
        <is>
          <t>5話</t>
        </is>
      </c>
      <c r="C14" s="280" t="inlineStr">
        <is>
          <t>event_jig1_charaget01_00005</t>
        </is>
      </c>
      <c r="E14" s="280" t="n">
        <v>5</v>
      </c>
      <c r="G14" s="280" t="inlineStr">
        <is>
          <t>ElapsedTime</t>
        </is>
      </c>
      <c r="H14" s="280" t="n">
        <v>800</v>
      </c>
      <c r="I14" s="280" t="inlineStr">
        <is>
          <t>SummonEnemy</t>
        </is>
      </c>
      <c r="J14" s="280" t="inlineStr">
        <is>
          <t>e_jig_00402_jig1_charaget01_Normal_Colorless</t>
        </is>
      </c>
      <c r="L14" s="280" t="n">
        <v>5</v>
      </c>
      <c r="M14" s="280" t="n">
        <v>800</v>
      </c>
      <c r="N14" s="280" t="inlineStr">
        <is>
          <t>None</t>
        </is>
      </c>
      <c r="P14" s="280" t="inlineStr">
        <is>
          <t>None</t>
        </is>
      </c>
      <c r="R14" s="280" t="inlineStr">
        <is>
          <t>None</t>
        </is>
      </c>
      <c r="T14" s="280" t="inlineStr">
        <is>
          <t>None</t>
        </is>
      </c>
      <c r="W14" s="280" t="b">
        <v>0</v>
      </c>
      <c r="Y14" s="280" t="inlineStr">
        <is>
          <t>Default</t>
        </is>
      </c>
      <c r="Z14" s="280" t="inlineStr">
        <is>
          <t>Normal</t>
        </is>
      </c>
      <c r="AA14" s="280" t="n">
        <v>32</v>
      </c>
      <c r="AB14" s="280" t="n">
        <v>1.5</v>
      </c>
      <c r="AC14" s="280" t="n">
        <v>1</v>
      </c>
      <c r="AD14" s="280" t="n">
        <v>100</v>
      </c>
      <c r="AE14" s="280" t="n">
        <v>0</v>
      </c>
      <c r="AG14" s="280" t="inlineStr">
        <is>
          <t>None</t>
        </is>
      </c>
      <c r="AI14" s="280" t="n">
        <v>202601010</v>
      </c>
    </row>
    <row r="15">
      <c r="A15" s="280" t="inlineStr">
        <is>
          <t>5話</t>
        </is>
      </c>
      <c r="C15" s="280" t="inlineStr">
        <is>
          <t>event_jig1_charaget01_00005</t>
        </is>
      </c>
      <c r="E15" s="280" t="n">
        <v>6</v>
      </c>
      <c r="G15" s="280" t="inlineStr">
        <is>
          <t>OutpostHpPercentage</t>
        </is>
      </c>
      <c r="H15" s="280" t="n">
        <v>99</v>
      </c>
      <c r="I15" s="280" t="inlineStr">
        <is>
          <t>SummonEnemy</t>
        </is>
      </c>
      <c r="J15" s="280" t="inlineStr">
        <is>
          <t>e_jig_00301_jig1_charaget01_Normal_Green</t>
        </is>
      </c>
      <c r="L15" s="280" t="n">
        <v>1</v>
      </c>
      <c r="M15" s="280" t="n">
        <v>0</v>
      </c>
      <c r="N15" s="280" t="inlineStr">
        <is>
          <t>None</t>
        </is>
      </c>
      <c r="P15" s="280" t="inlineStr">
        <is>
          <t>None</t>
        </is>
      </c>
      <c r="R15" s="280" t="inlineStr">
        <is>
          <t>None</t>
        </is>
      </c>
      <c r="T15" s="280" t="inlineStr">
        <is>
          <t>None</t>
        </is>
      </c>
      <c r="W15" s="280" t="b">
        <v>0</v>
      </c>
      <c r="Y15" s="280" t="inlineStr">
        <is>
          <t>Default</t>
        </is>
      </c>
      <c r="Z15" s="280" t="inlineStr">
        <is>
          <t>Normal</t>
        </is>
      </c>
      <c r="AA15" s="280" t="n">
        <v>23</v>
      </c>
      <c r="AB15" s="280" t="n">
        <v>3</v>
      </c>
      <c r="AC15" s="280" t="n">
        <v>1</v>
      </c>
      <c r="AD15" s="280" t="n">
        <v>50</v>
      </c>
      <c r="AE15" s="280" t="n">
        <v>0</v>
      </c>
      <c r="AF15" s="280" t="n">
        <v>300</v>
      </c>
      <c r="AG15" s="280" t="inlineStr">
        <is>
          <t>None</t>
        </is>
      </c>
      <c r="AI15" s="280" t="n">
        <v>202601010</v>
      </c>
    </row>
    <row r="16">
      <c r="A16" s="280" t="inlineStr">
        <is>
          <t>5話</t>
        </is>
      </c>
      <c r="C16" s="280" t="inlineStr">
        <is>
          <t>event_jig1_charaget01_00005</t>
        </is>
      </c>
      <c r="E16" s="280" t="n">
        <v>7</v>
      </c>
      <c r="G16" s="280" t="inlineStr">
        <is>
          <t>OutpostHpPercentage</t>
        </is>
      </c>
      <c r="H16" s="280" t="n">
        <v>99</v>
      </c>
      <c r="I16" s="280" t="inlineStr">
        <is>
          <t>SummonEnemy</t>
        </is>
      </c>
      <c r="J16" s="280" t="inlineStr">
        <is>
          <t>e_jig_00402_jig1_charaget01_Normal_Colorless</t>
        </is>
      </c>
      <c r="L16" s="280" t="n">
        <v>1</v>
      </c>
      <c r="M16" s="280" t="n">
        <v>0</v>
      </c>
      <c r="N16" s="280" t="inlineStr">
        <is>
          <t>None</t>
        </is>
      </c>
      <c r="P16" s="280" t="inlineStr">
        <is>
          <t>None</t>
        </is>
      </c>
      <c r="R16" s="280" t="inlineStr">
        <is>
          <t>None</t>
        </is>
      </c>
      <c r="T16" s="280" t="inlineStr">
        <is>
          <t>None</t>
        </is>
      </c>
      <c r="W16" s="280" t="b">
        <v>0</v>
      </c>
      <c r="Y16" s="280" t="inlineStr">
        <is>
          <t>Default</t>
        </is>
      </c>
      <c r="Z16" s="280" t="inlineStr">
        <is>
          <t>Normal</t>
        </is>
      </c>
      <c r="AA16" s="280" t="n">
        <v>32</v>
      </c>
      <c r="AB16" s="280" t="n">
        <v>1.5</v>
      </c>
      <c r="AC16" s="280" t="n">
        <v>1</v>
      </c>
      <c r="AD16" s="280" t="n">
        <v>50</v>
      </c>
      <c r="AE16" s="280" t="n">
        <v>0</v>
      </c>
      <c r="AF16" s="280" t="n">
        <v>50</v>
      </c>
      <c r="AG16" s="280" t="inlineStr">
        <is>
          <t>None</t>
        </is>
      </c>
      <c r="AI16" s="280" t="n">
        <v>202601010</v>
      </c>
    </row>
    <row r="17">
      <c r="A17" s="280" t="inlineStr">
        <is>
          <t>4話</t>
        </is>
      </c>
      <c r="C17" s="280" t="inlineStr">
        <is>
          <t>event_jig1_charaget01_00004</t>
        </is>
      </c>
      <c r="E17" s="280" t="n">
        <v>1</v>
      </c>
      <c r="G17" s="280" t="inlineStr">
        <is>
          <t>ElapsedTime</t>
        </is>
      </c>
      <c r="H17" s="280" t="n">
        <v>550</v>
      </c>
      <c r="I17" s="280" t="inlineStr">
        <is>
          <t>SummonEnemy</t>
        </is>
      </c>
      <c r="J17" s="280" t="inlineStr">
        <is>
          <t>c_jig_00201_jig1_charaget01_Boss_Green</t>
        </is>
      </c>
      <c r="L17" s="280" t="n">
        <v>1</v>
      </c>
      <c r="M17" s="280" t="n">
        <v>0</v>
      </c>
      <c r="N17" s="280" t="inlineStr">
        <is>
          <t>None</t>
        </is>
      </c>
      <c r="P17" s="280" t="inlineStr">
        <is>
          <t>None</t>
        </is>
      </c>
      <c r="R17" s="280" t="inlineStr">
        <is>
          <t>None</t>
        </is>
      </c>
      <c r="T17" s="280" t="inlineStr">
        <is>
          <t>None</t>
        </is>
      </c>
      <c r="W17" s="280" t="b">
        <v>0</v>
      </c>
      <c r="Y17" s="280" t="inlineStr">
        <is>
          <t>Default</t>
        </is>
      </c>
      <c r="Z17" s="280" t="inlineStr">
        <is>
          <t>Normal</t>
        </is>
      </c>
      <c r="AA17" s="280" t="n">
        <v>6</v>
      </c>
      <c r="AB17" s="280" t="n">
        <v>4</v>
      </c>
      <c r="AC17" s="280" t="n">
        <v>1</v>
      </c>
      <c r="AD17" s="280" t="n">
        <v>200</v>
      </c>
      <c r="AE17" s="280" t="n">
        <v>0</v>
      </c>
      <c r="AG17" s="280" t="inlineStr">
        <is>
          <t>None</t>
        </is>
      </c>
      <c r="AI17" s="280" t="n">
        <v>202601010</v>
      </c>
    </row>
    <row r="18">
      <c r="A18" s="280" t="inlineStr">
        <is>
          <t>4話</t>
        </is>
      </c>
      <c r="C18" s="280" t="inlineStr">
        <is>
          <t>event_jig1_charaget01_00004</t>
        </is>
      </c>
      <c r="E18" s="280" t="n">
        <v>2</v>
      </c>
      <c r="G18" s="280" t="inlineStr">
        <is>
          <t>ElapsedTime</t>
        </is>
      </c>
      <c r="H18" s="280" t="n">
        <v>200</v>
      </c>
      <c r="I18" s="280" t="inlineStr">
        <is>
          <t>SummonEnemy</t>
        </is>
      </c>
      <c r="J18" s="280" t="inlineStr">
        <is>
          <t>c_jig_00301_jig1_charaget01_Boss_Colorless</t>
        </is>
      </c>
      <c r="L18" s="280" t="n">
        <v>1</v>
      </c>
      <c r="M18" s="280" t="n">
        <v>0</v>
      </c>
      <c r="N18" s="280" t="inlineStr">
        <is>
          <t>None</t>
        </is>
      </c>
      <c r="P18" s="280" t="inlineStr">
        <is>
          <t>None</t>
        </is>
      </c>
      <c r="R18" s="280" t="inlineStr">
        <is>
          <t>None</t>
        </is>
      </c>
      <c r="T18" s="280" t="inlineStr">
        <is>
          <t>None</t>
        </is>
      </c>
      <c r="W18" s="280" t="b">
        <v>0</v>
      </c>
      <c r="Y18" s="280" t="inlineStr">
        <is>
          <t>Default</t>
        </is>
      </c>
      <c r="Z18" s="280" t="inlineStr">
        <is>
          <t>Normal</t>
        </is>
      </c>
      <c r="AA18" s="280" t="n">
        <v>12</v>
      </c>
      <c r="AB18" s="280" t="n">
        <v>3</v>
      </c>
      <c r="AC18" s="280" t="n">
        <v>1</v>
      </c>
      <c r="AD18" s="280" t="n">
        <v>200</v>
      </c>
      <c r="AE18" s="280" t="n">
        <v>0</v>
      </c>
      <c r="AG18" s="280" t="inlineStr">
        <is>
          <t>None</t>
        </is>
      </c>
      <c r="AI18" s="280" t="n">
        <v>202601010</v>
      </c>
    </row>
    <row r="19">
      <c r="A19" s="280" t="inlineStr">
        <is>
          <t>4話</t>
        </is>
      </c>
      <c r="C19" s="280" t="inlineStr">
        <is>
          <t>event_jig1_charaget01_00004</t>
        </is>
      </c>
      <c r="E19" s="280" t="n">
        <v>3</v>
      </c>
      <c r="G19" s="280" t="inlineStr">
        <is>
          <t>FriendUnitDead</t>
        </is>
      </c>
      <c r="H19" s="280" t="n">
        <v>1</v>
      </c>
      <c r="I19" s="280" t="inlineStr">
        <is>
          <t>SummonEnemy</t>
        </is>
      </c>
      <c r="J19" s="280" t="inlineStr">
        <is>
          <t>e_jig_00301_jig1_charaget01_Normal_Green</t>
        </is>
      </c>
      <c r="L19" s="280" t="n">
        <v>1</v>
      </c>
      <c r="M19" s="280" t="n">
        <v>0</v>
      </c>
      <c r="N19" s="280" t="inlineStr">
        <is>
          <t>None</t>
        </is>
      </c>
      <c r="P19" s="280" t="inlineStr">
        <is>
          <t>None</t>
        </is>
      </c>
      <c r="R19" s="280" t="inlineStr">
        <is>
          <t>None</t>
        </is>
      </c>
      <c r="T19" s="280" t="inlineStr">
        <is>
          <t>None</t>
        </is>
      </c>
      <c r="W19" s="280" t="b">
        <v>0</v>
      </c>
      <c r="Y19" s="280" t="inlineStr">
        <is>
          <t>Default</t>
        </is>
      </c>
      <c r="Z19" s="280" t="inlineStr">
        <is>
          <t>Normal</t>
        </is>
      </c>
      <c r="AA19" s="280" t="n">
        <v>15</v>
      </c>
      <c r="AB19" s="280" t="n">
        <v>4</v>
      </c>
      <c r="AC19" s="280" t="n">
        <v>1</v>
      </c>
      <c r="AD19" s="280" t="n">
        <v>100</v>
      </c>
      <c r="AE19" s="280" t="n">
        <v>0</v>
      </c>
      <c r="AF19" s="280" t="n">
        <v>50</v>
      </c>
      <c r="AG19" s="280" t="inlineStr">
        <is>
          <t>None</t>
        </is>
      </c>
      <c r="AI19" s="280" t="n">
        <v>202601010</v>
      </c>
    </row>
    <row r="20">
      <c r="A20" s="280" t="inlineStr">
        <is>
          <t>4話</t>
        </is>
      </c>
      <c r="C20" s="280" t="inlineStr">
        <is>
          <t>event_jig1_charaget01_00004</t>
        </is>
      </c>
      <c r="E20" s="280" t="n">
        <v>4</v>
      </c>
      <c r="G20" s="280" t="inlineStr">
        <is>
          <t>ElapsedTime</t>
        </is>
      </c>
      <c r="H20" s="280" t="n">
        <v>800</v>
      </c>
      <c r="I20" s="280" t="inlineStr">
        <is>
          <t>SummonEnemy</t>
        </is>
      </c>
      <c r="J20" s="280" t="inlineStr">
        <is>
          <t>e_jig_00401_jig1_charaget01_Normal_Green</t>
        </is>
      </c>
      <c r="L20" s="280" t="n">
        <v>4</v>
      </c>
      <c r="M20" s="280" t="n">
        <v>250</v>
      </c>
      <c r="N20" s="280" t="inlineStr">
        <is>
          <t>None</t>
        </is>
      </c>
      <c r="P20" s="280" t="inlineStr">
        <is>
          <t>None</t>
        </is>
      </c>
      <c r="R20" s="280" t="inlineStr">
        <is>
          <t>None</t>
        </is>
      </c>
      <c r="T20" s="280" t="inlineStr">
        <is>
          <t>None</t>
        </is>
      </c>
      <c r="W20" s="280" t="b">
        <v>0</v>
      </c>
      <c r="Y20" s="280" t="inlineStr">
        <is>
          <t>Default</t>
        </is>
      </c>
      <c r="Z20" s="280" t="inlineStr">
        <is>
          <t>Normal</t>
        </is>
      </c>
      <c r="AA20" s="280" t="n">
        <v>1</v>
      </c>
      <c r="AB20" s="280" t="n">
        <v>2.5</v>
      </c>
      <c r="AC20" s="280" t="n">
        <v>1</v>
      </c>
      <c r="AD20" s="280" t="n">
        <v>50</v>
      </c>
      <c r="AE20" s="280" t="n">
        <v>0</v>
      </c>
      <c r="AG20" s="280" t="inlineStr">
        <is>
          <t>None</t>
        </is>
      </c>
      <c r="AI20" s="280" t="n">
        <v>202601010</v>
      </c>
    </row>
    <row r="21">
      <c r="A21" s="280" t="inlineStr">
        <is>
          <t>4話</t>
        </is>
      </c>
      <c r="C21" s="280" t="inlineStr">
        <is>
          <t>event_jig1_charaget01_00004</t>
        </is>
      </c>
      <c r="E21" s="280" t="n">
        <v>5</v>
      </c>
      <c r="G21" s="280" t="inlineStr">
        <is>
          <t>FriendUnitDead</t>
        </is>
      </c>
      <c r="H21" s="280" t="n">
        <v>2</v>
      </c>
      <c r="I21" s="280" t="inlineStr">
        <is>
          <t>SummonEnemy</t>
        </is>
      </c>
      <c r="J21" s="280" t="inlineStr">
        <is>
          <t>e_jig_00402_jig1_charaget01_Normal_Colorless</t>
        </is>
      </c>
      <c r="L21" s="280" t="n">
        <v>2</v>
      </c>
      <c r="M21" s="280" t="n">
        <v>50</v>
      </c>
      <c r="N21" s="280" t="inlineStr">
        <is>
          <t>None</t>
        </is>
      </c>
      <c r="P21" s="280" t="inlineStr">
        <is>
          <t>None</t>
        </is>
      </c>
      <c r="R21" s="280" t="inlineStr">
        <is>
          <t>None</t>
        </is>
      </c>
      <c r="T21" s="280" t="inlineStr">
        <is>
          <t>None</t>
        </is>
      </c>
      <c r="W21" s="280" t="b">
        <v>0</v>
      </c>
      <c r="Y21" s="280" t="inlineStr">
        <is>
          <t>Default</t>
        </is>
      </c>
      <c r="Z21" s="280" t="inlineStr">
        <is>
          <t>Normal</t>
        </is>
      </c>
      <c r="AA21" s="280" t="n">
        <v>30</v>
      </c>
      <c r="AB21" s="280" t="n">
        <v>1.5</v>
      </c>
      <c r="AC21" s="280" t="n">
        <v>1</v>
      </c>
      <c r="AD21" s="280" t="n">
        <v>50</v>
      </c>
      <c r="AE21" s="280" t="n">
        <v>0</v>
      </c>
      <c r="AF21" s="280" t="n">
        <v>50</v>
      </c>
      <c r="AG21" s="280" t="inlineStr">
        <is>
          <t>None</t>
        </is>
      </c>
      <c r="AI21" s="280" t="n">
        <v>202601010</v>
      </c>
    </row>
    <row r="22">
      <c r="A22" s="280" t="inlineStr">
        <is>
          <t>3話</t>
        </is>
      </c>
      <c r="C22" s="280" t="inlineStr">
        <is>
          <t>event_jig1_charaget01_00003</t>
        </is>
      </c>
      <c r="E22" s="280" t="n">
        <v>1</v>
      </c>
      <c r="G22" s="280" t="inlineStr">
        <is>
          <t>EnterTargetKomaIndex</t>
        </is>
      </c>
      <c r="H22" s="280" t="n">
        <v>1</v>
      </c>
      <c r="I22" s="280" t="inlineStr">
        <is>
          <t>SummonEnemy</t>
        </is>
      </c>
      <c r="J22" s="280" t="inlineStr">
        <is>
          <t>c_jig_00001_jig1_charaget01_Boss_Yellow</t>
        </is>
      </c>
      <c r="L22" s="280" t="n">
        <v>1</v>
      </c>
      <c r="M22" s="280" t="n">
        <v>0</v>
      </c>
      <c r="N22" s="280" t="inlineStr">
        <is>
          <t>None</t>
        </is>
      </c>
      <c r="P22" s="280" t="inlineStr">
        <is>
          <t>None</t>
        </is>
      </c>
      <c r="R22" s="280" t="inlineStr">
        <is>
          <t>None</t>
        </is>
      </c>
      <c r="T22" s="280" t="inlineStr">
        <is>
          <t>None</t>
        </is>
      </c>
      <c r="W22" s="280" t="b">
        <v>0</v>
      </c>
      <c r="Y22" s="280" t="inlineStr">
        <is>
          <t>Default</t>
        </is>
      </c>
      <c r="Z22" s="280" t="inlineStr">
        <is>
          <t>Normal</t>
        </is>
      </c>
      <c r="AA22" s="280" t="n">
        <v>4</v>
      </c>
      <c r="AB22" s="280" t="n">
        <v>2</v>
      </c>
      <c r="AC22" s="280" t="n">
        <v>1</v>
      </c>
      <c r="AD22" s="280" t="n">
        <v>200</v>
      </c>
      <c r="AE22" s="280" t="n">
        <v>0</v>
      </c>
      <c r="AF22" s="280" t="n">
        <v>50</v>
      </c>
      <c r="AG22" s="280" t="inlineStr">
        <is>
          <t>None</t>
        </is>
      </c>
      <c r="AI22" s="280" t="n">
        <v>202601010</v>
      </c>
    </row>
    <row r="23">
      <c r="A23" s="280" t="inlineStr">
        <is>
          <t>3話</t>
        </is>
      </c>
      <c r="C23" s="280" t="inlineStr">
        <is>
          <t>event_jig1_charaget01_00003</t>
        </is>
      </c>
      <c r="E23" s="280" t="n">
        <v>2</v>
      </c>
      <c r="G23" s="280" t="inlineStr">
        <is>
          <t>EnterTargetKomaIndex</t>
        </is>
      </c>
      <c r="H23" s="280" t="n">
        <v>1</v>
      </c>
      <c r="I23" s="280" t="inlineStr">
        <is>
          <t>SummonEnemy</t>
        </is>
      </c>
      <c r="J23" s="280" t="inlineStr">
        <is>
          <t>c_jig_00101_jig1_charaget01_Boss_Yellow</t>
        </is>
      </c>
      <c r="L23" s="280" t="n">
        <v>1</v>
      </c>
      <c r="M23" s="280" t="n">
        <v>0</v>
      </c>
      <c r="N23" s="280" t="inlineStr">
        <is>
          <t>None</t>
        </is>
      </c>
      <c r="P23" s="280" t="inlineStr">
        <is>
          <t>None</t>
        </is>
      </c>
      <c r="R23" s="280" t="inlineStr">
        <is>
          <t>None</t>
        </is>
      </c>
      <c r="T23" s="280" t="inlineStr">
        <is>
          <t>None</t>
        </is>
      </c>
      <c r="W23" s="280" t="b">
        <v>0</v>
      </c>
      <c r="Y23" s="280" t="inlineStr">
        <is>
          <t>Default</t>
        </is>
      </c>
      <c r="Z23" s="280" t="inlineStr">
        <is>
          <t>Normal</t>
        </is>
      </c>
      <c r="AA23" s="280" t="n">
        <v>3</v>
      </c>
      <c r="AB23" s="280" t="n">
        <v>3</v>
      </c>
      <c r="AC23" s="280" t="n">
        <v>1</v>
      </c>
      <c r="AD23" s="280" t="n">
        <v>200</v>
      </c>
      <c r="AE23" s="280" t="n">
        <v>0</v>
      </c>
      <c r="AF23" s="280" t="n">
        <v>300</v>
      </c>
      <c r="AG23" s="280" t="inlineStr">
        <is>
          <t>None</t>
        </is>
      </c>
      <c r="AI23" s="280" t="n">
        <v>202601010</v>
      </c>
    </row>
    <row r="24">
      <c r="A24" s="280" t="inlineStr">
        <is>
          <t>3話</t>
        </is>
      </c>
      <c r="C24" s="280" t="inlineStr">
        <is>
          <t>event_jig1_charaget01_00003</t>
        </is>
      </c>
      <c r="E24" s="280" t="n">
        <v>3</v>
      </c>
      <c r="G24" s="280" t="inlineStr">
        <is>
          <t>InitialSummon</t>
        </is>
      </c>
      <c r="H24" s="280" t="n">
        <v>1</v>
      </c>
      <c r="I24" s="280" t="inlineStr">
        <is>
          <t>SummonEnemy</t>
        </is>
      </c>
      <c r="J24" s="280" t="inlineStr">
        <is>
          <t>e_jig_00402_jig1_charaget01_Normal_Colorless</t>
        </is>
      </c>
      <c r="L24" s="280" t="n">
        <v>1</v>
      </c>
      <c r="M24" s="280" t="n">
        <v>0</v>
      </c>
      <c r="N24" s="280" t="inlineStr">
        <is>
          <t>None</t>
        </is>
      </c>
      <c r="O24" s="280" t="n">
        <v>1.7</v>
      </c>
      <c r="P24" s="280" t="inlineStr">
        <is>
          <t>EnterTargetKoma</t>
        </is>
      </c>
      <c r="Q24" s="280" t="n">
        <v>1</v>
      </c>
      <c r="R24" s="280" t="inlineStr">
        <is>
          <t>None</t>
        </is>
      </c>
      <c r="T24" s="280" t="inlineStr">
        <is>
          <t>None</t>
        </is>
      </c>
      <c r="W24" s="280" t="b">
        <v>0</v>
      </c>
      <c r="Y24" s="280" t="inlineStr">
        <is>
          <t>Default</t>
        </is>
      </c>
      <c r="Z24" s="280" t="inlineStr">
        <is>
          <t>Normal</t>
        </is>
      </c>
      <c r="AA24" s="280" t="n">
        <v>20</v>
      </c>
      <c r="AB24" s="280" t="n">
        <v>0.8</v>
      </c>
      <c r="AC24" s="280" t="n">
        <v>1</v>
      </c>
      <c r="AD24" s="280" t="n">
        <v>50</v>
      </c>
      <c r="AE24" s="280" t="n">
        <v>0</v>
      </c>
      <c r="AG24" s="280" t="inlineStr">
        <is>
          <t>None</t>
        </is>
      </c>
      <c r="AI24" s="280" t="n">
        <v>202601010</v>
      </c>
    </row>
    <row r="25">
      <c r="A25" s="280" t="inlineStr">
        <is>
          <t>3話</t>
        </is>
      </c>
      <c r="C25" s="280" t="inlineStr">
        <is>
          <t>event_jig1_charaget01_00003</t>
        </is>
      </c>
      <c r="E25" s="280" t="n">
        <v>4</v>
      </c>
      <c r="G25" s="280" t="inlineStr">
        <is>
          <t>FriendUnitDead</t>
        </is>
      </c>
      <c r="H25" s="280" t="n">
        <v>3</v>
      </c>
      <c r="I25" s="280" t="inlineStr">
        <is>
          <t>SummonEnemy</t>
        </is>
      </c>
      <c r="J25" s="280" t="inlineStr">
        <is>
          <t>e_jig_00402_jig1_charaget01_Normal_Colorless</t>
        </is>
      </c>
      <c r="L25" s="280" t="n">
        <v>2</v>
      </c>
      <c r="M25" s="280" t="n">
        <v>50</v>
      </c>
      <c r="N25" s="280" t="inlineStr">
        <is>
          <t>None</t>
        </is>
      </c>
      <c r="P25" s="280" t="inlineStr">
        <is>
          <t>None</t>
        </is>
      </c>
      <c r="R25" s="280" t="inlineStr">
        <is>
          <t>None</t>
        </is>
      </c>
      <c r="T25" s="280" t="inlineStr">
        <is>
          <t>None</t>
        </is>
      </c>
      <c r="W25" s="280" t="b">
        <v>0</v>
      </c>
      <c r="Y25" s="280" t="inlineStr">
        <is>
          <t>Default</t>
        </is>
      </c>
      <c r="Z25" s="280" t="inlineStr">
        <is>
          <t>Normal</t>
        </is>
      </c>
      <c r="AA25" s="280" t="n">
        <v>20</v>
      </c>
      <c r="AB25" s="280" t="n">
        <v>0.8</v>
      </c>
      <c r="AC25" s="280" t="n">
        <v>1</v>
      </c>
      <c r="AD25" s="280" t="n">
        <v>50</v>
      </c>
      <c r="AE25" s="280" t="n">
        <v>0</v>
      </c>
      <c r="AG25" s="280" t="inlineStr">
        <is>
          <t>None</t>
        </is>
      </c>
      <c r="AI25" s="280" t="n">
        <v>202601010</v>
      </c>
    </row>
    <row r="26">
      <c r="A26" s="280" t="inlineStr">
        <is>
          <t>3話</t>
        </is>
      </c>
      <c r="C26" s="280" t="inlineStr">
        <is>
          <t>event_jig1_charaget01_00003</t>
        </is>
      </c>
      <c r="E26" s="280" t="n">
        <v>5</v>
      </c>
      <c r="G26" s="280" t="inlineStr">
        <is>
          <t>ElapsedTime</t>
        </is>
      </c>
      <c r="H26" s="280" t="n">
        <v>1500</v>
      </c>
      <c r="I26" s="280" t="inlineStr">
        <is>
          <t>SummonEnemy</t>
        </is>
      </c>
      <c r="J26" s="280" t="inlineStr">
        <is>
          <t>e_jig_00402_jig1_charaget01_Normal_Colorless</t>
        </is>
      </c>
      <c r="L26" s="280" t="n">
        <v>1</v>
      </c>
      <c r="M26" s="280" t="n">
        <v>0</v>
      </c>
      <c r="N26" s="280" t="inlineStr">
        <is>
          <t>None</t>
        </is>
      </c>
      <c r="P26" s="280" t="inlineStr">
        <is>
          <t>None</t>
        </is>
      </c>
      <c r="R26" s="280" t="inlineStr">
        <is>
          <t>None</t>
        </is>
      </c>
      <c r="T26" s="280" t="inlineStr">
        <is>
          <t>None</t>
        </is>
      </c>
      <c r="W26" s="280" t="b">
        <v>0</v>
      </c>
      <c r="Y26" s="280" t="inlineStr">
        <is>
          <t>Default</t>
        </is>
      </c>
      <c r="Z26" s="280" t="inlineStr">
        <is>
          <t>Normal</t>
        </is>
      </c>
      <c r="AA26" s="280" t="n">
        <v>20</v>
      </c>
      <c r="AB26" s="280" t="n">
        <v>0.8</v>
      </c>
      <c r="AC26" s="280" t="n">
        <v>1</v>
      </c>
      <c r="AD26" s="280" t="n">
        <v>50</v>
      </c>
      <c r="AE26" s="280" t="n">
        <v>0</v>
      </c>
      <c r="AG26" s="280" t="inlineStr">
        <is>
          <t>None</t>
        </is>
      </c>
      <c r="AI26" s="280" t="n">
        <v>202601010</v>
      </c>
    </row>
    <row r="27">
      <c r="A27" s="280" t="inlineStr">
        <is>
          <t>3話</t>
        </is>
      </c>
      <c r="C27" s="280" t="inlineStr">
        <is>
          <t>event_jig1_charaget01_00003</t>
        </is>
      </c>
      <c r="E27" s="280" t="n">
        <v>6</v>
      </c>
      <c r="G27" s="280" t="inlineStr">
        <is>
          <t>FriendUnitDead</t>
        </is>
      </c>
      <c r="H27" s="280" t="n">
        <v>2</v>
      </c>
      <c r="I27" s="280" t="inlineStr">
        <is>
          <t>SummonEnemy</t>
        </is>
      </c>
      <c r="J27" s="280" t="inlineStr">
        <is>
          <t>e_jig_00402_jig1_charaget01_Normal_Colorless</t>
        </is>
      </c>
      <c r="L27" s="280" t="n">
        <v>3</v>
      </c>
      <c r="M27" s="280" t="n">
        <v>1000</v>
      </c>
      <c r="N27" s="280" t="inlineStr">
        <is>
          <t>None</t>
        </is>
      </c>
      <c r="P27" s="280" t="inlineStr">
        <is>
          <t>None</t>
        </is>
      </c>
      <c r="R27" s="280" t="inlineStr">
        <is>
          <t>None</t>
        </is>
      </c>
      <c r="T27" s="280" t="inlineStr">
        <is>
          <t>None</t>
        </is>
      </c>
      <c r="W27" s="280" t="b">
        <v>0</v>
      </c>
      <c r="Y27" s="280" t="inlineStr">
        <is>
          <t>Default</t>
        </is>
      </c>
      <c r="Z27" s="280" t="inlineStr">
        <is>
          <t>Normal</t>
        </is>
      </c>
      <c r="AA27" s="280" t="n">
        <v>20</v>
      </c>
      <c r="AB27" s="280" t="n">
        <v>0.8</v>
      </c>
      <c r="AC27" s="280" t="n">
        <v>1</v>
      </c>
      <c r="AD27" s="280" t="n">
        <v>50</v>
      </c>
      <c r="AE27" s="280" t="n">
        <v>0</v>
      </c>
      <c r="AF27" s="280" t="n">
        <v>50</v>
      </c>
      <c r="AG27" s="280" t="inlineStr">
        <is>
          <t>None</t>
        </is>
      </c>
      <c r="AI27" s="280" t="n">
        <v>202601010</v>
      </c>
    </row>
    <row r="28">
      <c r="A28" s="280" t="inlineStr">
        <is>
          <t>2話</t>
        </is>
      </c>
      <c r="C28" s="280" t="inlineStr">
        <is>
          <t>event_jig1_charaget01_00002</t>
        </is>
      </c>
      <c r="E28" s="280" t="n">
        <v>1</v>
      </c>
      <c r="G28" s="280" t="inlineStr">
        <is>
          <t>FriendUnitDead</t>
        </is>
      </c>
      <c r="H28" s="280" t="n">
        <v>3</v>
      </c>
      <c r="I28" s="280" t="inlineStr">
        <is>
          <t>SummonEnemy</t>
        </is>
      </c>
      <c r="J28" s="280" t="inlineStr">
        <is>
          <t>c_jig_00101_jig1_charaget01_Boss_Yellow</t>
        </is>
      </c>
      <c r="L28" s="280" t="n">
        <v>1</v>
      </c>
      <c r="M28" s="280" t="n">
        <v>0</v>
      </c>
      <c r="N28" s="280" t="inlineStr">
        <is>
          <t>None</t>
        </is>
      </c>
      <c r="P28" s="280" t="inlineStr">
        <is>
          <t>None</t>
        </is>
      </c>
      <c r="R28" s="280" t="inlineStr">
        <is>
          <t>None</t>
        </is>
      </c>
      <c r="T28" s="280" t="inlineStr">
        <is>
          <t>None</t>
        </is>
      </c>
      <c r="W28" s="280" t="b">
        <v>0</v>
      </c>
      <c r="Y28" s="280" t="inlineStr">
        <is>
          <t>Default</t>
        </is>
      </c>
      <c r="Z28" s="280" t="inlineStr">
        <is>
          <t>Normal</t>
        </is>
      </c>
      <c r="AA28" s="280" t="n">
        <v>2.5</v>
      </c>
      <c r="AB28" s="280" t="n">
        <v>3</v>
      </c>
      <c r="AC28" s="280" t="n">
        <v>1</v>
      </c>
      <c r="AD28" s="280" t="n">
        <v>200</v>
      </c>
      <c r="AE28" s="280" t="n">
        <v>0</v>
      </c>
      <c r="AF28" s="280" t="n">
        <v>50</v>
      </c>
      <c r="AG28" s="280" t="inlineStr">
        <is>
          <t>None</t>
        </is>
      </c>
      <c r="AI28" s="280" t="n">
        <v>202601010</v>
      </c>
    </row>
    <row r="29">
      <c r="A29" s="280" t="inlineStr">
        <is>
          <t>2話</t>
        </is>
      </c>
      <c r="C29" s="280" t="inlineStr">
        <is>
          <t>event_jig1_charaget01_00002</t>
        </is>
      </c>
      <c r="E29" s="280" t="n">
        <v>2</v>
      </c>
      <c r="G29" s="280" t="inlineStr">
        <is>
          <t>InitialSummon</t>
        </is>
      </c>
      <c r="H29" s="280" t="n">
        <v>0</v>
      </c>
      <c r="I29" s="280" t="inlineStr">
        <is>
          <t>SummonEnemy</t>
        </is>
      </c>
      <c r="J29" s="280" t="inlineStr">
        <is>
          <t>e_jig_00501_jig1_charaget01_Boss_Colorless</t>
        </is>
      </c>
      <c r="L29" s="280" t="n">
        <v>1</v>
      </c>
      <c r="M29" s="280" t="n">
        <v>0</v>
      </c>
      <c r="N29" s="280" t="inlineStr">
        <is>
          <t>None</t>
        </is>
      </c>
      <c r="O29" s="280" t="n">
        <v>1.4</v>
      </c>
      <c r="P29" s="280" t="inlineStr">
        <is>
          <t>EnterTargetKoma</t>
        </is>
      </c>
      <c r="Q29" s="280" t="n">
        <v>1</v>
      </c>
      <c r="R29" s="280" t="inlineStr">
        <is>
          <t>None</t>
        </is>
      </c>
      <c r="T29" s="280" t="inlineStr">
        <is>
          <t>None</t>
        </is>
      </c>
      <c r="W29" s="280" t="b">
        <v>0</v>
      </c>
      <c r="Y29" s="280" t="inlineStr">
        <is>
          <t>Default</t>
        </is>
      </c>
      <c r="Z29" s="280" t="inlineStr">
        <is>
          <t>Normal</t>
        </is>
      </c>
      <c r="AA29" s="280" t="n">
        <v>9</v>
      </c>
      <c r="AB29" s="280" t="n">
        <v>0.8</v>
      </c>
      <c r="AC29" s="280" t="n">
        <v>1</v>
      </c>
      <c r="AD29" s="280" t="n">
        <v>200</v>
      </c>
      <c r="AE29" s="280" t="n">
        <v>0</v>
      </c>
      <c r="AG29" s="280" t="inlineStr">
        <is>
          <t>None</t>
        </is>
      </c>
      <c r="AI29" s="280" t="n">
        <v>202601010</v>
      </c>
    </row>
    <row r="30">
      <c r="A30" s="280" t="inlineStr">
        <is>
          <t>2話</t>
        </is>
      </c>
      <c r="C30" s="280" t="inlineStr">
        <is>
          <t>event_jig1_charaget01_00002</t>
        </is>
      </c>
      <c r="E30" s="280" t="n">
        <v>3</v>
      </c>
      <c r="G30" s="280" t="inlineStr">
        <is>
          <t>ElapsedTime</t>
        </is>
      </c>
      <c r="H30" s="280" t="n">
        <v>250</v>
      </c>
      <c r="I30" s="280" t="inlineStr">
        <is>
          <t>SummonEnemy</t>
        </is>
      </c>
      <c r="J30" s="280" t="inlineStr">
        <is>
          <t>e_jig_00401_jig1_charaget01_Normal_Green</t>
        </is>
      </c>
      <c r="L30" s="280" t="n">
        <v>2</v>
      </c>
      <c r="M30" s="280" t="n">
        <v>50</v>
      </c>
      <c r="N30" s="280" t="inlineStr">
        <is>
          <t>None</t>
        </is>
      </c>
      <c r="P30" s="280" t="inlineStr">
        <is>
          <t>None</t>
        </is>
      </c>
      <c r="R30" s="280" t="inlineStr">
        <is>
          <t>None</t>
        </is>
      </c>
      <c r="T30" s="280" t="inlineStr">
        <is>
          <t>None</t>
        </is>
      </c>
      <c r="W30" s="280" t="b">
        <v>0</v>
      </c>
      <c r="Y30" s="280" t="inlineStr">
        <is>
          <t>Default</t>
        </is>
      </c>
      <c r="Z30" s="280" t="inlineStr">
        <is>
          <t>Normal</t>
        </is>
      </c>
      <c r="AA30" s="280" t="n">
        <v>5</v>
      </c>
      <c r="AB30" s="280" t="n">
        <v>0.5</v>
      </c>
      <c r="AC30" s="280" t="n">
        <v>1</v>
      </c>
      <c r="AD30" s="280" t="n">
        <v>75</v>
      </c>
      <c r="AE30" s="280" t="n">
        <v>0</v>
      </c>
      <c r="AG30" s="280" t="inlineStr">
        <is>
          <t>None</t>
        </is>
      </c>
      <c r="AI30" s="280" t="n">
        <v>202601010</v>
      </c>
    </row>
    <row r="31">
      <c r="A31" s="280" t="inlineStr">
        <is>
          <t>2話</t>
        </is>
      </c>
      <c r="C31" s="280" t="inlineStr">
        <is>
          <t>event_jig1_charaget01_00002</t>
        </is>
      </c>
      <c r="E31" s="280" t="n">
        <v>4</v>
      </c>
      <c r="G31" s="280" t="inlineStr">
        <is>
          <t>ElapsedTime</t>
        </is>
      </c>
      <c r="H31" s="280" t="n">
        <v>1700</v>
      </c>
      <c r="I31" s="280" t="inlineStr">
        <is>
          <t>SummonEnemy</t>
        </is>
      </c>
      <c r="J31" s="280" t="inlineStr">
        <is>
          <t>e_jig_00401_jig1_charaget01_Normal_Green</t>
        </is>
      </c>
      <c r="L31" s="280" t="n">
        <v>2</v>
      </c>
      <c r="M31" s="280" t="n">
        <v>50</v>
      </c>
      <c r="N31" s="280" t="inlineStr">
        <is>
          <t>None</t>
        </is>
      </c>
      <c r="P31" s="280" t="inlineStr">
        <is>
          <t>None</t>
        </is>
      </c>
      <c r="R31" s="280" t="inlineStr">
        <is>
          <t>None</t>
        </is>
      </c>
      <c r="T31" s="280" t="inlineStr">
        <is>
          <t>None</t>
        </is>
      </c>
      <c r="W31" s="280" t="b">
        <v>0</v>
      </c>
      <c r="Y31" s="280" t="inlineStr">
        <is>
          <t>Default</t>
        </is>
      </c>
      <c r="Z31" s="280" t="inlineStr">
        <is>
          <t>Normal</t>
        </is>
      </c>
      <c r="AA31" s="280" t="n">
        <v>5</v>
      </c>
      <c r="AB31" s="280" t="n">
        <v>0.5</v>
      </c>
      <c r="AC31" s="280" t="n">
        <v>1</v>
      </c>
      <c r="AD31" s="280" t="n">
        <v>75</v>
      </c>
      <c r="AE31" s="280" t="n">
        <v>0</v>
      </c>
      <c r="AG31" s="280" t="inlineStr">
        <is>
          <t>None</t>
        </is>
      </c>
      <c r="AI31" s="280" t="n">
        <v>202601010</v>
      </c>
    </row>
    <row r="32">
      <c r="A32" s="280" t="inlineStr">
        <is>
          <t>2話</t>
        </is>
      </c>
      <c r="C32" s="280" t="inlineStr">
        <is>
          <t>event_jig1_charaget01_00002</t>
        </is>
      </c>
      <c r="E32" s="280" t="n">
        <v>5</v>
      </c>
      <c r="G32" s="280" t="inlineStr">
        <is>
          <t>ElapsedTime</t>
        </is>
      </c>
      <c r="H32" s="280" t="n">
        <v>2200</v>
      </c>
      <c r="I32" s="280" t="inlineStr">
        <is>
          <t>SummonEnemy</t>
        </is>
      </c>
      <c r="J32" s="280" t="inlineStr">
        <is>
          <t>e_jig_00301_jig1_charaget01_Normal_Green</t>
        </is>
      </c>
      <c r="L32" s="280" t="n">
        <v>1</v>
      </c>
      <c r="M32" s="280" t="n">
        <v>0</v>
      </c>
      <c r="N32" s="280" t="inlineStr">
        <is>
          <t>None</t>
        </is>
      </c>
      <c r="P32" s="280" t="inlineStr">
        <is>
          <t>None</t>
        </is>
      </c>
      <c r="R32" s="280" t="inlineStr">
        <is>
          <t>None</t>
        </is>
      </c>
      <c r="T32" s="280" t="inlineStr">
        <is>
          <t>None</t>
        </is>
      </c>
      <c r="W32" s="280" t="b">
        <v>0</v>
      </c>
      <c r="Y32" s="280" t="inlineStr">
        <is>
          <t>Default</t>
        </is>
      </c>
      <c r="Z32" s="280" t="inlineStr">
        <is>
          <t>Normal</t>
        </is>
      </c>
      <c r="AA32" s="280" t="n">
        <v>8</v>
      </c>
      <c r="AB32" s="280" t="n">
        <v>1</v>
      </c>
      <c r="AC32" s="280" t="n">
        <v>1</v>
      </c>
      <c r="AD32" s="280" t="n">
        <v>75</v>
      </c>
      <c r="AE32" s="280" t="n">
        <v>0</v>
      </c>
      <c r="AG32" s="280" t="inlineStr">
        <is>
          <t>None</t>
        </is>
      </c>
      <c r="AI32" s="280" t="n">
        <v>202601010</v>
      </c>
    </row>
    <row r="33">
      <c r="A33" s="280" t="inlineStr">
        <is>
          <t>1話</t>
        </is>
      </c>
      <c r="C33" s="280" t="inlineStr">
        <is>
          <t>event_jig1_charaget01_00001</t>
        </is>
      </c>
      <c r="E33" s="280" t="n">
        <v>1</v>
      </c>
      <c r="G33" s="280" t="inlineStr">
        <is>
          <t>ElapsedTime</t>
        </is>
      </c>
      <c r="H33" s="280" t="n">
        <v>300</v>
      </c>
      <c r="I33" s="280" t="inlineStr">
        <is>
          <t>SummonEnemy</t>
        </is>
      </c>
      <c r="J33" s="280" t="inlineStr">
        <is>
          <t>e_jig_00402_jig1_charaget01_Normal_Colorless</t>
        </is>
      </c>
      <c r="L33" s="280" t="n">
        <v>3</v>
      </c>
      <c r="M33" s="280" t="n">
        <v>200</v>
      </c>
      <c r="N33" s="280" t="inlineStr">
        <is>
          <t>None</t>
        </is>
      </c>
      <c r="P33" s="280" t="inlineStr">
        <is>
          <t>None</t>
        </is>
      </c>
      <c r="R33" s="280" t="inlineStr">
        <is>
          <t>None</t>
        </is>
      </c>
      <c r="T33" s="280" t="inlineStr">
        <is>
          <t>None</t>
        </is>
      </c>
      <c r="W33" s="280" t="b">
        <v>0</v>
      </c>
      <c r="Y33" s="280" t="inlineStr">
        <is>
          <t>Default</t>
        </is>
      </c>
      <c r="Z33" s="280" t="inlineStr">
        <is>
          <t>Normal</t>
        </is>
      </c>
      <c r="AA33" s="280" t="n">
        <v>1</v>
      </c>
      <c r="AB33" s="280" t="n">
        <v>0.5</v>
      </c>
      <c r="AC33" s="280" t="n">
        <v>1</v>
      </c>
      <c r="AD33" s="280" t="n">
        <v>75</v>
      </c>
      <c r="AE33" s="280" t="n">
        <v>0</v>
      </c>
      <c r="AG33" s="280" t="inlineStr">
        <is>
          <t>None</t>
        </is>
      </c>
      <c r="AI33" s="280" t="n">
        <v>202601010</v>
      </c>
    </row>
    <row r="34">
      <c r="A34" s="280" t="inlineStr">
        <is>
          <t>1話</t>
        </is>
      </c>
      <c r="C34" s="280" t="inlineStr">
        <is>
          <t>event_jig1_charaget01_00001</t>
        </is>
      </c>
      <c r="E34" s="280" t="n">
        <v>2</v>
      </c>
      <c r="G34" s="280" t="inlineStr">
        <is>
          <t>FriendUnitDead</t>
        </is>
      </c>
      <c r="H34" s="280" t="n">
        <v>1</v>
      </c>
      <c r="I34" s="280" t="inlineStr">
        <is>
          <t>SummonEnemy</t>
        </is>
      </c>
      <c r="J34" s="280" t="inlineStr">
        <is>
          <t>e_jig_00402_jig1_charaget01_Normal_Colorless</t>
        </is>
      </c>
      <c r="L34" s="280" t="n">
        <v>2</v>
      </c>
      <c r="M34" s="280" t="n">
        <v>50</v>
      </c>
      <c r="N34" s="280" t="inlineStr">
        <is>
          <t>None</t>
        </is>
      </c>
      <c r="P34" s="280" t="inlineStr">
        <is>
          <t>None</t>
        </is>
      </c>
      <c r="R34" s="280" t="inlineStr">
        <is>
          <t>None</t>
        </is>
      </c>
      <c r="T34" s="280" t="inlineStr">
        <is>
          <t>None</t>
        </is>
      </c>
      <c r="W34" s="280" t="b">
        <v>0</v>
      </c>
      <c r="Y34" s="280" t="inlineStr">
        <is>
          <t>Default</t>
        </is>
      </c>
      <c r="Z34" s="280" t="inlineStr">
        <is>
          <t>Normal</t>
        </is>
      </c>
      <c r="AA34" s="280" t="n">
        <v>1</v>
      </c>
      <c r="AB34" s="280" t="n">
        <v>0.5</v>
      </c>
      <c r="AC34" s="280" t="n">
        <v>1</v>
      </c>
      <c r="AD34" s="280" t="n">
        <v>75</v>
      </c>
      <c r="AE34" s="280" t="n">
        <v>0</v>
      </c>
      <c r="AF34" s="280" t="n">
        <v>250</v>
      </c>
      <c r="AG34" s="280" t="inlineStr">
        <is>
          <t>None</t>
        </is>
      </c>
      <c r="AI34" s="280" t="n">
        <v>202601010</v>
      </c>
    </row>
    <row r="35">
      <c r="A35" s="280" t="inlineStr">
        <is>
          <t>1話</t>
        </is>
      </c>
      <c r="C35" s="280" t="inlineStr">
        <is>
          <t>event_jig1_charaget01_00001</t>
        </is>
      </c>
      <c r="E35" s="280" t="n">
        <v>3</v>
      </c>
      <c r="G35" s="280" t="inlineStr">
        <is>
          <t>OutpostHpPercentage</t>
        </is>
      </c>
      <c r="H35" s="280" t="n">
        <v>99</v>
      </c>
      <c r="I35" s="280" t="inlineStr">
        <is>
          <t>SummonEnemy</t>
        </is>
      </c>
      <c r="J35" s="280" t="inlineStr">
        <is>
          <t>e_jig_00402_jig1_charaget01_Normal_Colorless</t>
        </is>
      </c>
      <c r="L35" s="280" t="n">
        <v>2</v>
      </c>
      <c r="M35" s="280" t="n">
        <v>50</v>
      </c>
      <c r="N35" s="280" t="inlineStr">
        <is>
          <t>None</t>
        </is>
      </c>
      <c r="P35" s="280" t="inlineStr">
        <is>
          <t>None</t>
        </is>
      </c>
      <c r="R35" s="280" t="inlineStr">
        <is>
          <t>None</t>
        </is>
      </c>
      <c r="T35" s="280" t="inlineStr">
        <is>
          <t>None</t>
        </is>
      </c>
      <c r="W35" s="280" t="b">
        <v>0</v>
      </c>
      <c r="Y35" s="280" t="inlineStr">
        <is>
          <t>Default</t>
        </is>
      </c>
      <c r="Z35" s="280" t="inlineStr">
        <is>
          <t>Normal</t>
        </is>
      </c>
      <c r="AA35" s="280" t="n">
        <v>1</v>
      </c>
      <c r="AB35" s="280" t="n">
        <v>0.5</v>
      </c>
      <c r="AC35" s="280" t="n">
        <v>1</v>
      </c>
      <c r="AD35" s="280" t="n">
        <v>75</v>
      </c>
      <c r="AE35" s="280" t="n">
        <v>0</v>
      </c>
      <c r="AG35" s="280" t="inlineStr">
        <is>
          <t>None</t>
        </is>
      </c>
      <c r="AI35" s="280" t="n">
        <v>202601010</v>
      </c>
    </row>
    <row r="36">
      <c r="A36" s="280" t="inlineStr">
        <is>
          <t>1話</t>
        </is>
      </c>
      <c r="C36" s="280" t="inlineStr">
        <is>
          <t>event_jig1_charaget01_00001</t>
        </is>
      </c>
      <c r="E36" s="280" t="n">
        <v>4</v>
      </c>
      <c r="G36" s="280" t="inlineStr">
        <is>
          <t>ElapsedTime</t>
        </is>
      </c>
      <c r="H36" s="280" t="n">
        <v>350</v>
      </c>
      <c r="I36" s="280" t="inlineStr">
        <is>
          <t>SummonEnemy</t>
        </is>
      </c>
      <c r="J36" s="280" t="inlineStr">
        <is>
          <t>e_jig_00401_jig1_charaget01_Normal_Green</t>
        </is>
      </c>
      <c r="L36" s="280" t="n">
        <v>2</v>
      </c>
      <c r="M36" s="280" t="n">
        <v>50</v>
      </c>
      <c r="N36" s="280" t="inlineStr">
        <is>
          <t>None</t>
        </is>
      </c>
      <c r="P36" s="280" t="inlineStr">
        <is>
          <t>None</t>
        </is>
      </c>
      <c r="R36" s="280" t="inlineStr">
        <is>
          <t>None</t>
        </is>
      </c>
      <c r="T36" s="280" t="inlineStr">
        <is>
          <t>None</t>
        </is>
      </c>
      <c r="W36" s="280" t="b">
        <v>0</v>
      </c>
      <c r="Y36" s="280" t="inlineStr">
        <is>
          <t>Default</t>
        </is>
      </c>
      <c r="Z36" s="280" t="inlineStr">
        <is>
          <t>Normal</t>
        </is>
      </c>
      <c r="AA36" s="280" t="n">
        <v>6</v>
      </c>
      <c r="AB36" s="280" t="n">
        <v>2</v>
      </c>
      <c r="AC36" s="280" t="n">
        <v>1</v>
      </c>
      <c r="AD36" s="280" t="n">
        <v>100</v>
      </c>
      <c r="AE36" s="280" t="n">
        <v>0</v>
      </c>
      <c r="AG36" s="280" t="inlineStr">
        <is>
          <t>None</t>
        </is>
      </c>
      <c r="AI36" s="280" t="n">
        <v>202601010</v>
      </c>
    </row>
    <row r="37">
      <c r="A37" s="280" t="inlineStr">
        <is>
          <t>1話</t>
        </is>
      </c>
      <c r="C37" s="280" t="inlineStr">
        <is>
          <t>event_jig1_charaget01_00001</t>
        </is>
      </c>
      <c r="E37" s="280" t="n">
        <v>5</v>
      </c>
      <c r="G37" s="280" t="inlineStr">
        <is>
          <t>ElapsedTime</t>
        </is>
      </c>
      <c r="H37" s="280" t="n">
        <v>99</v>
      </c>
      <c r="I37" s="280" t="inlineStr">
        <is>
          <t>SummonEnemy</t>
        </is>
      </c>
      <c r="J37" s="280" t="inlineStr">
        <is>
          <t>e_jig_00401_jig1_charaget01_Normal_Green</t>
        </is>
      </c>
      <c r="L37" s="280" t="n">
        <v>1</v>
      </c>
      <c r="M37" s="280" t="n">
        <v>50</v>
      </c>
      <c r="N37" s="280" t="inlineStr">
        <is>
          <t>None</t>
        </is>
      </c>
      <c r="P37" s="280" t="inlineStr">
        <is>
          <t>None</t>
        </is>
      </c>
      <c r="R37" s="280" t="inlineStr">
        <is>
          <t>None</t>
        </is>
      </c>
      <c r="T37" s="280" t="inlineStr">
        <is>
          <t>None</t>
        </is>
      </c>
      <c r="W37" s="280" t="b">
        <v>0</v>
      </c>
      <c r="Y37" s="280" t="inlineStr">
        <is>
          <t>Default</t>
        </is>
      </c>
      <c r="Z37" s="280" t="inlineStr">
        <is>
          <t>Normal</t>
        </is>
      </c>
      <c r="AA37" s="280" t="n">
        <v>6</v>
      </c>
      <c r="AB37" s="280" t="n">
        <v>2</v>
      </c>
      <c r="AC37" s="280" t="n">
        <v>1</v>
      </c>
      <c r="AD37" s="280" t="n">
        <v>100</v>
      </c>
      <c r="AE37" s="280" t="n">
        <v>0</v>
      </c>
      <c r="AG37" s="280" t="inlineStr">
        <is>
          <t>None</t>
        </is>
      </c>
      <c r="AI37"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6</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1</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e_jig_00402_jig1_charaget01_Normal_Colorless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v>
      </c>
      <c r="AE40" s="439" t="n"/>
      <c r="AF40" s="495">
        <f t="array" ref="AF40">iferror(INDEX('ファントムマスター_イベント'!O:O,MATCH(H40,'ファントムマスター_イベント'!D:D,0),0)*AH40,"none")</f>
        <v/>
      </c>
      <c r="AG40" s="439" t="n"/>
      <c r="AH40" s="455" t="n">
        <v>0.5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501" t="n">
        <v>300</v>
      </c>
      <c r="CF40" s="439" t="n"/>
      <c r="CG40" s="501" t="n">
        <v>200</v>
      </c>
      <c r="CH40" s="439" t="n"/>
      <c r="CI40" s="501" t="n">
        <v>3</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e_jig_00402_jig1_charaget01_Normal_Colorless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1</v>
      </c>
      <c r="AE41" s="439" t="n"/>
      <c r="AF41" s="495">
        <f t="array" ref="AF41">iferror(INDEX('ファントムマスター_イベント'!O:O,MATCH(H41,'ファントムマスター_イベント'!D:D,0),0)*AH41,"none")</f>
        <v/>
      </c>
      <c r="AG41" s="439" t="n"/>
      <c r="AH41" s="455" t="n">
        <v>0.5</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501" t="n">
        <v>1</v>
      </c>
      <c r="CF41" s="439" t="n"/>
      <c r="CG41" s="501" t="n">
        <v>50</v>
      </c>
      <c r="CH41" s="439" t="n"/>
      <c r="CI41" s="501" t="n">
        <v>2</v>
      </c>
      <c r="CJ41" s="439" t="n"/>
      <c r="CK41" s="501" t="n">
        <v>250</v>
      </c>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e_jig_00402_jig1_charaget01_Normal_Colorless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1</v>
      </c>
      <c r="AE42" s="439" t="n"/>
      <c r="AF42" s="495">
        <f t="array" ref="AF42">iferror(INDEX('ファントムマスター_イベント'!O:O,MATCH(H42,'ファントムマスター_イベント'!D:D,0),0)*AH42,"none")</f>
        <v/>
      </c>
      <c r="AG42" s="439" t="n"/>
      <c r="AH42" s="455" t="n">
        <v>0.5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501" t="n">
        <v>99</v>
      </c>
      <c r="CF42" s="439" t="n"/>
      <c r="CG42" s="501" t="n">
        <v>50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6</v>
      </c>
      <c r="AE43" s="439" t="n"/>
      <c r="AF43" s="495">
        <f t="array" ref="AF43">iferror(INDEX('ファントムマスター_イベント'!O:O,MATCH(H43,'ファントムマスター_イベント'!D:D,0),0)*AH43,"none")</f>
        <v/>
      </c>
      <c r="AG43" s="439" t="n"/>
      <c r="AH43" s="455" t="n">
        <v>2</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350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e_jig_00401_jig1_charaget01_Normal_Green</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6</v>
      </c>
      <c r="AE44" s="439" t="n"/>
      <c r="AF44" s="495">
        <f t="array" ref="AF44">iferror(INDEX('ファントムマスター_イベント'!O:O,MATCH(H44,'ファントムマスター_イベント'!D:D,0),0)*AH44,"none")</f>
        <v/>
      </c>
      <c r="AG44" s="439" t="n"/>
      <c r="AH44" s="455" t="n">
        <v>2</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99</v>
      </c>
      <c r="CF44" s="439" t="n"/>
      <c r="CG44" s="501" t="n">
        <v>50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4">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5</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4</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c_jig_00101_jig1_charaget01_Boss_Yellow</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2.5</v>
      </c>
      <c r="AE40" s="439" t="n"/>
      <c r="AF40" s="495">
        <f t="array" ref="AF40">iferror(INDEX('ファントムマスター_イベント'!O:O,MATCH(H40,'ファントムマスター_イベント'!D:D,0),0)*AH40,"none")</f>
        <v/>
      </c>
      <c r="AG40" s="439" t="n"/>
      <c r="AH40" s="455" t="n">
        <v>3</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501" t="n">
        <v>3</v>
      </c>
      <c r="CF40" s="439" t="n"/>
      <c r="CG40" s="501" t="n">
        <v>0</v>
      </c>
      <c r="CH40" s="439" t="n"/>
      <c r="CI40" s="501" t="n">
        <v>1</v>
      </c>
      <c r="CJ40" s="439" t="n"/>
      <c r="CK40" s="501" t="n">
        <v>50</v>
      </c>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e_jig_00501_jig1_charaget01_Boss_Colorless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9</v>
      </c>
      <c r="AE41" s="439" t="n"/>
      <c r="AF41" s="495">
        <f t="array" ref="AF41">iferror(INDEX('ファントムマスター_イベント'!O:O,MATCH(H41,'ファントムマスター_イベント'!D:D,0),0)*AH41,"none")</f>
        <v/>
      </c>
      <c r="AG41" s="439" t="n"/>
      <c r="AH41" s="455" t="n">
        <v>0.8</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501" t="n">
        <v>0</v>
      </c>
      <c r="CF41" s="439" t="n"/>
      <c r="CG41" s="501" t="n">
        <v>0</v>
      </c>
      <c r="CH41" s="439" t="n"/>
      <c r="CI41" s="501" t="n">
        <v>1</v>
      </c>
      <c r="CJ41" s="439" t="n"/>
      <c r="CK41" s="501" t="n"/>
      <c r="CL41" s="439" t="n"/>
      <c r="CM41" s="501" t="inlineStr">
        <is>
          <t>None</t>
        </is>
      </c>
      <c r="CN41" s="439" t="n"/>
      <c r="CO41" s="455" t="n">
        <v>1.4</v>
      </c>
      <c r="CP41" s="439" t="n"/>
      <c r="CQ41" s="455" t="inlineStr">
        <is>
          <t>EnterTargetKoma</t>
        </is>
      </c>
      <c r="CR41" s="438" t="n"/>
      <c r="CS41" s="438" t="n"/>
      <c r="CT41" s="439" t="n"/>
      <c r="CU41" s="501" t="n">
        <v>1</v>
      </c>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5</v>
      </c>
      <c r="AE42" s="439" t="n"/>
      <c r="AF42" s="495">
        <f t="array" ref="AF42">iferror(INDEX('ファントムマスター_イベント'!O:O,MATCH(H42,'ファントムマスター_イベント'!D:D,0),0)*AH42,"none")</f>
        <v/>
      </c>
      <c r="AG42" s="439" t="n"/>
      <c r="AH42" s="455" t="n">
        <v>0.5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501" t="n">
        <v>250</v>
      </c>
      <c r="CF42" s="439" t="n"/>
      <c r="CG42" s="501" t="n">
        <v>50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5</v>
      </c>
      <c r="AE43" s="439" t="n"/>
      <c r="AF43" s="495">
        <f t="array" ref="AF43">iferror(INDEX('ファントムマスター_イベント'!O:O,MATCH(H43,'ファントムマスター_イベント'!D:D,0),0)*AH43,"none")</f>
        <v/>
      </c>
      <c r="AG43" s="439" t="n"/>
      <c r="AH43" s="455" t="n">
        <v>0.5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501" t="n">
        <v>1700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e_jig_00301_jig1_charaget01_Normal_Green</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8</v>
      </c>
      <c r="AE44" s="439" t="n"/>
      <c r="AF44" s="495">
        <f t="array" ref="AF44">iferror(INDEX('ファントムマスター_イベント'!O:O,MATCH(H44,'ファントムマスター_イベント'!D:D,0),0)*AH44,"none")</f>
        <v/>
      </c>
      <c r="AG44" s="439" t="n"/>
      <c r="AH44" s="455" t="n">
        <v>1</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501" t="n">
        <v>2200</v>
      </c>
      <c r="CF44" s="439" t="n"/>
      <c r="CG44" s="501" t="n">
        <v>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c_jig_00001_jig1_charaget01_Boss_Yellow</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4</v>
      </c>
      <c r="AE40" s="439" t="n"/>
      <c r="AF40" s="495">
        <f t="array" ref="AF40">iferror(INDEX('ファントムマスター_イベント'!O:O,MATCH(H40,'ファントムマスター_イベント'!D:D,0),0)*AH40,"none")</f>
        <v/>
      </c>
      <c r="AG40" s="439" t="n"/>
      <c r="AH40" s="455" t="n">
        <v>2</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501" t="n">
        <v>1</v>
      </c>
      <c r="CF40" s="439" t="n"/>
      <c r="CG40" s="501" t="n">
        <v>0</v>
      </c>
      <c r="CH40" s="439" t="n"/>
      <c r="CI40" s="501" t="n">
        <v>1</v>
      </c>
      <c r="CJ40" s="439" t="n"/>
      <c r="CK40" s="501" t="n">
        <v>50</v>
      </c>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c_jig_00101_jig1_charaget01_Boss_Yellow</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3</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501" t="n">
        <v>1</v>
      </c>
      <c r="CF41" s="439" t="n"/>
      <c r="CG41" s="501" t="n">
        <v>0</v>
      </c>
      <c r="CH41" s="439" t="n"/>
      <c r="CI41" s="501" t="n">
        <v>1</v>
      </c>
      <c r="CJ41" s="439" t="n"/>
      <c r="CK41" s="501" t="n">
        <v>300</v>
      </c>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e_jig_00402_jig1_charaget01_Normal_Colorless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20</v>
      </c>
      <c r="AE42" s="439" t="n"/>
      <c r="AF42" s="495">
        <f t="array" ref="AF42">iferror(INDEX('ファントムマスター_イベント'!O:O,MATCH(H42,'ファントムマスター_イベント'!D:D,0),0)*AH42,"none")</f>
        <v/>
      </c>
      <c r="AG42" s="439" t="n"/>
      <c r="AH42" s="455" t="n">
        <v>0.8</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501" t="n">
        <v>1</v>
      </c>
      <c r="CF42" s="439" t="n"/>
      <c r="CG42" s="501" t="n">
        <v>0</v>
      </c>
      <c r="CH42" s="439" t="n"/>
      <c r="CI42" s="501" t="n">
        <v>1</v>
      </c>
      <c r="CJ42" s="439" t="n"/>
      <c r="CK42" s="501" t="n"/>
      <c r="CL42" s="439" t="n"/>
      <c r="CM42" s="501" t="inlineStr">
        <is>
          <t>None</t>
        </is>
      </c>
      <c r="CN42" s="439" t="n"/>
      <c r="CO42" s="455" t="n">
        <v>1.7</v>
      </c>
      <c r="CP42" s="439" t="n"/>
      <c r="CQ42" s="455" t="inlineStr">
        <is>
          <t>EnterTargetKoma</t>
        </is>
      </c>
      <c r="CR42" s="438" t="n"/>
      <c r="CS42" s="438" t="n"/>
      <c r="CT42" s="439" t="n"/>
      <c r="CU42" s="501" t="n">
        <v>1</v>
      </c>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e_jig_00402_jig1_charaget01_Normal_Colorless</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20</v>
      </c>
      <c r="AE43" s="439" t="n"/>
      <c r="AF43" s="495">
        <f t="array" ref="AF43">iferror(INDEX('ファントムマスター_イベント'!O:O,MATCH(H43,'ファントムマスター_イベント'!D:D,0),0)*AH43,"none")</f>
        <v/>
      </c>
      <c r="AG43" s="439" t="n"/>
      <c r="AH43" s="455" t="n">
        <v>0.8</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501" t="n">
        <v>3</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20</v>
      </c>
      <c r="AE44" s="439" t="n"/>
      <c r="AF44" s="495">
        <f t="array" ref="AF44">iferror(INDEX('ファントムマスター_イベント'!O:O,MATCH(H44,'ファントムマスター_イベント'!D:D,0),0)*AH44,"none")</f>
        <v/>
      </c>
      <c r="AG44" s="439" t="n"/>
      <c r="AH44" s="455" t="n">
        <v>0.8</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501" t="n">
        <v>1500</v>
      </c>
      <c r="CF44" s="439" t="n"/>
      <c r="CG44" s="501" t="n">
        <v>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e_jig_00402_jig1_charaget01_Normal_Colorless</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20</v>
      </c>
      <c r="AE45" s="439" t="n"/>
      <c r="AF45" s="495">
        <f t="array" ref="AF45">iferror(INDEX('ファントムマスター_イベント'!O:O,MATCH(H45,'ファントムマスター_イベント'!D:D,0),0)*AH45,"none")</f>
        <v/>
      </c>
      <c r="AG45" s="439" t="n"/>
      <c r="AH45" s="455" t="n">
        <v>0.8</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501" t="n">
        <v>2</v>
      </c>
      <c r="CF45" s="439" t="n"/>
      <c r="CG45" s="501" t="n">
        <v>1000</v>
      </c>
      <c r="CH45" s="439" t="n"/>
      <c r="CI45" s="501" t="n">
        <v>3</v>
      </c>
      <c r="CJ45" s="439" t="n"/>
      <c r="CK45" s="501" t="n">
        <v>50</v>
      </c>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v>8</v>
      </c>
      <c r="E33" s="438" t="n"/>
      <c r="F33" s="482">
        <f>iferror(vlookup(D33,'行パターン'!$A$2:$C61,2,false)," ")</f>
        <v/>
      </c>
      <c r="G33" s="439" t="n"/>
      <c r="H33" s="482" t="n">
        <v>0.55</v>
      </c>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c_jig_00201_jig1_charaget01_Boss_Green</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6</v>
      </c>
      <c r="AE40" s="439" t="n"/>
      <c r="AF40" s="495">
        <f t="array" ref="AF40">iferror(INDEX('ファントムマスター_イベント'!O:O,MATCH(H40,'ファントムマスター_イベント'!D:D,0),0)*AH40,"none")</f>
        <v/>
      </c>
      <c r="AG40" s="439" t="n"/>
      <c r="AH40" s="455" t="n">
        <v>4</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501" t="n">
        <v>550</v>
      </c>
      <c r="CF40" s="439" t="n"/>
      <c r="CG40" s="501" t="n">
        <v>0</v>
      </c>
      <c r="CH40" s="439" t="n"/>
      <c r="CI40" s="501" t="n">
        <v>1</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c_jig_00301_jig1_charaget01_Boss_Colorless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12</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501" t="n">
        <v>200</v>
      </c>
      <c r="CF41" s="439" t="n"/>
      <c r="CG41" s="501" t="n">
        <v>0</v>
      </c>
      <c r="CH41" s="439" t="n"/>
      <c r="CI41" s="501" t="n">
        <v>1</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e_jig_00301_jig1_charaget01_Normal_Green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15</v>
      </c>
      <c r="AE42" s="439" t="n"/>
      <c r="AF42" s="495">
        <f t="array" ref="AF42">iferror(INDEX('ファントムマスター_イベント'!O:O,MATCH(H42,'ファントムマスター_イベント'!D:D,0),0)*AH42,"none")</f>
        <v/>
      </c>
      <c r="AG42" s="439" t="n"/>
      <c r="AH42" s="455" t="n">
        <v>4</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501" t="n">
        <v>1</v>
      </c>
      <c r="CF42" s="439" t="n"/>
      <c r="CG42" s="501" t="n">
        <v>0</v>
      </c>
      <c r="CH42" s="439" t="n"/>
      <c r="CI42" s="501" t="n">
        <v>1</v>
      </c>
      <c r="CJ42" s="439" t="n"/>
      <c r="CK42" s="501" t="n">
        <v>50</v>
      </c>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v>
      </c>
      <c r="AE43" s="439" t="n"/>
      <c r="AF43" s="495">
        <f t="array" ref="AF43">iferror(INDEX('ファントムマスター_イベント'!O:O,MATCH(H43,'ファントムマスター_イベント'!D:D,0),0)*AH43,"none")</f>
        <v/>
      </c>
      <c r="AG43" s="439" t="n"/>
      <c r="AH43" s="455" t="n">
        <v>2.5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501" t="n">
        <v>800</v>
      </c>
      <c r="CF43" s="439" t="n"/>
      <c r="CG43" s="501" t="n">
        <v>250</v>
      </c>
      <c r="CH43" s="439" t="n"/>
      <c r="CI43" s="501" t="n">
        <v>4</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30</v>
      </c>
      <c r="AE44" s="439" t="n"/>
      <c r="AF44" s="495">
        <f t="array" ref="AF44">iferror(INDEX('ファントムマスター_イベント'!O:O,MATCH(H44,'ファントムマスター_イベント'!D:D,0),0)*AH44,"none")</f>
        <v/>
      </c>
      <c r="AG44" s="439" t="n"/>
      <c r="AH44" s="455" t="n">
        <v>1.5</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501" t="n">
        <v>2</v>
      </c>
      <c r="CF44" s="439" t="n"/>
      <c r="CG44" s="501" t="n">
        <v>50</v>
      </c>
      <c r="CH44" s="439" t="n"/>
      <c r="CI44" s="501" t="n">
        <v>2</v>
      </c>
      <c r="CJ44" s="439" t="n"/>
      <c r="CK44" s="501" t="n">
        <v>50</v>
      </c>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1</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c r="E32" s="438" t="n"/>
      <c r="F32" s="482">
        <f>iferror(vlookup(D32,'行パターン'!$A$2:$C61,2,false)," ")</f>
        <v/>
      </c>
      <c r="G32" s="439" t="n"/>
      <c r="H32" s="482" t="n"/>
      <c r="I32" s="439" t="n"/>
      <c r="J32" s="482">
        <f t="array" ref="J32">iferror(INDEX('行パターン'!D:D,MATCH(D32,'行パターン'!A:A,0),0)," ")</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e_jig_00601_jig1_charaget01_Boss_Colorless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12</v>
      </c>
      <c r="AE40" s="439" t="n"/>
      <c r="AF40" s="495">
        <f t="array" ref="AF40">iferror(INDEX('ファントムマスター_イベント'!O:O,MATCH(H40,'ファントムマスター_イベント'!D:D,0),0)*AH40,"none")</f>
        <v/>
      </c>
      <c r="AG40" s="439" t="n"/>
      <c r="AH40" s="455" t="n">
        <v>4.5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501" t="n">
        <v>0</v>
      </c>
      <c r="CF40" s="439" t="n"/>
      <c r="CG40" s="501" t="n">
        <v>0</v>
      </c>
      <c r="CH40" s="439" t="n"/>
      <c r="CI40" s="501" t="n">
        <v>1</v>
      </c>
      <c r="CJ40" s="439" t="n"/>
      <c r="CK40" s="501" t="n"/>
      <c r="CL40" s="439" t="n"/>
      <c r="CM40" s="501" t="inlineStr">
        <is>
          <t>None</t>
        </is>
      </c>
      <c r="CN40" s="439" t="n"/>
      <c r="CO40" s="455" t="n">
        <v>0.7</v>
      </c>
      <c r="CP40" s="439" t="n"/>
      <c r="CQ40" s="455" t="inlineStr">
        <is>
          <t>Damage</t>
        </is>
      </c>
      <c r="CR40" s="438" t="n"/>
      <c r="CS40" s="438" t="n"/>
      <c r="CT40" s="439" t="n"/>
      <c r="CU40" s="501" t="n">
        <v>1</v>
      </c>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1</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e_jig_00301_jig1_charaget01_Normal_Green</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23</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501" t="n">
        <v>2500</v>
      </c>
      <c r="CF41" s="439" t="n"/>
      <c r="CG41" s="501" t="n">
        <v>2000</v>
      </c>
      <c r="CH41" s="439" t="n"/>
      <c r="CI41" s="501" t="n">
        <v>2</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e_jig_00301_jig1_charaget01_Normal_Green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23</v>
      </c>
      <c r="AE42" s="439" t="n"/>
      <c r="AF42" s="495">
        <f t="array" ref="AF42">iferror(INDEX('ファントムマスター_イベント'!O:O,MATCH(H42,'ファントムマスター_イベント'!D:D,0),0)*AH42,"none")</f>
        <v/>
      </c>
      <c r="AG42" s="439" t="n"/>
      <c r="AH42" s="455" t="n">
        <v>3</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501" t="n">
        <v>2</v>
      </c>
      <c r="CF42" s="439" t="n"/>
      <c r="CG42" s="501" t="n">
        <v>0</v>
      </c>
      <c r="CH42" s="439" t="n"/>
      <c r="CI42" s="501" t="n">
        <v>1</v>
      </c>
      <c r="CJ42" s="439" t="n"/>
      <c r="CK42" s="501" t="n">
        <v>1750</v>
      </c>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10</v>
      </c>
      <c r="AE43" s="439" t="n"/>
      <c r="AF43" s="495">
        <f t="array" ref="AF43">iferror(INDEX('ファントムマスター_イベント'!O:O,MATCH(H43,'ファントムマスター_イベント'!D:D,0),0)*AH43,"none")</f>
        <v/>
      </c>
      <c r="AG43" s="439" t="n"/>
      <c r="AH43" s="455" t="n">
        <v>2.5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1200</v>
      </c>
      <c r="CF43" s="439" t="n"/>
      <c r="CG43" s="501" t="n">
        <v>1500</v>
      </c>
      <c r="CH43" s="439" t="n"/>
      <c r="CI43" s="501" t="n">
        <v>5</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32</v>
      </c>
      <c r="AE44" s="439" t="n"/>
      <c r="AF44" s="495">
        <f t="array" ref="AF44">iferror(INDEX('ファントムマスター_イベント'!O:O,MATCH(H44,'ファントムマスター_イベント'!D:D,0),0)*AH44,"none")</f>
        <v/>
      </c>
      <c r="AG44" s="439" t="n"/>
      <c r="AH44" s="455" t="n">
        <v>1.5</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800</v>
      </c>
      <c r="CF44" s="439" t="n"/>
      <c r="CG44" s="501" t="n">
        <v>800</v>
      </c>
      <c r="CH44" s="439" t="n"/>
      <c r="CI44" s="501" t="n">
        <v>5</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e_jig_00301_jig1_charaget01_Normal_Green</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23</v>
      </c>
      <c r="AE45" s="439" t="n"/>
      <c r="AF45" s="495">
        <f t="array" ref="AF45">iferror(INDEX('ファントムマスター_イベント'!O:O,MATCH(H45,'ファントムマスター_イベント'!D:D,0),0)*AH45,"none")</f>
        <v/>
      </c>
      <c r="AG45" s="439" t="n"/>
      <c r="AH45" s="455" t="n">
        <v>3</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501" t="n">
        <v>99</v>
      </c>
      <c r="CF45" s="439" t="n"/>
      <c r="CG45" s="501" t="n">
        <v>0</v>
      </c>
      <c r="CH45" s="439" t="n"/>
      <c r="CI45" s="501" t="n">
        <v>1</v>
      </c>
      <c r="CJ45" s="439" t="n"/>
      <c r="CK45" s="501" t="n">
        <v>300</v>
      </c>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92" t="inlineStr">
        <is>
          <t>e_jig_00402_jig1_charaget01_Normal_Colorless</t>
        </is>
      </c>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32</v>
      </c>
      <c r="AE46" s="439" t="n"/>
      <c r="AF46" s="495">
        <f t="array" ref="AF46">iferror(INDEX('ファントムマスター_イベント'!O:O,MATCH(H46,'ファントムマスター_イベント'!D:D,0),0)*AH46,"none")</f>
        <v/>
      </c>
      <c r="AG46" s="439" t="n"/>
      <c r="AH46" s="455" t="n">
        <v>1.5</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501" t="n">
        <v>99</v>
      </c>
      <c r="CF46" s="439" t="n"/>
      <c r="CG46" s="501" t="n">
        <v>0</v>
      </c>
      <c r="CH46" s="439" t="n"/>
      <c r="CI46" s="501" t="n">
        <v>1</v>
      </c>
      <c r="CJ46" s="439" t="n"/>
      <c r="CK46" s="501" t="n">
        <v>50</v>
      </c>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4</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v>12</v>
      </c>
      <c r="E33" s="438" t="n"/>
      <c r="F33" s="482">
        <f>iferror(vlookup(D33,'行パターン'!$A$2:$C61,2,false)," ")</f>
        <v/>
      </c>
      <c r="G33" s="439" t="n"/>
      <c r="H33" s="482" t="n">
        <v>0.55</v>
      </c>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iferror(if(sum(J33:O33)=1,"none",INDEX('行パターン'!G:G,MATCH($D33,'行パターン'!$A:$A,0),0)),"")</f>
        <v/>
      </c>
      <c r="Q33" s="439" t="n"/>
      <c r="R33" s="482"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e_jig_00601_jig1_charaget01_Boss_Colorless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15</v>
      </c>
      <c r="AE40" s="439" t="n"/>
      <c r="AF40" s="495">
        <f t="array" ref="AF40">iferror(INDEX('ファントムマスター_イベント'!O:O,MATCH(H40,'ファントムマスター_イベント'!D:D,0),0)*AH40,"none")</f>
        <v/>
      </c>
      <c r="AG40" s="439" t="n"/>
      <c r="AH40" s="455" t="n">
        <v>4.5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501" t="n">
        <v>500</v>
      </c>
      <c r="CF40" s="439" t="n"/>
      <c r="CG40" s="501" t="n">
        <v>0</v>
      </c>
      <c r="CH40" s="439" t="n"/>
      <c r="CI40" s="501" t="n">
        <v>1</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1</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e_jig_00301_jig1_charaget01_Normal_Green</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30</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501" t="n">
        <v>3500</v>
      </c>
      <c r="CF41" s="439" t="n"/>
      <c r="CG41" s="501" t="n">
        <v>2000</v>
      </c>
      <c r="CH41" s="439" t="n"/>
      <c r="CI41" s="501" t="n">
        <v>2</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e_jig_00001_jig1_charaget01_Normal_Colorless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80</v>
      </c>
      <c r="AE42" s="439" t="n"/>
      <c r="AF42" s="495">
        <f t="array" ref="AF42">iferror(INDEX('ファントムマスター_イベント'!O:O,MATCH(H42,'ファントムマスター_イベント'!D:D,0),0)*AH42,"none")</f>
        <v/>
      </c>
      <c r="AG42" s="439" t="n"/>
      <c r="AH42" s="455" t="n">
        <v>1.5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501" t="n">
        <v>2000</v>
      </c>
      <c r="CF42" s="439" t="n"/>
      <c r="CG42" s="501" t="n">
        <v>2000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10</v>
      </c>
      <c r="AE43" s="439" t="n"/>
      <c r="AF43" s="495">
        <f t="array" ref="AF43">iferror(INDEX('ファントムマスター_イベント'!O:O,MATCH(H43,'ファントムマスター_イベント'!D:D,0),0)*AH43,"none")</f>
        <v/>
      </c>
      <c r="AG43" s="439" t="n"/>
      <c r="AH43" s="455" t="n">
        <v>2</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800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40</v>
      </c>
      <c r="AE44" s="439" t="n"/>
      <c r="AF44" s="495">
        <f t="array" ref="AF44">iferror(INDEX('ファントムマスター_イベント'!O:O,MATCH(H44,'ファントムマスター_イベント'!D:D,0),0)*AH44,"none")</f>
        <v/>
      </c>
      <c r="AG44" s="439" t="n"/>
      <c r="AH44" s="455" t="n">
        <v>1</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200</v>
      </c>
      <c r="CF44" s="439" t="n"/>
      <c r="CG44" s="501" t="n">
        <v>50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e_jig_00401_jig1_charaget01_Normal_Green</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10</v>
      </c>
      <c r="AE45" s="439" t="n"/>
      <c r="AF45" s="495">
        <f t="array" ref="AF45">iferror(INDEX('ファントムマスター_イベント'!O:O,MATCH(H45,'ファントムマスター_イベント'!D:D,0),0)*AH45,"none")</f>
        <v/>
      </c>
      <c r="AG45" s="439" t="n"/>
      <c r="AH45" s="455" t="n">
        <v>2</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501" t="n">
        <v>2700</v>
      </c>
      <c r="CF45" s="439" t="n"/>
      <c r="CG45" s="501" t="n">
        <v>50</v>
      </c>
      <c r="CH45" s="439" t="n"/>
      <c r="CI45" s="501" t="n">
        <v>3</v>
      </c>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92" t="inlineStr">
        <is>
          <t>e_jig_00402_jig1_charaget01_Normal_Colorless</t>
        </is>
      </c>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40</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501" t="n">
        <v>3500</v>
      </c>
      <c r="CF46" s="439" t="n"/>
      <c r="CG46" s="501" t="n">
        <v>50</v>
      </c>
      <c r="CH46" s="439" t="n"/>
      <c r="CI46" s="501" t="n">
        <v>3</v>
      </c>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92" t="inlineStr">
        <is>
          <t>e_jig_00401_jig1_charaget01_Normal_Green</t>
        </is>
      </c>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10</v>
      </c>
      <c r="AE47" s="439" t="n"/>
      <c r="AF47" s="495">
        <f t="array" ref="AF47">iferror(INDEX('ファントムマスター_イベント'!O:O,MATCH(H47,'ファントムマスター_イベント'!D:D,0),0)*AH47,"none")</f>
        <v/>
      </c>
      <c r="AG47" s="439" t="n"/>
      <c r="AH47" s="455" t="n">
        <v>2</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501" t="n">
        <v>4500</v>
      </c>
      <c r="CF47" s="439" t="n"/>
      <c r="CG47" s="501" t="n">
        <v>500</v>
      </c>
      <c r="CH47" s="439" t="n"/>
      <c r="CI47" s="501" t="n">
        <v>10</v>
      </c>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3" t="inlineStr">
        <is>
          <t>メイン</t>
        </is>
      </c>
      <c r="D2" s="504" t="n"/>
      <c r="E2" s="505" t="n"/>
      <c r="F2" s="506" t="inlineStr">
        <is>
          <t>イベント</t>
        </is>
      </c>
      <c r="G2" s="504" t="n"/>
      <c r="H2" s="504" t="n"/>
      <c r="I2" s="504" t="n"/>
      <c r="J2" s="505"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IFERROR(__xludf.DUMMYFUNCTION("""COMPUTED_VALUE"""),"青属性の味方の体力10%回復")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IFERROR(__xludf.DUMMYFUNCTION("""COMPUTED_VALUE"""),10.0)</f>
        <v/>
      </c>
      <c r="S430" s="280">
        <f>IFERROR(__xludf.DUMMYFUNCTION("""COMPUTED_VALUE"""),500.0)</f>
        <v/>
      </c>
      <c r="T430" s="300">
        <f>IFERROR(__xludf.DUMMYFUNCTION("""COMPUTED_VALUE"""),"1.30")</f>
        <v/>
      </c>
      <c r="U430" s="280">
        <f>IFERROR(__xludf.DUMMYFUNCTION("""COMPUTED_VALUE"""),"stop有:1回目 0.50")</f>
        <v/>
      </c>
      <c r="V430" s="280">
        <f>IFERROR(__xludf.DUMMYFUNCTION("""COMPUTED_VALUE"""),50.0)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IFERROR(__xludf.DUMMYFUNCTION("""COMPUTED_VALUE"""),"Technical")</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IFERROR(__xludf.DUMMYFUNCTION("""COMPUTED_VALUE"""),1.0)</f>
        <v/>
      </c>
      <c r="M432" s="280">
        <f>IFERROR(__xludf.DUMMYFUNCTION("""COMPUTED_VALUE"""),55.0)</f>
        <v/>
      </c>
      <c r="N432" s="280">
        <f>IFERROR(__xludf.DUMMYFUNCTION("""COMPUTED_VALUE"""),0.52)</f>
        <v/>
      </c>
      <c r="O432" s="280">
        <f>IFERROR(__xludf.DUMMYFUNCTION("""COMPUTED_VALUE"""),100.0)</f>
        <v/>
      </c>
      <c r="P432" s="280">
        <f>IFERROR(__xludf.DUMMYFUNCTION("""COMPUTED_VALUE"""),0.0)</f>
        <v/>
      </c>
      <c r="Q432" s="280">
        <f>IFERROR(__xludf.DUMMYFUNCTION("""COMPUTED_VALUE"""),0.53)</f>
        <v/>
      </c>
      <c r="R432" s="280">
        <f>IFERROR(__xludf.DUMMYFUNCTION("""COMPUTED_VALUE"""),10.0)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IFERROR(__xludf.DUMMYFUNCTION("""COMPUTED_VALUE"""),140.0)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IFERROR(__xludf.DUMMYFUNCTION("""COMPUTED_VALUE"""),60.0)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IFERROR(__xludf.DUMMYFUNCTION("""COMPUTED_VALUE"""),200.0)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IFERROR(__xludf.DUMMYFUNCTION("""COMPUTED_VALUE"""),2.0)</f>
        <v/>
      </c>
      <c r="M434" s="280">
        <f>IFERROR(__xludf.DUMMYFUNCTION("""COMPUTED_VALUE"""),60.0)</f>
        <v/>
      </c>
      <c r="N434" s="280">
        <f>IFERROR(__xludf.DUMMYFUNCTION("""COMPUTED_VALUE"""),0.3)</f>
        <v/>
      </c>
      <c r="O434" s="280">
        <f>IFERROR(__xludf.DUMMYFUNCTION("""COMPUTED_VALUE"""),100.0)</f>
        <v/>
      </c>
      <c r="P434" s="280">
        <f>IFERROR(__xludf.DUMMYFUNCTION("""COMPUTED_VALUE"""),0.0)</f>
        <v/>
      </c>
      <c r="Q434" s="280">
        <f>IFERROR(__xludf.DUMMYFUNCTION("""COMPUTED_VALUE"""),0.33)</f>
        <v/>
      </c>
      <c r="R434" s="280">
        <f>IFERROR(__xludf.DUMMYFUNCTION("""COMPUTED_VALUE"""),3.0)</f>
        <v/>
      </c>
      <c r="S434" s="280">
        <f>IFERROR(__xludf.DUMMYFUNCTION("""COMPUTED_VALUE"""),200.0)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IFERROR(__xludf.DUMMYFUNCTION("""COMPUTED_VALUE"""),60.0)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IFERROR(__xludf.DUMMYFUNCTION("""COMPUTED_VALUE"""),200.0)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IFERROR(__xludf.DUMMYFUNCTION("""COMPUTED_VALUE"""),2.0)</f>
        <v/>
      </c>
      <c r="M436" s="280">
        <f>IFERROR(__xludf.DUMMYFUNCTION("""COMPUTED_VALUE"""),60.0)</f>
        <v/>
      </c>
      <c r="N436" s="280">
        <f>IFERROR(__xludf.DUMMYFUNCTION("""COMPUTED_VALUE"""),0.3)</f>
        <v/>
      </c>
      <c r="O436" s="280">
        <f>IFERROR(__xludf.DUMMYFUNCTION("""COMPUTED_VALUE"""),100.0)</f>
        <v/>
      </c>
      <c r="P436" s="280">
        <f>IFERROR(__xludf.DUMMYFUNCTION("""COMPUTED_VALUE"""),0.0)</f>
        <v/>
      </c>
      <c r="Q436" s="280">
        <f>IFERROR(__xludf.DUMMYFUNCTION("""COMPUTED_VALUE"""),0.33)</f>
        <v/>
      </c>
      <c r="R436" s="280">
        <f>IFERROR(__xludf.DUMMYFUNCTION("""COMPUTED_VALUE"""),3.0)</f>
        <v/>
      </c>
      <c r="S436" s="280">
        <f>IFERROR(__xludf.DUMMYFUNCTION("""COMPUTED_VALUE"""),200.0)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IFERROR(__xludf.DUMMYFUNCTION("""COMPUTED_VALUE"""),200.0)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IFERROR(__xludf.DUMMYFUNCTION("""COMPUTED_VALUE"""),0.3)</f>
        <v/>
      </c>
      <c r="R438" s="280">
        <f>IFERROR(__xludf.DUMMYFUNCTION("""COMPUTED_VALUE"""),10.0)</f>
        <v/>
      </c>
      <c r="S438" s="280">
        <f>IFERROR(__xludf.DUMMYFUNCTION("""COMPUTED_VALUE"""),200.0)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IFERROR(__xludf.DUMMYFUNCTION("""COMPUTED_VALUE"""),200.0)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t="n"/>
      <c r="C444" s="308" t="n"/>
      <c r="D444" s="308">
        <f>IFERROR(__xludf.DUMMYFUNCTION("""COMPUTED_VALUE"""),"___")</f>
        <v/>
      </c>
      <c r="E444" s="308">
        <f>IFERROR(__xludf.DUMMYFUNCTION("""COMPUTED_VALUE"""),"none")</f>
        <v/>
      </c>
      <c r="F444" s="308">
        <f>IFERROR(__xludf.DUMMYFUNCTION("""COMPUTED_VALUE"""),"none")</f>
        <v/>
      </c>
      <c r="G444" s="308">
        <f>IFERROR(__xludf.DUMMYFUNCTION("""COMPUTED_VALUE"""),"none")</f>
        <v/>
      </c>
      <c r="H444" s="280" t="n"/>
      <c r="I444" s="280">
        <f>IFERROR(__xludf.DUMMYFUNCTION("""COMPUTED_VALUE"""),"none")</f>
        <v/>
      </c>
      <c r="J444" s="280" t="n"/>
      <c r="K444" s="280" t="n"/>
      <c r="L444" s="280" t="n"/>
      <c r="M444" s="280" t="n"/>
      <c r="N444" s="280" t="n"/>
      <c r="O444" s="280" t="n"/>
      <c r="P444" s="280" t="n"/>
      <c r="Q444" s="280" t="n"/>
      <c r="R444" s="280" t="n"/>
      <c r="S444" s="280" t="n"/>
      <c r="T444" s="300">
        <f>IFERROR(__xludf.DUMMYFUNCTION("""COMPUTED_VALUE"""),"none")</f>
        <v/>
      </c>
      <c r="U444" s="280">
        <f>IFERROR(__xludf.DUMMYFUNCTION("""COMPUTED_VALUE"""),"none")</f>
        <v/>
      </c>
      <c r="V444" s="280" t="n"/>
      <c r="W444" s="280">
        <f>IFERROR(__xludf.DUMMYFUNCTION("""COMPUTED_VALUE"""),"none")</f>
        <v/>
      </c>
      <c r="X444" s="280">
        <f>IFERROR(__xludf.DUMMYFUNCTION("""COMPUTED_VALUE"""),"none")</f>
        <v/>
      </c>
      <c r="Y444" s="280" t="n"/>
      <c r="Z444" s="280">
        <f>IFERROR(__xludf.DUMMYFUNCTION("""COMPUTED_VALUE"""),"-")</f>
        <v/>
      </c>
      <c r="AA444" s="280" t="n"/>
      <c r="AB444" s="280">
        <f>IFERROR(__xludf.DUMMYFUNCTION("""COMPUTED_VALUE"""),"none")</f>
        <v/>
      </c>
      <c r="AC444" s="280" t="n"/>
      <c r="AD444" s="280" t="n"/>
    </row>
    <row r="445">
      <c r="A445" s="280" t="n"/>
      <c r="B445" s="280" t="n"/>
      <c r="C445" s="308" t="n"/>
      <c r="D445" s="308">
        <f>IFERROR(__xludf.DUMMYFUNCTION("""COMPUTED_VALUE"""),"___")</f>
        <v/>
      </c>
      <c r="E445" s="308">
        <f>IFERROR(__xludf.DUMMYFUNCTION("""COMPUTED_VALUE"""),"none")</f>
        <v/>
      </c>
      <c r="F445" s="308">
        <f>IFERROR(__xludf.DUMMYFUNCTION("""COMPUTED_VALUE"""),"none")</f>
        <v/>
      </c>
      <c r="G445" s="308">
        <f>IFERROR(__xludf.DUMMYFUNCTION("""COMPUTED_VALUE"""),"none")</f>
        <v/>
      </c>
      <c r="H445" s="280" t="n"/>
      <c r="I445" s="280">
        <f>IFERROR(__xludf.DUMMYFUNCTION("""COMPUTED_VALUE"""),"none")</f>
        <v/>
      </c>
      <c r="J445" s="280" t="n"/>
      <c r="K445" s="280" t="n"/>
      <c r="L445" s="280" t="n"/>
      <c r="M445" s="280" t="n"/>
      <c r="N445" s="280" t="n"/>
      <c r="O445" s="280" t="n"/>
      <c r="P445" s="280" t="n"/>
      <c r="Q445" s="280" t="n"/>
      <c r="R445" s="280" t="n"/>
      <c r="S445" s="280" t="n"/>
      <c r="T445" s="300">
        <f>IFERROR(__xludf.DUMMYFUNCTION("""COMPUTED_VALUE"""),"none")</f>
        <v/>
      </c>
      <c r="U445" s="280">
        <f>IFERROR(__xludf.DUMMYFUNCTION("""COMPUTED_VALUE"""),"none")</f>
        <v/>
      </c>
      <c r="V445" s="280" t="n"/>
      <c r="W445" s="280">
        <f>IFERROR(__xludf.DUMMYFUNCTION("""COMPUTED_VALUE"""),"none")</f>
        <v/>
      </c>
      <c r="X445" s="280">
        <f>IFERROR(__xludf.DUMMYFUNCTION("""COMPUTED_VALUE"""),"none")</f>
        <v/>
      </c>
      <c r="Y445" s="280" t="n"/>
      <c r="Z445" s="280">
        <f>IFERROR(__xludf.DUMMYFUNCTION("""COMPUTED_VALUE"""),"-")</f>
        <v/>
      </c>
      <c r="AA445" s="280" t="n"/>
      <c r="AB445" s="280">
        <f>IFERROR(__xludf.DUMMYFUNCTION("""COMPUTED_VALUE"""),"none")</f>
        <v/>
      </c>
      <c r="AC445" s="280" t="n"/>
      <c r="AD445" s="280" t="n"/>
    </row>
    <row r="446">
      <c r="A446" s="280" t="n"/>
      <c r="B446" s="280" t="n"/>
      <c r="C446" s="308" t="n"/>
      <c r="D446" s="308">
        <f>IFERROR(__xludf.DUMMYFUNCTION("""COMPUTED_VALUE"""),"___")</f>
        <v/>
      </c>
      <c r="E446" s="308">
        <f>IFERROR(__xludf.DUMMYFUNCTION("""COMPUTED_VALUE"""),"none")</f>
        <v/>
      </c>
      <c r="F446" s="308">
        <f>IFERROR(__xludf.DUMMYFUNCTION("""COMPUTED_VALUE"""),"none")</f>
        <v/>
      </c>
      <c r="G446" s="308">
        <f>IFERROR(__xludf.DUMMYFUNCTION("""COMPUTED_VALUE"""),"none")</f>
        <v/>
      </c>
      <c r="H446" s="280" t="n"/>
      <c r="I446" s="280">
        <f>IFERROR(__xludf.DUMMYFUNCTION("""COMPUTED_VALUE"""),"none")</f>
        <v/>
      </c>
      <c r="J446" s="280" t="n"/>
      <c r="K446" s="280" t="n"/>
      <c r="L446" s="280" t="n"/>
      <c r="M446" s="280" t="n"/>
      <c r="N446" s="280" t="n"/>
      <c r="O446" s="280" t="n"/>
      <c r="P446" s="280" t="n"/>
      <c r="Q446" s="280" t="n"/>
      <c r="R446" s="280" t="n"/>
      <c r="S446" s="280" t="n"/>
      <c r="T446" s="300">
        <f>IFERROR(__xludf.DUMMYFUNCTION("""COMPUTED_VALUE"""),"none")</f>
        <v/>
      </c>
      <c r="U446" s="280">
        <f>IFERROR(__xludf.DUMMYFUNCTION("""COMPUTED_VALUE"""),"none")</f>
        <v/>
      </c>
      <c r="V446" s="280" t="n"/>
      <c r="W446" s="280">
        <f>IFERROR(__xludf.DUMMYFUNCTION("""COMPUTED_VALUE"""),"none")</f>
        <v/>
      </c>
      <c r="X446" s="280">
        <f>IFERROR(__xludf.DUMMYFUNCTION("""COMPUTED_VALUE"""),"none")</f>
        <v/>
      </c>
      <c r="Y446" s="280" t="n"/>
      <c r="Z446" s="280">
        <f>IFERROR(__xludf.DUMMYFUNCTION("""COMPUTED_VALUE"""),"-")</f>
        <v/>
      </c>
      <c r="AA446" s="280" t="n"/>
      <c r="AB446" s="280">
        <f>IFERROR(__xludf.DUMMYFUNCTION("""COMPUTED_VALUE"""),"none")</f>
        <v/>
      </c>
      <c r="AC446" s="280" t="n"/>
      <c r="AD446" s="280" t="n"/>
    </row>
    <row r="447">
      <c r="A447" s="280" t="n"/>
      <c r="B447" s="280" t="n"/>
      <c r="C447" s="308" t="n"/>
      <c r="D447" s="308">
        <f>IFERROR(__xludf.DUMMYFUNCTION("""COMPUTED_VALUE"""),"___")</f>
        <v/>
      </c>
      <c r="E447" s="308">
        <f>IFERROR(__xludf.DUMMYFUNCTION("""COMPUTED_VALUE"""),"none")</f>
        <v/>
      </c>
      <c r="F447" s="308">
        <f>IFERROR(__xludf.DUMMYFUNCTION("""COMPUTED_VALUE"""),"none")</f>
        <v/>
      </c>
      <c r="G447" s="308">
        <f>IFERROR(__xludf.DUMMYFUNCTION("""COMPUTED_VALUE"""),"none")</f>
        <v/>
      </c>
      <c r="H447" s="280" t="n"/>
      <c r="I447" s="280">
        <f>IFERROR(__xludf.DUMMYFUNCTION("""COMPUTED_VALUE"""),"none")</f>
        <v/>
      </c>
      <c r="J447" s="280" t="n"/>
      <c r="K447" s="280" t="n"/>
      <c r="L447" s="280" t="n"/>
      <c r="M447" s="280" t="n"/>
      <c r="N447" s="280" t="n"/>
      <c r="O447" s="280" t="n"/>
      <c r="P447" s="280" t="n"/>
      <c r="Q447" s="280" t="n"/>
      <c r="R447" s="280" t="n"/>
      <c r="S447" s="280" t="n"/>
      <c r="T447" s="300">
        <f>IFERROR(__xludf.DUMMYFUNCTION("""COMPUTED_VALUE"""),"none")</f>
        <v/>
      </c>
      <c r="U447" s="280">
        <f>IFERROR(__xludf.DUMMYFUNCTION("""COMPUTED_VALUE"""),"none")</f>
        <v/>
      </c>
      <c r="V447" s="280" t="n"/>
      <c r="W447" s="280">
        <f>IFERROR(__xludf.DUMMYFUNCTION("""COMPUTED_VALUE"""),"none")</f>
        <v/>
      </c>
      <c r="X447" s="280">
        <f>IFERROR(__xludf.DUMMYFUNCTION("""COMPUTED_VALUE"""),"none")</f>
        <v/>
      </c>
      <c r="Y447" s="280" t="n"/>
      <c r="Z447" s="280">
        <f>IFERROR(__xludf.DUMMYFUNCTION("""COMPUTED_VALUE"""),"-")</f>
        <v/>
      </c>
      <c r="AA447" s="280" t="n"/>
      <c r="AB447" s="280">
        <f>IFERROR(__xludf.DUMMYFUNCTION("""COMPUTED_VALUE"""),"none")</f>
        <v/>
      </c>
      <c r="AC447" s="280" t="n"/>
      <c r="AD447" s="280" t="n"/>
    </row>
    <row r="448">
      <c r="A448" s="280" t="n"/>
      <c r="B448" s="280" t="n"/>
      <c r="C448" s="308" t="n"/>
      <c r="D448" s="308">
        <f>IFERROR(__xludf.DUMMYFUNCTION("""COMPUTED_VALUE"""),"___")</f>
        <v/>
      </c>
      <c r="E448" s="308">
        <f>IFERROR(__xludf.DUMMYFUNCTION("""COMPUTED_VALUE"""),"none")</f>
        <v/>
      </c>
      <c r="F448" s="308">
        <f>IFERROR(__xludf.DUMMYFUNCTION("""COMPUTED_VALUE"""),"none")</f>
        <v/>
      </c>
      <c r="G448" s="308">
        <f>IFERROR(__xludf.DUMMYFUNCTION("""COMPUTED_VALUE"""),"none")</f>
        <v/>
      </c>
      <c r="H448" s="280" t="n"/>
      <c r="I448" s="280">
        <f>IFERROR(__xludf.DUMMYFUNCTION("""COMPUTED_VALUE"""),"none")</f>
        <v/>
      </c>
      <c r="J448" s="280" t="n"/>
      <c r="K448" s="280" t="n"/>
      <c r="L448" s="280" t="n"/>
      <c r="M448" s="280" t="n"/>
      <c r="N448" s="280" t="n"/>
      <c r="O448" s="280" t="n"/>
      <c r="P448" s="280" t="n"/>
      <c r="Q448" s="280" t="n"/>
      <c r="R448" s="280" t="n"/>
      <c r="S448" s="280" t="n"/>
      <c r="T448" s="300">
        <f>IFERROR(__xludf.DUMMYFUNCTION("""COMPUTED_VALUE"""),"none")</f>
        <v/>
      </c>
      <c r="U448" s="280">
        <f>IFERROR(__xludf.DUMMYFUNCTION("""COMPUTED_VALUE"""),"none")</f>
        <v/>
      </c>
      <c r="V448" s="280" t="n"/>
      <c r="W448" s="280">
        <f>IFERROR(__xludf.DUMMYFUNCTION("""COMPUTED_VALUE"""),"none")</f>
        <v/>
      </c>
      <c r="X448" s="280">
        <f>IFERROR(__xludf.DUMMYFUNCTION("""COMPUTED_VALUE"""),"none")</f>
        <v/>
      </c>
      <c r="Y448" s="280" t="n"/>
      <c r="Z448" s="280">
        <f>IFERROR(__xludf.DUMMYFUNCTION("""COMPUTED_VALUE"""),"-")</f>
        <v/>
      </c>
      <c r="AA448" s="280" t="n"/>
      <c r="AB448" s="280">
        <f>IFERROR(__xludf.DUMMYFUNCTION("""COMPUTED_VALUE"""),"none")</f>
        <v/>
      </c>
      <c r="AC448" s="280" t="n"/>
      <c r="AD448" s="280" t="n"/>
    </row>
    <row r="449">
      <c r="A449" s="280" t="n"/>
      <c r="B449" s="280" t="n"/>
      <c r="C449" s="308" t="n"/>
      <c r="D449" s="308">
        <f>IFERROR(__xludf.DUMMYFUNCTION("""COMPUTED_VALUE"""),"___")</f>
        <v/>
      </c>
      <c r="E449" s="308">
        <f>IFERROR(__xludf.DUMMYFUNCTION("""COMPUTED_VALUE"""),"none")</f>
        <v/>
      </c>
      <c r="F449" s="308">
        <f>IFERROR(__xludf.DUMMYFUNCTION("""COMPUTED_VALUE"""),"none")</f>
        <v/>
      </c>
      <c r="G449" s="308">
        <f>IFERROR(__xludf.DUMMYFUNCTION("""COMPUTED_VALUE"""),"none")</f>
        <v/>
      </c>
      <c r="H449" s="280" t="n"/>
      <c r="I449" s="280">
        <f>IFERROR(__xludf.DUMMYFUNCTION("""COMPUTED_VALUE"""),"none")</f>
        <v/>
      </c>
      <c r="J449" s="280" t="n"/>
      <c r="K449" s="280" t="n"/>
      <c r="L449" s="280" t="n"/>
      <c r="M449" s="280" t="n"/>
      <c r="N449" s="280" t="n"/>
      <c r="O449" s="280" t="n"/>
      <c r="P449" s="280" t="n"/>
      <c r="Q449" s="280" t="n"/>
      <c r="R449" s="280" t="n"/>
      <c r="S449" s="280" t="n"/>
      <c r="T449" s="300">
        <f>IFERROR(__xludf.DUMMYFUNCTION("""COMPUTED_VALUE"""),"none")</f>
        <v/>
      </c>
      <c r="U449" s="280">
        <f>IFERROR(__xludf.DUMMYFUNCTION("""COMPUTED_VALUE"""),"none")</f>
        <v/>
      </c>
      <c r="V449" s="280" t="n"/>
      <c r="W449" s="280">
        <f>IFERROR(__xludf.DUMMYFUNCTION("""COMPUTED_VALUE"""),"none")</f>
        <v/>
      </c>
      <c r="X449" s="280">
        <f>IFERROR(__xludf.DUMMYFUNCTION("""COMPUTED_VALUE"""),"none")</f>
        <v/>
      </c>
      <c r="Y449" s="280" t="n"/>
      <c r="Z449" s="280">
        <f>IFERROR(__xludf.DUMMYFUNCTION("""COMPUTED_VALUE"""),"-")</f>
        <v/>
      </c>
      <c r="AA449" s="280" t="n"/>
      <c r="AB449" s="280">
        <f>IFERROR(__xludf.DUMMYFUNCTION("""COMPUTED_VALUE"""),"none")</f>
        <v/>
      </c>
      <c r="AC449" s="280" t="n"/>
      <c r="AD449" s="280" t="n"/>
    </row>
    <row r="450">
      <c r="A450" s="280" t="n"/>
      <c r="B450" s="280" t="n"/>
      <c r="C450" s="308" t="n"/>
      <c r="D450" s="308">
        <f>IFERROR(__xludf.DUMMYFUNCTION("""COMPUTED_VALUE"""),"___")</f>
        <v/>
      </c>
      <c r="E450" s="308">
        <f>IFERROR(__xludf.DUMMYFUNCTION("""COMPUTED_VALUE"""),"none")</f>
        <v/>
      </c>
      <c r="F450" s="308">
        <f>IFERROR(__xludf.DUMMYFUNCTION("""COMPUTED_VALUE"""),"none")</f>
        <v/>
      </c>
      <c r="G450" s="308">
        <f>IFERROR(__xludf.DUMMYFUNCTION("""COMPUTED_VALUE"""),"none")</f>
        <v/>
      </c>
      <c r="H450" s="280" t="n"/>
      <c r="I450" s="280">
        <f>IFERROR(__xludf.DUMMYFUNCTION("""COMPUTED_VALUE"""),"none")</f>
        <v/>
      </c>
      <c r="J450" s="280" t="n"/>
      <c r="K450" s="280" t="n"/>
      <c r="L450" s="280" t="n"/>
      <c r="M450" s="280" t="n"/>
      <c r="N450" s="280" t="n"/>
      <c r="O450" s="280" t="n"/>
      <c r="P450" s="280" t="n"/>
      <c r="Q450" s="280" t="n"/>
      <c r="R450" s="280" t="n"/>
      <c r="S450" s="280" t="n"/>
      <c r="T450" s="300">
        <f>IFERROR(__xludf.DUMMYFUNCTION("""COMPUTED_VALUE"""),"none")</f>
        <v/>
      </c>
      <c r="U450" s="280">
        <f>IFERROR(__xludf.DUMMYFUNCTION("""COMPUTED_VALUE"""),"none")</f>
        <v/>
      </c>
      <c r="V450" s="280" t="n"/>
      <c r="W450" s="280">
        <f>IFERROR(__xludf.DUMMYFUNCTION("""COMPUTED_VALUE"""),"none")</f>
        <v/>
      </c>
      <c r="X450" s="280">
        <f>IFERROR(__xludf.DUMMYFUNCTION("""COMPUTED_VALUE"""),"none")</f>
        <v/>
      </c>
      <c r="Y450" s="280" t="n"/>
      <c r="Z450" s="280">
        <f>IFERROR(__xludf.DUMMYFUNCTION("""COMPUTED_VALUE"""),"-")</f>
        <v/>
      </c>
      <c r="AA450" s="280" t="n"/>
      <c r="AB450" s="280">
        <f>IFERROR(__xludf.DUMMYFUNCTION("""COMPUTED_VALUE"""),"none")</f>
        <v/>
      </c>
      <c r="AC450" s="280" t="n"/>
      <c r="AD450" s="280" t="n"/>
    </row>
    <row r="451">
      <c r="A451" s="280" t="n"/>
      <c r="B451" s="280" t="n"/>
      <c r="C451" s="308" t="n"/>
      <c r="D451" s="308">
        <f>IFERROR(__xludf.DUMMYFUNCTION("""COMPUTED_VALUE"""),"___")</f>
        <v/>
      </c>
      <c r="E451" s="308">
        <f>IFERROR(__xludf.DUMMYFUNCTION("""COMPUTED_VALUE"""),"none")</f>
        <v/>
      </c>
      <c r="F451" s="308">
        <f>IFERROR(__xludf.DUMMYFUNCTION("""COMPUTED_VALUE"""),"none")</f>
        <v/>
      </c>
      <c r="G451" s="308">
        <f>IFERROR(__xludf.DUMMYFUNCTION("""COMPUTED_VALUE"""),"none")</f>
        <v/>
      </c>
      <c r="H451" s="280" t="n"/>
      <c r="I451" s="280">
        <f>IFERROR(__xludf.DUMMYFUNCTION("""COMPUTED_VALUE"""),"none")</f>
        <v/>
      </c>
      <c r="J451" s="280" t="n"/>
      <c r="K451" s="280" t="n"/>
      <c r="L451" s="280" t="n"/>
      <c r="M451" s="280" t="n"/>
      <c r="N451" s="280" t="n"/>
      <c r="O451" s="280" t="n"/>
      <c r="P451" s="280" t="n"/>
      <c r="Q451" s="280" t="n"/>
      <c r="R451" s="280" t="n"/>
      <c r="S451" s="280" t="n"/>
      <c r="T451" s="300">
        <f>IFERROR(__xludf.DUMMYFUNCTION("""COMPUTED_VALUE"""),"none")</f>
        <v/>
      </c>
      <c r="U451" s="280">
        <f>IFERROR(__xludf.DUMMYFUNCTION("""COMPUTED_VALUE"""),"none")</f>
        <v/>
      </c>
      <c r="V451" s="280" t="n"/>
      <c r="W451" s="280">
        <f>IFERROR(__xludf.DUMMYFUNCTION("""COMPUTED_VALUE"""),"none")</f>
        <v/>
      </c>
      <c r="X451" s="280">
        <f>IFERROR(__xludf.DUMMYFUNCTION("""COMPUTED_VALUE"""),"none")</f>
        <v/>
      </c>
      <c r="Y451" s="280" t="n"/>
      <c r="Z451" s="280">
        <f>IFERROR(__xludf.DUMMYFUNCTION("""COMPUTED_VALUE"""),"-")</f>
        <v/>
      </c>
      <c r="AA451" s="280" t="n"/>
      <c r="AB451" s="280">
        <f>IFERROR(__xludf.DUMMYFUNCTION("""COMPUTED_VALUE"""),"none")</f>
        <v/>
      </c>
      <c r="AC451" s="280" t="n"/>
      <c r="AD451" s="280" t="n"/>
    </row>
    <row r="452">
      <c r="A452" s="280" t="n"/>
      <c r="B452" s="280" t="n"/>
      <c r="C452" s="308" t="n"/>
      <c r="D452" s="308">
        <f>IFERROR(__xludf.DUMMYFUNCTION("""COMPUTED_VALUE"""),"___")</f>
        <v/>
      </c>
      <c r="E452" s="308">
        <f>IFERROR(__xludf.DUMMYFUNCTION("""COMPUTED_VALUE"""),"none")</f>
        <v/>
      </c>
      <c r="F452" s="308">
        <f>IFERROR(__xludf.DUMMYFUNCTION("""COMPUTED_VALUE"""),"none")</f>
        <v/>
      </c>
      <c r="G452" s="308">
        <f>IFERROR(__xludf.DUMMYFUNCTION("""COMPUTED_VALUE"""),"none")</f>
        <v/>
      </c>
      <c r="H452" s="280" t="n"/>
      <c r="I452" s="280">
        <f>IFERROR(__xludf.DUMMYFUNCTION("""COMPUTED_VALUE"""),"none")</f>
        <v/>
      </c>
      <c r="J452" s="280" t="n"/>
      <c r="K452" s="280" t="n"/>
      <c r="L452" s="280" t="n"/>
      <c r="M452" s="280" t="n"/>
      <c r="N452" s="280" t="n"/>
      <c r="O452" s="280" t="n"/>
      <c r="P452" s="280" t="n"/>
      <c r="Q452" s="280" t="n"/>
      <c r="R452" s="280" t="n"/>
      <c r="S452" s="280" t="n"/>
      <c r="T452" s="300">
        <f>IFERROR(__xludf.DUMMYFUNCTION("""COMPUTED_VALUE"""),"none")</f>
        <v/>
      </c>
      <c r="U452" s="280">
        <f>IFERROR(__xludf.DUMMYFUNCTION("""COMPUTED_VALUE"""),"none")</f>
        <v/>
      </c>
      <c r="V452" s="280" t="n"/>
      <c r="W452" s="280">
        <f>IFERROR(__xludf.DUMMYFUNCTION("""COMPUTED_VALUE"""),"none")</f>
        <v/>
      </c>
      <c r="X452" s="280">
        <f>IFERROR(__xludf.DUMMYFUNCTION("""COMPUTED_VALUE"""),"none")</f>
        <v/>
      </c>
      <c r="Y452" s="280" t="n"/>
      <c r="Z452" s="280">
        <f>IFERROR(__xludf.DUMMYFUNCTION("""COMPUTED_VALUE"""),"-")</f>
        <v/>
      </c>
      <c r="AA452" s="280" t="n"/>
      <c r="AB452" s="280">
        <f>IFERROR(__xludf.DUMMYFUNCTION("""COMPUTED_VALUE"""),"none")</f>
        <v/>
      </c>
      <c r="AC452" s="280" t="n"/>
      <c r="AD452" s="280" t="n"/>
    </row>
    <row r="453">
      <c r="A453" s="280" t="n"/>
      <c r="B453" s="280" t="n"/>
      <c r="C453" s="308" t="n"/>
      <c r="D453" s="308">
        <f>IFERROR(__xludf.DUMMYFUNCTION("""COMPUTED_VALUE"""),"___")</f>
        <v/>
      </c>
      <c r="E453" s="308">
        <f>IFERROR(__xludf.DUMMYFUNCTION("""COMPUTED_VALUE"""),"none")</f>
        <v/>
      </c>
      <c r="F453" s="308">
        <f>IFERROR(__xludf.DUMMYFUNCTION("""COMPUTED_VALUE"""),"none")</f>
        <v/>
      </c>
      <c r="G453" s="308">
        <f>IFERROR(__xludf.DUMMYFUNCTION("""COMPUTED_VALUE"""),"none")</f>
        <v/>
      </c>
      <c r="H453" s="280" t="n"/>
      <c r="I453" s="280">
        <f>IFERROR(__xludf.DUMMYFUNCTION("""COMPUTED_VALUE"""),"none")</f>
        <v/>
      </c>
      <c r="J453" s="280" t="n"/>
      <c r="K453" s="280" t="n"/>
      <c r="L453" s="280" t="n"/>
      <c r="M453" s="280" t="n"/>
      <c r="N453" s="280" t="n"/>
      <c r="O453" s="280" t="n"/>
      <c r="P453" s="280" t="n"/>
      <c r="Q453" s="280" t="n"/>
      <c r="R453" s="280" t="n"/>
      <c r="S453" s="280" t="n"/>
      <c r="T453" s="300">
        <f>IFERROR(__xludf.DUMMYFUNCTION("""COMPUTED_VALUE"""),"none")</f>
        <v/>
      </c>
      <c r="U453" s="280">
        <f>IFERROR(__xludf.DUMMYFUNCTION("""COMPUTED_VALUE"""),"none")</f>
        <v/>
      </c>
      <c r="V453" s="280" t="n"/>
      <c r="W453" s="280">
        <f>IFERROR(__xludf.DUMMYFUNCTION("""COMPUTED_VALUE"""),"none")</f>
        <v/>
      </c>
      <c r="X453" s="280">
        <f>IFERROR(__xludf.DUMMYFUNCTION("""COMPUTED_VALUE"""),"none")</f>
        <v/>
      </c>
      <c r="Y453" s="280" t="n"/>
      <c r="Z453" s="280">
        <f>IFERROR(__xludf.DUMMYFUNCTION("""COMPUTED_VALUE"""),"-")</f>
        <v/>
      </c>
      <c r="AA453" s="280" t="n"/>
      <c r="AB453" s="280">
        <f>IFERROR(__xludf.DUMMYFUNCTION("""COMPUTED_VALUE"""),"none")</f>
        <v/>
      </c>
      <c r="AC453" s="280" t="n"/>
      <c r="AD453" s="280" t="n"/>
    </row>
    <row r="454">
      <c r="A454" s="280" t="n"/>
      <c r="B454" s="280" t="n"/>
      <c r="C454" s="308" t="n"/>
      <c r="D454" s="308">
        <f>IFERROR(__xludf.DUMMYFUNCTION("""COMPUTED_VALUE"""),"___")</f>
        <v/>
      </c>
      <c r="E454" s="308">
        <f>IFERROR(__xludf.DUMMYFUNCTION("""COMPUTED_VALUE"""),"none")</f>
        <v/>
      </c>
      <c r="F454" s="308">
        <f>IFERROR(__xludf.DUMMYFUNCTION("""COMPUTED_VALUE"""),"none")</f>
        <v/>
      </c>
      <c r="G454" s="308">
        <f>IFERROR(__xludf.DUMMYFUNCTION("""COMPUTED_VALUE"""),"none")</f>
        <v/>
      </c>
      <c r="H454" s="280" t="n"/>
      <c r="I454" s="280">
        <f>IFERROR(__xludf.DUMMYFUNCTION("""COMPUTED_VALUE"""),"none")</f>
        <v/>
      </c>
      <c r="J454" s="280" t="n"/>
      <c r="K454" s="280" t="n"/>
      <c r="L454" s="280" t="n"/>
      <c r="M454" s="280" t="n"/>
      <c r="N454" s="280" t="n"/>
      <c r="O454" s="280" t="n"/>
      <c r="P454" s="280" t="n"/>
      <c r="Q454" s="280" t="n"/>
      <c r="R454" s="280" t="n"/>
      <c r="S454" s="280" t="n"/>
      <c r="T454" s="300">
        <f>IFERROR(__xludf.DUMMYFUNCTION("""COMPUTED_VALUE"""),"none")</f>
        <v/>
      </c>
      <c r="U454" s="280">
        <f>IFERROR(__xludf.DUMMYFUNCTION("""COMPUTED_VALUE"""),"none")</f>
        <v/>
      </c>
      <c r="V454" s="280" t="n"/>
      <c r="W454" s="280">
        <f>IFERROR(__xludf.DUMMYFUNCTION("""COMPUTED_VALUE"""),"none")</f>
        <v/>
      </c>
      <c r="X454" s="280">
        <f>IFERROR(__xludf.DUMMYFUNCTION("""COMPUTED_VALUE"""),"none")</f>
        <v/>
      </c>
      <c r="Y454" s="280" t="n"/>
      <c r="Z454" s="280">
        <f>IFERROR(__xludf.DUMMYFUNCTION("""COMPUTED_VALUE"""),"-")</f>
        <v/>
      </c>
      <c r="AA454" s="280" t="n"/>
      <c r="AB454" s="280">
        <f>IFERROR(__xludf.DUMMYFUNCTION("""COMPUTED_VALUE"""),"none")</f>
        <v/>
      </c>
      <c r="AC454" s="280" t="n"/>
      <c r="AD454" s="280" t="n"/>
    </row>
    <row r="455">
      <c r="A455" s="280" t="n"/>
      <c r="B455" s="280" t="n"/>
      <c r="C455" s="308" t="n"/>
      <c r="D455" s="308">
        <f>IFERROR(__xludf.DUMMYFUNCTION("""COMPUTED_VALUE"""),"___")</f>
        <v/>
      </c>
      <c r="E455" s="308">
        <f>IFERROR(__xludf.DUMMYFUNCTION("""COMPUTED_VALUE"""),"none")</f>
        <v/>
      </c>
      <c r="F455" s="308">
        <f>IFERROR(__xludf.DUMMYFUNCTION("""COMPUTED_VALUE"""),"none")</f>
        <v/>
      </c>
      <c r="G455" s="308">
        <f>IFERROR(__xludf.DUMMYFUNCTION("""COMPUTED_VALUE"""),"none")</f>
        <v/>
      </c>
      <c r="H455" s="280" t="n"/>
      <c r="I455" s="280">
        <f>IFERROR(__xludf.DUMMYFUNCTION("""COMPUTED_VALUE"""),"none")</f>
        <v/>
      </c>
      <c r="J455" s="280" t="n"/>
      <c r="K455" s="280" t="n"/>
      <c r="L455" s="280" t="n"/>
      <c r="M455" s="280" t="n"/>
      <c r="N455" s="280" t="n"/>
      <c r="O455" s="280" t="n"/>
      <c r="P455" s="280" t="n"/>
      <c r="Q455" s="280" t="n"/>
      <c r="R455" s="280" t="n"/>
      <c r="S455" s="280" t="n"/>
      <c r="T455" s="300">
        <f>IFERROR(__xludf.DUMMYFUNCTION("""COMPUTED_VALUE"""),"none")</f>
        <v/>
      </c>
      <c r="U455" s="280">
        <f>IFERROR(__xludf.DUMMYFUNCTION("""COMPUTED_VALUE"""),"none")</f>
        <v/>
      </c>
      <c r="V455" s="280" t="n"/>
      <c r="W455" s="280">
        <f>IFERROR(__xludf.DUMMYFUNCTION("""COMPUTED_VALUE"""),"none")</f>
        <v/>
      </c>
      <c r="X455" s="280">
        <f>IFERROR(__xludf.DUMMYFUNCTION("""COMPUTED_VALUE"""),"none")</f>
        <v/>
      </c>
      <c r="Y455" s="280" t="n"/>
      <c r="Z455" s="280">
        <f>IFERROR(__xludf.DUMMYFUNCTION("""COMPUTED_VALUE"""),"-")</f>
        <v/>
      </c>
      <c r="AA455" s="280" t="n"/>
      <c r="AB455" s="280">
        <f>IFERROR(__xludf.DUMMYFUNCTION("""COMPUTED_VALUE"""),"none")</f>
        <v/>
      </c>
      <c r="AC455" s="280" t="n"/>
      <c r="AD455" s="280" t="n"/>
    </row>
    <row r="456">
      <c r="A456" s="280" t="n"/>
      <c r="B456" s="280" t="n"/>
      <c r="C456" s="308" t="n"/>
      <c r="D456" s="308">
        <f>IFERROR(__xludf.DUMMYFUNCTION("""COMPUTED_VALUE"""),"___")</f>
        <v/>
      </c>
      <c r="E456" s="308">
        <f>IFERROR(__xludf.DUMMYFUNCTION("""COMPUTED_VALUE"""),"none")</f>
        <v/>
      </c>
      <c r="F456" s="308">
        <f>IFERROR(__xludf.DUMMYFUNCTION("""COMPUTED_VALUE"""),"none")</f>
        <v/>
      </c>
      <c r="G456" s="308">
        <f>IFERROR(__xludf.DUMMYFUNCTION("""COMPUTED_VALUE"""),"none")</f>
        <v/>
      </c>
      <c r="H456" s="280" t="n"/>
      <c r="I456" s="280">
        <f>IFERROR(__xludf.DUMMYFUNCTION("""COMPUTED_VALUE"""),"none")</f>
        <v/>
      </c>
      <c r="J456" s="280" t="n"/>
      <c r="K456" s="280" t="n"/>
      <c r="L456" s="280" t="n"/>
      <c r="M456" s="280" t="n"/>
      <c r="N456" s="280" t="n"/>
      <c r="O456" s="280" t="n"/>
      <c r="P456" s="280" t="n"/>
      <c r="Q456" s="280" t="n"/>
      <c r="R456" s="280" t="n"/>
      <c r="S456" s="280" t="n"/>
      <c r="T456" s="300">
        <f>IFERROR(__xludf.DUMMYFUNCTION("""COMPUTED_VALUE"""),"none")</f>
        <v/>
      </c>
      <c r="U456" s="280">
        <f>IFERROR(__xludf.DUMMYFUNCTION("""COMPUTED_VALUE"""),"none")</f>
        <v/>
      </c>
      <c r="V456" s="280" t="n"/>
      <c r="W456" s="280">
        <f>IFERROR(__xludf.DUMMYFUNCTION("""COMPUTED_VALUE"""),"none")</f>
        <v/>
      </c>
      <c r="X456" s="280">
        <f>IFERROR(__xludf.DUMMYFUNCTION("""COMPUTED_VALUE"""),"none")</f>
        <v/>
      </c>
      <c r="Y456" s="280" t="n"/>
      <c r="Z456" s="280">
        <f>IFERROR(__xludf.DUMMYFUNCTION("""COMPUTED_VALUE"""),"-")</f>
        <v/>
      </c>
      <c r="AA456" s="280" t="n"/>
      <c r="AB456" s="280">
        <f>IFERROR(__xludf.DUMMYFUNCTION("""COMPUTED_VALUE"""),"none")</f>
        <v/>
      </c>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t="n"/>
      <c r="E553" s="308" t="n"/>
      <c r="F553" s="308" t="n"/>
      <c r="G553" s="308" t="n"/>
      <c r="H553" s="280" t="n"/>
      <c r="I553" s="280" t="n"/>
      <c r="J553" s="280" t="n"/>
      <c r="K553" s="280" t="n"/>
      <c r="L553" s="280" t="n"/>
      <c r="M553" s="280" t="n"/>
      <c r="N553" s="280" t="n"/>
      <c r="O553" s="280" t="n"/>
      <c r="P553" s="280" t="n"/>
      <c r="Q553" s="280" t="n"/>
      <c r="R553" s="280" t="n"/>
      <c r="S553" s="280" t="n"/>
      <c r="T553" s="280" t="n"/>
      <c r="U553" s="280" t="n"/>
      <c r="V553" s="280" t="n"/>
      <c r="W553" s="280" t="n"/>
      <c r="X553" s="280" t="n"/>
      <c r="Y553" s="280" t="n"/>
      <c r="Z553" s="280" t="n"/>
      <c r="AA553" s="280" t="n"/>
      <c r="AB553" s="280" t="n"/>
      <c r="AC553" s="280" t="n"/>
      <c r="AD553" s="280" t="n"/>
    </row>
    <row r="554">
      <c r="A554" s="280" t="n"/>
      <c r="B554" s="280" t="n"/>
      <c r="C554" s="308" t="n"/>
      <c r="D554" s="308" t="n"/>
      <c r="E554" s="308" t="n"/>
      <c r="F554" s="308" t="n"/>
      <c r="G554" s="308" t="n"/>
      <c r="H554" s="280" t="n"/>
      <c r="I554" s="280" t="n"/>
      <c r="J554" s="280" t="n"/>
      <c r="K554" s="280" t="n"/>
      <c r="L554" s="280" t="n"/>
      <c r="M554" s="280" t="n"/>
      <c r="N554" s="280" t="n"/>
      <c r="O554" s="280" t="n"/>
      <c r="P554" s="280" t="n"/>
      <c r="Q554" s="280" t="n"/>
      <c r="R554" s="280" t="n"/>
      <c r="S554" s="280" t="n"/>
      <c r="T554" s="280" t="n"/>
      <c r="U554" s="280" t="n"/>
      <c r="V554" s="280" t="n"/>
      <c r="W554" s="280" t="n"/>
      <c r="X554" s="280" t="n"/>
      <c r="Y554" s="280" t="n"/>
      <c r="Z554" s="280" t="n"/>
      <c r="AA554" s="280" t="n"/>
      <c r="AB554" s="280" t="n"/>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C559" s="308" t="n"/>
      <c r="D559" s="308" t="n"/>
      <c r="E559" s="308" t="n"/>
      <c r="F559" s="308" t="n"/>
      <c r="G559" s="308" t="n"/>
    </row>
    <row r="560">
      <c r="C560" s="308" t="n"/>
      <c r="D560" s="308" t="n"/>
      <c r="E560" s="308" t="n"/>
      <c r="F560" s="308" t="n"/>
      <c r="G560" s="308"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t="n"/>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IFERROR(__xludf.DUMMYFUNCTION("""COMPUTED_VALUE"""),"識別怪獣兵器1 鳴海 弦のかけら")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IFERROR(__xludf.DUMMYFUNCTION("""COMPUTED_VALUE"""),"識別怪獣兵器1 鳴海 弦のグレードアップに使用するアイテム")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IFERROR(__xludf.DUMMYFUNCTION("""COMPUTED_VALUE"""),"識別怪獣兵器6 市川 レノのかけら")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IFERROR(__xludf.DUMMYFUNCTION("""COMPUTED_VALUE"""),"識別怪獣兵器6 市川 レノのグレードアップに使用するアイテム")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IFERROR(__xludf.DUMMYFUNCTION("""COMPUTED_VALUE"""),"SR")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IFERROR(__xludf.DUMMYFUNCTION("""COMPUTED_VALUE"""),"UR")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364">
        <f>IFERROR(__xludf.DUMMYFUNCTION("""COMPUTED_VALUE"""),"2026-03-16 15:00:00")</f>
        <v/>
      </c>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364">
        <f>IFERROR(__xludf.DUMMYFUNCTION("""COMPUTED_VALUE"""),"2026-03-16 15:00:00")</f>
        <v/>
      </c>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364">
        <f>IFERROR(__xludf.DUMMYFUNCTION("""COMPUTED_VALUE"""),"2026-03-16 15:00:00")</f>
        <v/>
      </c>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IFERROR(__xludf.DUMMYFUNCTION("""COMPUTED_VALUE"""),"『道産子ギャルはなまらめんこい』の表紙")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364">
        <f>IFERROR(__xludf.DUMMYFUNCTION("""COMPUTED_VALUE"""),"2026-03-16 15:00:00")</f>
        <v/>
      </c>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364">
        <f>IFERROR(__xludf.DUMMYFUNCTION("""COMPUTED_VALUE"""),"2026-03-16 15:00:00")</f>
        <v/>
      </c>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364">
        <f>IFERROR(__xludf.DUMMYFUNCTION("""COMPUTED_VALUE"""),"2026-03-16 15:00:00")</f>
        <v/>
      </c>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364">
        <f>IFERROR(__xludf.DUMMYFUNCTION("""COMPUTED_VALUE"""),"2026-03-16 15:00:00")</f>
        <v/>
      </c>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IFERROR(__xludf.DUMMYFUNCTION("""COMPUTED_VALUE"""),"『君のことが大大大大大好きな100人の彼女』の表紙")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364">
        <f>IFERROR(__xludf.DUMMYFUNCTION("""COMPUTED_VALUE"""),"2026-03-16 15:00:00")</f>
        <v/>
      </c>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364">
        <f>IFERROR(__xludf.DUMMYFUNCTION("""COMPUTED_VALUE"""),"2026-03-16 15:00:00")</f>
        <v/>
      </c>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364">
        <f>IFERROR(__xludf.DUMMYFUNCTION("""COMPUTED_VALUE"""),"2026-03-16 15:00:00")</f>
        <v/>
      </c>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IFERROR(__xludf.DUMMYFUNCTION("""COMPUTED_VALUE"""),"『ヴィジランテ-僕のヒーローアカデミア ILLEGALS-』の表紙")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f>IFERROR(__xludf.DUMMYFUNCTION("""COMPUTED_VALUE"""),"▼原画（アイコン用のIDとして発行）")</f>
        <v/>
      </c>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IFERROR(__xludf.DUMMYFUNCTION("""COMPUTED_VALUE"""),"glo")</f>
        <v/>
      </c>
      <c r="B327" s="287">
        <f>IFERROR(__xludf.DUMMYFUNCTION("""COMPUTED_VALUE"""),"GLOW")</f>
        <v/>
      </c>
      <c r="C327" s="287">
        <f>IFERROR(__xludf.DUMMYFUNCTION("""COMPUTED_VALUE"""),"item")</f>
        <v/>
      </c>
      <c r="D327" s="362">
        <f>IFERROR(__xludf.DUMMYFUNCTION("""COMPUTED_VALUE"""),"90000")</f>
        <v/>
      </c>
      <c r="E327" s="287">
        <f>IFERROR(__xludf.DUMMYFUNCTION("""COMPUTED_VALUE"""),"item_glo_90000")</f>
        <v/>
      </c>
      <c r="F327" s="287">
        <f>IFERROR(__xludf.DUMMYFUNCTION("""COMPUTED_VALUE"""),"item_glo_90000")</f>
        <v/>
      </c>
      <c r="G327" s="287">
        <f>IFERROR(__xludf.DUMMYFUNCTION("""COMPUTED_VALUE"""),"item_icon_item_glo_90000")</f>
        <v/>
      </c>
      <c r="H327" s="287">
        <f>IFERROR(__xludf.DUMMYFUNCTION("""COMPUTED_VALUE"""),"原画")</f>
        <v/>
      </c>
      <c r="I327" s="287">
        <f>IFERROR(__xludf.DUMMYFUNCTION("""COMPUTED_VALUE"""),"UR")</f>
        <v/>
      </c>
      <c r="J327" s="363">
        <f>IFERROR(__xludf.DUMMYFUNCTION("""COMPUTED_VALUE"""),"　1")</f>
        <v/>
      </c>
      <c r="K327" s="363">
        <f>IFERROR(__xludf.DUMMYFUNCTION("""COMPUTED_VALUE"""),1.0)</f>
        <v/>
      </c>
      <c r="L327" s="287" t="n"/>
      <c r="M327" s="287">
        <f>IFERROR(__xludf.DUMMYFUNCTION("""COMPUTED_VALUE"""),"原画そのものを報酬に置いたときに共通で表示する際のアイコン")</f>
        <v/>
      </c>
      <c r="N327" s="292" t="n"/>
      <c r="O327" s="322" t="n"/>
      <c r="P327" s="287" t="n"/>
    </row>
    <row r="328">
      <c r="A328" s="287" t="n"/>
      <c r="B328" s="287" t="n"/>
      <c r="C328" s="287" t="n"/>
      <c r="D328" s="287" t="n"/>
      <c r="E328" s="287" t="n"/>
      <c r="F328" s="287" t="n"/>
      <c r="G328" s="287" t="n"/>
      <c r="H328" s="287" t="n"/>
      <c r="I328" s="287" t="n"/>
      <c r="J328" s="287" t="n"/>
      <c r="K328" s="287" t="n"/>
      <c r="L328" s="287" t="n"/>
      <c r="M328" s="287" t="n"/>
      <c r="N328" s="292" t="n"/>
      <c r="O328" s="322" t="n"/>
      <c r="P328" s="287" t="n"/>
    </row>
    <row r="329">
      <c r="A329" s="287">
        <f>IFERROR(__xludf.DUMMYFUNCTION("""COMPUTED_VALUE"""),"▼ランクマッチ専用アイテム")</f>
        <v/>
      </c>
      <c r="B329" s="287" t="n"/>
      <c r="C329" s="287" t="n"/>
      <c r="D329" s="287" t="n"/>
      <c r="E329" s="287" t="n"/>
      <c r="F329" s="287" t="n"/>
      <c r="G329" s="287" t="n"/>
      <c r="H329" s="287" t="n"/>
      <c r="I329" s="287" t="n"/>
      <c r="J329" s="287" t="n"/>
      <c r="K329" s="287" t="n"/>
      <c r="L329" s="287" t="n"/>
      <c r="M329" s="287" t="n"/>
      <c r="N329" s="292" t="n"/>
      <c r="O329" s="322" t="n"/>
      <c r="P329" s="287" t="n"/>
    </row>
    <row r="330">
      <c r="A330" s="287">
        <f>IFERROR(__xludf.DUMMYFUNCTION("""COMPUTED_VALUE"""),"glo")</f>
        <v/>
      </c>
      <c r="B330" s="287">
        <f>IFERROR(__xludf.DUMMYFUNCTION("""COMPUTED_VALUE"""),"GLOW")</f>
        <v/>
      </c>
      <c r="C330" s="287">
        <f>IFERROR(__xludf.DUMMYFUNCTION("""COMPUTED_VALUE"""),"entry_item")</f>
        <v/>
      </c>
      <c r="D330" s="362">
        <f>IFERROR(__xludf.DUMMYFUNCTION("""COMPUTED_VALUE"""),"00001")</f>
        <v/>
      </c>
      <c r="E330" s="287">
        <f>IFERROR(__xludf.DUMMYFUNCTION("""COMPUTED_VALUE"""),"entry_item_glo_00001")</f>
        <v/>
      </c>
      <c r="F330" s="287">
        <f>IFERROR(__xludf.DUMMYFUNCTION("""COMPUTED_VALUE"""),"entry_item_glo_00001")</f>
        <v/>
      </c>
      <c r="G330" s="287">
        <f>IFERROR(__xludf.DUMMYFUNCTION("""COMPUTED_VALUE"""),"item_icon_entry_item_glo_00001")</f>
        <v/>
      </c>
      <c r="H330" s="287">
        <f>IFERROR(__xludf.DUMMYFUNCTION("""COMPUTED_VALUE"""),"ランクマッチチケット")</f>
        <v/>
      </c>
      <c r="I330" s="287">
        <f>IFERROR(__xludf.DUMMYFUNCTION("""COMPUTED_VALUE"""),"UR")</f>
        <v/>
      </c>
      <c r="J330" s="363">
        <f>IFERROR(__xludf.DUMMYFUNCTION("""COMPUTED_VALUE"""),9.99999999E8)</f>
        <v/>
      </c>
      <c r="K330" s="363">
        <f>IFERROR(__xludf.DUMMYFUNCTION("""COMPUTED_VALUE"""),9.99999999E8)</f>
        <v/>
      </c>
      <c r="L330" s="287">
        <f>IFERROR(__xludf.DUMMYFUNCTION("""COMPUTED_VALUE"""),"ランクマッチに挑戦するためのアイテム")</f>
        <v/>
      </c>
      <c r="M330" s="287">
        <f>IFERROR(__xludf.DUMMYFUNCTION("""COMPUTED_VALUE"""),"ランクマッチの挑戦回数を回復する")</f>
        <v/>
      </c>
      <c r="N330" s="364">
        <f>IFERROR(__xludf.DUMMYFUNCTION("""COMPUTED_VALUE"""),"2024-01-01 00:00:00")</f>
        <v/>
      </c>
      <c r="O330" s="322" t="n"/>
      <c r="P330" s="287" t="n"/>
    </row>
    <row r="331">
      <c r="A331" s="287" t="n"/>
      <c r="B331" s="287" t="n"/>
      <c r="C331" s="287" t="n"/>
      <c r="D331" s="287" t="n"/>
      <c r="E331" s="287" t="n"/>
      <c r="F331" s="287" t="n"/>
      <c r="G331" s="287" t="n"/>
      <c r="H331" s="287" t="n"/>
      <c r="I331" s="287" t="n"/>
      <c r="J331" s="287" t="n"/>
      <c r="K331" s="287" t="n"/>
      <c r="L331" s="287" t="n"/>
      <c r="M331" s="287" t="n"/>
      <c r="N331" s="292" t="n"/>
      <c r="O331" s="322" t="n"/>
      <c r="P331" s="287" t="n"/>
    </row>
    <row r="332">
      <c r="A332" s="287" t="n"/>
      <c r="B332" s="287" t="n"/>
      <c r="C332" s="287" t="n"/>
      <c r="D332" s="287" t="n"/>
      <c r="E332" s="287" t="n"/>
      <c r="F332" s="287" t="n"/>
      <c r="G332" s="287" t="n"/>
      <c r="H332" s="287" t="n"/>
      <c r="I332" s="287" t="n"/>
      <c r="J332" s="287" t="n"/>
      <c r="K332" s="287" t="n"/>
      <c r="L332" s="287" t="n"/>
      <c r="M332" s="287" t="n"/>
      <c r="N332" s="292" t="n"/>
      <c r="O332" s="322" t="n"/>
      <c r="P332" s="287" t="n"/>
    </row>
    <row r="333">
      <c r="A333" s="287" t="n"/>
      <c r="B333" s="287" t="n"/>
      <c r="C333" s="287" t="n"/>
      <c r="D333" s="287" t="n"/>
      <c r="E333" s="287" t="n"/>
      <c r="F333" s="287" t="n"/>
      <c r="G333" s="287" t="n"/>
      <c r="H333" s="287" t="n"/>
      <c r="I333" s="287" t="n"/>
      <c r="J333" s="287" t="n"/>
      <c r="K333" s="287" t="n"/>
      <c r="L333" s="287" t="n"/>
      <c r="M333" s="287" t="n"/>
      <c r="N333" s="292" t="n"/>
      <c r="O333" s="322" t="n"/>
      <c r="P333" s="287" t="n"/>
    </row>
    <row r="334">
      <c r="A334" s="287" t="n"/>
      <c r="B334" s="287" t="n"/>
      <c r="C334" s="287" t="n"/>
      <c r="D334" s="287" t="n"/>
      <c r="E334" s="287" t="n"/>
      <c r="F334" s="287" t="n"/>
      <c r="G334" s="287" t="n"/>
      <c r="H334" s="287" t="n"/>
      <c r="I334" s="287" t="n"/>
      <c r="J334" s="287" t="n"/>
      <c r="K334" s="287" t="n"/>
      <c r="L334" s="287" t="n"/>
      <c r="M334" s="287" t="n"/>
      <c r="N334" s="292" t="n"/>
      <c r="O334" s="322" t="n"/>
      <c r="P334" s="287" t="n"/>
    </row>
    <row r="335">
      <c r="A335" s="287" t="n"/>
      <c r="B335" s="287" t="n"/>
      <c r="C335" s="287" t="n"/>
      <c r="D335" s="287" t="n"/>
      <c r="E335" s="287" t="n"/>
      <c r="F335" s="287" t="n"/>
      <c r="G335" s="287" t="n"/>
      <c r="H335" s="287" t="n"/>
      <c r="I335" s="287" t="n"/>
      <c r="J335" s="287" t="n"/>
      <c r="K335" s="287" t="n"/>
      <c r="L335" s="287" t="n"/>
      <c r="M335" s="287" t="n"/>
      <c r="N335" s="292" t="n"/>
      <c r="O335" s="322" t="n"/>
      <c r="P335" s="287" t="n"/>
    </row>
    <row r="336">
      <c r="A336" s="287" t="n"/>
      <c r="B336" s="287" t="n"/>
      <c r="C336" s="287" t="n"/>
      <c r="D336" s="287" t="n"/>
      <c r="E336" s="287" t="n"/>
      <c r="F336" s="287" t="n"/>
      <c r="G336" s="287" t="n"/>
      <c r="H336" s="287" t="n"/>
      <c r="I336" s="287" t="n"/>
      <c r="J336" s="287" t="n"/>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t="n"/>
      <c r="B338" s="287" t="n"/>
      <c r="C338" s="287" t="n"/>
      <c r="D338" s="287" t="n"/>
      <c r="E338" s="287" t="n"/>
      <c r="F338" s="287" t="n"/>
      <c r="G338" s="287" t="n"/>
      <c r="H338" s="287" t="n"/>
      <c r="I338" s="287" t="n"/>
      <c r="J338" s="287" t="n"/>
      <c r="K338" s="287" t="n"/>
      <c r="L338" s="287" t="n"/>
      <c r="M338" s="287" t="n"/>
      <c r="N338" s="292" t="n"/>
      <c r="O338" s="322" t="n"/>
      <c r="P338" s="287" t="n"/>
    </row>
    <row r="339">
      <c r="A339" s="287" t="n"/>
      <c r="B339" s="287" t="n"/>
      <c r="C339" s="287" t="n"/>
      <c r="D339" s="287" t="n"/>
      <c r="E339" s="287" t="n"/>
      <c r="F339" s="287" t="n"/>
      <c r="G339" s="287" t="n"/>
      <c r="H339" s="287" t="n"/>
      <c r="I339" s="287" t="n"/>
      <c r="J339" s="287" t="n"/>
      <c r="K339" s="287" t="n"/>
      <c r="L339" s="287" t="n"/>
      <c r="M339" s="287" t="n"/>
      <c r="N339" s="292" t="n"/>
      <c r="O339" s="322" t="n"/>
      <c r="P339" s="287" t="n"/>
    </row>
    <row r="340">
      <c r="A340" s="287" t="n"/>
      <c r="B340" s="287" t="n"/>
      <c r="C340" s="287" t="n"/>
      <c r="D340" s="287" t="n"/>
      <c r="E340" s="287" t="n"/>
      <c r="F340" s="287" t="n"/>
      <c r="G340" s="287" t="n"/>
      <c r="H340" s="287" t="n"/>
      <c r="I340" s="287" t="n"/>
      <c r="J340" s="287" t="n"/>
      <c r="K340" s="287" t="n"/>
      <c r="L340" s="287" t="n"/>
      <c r="M340" s="287" t="n"/>
      <c r="N340" s="292" t="n"/>
      <c r="O340" s="322" t="n"/>
      <c r="P340" s="287" t="n"/>
    </row>
    <row r="341">
      <c r="A341" s="287" t="n"/>
      <c r="B341" s="287" t="n"/>
      <c r="C341" s="287" t="n"/>
      <c r="D341" s="287" t="n"/>
      <c r="E341" s="287" t="n"/>
      <c r="F341" s="287" t="n"/>
      <c r="G341" s="287" t="n"/>
      <c r="H341" s="287" t="n"/>
      <c r="I341" s="287" t="n"/>
      <c r="J341" s="287" t="n"/>
      <c r="K341" s="287" t="n"/>
      <c r="L341" s="287" t="n"/>
      <c r="M341" s="287" t="n"/>
      <c r="N341" s="292" t="n"/>
      <c r="O341" s="322" t="n"/>
      <c r="P341" s="287" t="n"/>
    </row>
    <row r="342">
      <c r="A342" s="287" t="n"/>
      <c r="B342" s="287" t="n"/>
      <c r="C342" s="287" t="n"/>
      <c r="D342" s="287" t="n"/>
      <c r="E342" s="287" t="n"/>
      <c r="F342" s="287" t="n"/>
      <c r="G342" s="287" t="n"/>
      <c r="H342" s="287" t="n"/>
      <c r="I342" s="287" t="n"/>
      <c r="J342" s="287" t="n"/>
      <c r="K342" s="287" t="n"/>
      <c r="L342" s="287" t="n"/>
      <c r="M342" s="287" t="n"/>
      <c r="N342" s="292" t="n"/>
      <c r="O342" s="322" t="n"/>
      <c r="P342" s="287" t="n"/>
    </row>
    <row r="343">
      <c r="A343" s="287" t="n"/>
      <c r="B343" s="287" t="n"/>
      <c r="C343" s="287" t="n"/>
      <c r="D343" s="287" t="n"/>
      <c r="E343" s="287" t="n"/>
      <c r="F343" s="287" t="n"/>
      <c r="G343" s="287" t="n"/>
      <c r="H343" s="287" t="n"/>
      <c r="I343" s="287" t="n"/>
      <c r="J343" s="287" t="n"/>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t="n"/>
      <c r="B345" s="287" t="n"/>
      <c r="C345" s="287" t="n"/>
      <c r="D345" s="287" t="n"/>
      <c r="E345" s="287" t="n"/>
      <c r="F345" s="287" t="n"/>
      <c r="G345" s="287" t="n"/>
      <c r="H345" s="287" t="n"/>
      <c r="I345" s="287" t="n"/>
      <c r="J345" s="287" t="n"/>
      <c r="K345" s="287" t="n"/>
      <c r="L345" s="287" t="n"/>
      <c r="M345" s="287" t="n"/>
      <c r="N345" s="292" t="n"/>
      <c r="O345" s="322" t="n"/>
      <c r="P345" s="287" t="n"/>
    </row>
    <row r="346">
      <c r="A346" s="287" t="n"/>
      <c r="B346" s="287" t="n"/>
      <c r="C346" s="287" t="n"/>
      <c r="D346" s="287" t="n"/>
      <c r="E346" s="287" t="n"/>
      <c r="F346" s="287" t="n"/>
      <c r="G346" s="287" t="n"/>
      <c r="H346" s="287" t="n"/>
      <c r="I346" s="287" t="n"/>
      <c r="J346" s="287" t="n"/>
      <c r="K346" s="287" t="n"/>
      <c r="L346" s="287" t="n"/>
      <c r="M346" s="287" t="n"/>
      <c r="N346" s="292" t="n"/>
      <c r="O346" s="322" t="n"/>
      <c r="P346" s="287" t="n"/>
    </row>
    <row r="347">
      <c r="A347" s="287" t="n"/>
      <c r="B347" s="287" t="n"/>
      <c r="C347" s="287" t="n"/>
      <c r="D347" s="287" t="n"/>
      <c r="E347" s="287" t="n"/>
      <c r="F347" s="287" t="n"/>
      <c r="G347" s="287" t="n"/>
      <c r="H347" s="287" t="n"/>
      <c r="I347" s="287" t="n"/>
      <c r="J347" s="287" t="n"/>
      <c r="K347" s="287" t="n"/>
      <c r="L347" s="287" t="n"/>
      <c r="M347" s="287" t="n"/>
      <c r="N347" s="292" t="n"/>
      <c r="O347" s="322" t="n"/>
      <c r="P347" s="287" t="n"/>
    </row>
    <row r="348">
      <c r="A348" s="287" t="n"/>
      <c r="B348" s="287" t="n"/>
      <c r="C348" s="287" t="n"/>
      <c r="D348" s="287" t="n"/>
      <c r="E348" s="287" t="n"/>
      <c r="F348" s="287" t="n"/>
      <c r="G348" s="287" t="n"/>
      <c r="H348" s="287" t="n"/>
      <c r="I348" s="287" t="n"/>
      <c r="J348" s="287" t="n"/>
      <c r="K348" s="287" t="n"/>
      <c r="L348" s="287" t="n"/>
      <c r="M348" s="287" t="n"/>
      <c r="N348" s="292" t="n"/>
      <c r="O348" s="322" t="n"/>
      <c r="P348" s="287" t="n"/>
    </row>
    <row r="349">
      <c r="A349" s="287" t="n"/>
      <c r="B349" s="287" t="n"/>
      <c r="C349" s="287" t="n"/>
      <c r="D349" s="287" t="n"/>
      <c r="E349" s="287" t="n"/>
      <c r="F349" s="287" t="n"/>
      <c r="G349" s="287" t="n"/>
      <c r="H349" s="287" t="n"/>
      <c r="I349" s="287" t="n"/>
      <c r="J349" s="287" t="n"/>
      <c r="K349" s="287" t="n"/>
      <c r="L349" s="287" t="n"/>
      <c r="M349" s="287" t="n"/>
      <c r="N349" s="292" t="n"/>
      <c r="O349" s="322" t="n"/>
      <c r="P349" s="287" t="n"/>
    </row>
    <row r="350">
      <c r="A350" s="287" t="n"/>
      <c r="B350" s="287" t="n"/>
      <c r="C350" s="287" t="n"/>
      <c r="D350" s="287" t="n"/>
      <c r="E350" s="287" t="n"/>
      <c r="F350" s="287" t="n"/>
      <c r="G350" s="287" t="n"/>
      <c r="H350" s="287" t="n"/>
      <c r="I350" s="287" t="n"/>
      <c r="J350" s="287" t="n"/>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t="n"/>
      <c r="B352" s="287" t="n"/>
      <c r="C352" s="287" t="n"/>
      <c r="D352" s="287" t="n"/>
      <c r="E352" s="287" t="n"/>
      <c r="F352" s="287" t="n"/>
      <c r="G352" s="287" t="n"/>
      <c r="H352" s="287" t="n"/>
      <c r="I352" s="287" t="n"/>
      <c r="J352" s="287" t="n"/>
      <c r="K352" s="287" t="n"/>
      <c r="L352" s="287" t="n"/>
      <c r="M352" s="287" t="n"/>
      <c r="N352" s="292" t="n"/>
      <c r="O352" s="322" t="n"/>
      <c r="P352" s="287" t="n"/>
    </row>
    <row r="353">
      <c r="A353" s="287" t="n"/>
      <c r="B353" s="287" t="n"/>
      <c r="C353" s="287" t="n"/>
      <c r="D353" s="287" t="n"/>
      <c r="E353" s="287" t="n"/>
      <c r="F353" s="287" t="n"/>
      <c r="G353" s="287" t="n"/>
      <c r="H353" s="287" t="n"/>
      <c r="I353" s="287" t="n"/>
      <c r="J353" s="287" t="n"/>
      <c r="K353" s="287" t="n"/>
      <c r="L353" s="287" t="n"/>
      <c r="M353" s="287" t="n"/>
      <c r="N353" s="292" t="n"/>
      <c r="O353" s="322" t="n"/>
      <c r="P353" s="287" t="n"/>
    </row>
    <row r="354">
      <c r="A354" s="287" t="n"/>
      <c r="B354" s="287" t="n"/>
      <c r="C354" s="287" t="n"/>
      <c r="D354" s="287" t="n"/>
      <c r="E354" s="287" t="n"/>
      <c r="F354" s="287" t="n"/>
      <c r="G354" s="287" t="n"/>
      <c r="H354" s="287" t="n"/>
      <c r="I354" s="287" t="n"/>
      <c r="J354" s="287" t="n"/>
      <c r="K354" s="287" t="n"/>
      <c r="L354" s="287" t="n"/>
      <c r="M354" s="287" t="n"/>
      <c r="N354" s="292" t="n"/>
      <c r="O354" s="322" t="n"/>
      <c r="P354" s="287" t="n"/>
    </row>
    <row r="355">
      <c r="A355" s="287" t="n"/>
      <c r="B355" s="287" t="n"/>
      <c r="C355" s="287" t="n"/>
      <c r="D355" s="287" t="n"/>
      <c r="E355" s="287" t="n"/>
      <c r="F355" s="287" t="n"/>
      <c r="G355" s="287" t="n"/>
      <c r="H355" s="287" t="n"/>
      <c r="I355" s="287" t="n"/>
      <c r="J355" s="287" t="n"/>
      <c r="K355" s="287" t="n"/>
      <c r="L355" s="287" t="n"/>
      <c r="M355" s="287" t="n"/>
      <c r="N355" s="292" t="n"/>
      <c r="O355" s="322" t="n"/>
      <c r="P355" s="287" t="n"/>
    </row>
    <row r="356">
      <c r="A356" s="287" t="n"/>
      <c r="B356" s="287" t="n"/>
      <c r="C356" s="287" t="n"/>
      <c r="D356" s="287" t="n"/>
      <c r="E356" s="287" t="n"/>
      <c r="F356" s="287" t="n"/>
      <c r="G356" s="287" t="n"/>
      <c r="H356" s="287" t="n"/>
      <c r="I356" s="287" t="n"/>
      <c r="J356" s="287" t="n"/>
      <c r="K356" s="287" t="n"/>
      <c r="L356" s="287" t="n"/>
      <c r="M356" s="287" t="n"/>
      <c r="N356" s="292" t="n"/>
      <c r="O356" s="322" t="n"/>
      <c r="P356" s="287" t="n"/>
    </row>
    <row r="357">
      <c r="A357" s="287" t="n"/>
      <c r="B357" s="287" t="n"/>
      <c r="C357" s="287" t="n"/>
      <c r="D357" s="287" t="n"/>
      <c r="E357" s="287" t="n"/>
      <c r="F357" s="287" t="n"/>
      <c r="G357" s="287" t="n"/>
      <c r="H357" s="287" t="n"/>
      <c r="I357" s="287" t="n"/>
      <c r="J357" s="287" t="n"/>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t="n"/>
      <c r="B359" s="287" t="n"/>
      <c r="C359" s="287" t="n"/>
      <c r="D359" s="287" t="n"/>
      <c r="E359" s="287" t="n"/>
      <c r="F359" s="287" t="n"/>
      <c r="G359" s="287" t="n"/>
      <c r="H359" s="287" t="n"/>
      <c r="I359" s="287" t="n"/>
      <c r="J359" s="287" t="n"/>
      <c r="K359" s="287" t="n"/>
      <c r="L359" s="287" t="n"/>
      <c r="M359" s="287" t="n"/>
      <c r="N359" s="292" t="n"/>
      <c r="O359" s="322" t="n"/>
      <c r="P359" s="287" t="n"/>
    </row>
    <row r="360">
      <c r="A360" s="287" t="n"/>
      <c r="B360" s="287" t="n"/>
      <c r="C360" s="287" t="n"/>
      <c r="D360" s="287" t="n"/>
      <c r="E360" s="287" t="n"/>
      <c r="F360" s="287" t="n"/>
      <c r="G360" s="287" t="n"/>
      <c r="H360" s="287" t="n"/>
      <c r="I360" s="287" t="n"/>
      <c r="J360" s="287" t="n"/>
      <c r="K360" s="287" t="n"/>
      <c r="L360" s="287" t="n"/>
      <c r="M360" s="287" t="n"/>
      <c r="N360" s="292" t="n"/>
      <c r="O360" s="322" t="n"/>
      <c r="P360" s="287" t="n"/>
    </row>
    <row r="361">
      <c r="A361" s="287" t="n"/>
      <c r="B361" s="287" t="n"/>
      <c r="C361" s="287" t="n"/>
      <c r="D361" s="287" t="n"/>
      <c r="E361" s="287" t="n"/>
      <c r="F361" s="287" t="n"/>
      <c r="G361" s="287" t="n"/>
      <c r="H361" s="287" t="n"/>
      <c r="I361" s="287" t="n"/>
      <c r="J361" s="287" t="n"/>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t="n"/>
      <c r="B363" s="287" t="n"/>
      <c r="C363" s="287" t="n"/>
      <c r="D363" s="287" t="n"/>
      <c r="E363" s="287" t="n"/>
      <c r="F363" s="287" t="n"/>
      <c r="G363" s="287" t="n"/>
      <c r="H363" s="287" t="n"/>
      <c r="I363" s="287" t="n"/>
      <c r="J363" s="287" t="n"/>
      <c r="K363" s="287" t="n"/>
      <c r="L363" s="287" t="n"/>
      <c r="M363" s="287" t="n"/>
      <c r="N363" s="292" t="n"/>
      <c r="O363" s="322" t="n"/>
      <c r="P363" s="287" t="n"/>
    </row>
    <row r="364">
      <c r="A364" s="287" t="n"/>
      <c r="B364" s="287" t="n"/>
      <c r="C364" s="287" t="n"/>
      <c r="D364" s="287" t="n"/>
      <c r="E364" s="287" t="n"/>
      <c r="F364" s="287" t="n"/>
      <c r="G364" s="287" t="n"/>
      <c r="H364" s="287" t="n"/>
      <c r="I364" s="287" t="n"/>
      <c r="J364" s="287" t="n"/>
      <c r="K364" s="287" t="n"/>
      <c r="L364" s="287" t="n"/>
      <c r="M364" s="287" t="n"/>
      <c r="N364" s="292" t="n"/>
      <c r="O364" s="322" t="n"/>
      <c r="P364" s="287" t="n"/>
    </row>
    <row r="365">
      <c r="A365" s="287" t="n"/>
      <c r="B365" s="287" t="n"/>
      <c r="C365" s="287" t="n"/>
      <c r="D365" s="287" t="n"/>
      <c r="E365" s="287" t="n"/>
      <c r="F365" s="287" t="n"/>
      <c r="G365" s="287" t="n"/>
      <c r="H365" s="287" t="n"/>
      <c r="I365" s="287" t="n"/>
      <c r="J365" s="287" t="n"/>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t="n"/>
      <c r="B367" s="287" t="n"/>
      <c r="C367" s="287" t="n"/>
      <c r="D367" s="287" t="n"/>
      <c r="E367" s="287" t="n"/>
      <c r="F367" s="287" t="n"/>
      <c r="G367" s="287" t="n"/>
      <c r="H367" s="287" t="n"/>
      <c r="I367" s="287" t="n"/>
      <c r="J367" s="287" t="n"/>
      <c r="K367" s="287" t="n"/>
      <c r="L367" s="287" t="n"/>
      <c r="M367" s="287" t="n"/>
      <c r="N367" s="292" t="n"/>
      <c r="O367" s="322" t="n"/>
      <c r="P367" s="287" t="n"/>
    </row>
    <row r="368">
      <c r="A368" s="287" t="n"/>
      <c r="B368" s="287" t="n"/>
      <c r="C368" s="287" t="n"/>
      <c r="D368" s="287" t="n"/>
      <c r="E368" s="287" t="n"/>
      <c r="F368" s="287" t="n"/>
      <c r="G368" s="287" t="n"/>
      <c r="H368" s="287" t="n"/>
      <c r="I368" s="287" t="n"/>
      <c r="J368" s="287" t="n"/>
      <c r="K368" s="287" t="n"/>
      <c r="L368" s="287" t="n"/>
      <c r="M368" s="287" t="n"/>
      <c r="N368" s="292" t="n"/>
      <c r="O368" s="322" t="n"/>
      <c r="P368" s="287" t="n"/>
    </row>
    <row r="369">
      <c r="A369" s="287" t="n"/>
      <c r="B369" s="287" t="n"/>
      <c r="C369" s="287" t="n"/>
      <c r="D369" s="287" t="n"/>
      <c r="E369" s="287" t="n"/>
      <c r="F369" s="287" t="n"/>
      <c r="G369" s="287" t="n"/>
      <c r="H369" s="287" t="n"/>
      <c r="I369" s="287" t="n"/>
      <c r="J369" s="287" t="n"/>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t="n"/>
      <c r="B371" s="287" t="n"/>
      <c r="C371" s="287" t="n"/>
      <c r="D371" s="287" t="n"/>
      <c r="E371" s="287" t="n"/>
      <c r="F371" s="287" t="n"/>
      <c r="G371" s="287" t="n"/>
      <c r="H371" s="287" t="n"/>
      <c r="I371" s="287" t="n"/>
      <c r="J371" s="287" t="n"/>
      <c r="K371" s="287" t="n"/>
      <c r="L371" s="287" t="n"/>
      <c r="M371" s="287" t="n"/>
      <c r="N371" s="292" t="n"/>
      <c r="O371" s="322" t="n"/>
      <c r="P371" s="287" t="n"/>
    </row>
    <row r="372">
      <c r="A372" s="287" t="n"/>
      <c r="B372" s="287" t="n"/>
      <c r="C372" s="287" t="n"/>
      <c r="D372" s="287" t="n"/>
      <c r="E372" s="287" t="n"/>
      <c r="F372" s="287" t="n"/>
      <c r="G372" s="287" t="n"/>
      <c r="H372" s="287" t="n"/>
      <c r="I372" s="287" t="n"/>
      <c r="J372" s="287" t="n"/>
      <c r="K372" s="287" t="n"/>
      <c r="L372" s="287" t="n"/>
      <c r="M372" s="287" t="n"/>
      <c r="N372" s="292" t="n"/>
      <c r="O372" s="322" t="n"/>
      <c r="P372" s="287" t="n"/>
    </row>
    <row r="373">
      <c r="A373" s="287" t="n"/>
      <c r="B373" s="287" t="n"/>
      <c r="C373" s="287" t="n"/>
      <c r="D373" s="287" t="n"/>
      <c r="E373" s="287" t="n"/>
      <c r="F373" s="287" t="n"/>
      <c r="G373" s="287" t="n"/>
      <c r="H373" s="287" t="n"/>
      <c r="I373" s="287" t="n"/>
      <c r="J373" s="287" t="n"/>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t="n"/>
      <c r="B377" s="287" t="n"/>
      <c r="C377" s="287" t="n"/>
      <c r="D377" s="287" t="n"/>
      <c r="E377" s="287" t="n"/>
      <c r="F377" s="287" t="n"/>
      <c r="G377" s="287" t="n"/>
      <c r="H377" s="287" t="n"/>
      <c r="I377" s="287" t="n"/>
      <c r="J377" s="287" t="n"/>
      <c r="K377" s="287" t="n"/>
      <c r="L377" s="287" t="n"/>
      <c r="M377" s="287" t="n"/>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t="n"/>
      <c r="B379" s="287" t="n"/>
      <c r="C379" s="287" t="n"/>
      <c r="D379" s="287" t="n"/>
      <c r="E379" s="287" t="n"/>
      <c r="F379" s="287" t="n"/>
      <c r="G379" s="287" t="n"/>
      <c r="H379" s="287" t="n"/>
      <c r="I379" s="287" t="n"/>
      <c r="J379" s="287" t="n"/>
      <c r="K379" s="287" t="n"/>
      <c r="L379" s="287" t="n"/>
      <c r="M379" s="287" t="n"/>
      <c r="N379" s="292" t="n"/>
      <c r="O379" s="322" t="n"/>
      <c r="P379" s="287" t="n"/>
    </row>
    <row r="380">
      <c r="A380" s="287" t="n"/>
      <c r="B380" s="287" t="n"/>
      <c r="C380" s="287" t="n"/>
      <c r="D380" s="287" t="n"/>
      <c r="E380" s="287" t="n"/>
      <c r="F380" s="287" t="n"/>
      <c r="G380" s="287" t="n"/>
      <c r="H380" s="287" t="n"/>
      <c r="I380" s="287" t="n"/>
      <c r="J380" s="287" t="n"/>
      <c r="K380" s="287" t="n"/>
      <c r="L380" s="287" t="n"/>
      <c r="M380" s="287" t="n"/>
      <c r="N380" s="292" t="n"/>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IFERROR(__xludf.DUMMYFUNCTION("""COMPUTED_VALUE"""),"オープニング！")</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IFERROR(__xludf.DUMMYFUNCTION("""COMPUTED_VALUE"""),"challenge01")</f>
        <v/>
      </c>
      <c r="D643" s="287">
        <f>IFERROR(__xludf.DUMMYFUNCTION("""COMPUTED_VALUE"""),"event")</f>
        <v/>
      </c>
      <c r="E643" s="362">
        <f>IFERROR(__xludf.DUMMYFUNCTION("""COMPUTED_VALUE"""),"チャレンジ")</f>
        <v/>
      </c>
      <c r="F643" s="362">
        <f>IFERROR(__xludf.DUMMYFUNCTION("""COMPUTED_VALUE"""),"quest_event_f05anniv_challenge01")</f>
        <v/>
      </c>
      <c r="G643" s="287">
        <f>IFERROR(__xludf.DUMMYFUNCTION("""COMPUTED_VALUE"""),"一日ひとつだけ強くなりますわ")</f>
        <v/>
      </c>
      <c r="H643" s="362">
        <f>IFERROR(__xludf.DUMMYFUNCTION("""COMPUTED_VALUE"""),"01")</f>
        <v/>
      </c>
      <c r="I643" s="287">
        <f>IFERROR(__xludf.DUMMYFUNCTION("""COMPUTED_VALUE"""),"event_f05anniv_challenge01_00001")</f>
        <v/>
      </c>
      <c r="J643" s="287" t="n"/>
      <c r="K643" s="287">
        <f>IFERROR(__xludf.DUMMYFUNCTION("""COMPUTED_VALUE"""),"f05anniv_challenge01_quest_select_cell")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IFERROR(__xludf.DUMMYFUNCTION("""COMPUTED_VALUE"""),"challenge01")</f>
        <v/>
      </c>
      <c r="D644" s="287">
        <f>IFERROR(__xludf.DUMMYFUNCTION("""COMPUTED_VALUE"""),"event")</f>
        <v/>
      </c>
      <c r="E644" s="362">
        <f>IFERROR(__xludf.DUMMYFUNCTION("""COMPUTED_VALUE"""),"チャレンジ")</f>
        <v/>
      </c>
      <c r="F644" s="362">
        <f>IFERROR(__xludf.DUMMYFUNCTION("""COMPUTED_VALUE"""),"quest_event_f05anniv_challenge01")</f>
        <v/>
      </c>
      <c r="G644" s="287">
        <f>IFERROR(__xludf.DUMMYFUNCTION("""COMPUTED_VALUE"""),"一日ひとつだけ強くなりますわ")</f>
        <v/>
      </c>
      <c r="H644" s="362">
        <f>IFERROR(__xludf.DUMMYFUNCTION("""COMPUTED_VALUE"""),"02")</f>
        <v/>
      </c>
      <c r="I644" s="287">
        <f>IFERROR(__xludf.DUMMYFUNCTION("""COMPUTED_VALUE"""),"event_f05anniv_challenge01_00002")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IFERROR(__xludf.DUMMYFUNCTION("""COMPUTED_VALUE"""),"challenge01")</f>
        <v/>
      </c>
      <c r="D645" s="287">
        <f>IFERROR(__xludf.DUMMYFUNCTION("""COMPUTED_VALUE"""),"event")</f>
        <v/>
      </c>
      <c r="E645" s="362">
        <f>IFERROR(__xludf.DUMMYFUNCTION("""COMPUTED_VALUE"""),"チャレンジ")</f>
        <v/>
      </c>
      <c r="F645" s="362">
        <f>IFERROR(__xludf.DUMMYFUNCTION("""COMPUTED_VALUE"""),"quest_event_f05anniv_challenge01")</f>
        <v/>
      </c>
      <c r="G645" s="287">
        <f>IFERROR(__xludf.DUMMYFUNCTION("""COMPUTED_VALUE"""),"一日ひとつだけ強くなりますわ")</f>
        <v/>
      </c>
      <c r="H645" s="362">
        <f>IFERROR(__xludf.DUMMYFUNCTION("""COMPUTED_VALUE"""),"03")</f>
        <v/>
      </c>
      <c r="I645" s="287">
        <f>IFERROR(__xludf.DUMMYFUNCTION("""COMPUTED_VALUE"""),"event_f05anniv_challenge01_00003")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IFERROR(__xludf.DUMMYFUNCTION("""COMPUTED_VALUE"""),"challenge01")</f>
        <v/>
      </c>
      <c r="D646" s="287">
        <f>IFERROR(__xludf.DUMMYFUNCTION("""COMPUTED_VALUE"""),"event")</f>
        <v/>
      </c>
      <c r="E646" s="362">
        <f>IFERROR(__xludf.DUMMYFUNCTION("""COMPUTED_VALUE"""),"チャレンジ")</f>
        <v/>
      </c>
      <c r="F646" s="362">
        <f>IFERROR(__xludf.DUMMYFUNCTION("""COMPUTED_VALUE"""),"quest_event_f05anniv_challenge01")</f>
        <v/>
      </c>
      <c r="G646" s="287">
        <f>IFERROR(__xludf.DUMMYFUNCTION("""COMPUTED_VALUE"""),"一日ひとつだけ強くなりますわ")</f>
        <v/>
      </c>
      <c r="H646" s="362">
        <f>IFERROR(__xludf.DUMMYFUNCTION("""COMPUTED_VALUE"""),"04")</f>
        <v/>
      </c>
      <c r="I646" s="287">
        <f>IFERROR(__xludf.DUMMYFUNCTION("""COMPUTED_VALUE"""),"event_f05anniv_challenge01_00004")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IFERROR(__xludf.DUMMYFUNCTION("""COMPUTED_VALUE"""),"フィナーレ！（仮名称）")</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t="n"/>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t="n"/>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IFERROR(__xludf.DUMMYFUNCTION("""COMPUTED_VALUE"""),"dageki_1")</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t="n"/>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IFERROR(__xludf.DUMMYFUNCTION("""COMPUTED_VALUE"""),"shageki_1")</f>
        <v/>
      </c>
      <c r="N146" s="423" t="n"/>
      <c r="O146" s="423">
        <f>IFERROR(__xludf.DUMMYFUNCTION("""COMPUTED_VALUE"""),"shageki_1")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IFERROR(__xludf.DUMMYFUNCTION("""COMPUTED_VALUE"""),"アタック")</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IFERROR(__xludf.DUMMYFUNCTION("""COMPUTED_VALUE"""),"00101")</f>
        <v/>
      </c>
      <c r="D277" s="423">
        <f>IFERROR(__xludf.DUMMYFUNCTION("""COMPUTED_VALUE"""),"enemy_glo_00101")</f>
        <v/>
      </c>
      <c r="E277" s="423">
        <f>IFERROR(__xludf.DUMMYFUNCTION("""COMPUTED_VALUE"""),"中ボスエネミー")</f>
        <v/>
      </c>
      <c r="F277" s="423">
        <f>IFERROR(__xludf.DUMMYFUNCTION("""COMPUTED_VALUE"""),"ボスファントム")</f>
        <v/>
      </c>
      <c r="G277" s="423">
        <f>IFERROR(__xludf.DUMMYFUNCTION("""COMPUTED_VALUE"""),"ー")</f>
        <v/>
      </c>
      <c r="H277" s="423" t="n"/>
      <c r="I277" s="423" t="n"/>
      <c r="J277" s="423" t="n"/>
      <c r="K277" s="423">
        <f>IFERROR(__xludf.DUMMYFUNCTION("""COMPUTED_VALUE"""),"enemy")</f>
        <v/>
      </c>
      <c r="L277" s="423">
        <f>IFERROR(__xludf.DUMMYFUNCTION("""COMPUTED_VALUE"""),"アタック")</f>
        <v/>
      </c>
      <c r="M277" s="423">
        <f>IFERROR(__xludf.DUMMYFUNCTION("""COMPUTED_VALUE"""),"-")</f>
        <v/>
      </c>
      <c r="N277" s="423" t="n"/>
      <c r="O277" s="423" t="n"/>
      <c r="P277" s="427">
        <f>IFERROR(__xludf.DUMMYFUNCTION("""COMPUTED_VALUE"""),"00101")</f>
        <v/>
      </c>
      <c r="Q277" s="424">
        <f>IFERROR(__xludf.DUMMYFUNCTION("""COMPUTED_VALUE"""),"1.17")</f>
        <v/>
      </c>
      <c r="R277" s="424">
        <f>IFERROR(__xludf.DUMMYFUNCTION("""COMPUTED_VALUE"""),"stop有:1回目 0.56")</f>
        <v/>
      </c>
      <c r="S277" s="424">
        <f>IFERROR(__xludf.DUMMYFUNCTION("""COMPUTED_VALUE"""),"-")</f>
        <v/>
      </c>
      <c r="T277" s="424">
        <f>IFERROR(__xludf.DUMMYFUNCTION("""COMPUTED_VALUE"""),"-")</f>
        <v/>
      </c>
      <c r="U277" s="426">
        <f>IFERROR(__xludf.DUMMYFUNCTION("""COMPUTED_VALUE"""),45658.0)</f>
        <v/>
      </c>
      <c r="V277" s="426">
        <f>IFERROR(__xludf.DUMMYFUNCTION("""COMPUTED_VALUE"""),390812.49998842593)</f>
        <v/>
      </c>
      <c r="W277" s="423">
        <f>IFERROR(__xludf.DUMMYFUNCTION("""COMPUTED_VALUE"""),"catchcopy_character_enemy_glo_00101.png")</f>
        <v/>
      </c>
      <c r="X277" s="423">
        <f>IFERROR(__xludf.DUMMYFUNCTION("""COMPUTED_VALUE"""),"enemy_icon_enemy_glo_00101")</f>
        <v/>
      </c>
      <c r="Y277" s="423">
        <f>IFERROR(__xludf.DUMMYFUNCTION("""COMPUTED_VALUE"""),"boss_icon_enemy_glo_00101")</f>
        <v/>
      </c>
      <c r="Z277" s="423" t="n"/>
      <c r="AA277" s="423" t="n"/>
    </row>
    <row r="278">
      <c r="A278" s="422">
        <f>IFERROR(__xludf.DUMMYFUNCTION("""COMPUTED_VALUE"""),"glo")</f>
        <v/>
      </c>
      <c r="B278" s="423">
        <f>IFERROR(__xludf.DUMMYFUNCTION("""COMPUTED_VALUE"""),"GLOW")</f>
        <v/>
      </c>
      <c r="C278" s="424">
        <f>IFERROR(__xludf.DUMMYFUNCTION("""COMPUTED_VALUE"""),"00901")</f>
        <v/>
      </c>
      <c r="D278" s="423">
        <f>IFERROR(__xludf.DUMMYFUNCTION("""COMPUTED_VALUE"""),"enemy_glo_00901")</f>
        <v/>
      </c>
      <c r="E278" s="423">
        <f>IFERROR(__xludf.DUMMYFUNCTION("""COMPUTED_VALUE"""),"宝箱")</f>
        <v/>
      </c>
      <c r="F278" s="423">
        <f>IFERROR(__xludf.DUMMYFUNCTION("""COMPUTED_VALUE"""),"宝箱")</f>
        <v/>
      </c>
      <c r="G278" s="423">
        <f>IFERROR(__xludf.DUMMYFUNCTION("""COMPUTED_VALUE"""),"ー")</f>
        <v/>
      </c>
      <c r="H278" s="423" t="n"/>
      <c r="I278" s="423" t="n"/>
      <c r="J278" s="423">
        <f>IFERROR(__xludf.DUMMYFUNCTION("""COMPUTED_VALUE"""),"無")</f>
        <v/>
      </c>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IFERROR(__xludf.DUMMYFUNCTION("""COMPUTED_VALUE"""),"00901")</f>
        <v/>
      </c>
      <c r="Q278" s="423" t="n"/>
      <c r="R278" s="423" t="n"/>
      <c r="S278" s="423" t="n"/>
      <c r="T278" s="423" t="n"/>
      <c r="U278" s="426">
        <f>IFERROR(__xludf.DUMMYFUNCTION("""COMPUTED_VALUE"""),45658.0)</f>
        <v/>
      </c>
      <c r="V278" s="426">
        <f>IFERROR(__xludf.DUMMYFUNCTION("""COMPUTED_VALUE"""),390812.49998842593)</f>
        <v/>
      </c>
      <c r="W278" s="423">
        <f>IFERROR(__xludf.DUMMYFUNCTION("""COMPUTED_VALUE"""),"catchcopy_character_enemy_glo_00901.png")</f>
        <v/>
      </c>
      <c r="X278" s="423">
        <f>IFERROR(__xludf.DUMMYFUNCTION("""COMPUTED_VALUE"""),"enemy_icon_enemy_glo_00901")</f>
        <v/>
      </c>
      <c r="Y278" s="423">
        <f>IFERROR(__xludf.DUMMYFUNCTION("""COMPUTED_VALUE"""),"boss_icon_enemy_glo_00901")</f>
        <v/>
      </c>
      <c r="Z278" s="423" t="n"/>
      <c r="AA278" s="423" t="n"/>
    </row>
    <row r="279">
      <c r="A279" s="422" t="n"/>
      <c r="B279" s="423" t="n"/>
      <c r="C279" s="423" t="n"/>
      <c r="D279" s="423" t="n"/>
      <c r="E279" s="423" t="n"/>
      <c r="F279" s="423" t="n"/>
      <c r="G279" s="423" t="n"/>
      <c r="H279" s="423" t="n"/>
      <c r="I279" s="423" t="n"/>
      <c r="J279" s="423">
        <f>IFERROR(__xludf.DUMMYFUNCTION("""COMPUTED_VALUE"""),"無")</f>
        <v/>
      </c>
      <c r="K279" s="423" t="n"/>
      <c r="L279" s="423">
        <f>IFERROR(__xludf.DUMMYFUNCTION("""COMPUTED_VALUE"""),"アタック")</f>
        <v/>
      </c>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2026-02-24T00:21:10Z</dcterms:created>
  <dcterms:modified xsi:type="dcterms:W3CDTF">2026-02-24T00:21:13Z</dcterms:modified>
</cp:coreProperties>
</file>