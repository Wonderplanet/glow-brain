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報酬" sheetId="1" r:id="rId5"/>
    <sheet state="visible" name="交換所" sheetId="2" r:id="rId6"/>
    <sheet state="visible" name="ミッション" sheetId="3" r:id="rId7"/>
    <sheet state="visible" name="インゲームその他設定" sheetId="4" r:id="rId8"/>
    <sheet state="visible" name="通常ブロック" sheetId="5" r:id="rId9"/>
    <sheet state="visible" name="ボスブロック" sheetId="6" r:id="rId10"/>
    <sheet state="visible" name="更新スケジュールまとめ" sheetId="7" r:id="rId11"/>
    <sheet state="visible" name="ファントムマスター" sheetId="8" r:id="rId12"/>
  </sheets>
  <definedNames/>
  <calcPr/>
</workbook>
</file>

<file path=xl/sharedStrings.xml><?xml version="1.0" encoding="utf-8"?>
<sst xmlns="http://schemas.openxmlformats.org/spreadsheetml/2006/main" count="827" uniqueCount="291">
  <si>
    <t>限界チャレンジ_報酬</t>
  </si>
  <si>
    <t>▼基本情報</t>
  </si>
  <si>
    <t>MstAutoPlayerSequenceがやばいのでvdのmasterdataに固有で同じのを設定できるようにしたい</t>
  </si>
  <si>
    <t>開始日</t>
  </si>
  <si>
    <t>カード効果は以下を参照する</t>
  </si>
  <si>
    <t>終了日</t>
  </si>
  <si>
    <t>無期限</t>
  </si>
  <si>
    <t>https://docs.google.com/spreadsheets/d/1D5JYX9W2KpGQQrejkP6grv6Qds1GhjyAd6eNjJVa6eM/edit?gid=1084645352#gid=1084645352</t>
  </si>
  <si>
    <t>備考</t>
  </si>
  <si>
    <t>毎月04:00にフロア到達報酬はリセット</t>
  </si>
  <si>
    <t>https://docs.google.com/spreadsheets/d/1D5JYX9W2KpGQQrejkP6grv6Qds1GhjyAd6eNjJVa6eM/edit?gid=1301003540#gid=1301003540</t>
  </si>
  <si>
    <t>◆クリア報酬</t>
  </si>
  <si>
    <t>・限界チャレンジを1回プレイし、ボスフロアがクリア扱いになる毎に報酬獲得された状態になり、リザルト画面でまとめて報酬獲得できます</t>
  </si>
  <si>
    <t>▼ノーマルブロック報酬（全作品共通）</t>
  </si>
  <si>
    <t>クリア報酬</t>
  </si>
  <si>
    <t>報酬内容</t>
  </si>
  <si>
    <t>プリズム</t>
  </si>
  <si>
    <t>コイン</t>
  </si>
  <si>
    <t>報酬数</t>
  </si>
  <si>
    <t>ランダムクリア報酬</t>
  </si>
  <si>
    <t>ドロップ確率</t>
  </si>
  <si>
    <t>▼ボスブロック報酬（全作品共通）</t>
  </si>
  <si>
    <t>▼到達フロア報酬係数（作品ポイントにもクリア報酬にもかかる）</t>
  </si>
  <si>
    <t>到達フロア数</t>
  </si>
  <si>
    <t>到達フロア報酬係数</t>
  </si>
  <si>
    <t>1以上</t>
  </si>
  <si>
    <t>10以上</t>
  </si>
  <si>
    <t>20以上</t>
  </si>
  <si>
    <t>30以上</t>
  </si>
  <si>
    <t>40以上</t>
  </si>
  <si>
    <t>50以上</t>
  </si>
  <si>
    <t>◆到達フロア数報酬</t>
  </si>
  <si>
    <t>・限界チャレンジは毎月初め04:00に実績がリセットされます。それまでの間の1ヶ月間で、あらかじめ設定されたフロア目標に到達することで報酬を獲得することができます。</t>
  </si>
  <si>
    <t>ピックアップガシャチケット</t>
  </si>
  <si>
    <t>スペシャルガシャチケット</t>
  </si>
  <si>
    <t>メモリーフラグメント・初級</t>
  </si>
  <si>
    <t>メモリーフラグメント・中級</t>
  </si>
  <si>
    <t>メモリーフラグメント・上級</t>
  </si>
  <si>
    <t>報酬合計数</t>
  </si>
  <si>
    <t>限界チャレンジ_交換所</t>
  </si>
  <si>
    <t>ユーザーレベル</t>
  </si>
  <si>
    <t>最大スタミナ</t>
  </si>
  <si>
    <t>交換所名称</t>
  </si>
  <si>
    <t>限界チャレンジ交換所</t>
  </si>
  <si>
    <t>毎月04:00に交換ラインナップ上限数リセット</t>
  </si>
  <si>
    <t>▼収集アイテム</t>
  </si>
  <si>
    <t>アイテム名</t>
  </si>
  <si>
    <t>単価</t>
  </si>
  <si>
    <t>「作品名」ポイント</t>
  </si>
  <si>
    <t>⇦50スタミナで1ブロックでもクリアすれば、10ポイント獲得できる</t>
  </si>
  <si>
    <t>▼意図・調整方針</t>
  </si>
  <si>
    <t>「作品名」ポイントは、作品ブロック単位毎でその作品のポイントが獲得できる。
そのため、各作品毎の交換所も交換ラインアップは共通かつ交換レートも共通の値を使用する。
唯一違うのは、作品交換所毎で合わせて『「作品名」の表紙』がラインナップにあるので、そこだけ違う。</t>
  </si>
  <si>
    <t>⇩工数でv.1.6.0間に合わないかも</t>
  </si>
  <si>
    <t>獲得先</t>
  </si>
  <si>
    <t>獲得ポイント種別</t>
  </si>
  <si>
    <t>基礎ポイント数</t>
  </si>
  <si>
    <t>1回挑戦でかかる平均フロア到達数からのフロア係数の値</t>
  </si>
  <si>
    <t>1回の挑戦で到達できる平均フロア数</t>
  </si>
  <si>
    <t>1日の最大挑戦回数平均
（200スタミナを上限基準）</t>
  </si>
  <si>
    <t>総獲得ポイント数</t>
  </si>
  <si>
    <t>広告視聴の報酬量2倍ボーナスを適用時</t>
  </si>
  <si>
    <t>その作品の通常ブロック</t>
  </si>
  <si>
    <t>その作品のボスブロック</t>
  </si>
  <si>
    <t>⬆︎このコンテンツに1回挑戦するのに必要なスタミナ量が30で、時間制限は300秒</t>
  </si>
  <si>
    <t>▼交換所ラインナップ（「作品の表紙」以外は全ての交換所でラインナップは共通とする）</t>
  </si>
  <si>
    <t>アイテム区分</t>
  </si>
  <si>
    <t>アイテム名称</t>
  </si>
  <si>
    <t>1回交換につき獲得できる数</t>
  </si>
  <si>
    <t>交換上限</t>
  </si>
  <si>
    <t>1回の交換に必要なpt数</t>
  </si>
  <si>
    <t>交換所リセット期間までの1ヶ月間の最大獲得数</t>
  </si>
  <si>
    <t>交換所リセット期間までの1ヶ月間の最大獲得数を交換するのに必要なポイント数</t>
  </si>
  <si>
    <t>恒常</t>
  </si>
  <si>
    <t>「〇〇作品名」の表紙</t>
  </si>
  <si>
    <t>伝説のペン</t>
  </si>
  <si>
    <t>魂のインク</t>
  </si>
  <si>
    <t>普通の原稿用紙</t>
  </si>
  <si>
    <t>カラーメモリー・グレー</t>
  </si>
  <si>
    <t>カラーメモリー・レッド</t>
  </si>
  <si>
    <t>カラーメモリー・ブルー</t>
  </si>
  <si>
    <t>カラーメモリー・イエロー</t>
  </si>
  <si>
    <t>カラーメモリー・グリーン</t>
  </si>
  <si>
    <t>スタミナドリンク</t>
  </si>
  <si>
    <t>▼v.1.6.1リリース時に設定される交換所と作品ポイント</t>
  </si>
  <si>
    <t>その作品のURの原画が追加されるタイミングに合わせて交換所と作品ポイントも追加する</t>
  </si>
  <si>
    <t xml:space="preserve">　</t>
  </si>
  <si>
    <t>交換所</t>
  </si>
  <si>
    <t>作品ポイント</t>
  </si>
  <si>
    <t>『SPY×FAMILY』 の作品ポイント交換所</t>
  </si>
  <si>
    <t>『SPY×FAMILY』 の作品ポイント</t>
  </si>
  <si>
    <t>『ダンダダン』 の作品ポイント交換所</t>
  </si>
  <si>
    <t>『ダンダダン』 の作品ポイント</t>
  </si>
  <si>
    <t>『姫様“拷問”の時間です』 の作品ポイント交換所</t>
  </si>
  <si>
    <t>『姫様“拷問”の時間です』 の作品ポイント</t>
  </si>
  <si>
    <t>『チェンソーマン』 の作品ポイント交換所</t>
  </si>
  <si>
    <t>『チェンソーマン』 の作品ポイント</t>
  </si>
  <si>
    <t>『株式会社マジルミエ』 の作品ポイント交換所</t>
  </si>
  <si>
    <t>『株式会社マジルミエ』 の作品ポイント</t>
  </si>
  <si>
    <t>『怪獣８号』 の作品ポイント交換所</t>
  </si>
  <si>
    <t>『怪獣８号』 の作品ポイント</t>
  </si>
  <si>
    <t>『2.5次元の誘惑』 の作品ポイント交換所</t>
  </si>
  <si>
    <t>『2.5次元の誘惑』 の作品ポイント</t>
  </si>
  <si>
    <t>『魔都精兵のスレイブ』 の作品ポイント交換所</t>
  </si>
  <si>
    <t>『魔都精兵のスレイブ』 の作品ポイント</t>
  </si>
  <si>
    <t>『サマータイムレンダ』 の作品ポイント交換所</t>
  </si>
  <si>
    <t>『サマータイムレンダ』 の作品ポイント</t>
  </si>
  <si>
    <t>『地獄楽』 の作品ポイント交換所</t>
  </si>
  <si>
    <t>『地獄楽』 の作品ポイント</t>
  </si>
  <si>
    <t>『タコピーの原罪』 の作品ポイント交換所</t>
  </si>
  <si>
    <t>『タコピーの原罪』 の作品ポイント</t>
  </si>
  <si>
    <t>『【推しの子】』 の作品ポイント交換所</t>
  </si>
  <si>
    <t>『【推しの子】』 の作品ポイント</t>
  </si>
  <si>
    <t>『幼稚園WARS』 の作品ポイント交換所</t>
  </si>
  <si>
    <t>『幼稚園WARS』 の作品ポイント</t>
  </si>
  <si>
    <t>『100カノ』 の作品ポイント交換所</t>
  </si>
  <si>
    <t>『100カノ』 の作品ポイント</t>
  </si>
  <si>
    <t>『ふつうの軽音部』 の作品ポイント交換所</t>
  </si>
  <si>
    <t>『ふつうの軽音部』 の作品ポイント</t>
  </si>
  <si>
    <t>『あやかしトライアングル』 の作品ポイント交換所</t>
  </si>
  <si>
    <t>『あやかしトライアングル』 の作品ポイント</t>
  </si>
  <si>
    <t>限界チャレンジ_ミッション</t>
  </si>
  <si>
    <t>項目</t>
  </si>
  <si>
    <t>内容</t>
  </si>
  <si>
    <t>施策名称</t>
  </si>
  <si>
    <t>限界チャレンジ ミッション</t>
  </si>
  <si>
    <t>開催期間</t>
  </si>
  <si>
    <t>〜</t>
  </si>
  <si>
    <t>毎月04:00に実績リセット</t>
  </si>
  <si>
    <t>ミッション内容/報酬カテゴリー</t>
  </si>
  <si>
    <t>限界チャレンジで強敵を累計1体撃破しよう</t>
  </si>
  <si>
    <t>限界チャレンジで強敵を累計3体撃破しよう</t>
  </si>
  <si>
    <t>限界チャレンジで強敵を累計5体撃破しよう</t>
  </si>
  <si>
    <t>限界チャレンジで強敵を累計10体撃破しよう</t>
  </si>
  <si>
    <t>限界チャレンジで累計10フロア到達しよう</t>
  </si>
  <si>
    <t>限界チャレンジで累計20フロア到達しよう</t>
  </si>
  <si>
    <t>限界チャレンジで累計30フロア到達しよう</t>
  </si>
  <si>
    <t>限界チャレンジで累計40フロア到達しよう</t>
  </si>
  <si>
    <t>限界チャレンジで累計50フロア到達しよう</t>
  </si>
  <si>
    <t>限界チャレンジで『SPY×FAMILY』作品の強敵を1体撃破しよう</t>
  </si>
  <si>
    <t>限界チャレンジで『ダンダダン』作品の強敵を1体撃破しよう</t>
  </si>
  <si>
    <t>限界チャレンジで『姫様“拷問”の時間です』作品の強敵を1体撃破しよう</t>
  </si>
  <si>
    <t>限界チャレンジで『チェンソーマン』作品の強敵を1体撃破しよう</t>
  </si>
  <si>
    <t>限界チャレンジで『株式会社マジルミエ』作品の強敵を1体撃破しよう</t>
  </si>
  <si>
    <t>限界チャレンジで『怪獣８号』作品の強敵を1体撃破しよう</t>
  </si>
  <si>
    <t>限界チャレンジで『2.5次元の誘惑』作品の強敵を1体撃破しよう</t>
  </si>
  <si>
    <t>限界チャレンジで『魔都精兵のスレイブ』作品の強敵を1体撃破しよう</t>
  </si>
  <si>
    <t>限界チャレンジで『サマータイムレンダ』作品の強敵を1体撃破しよう</t>
  </si>
  <si>
    <t>限界チャレンジで『地獄楽』作品の強敵を1体撃破しよう</t>
  </si>
  <si>
    <t>限界チャレンジで『タコピーの原罪』作品の強敵を1体撃破しよう</t>
  </si>
  <si>
    <t>限界チャレンジで『【推しの子】』作品の強敵を1体撃破しよう</t>
  </si>
  <si>
    <t>限界チャレンジで『幼稚園WARS』作品の強敵を1体撃破しよう</t>
  </si>
  <si>
    <t>限界チャレンジで『君のことが大大大大大好きな100人の彼女』作品の強敵を1体撃破しよう</t>
  </si>
  <si>
    <t>限界チャレンジで『ふつうの軽音部』作品の強敵を1体撃破しよう</t>
  </si>
  <si>
    <t>◆カード効果</t>
  </si>
  <si>
    <t>▼ノーマルブロック
・ルーレットゲージが溜まった時にルーレットを回し、カード効果をランダムに1枚獲得できる。
・バトル中に一定確率で登場するレアファントムを撃破することで、ルーレットゲージのルーレットを回し、カード効果をランダムに1枚獲得できる。
・カード効果は到達フロアの進捗数に応じて効果内容が強くなる（5フロア目で獲得できるカード効果は攻撃10%UPぐらいだが10フロア目だと20%の効果を得られるなど）。</t>
  </si>
  <si>
    <t>▼到達フロア報酬係数</t>
  </si>
  <si>
    <t>効果内容</t>
  </si>
  <si>
    <t>◆敵ステータス変更フロア係数</t>
  </si>
  <si>
    <t>・限界チャレンジは一定数のフロアに到達すると敵のステータス（攻撃と体力）に係数がかかり、登場する敵が強くなります。</t>
  </si>
  <si>
    <t>▼フロアステータス係数</t>
  </si>
  <si>
    <t>▼基本ステータス数値</t>
  </si>
  <si>
    <t>キャラ種別/ステータス</t>
  </si>
  <si>
    <t>攻撃</t>
  </si>
  <si>
    <t>体力</t>
  </si>
  <si>
    <t>雑魚1体</t>
  </si>
  <si>
    <t>5以上</t>
  </si>
  <si>
    <t>ボス1体</t>
  </si>
  <si>
    <t>通常ブロック_SPY×FAMILY</t>
  </si>
  <si>
    <t>■基礎情報</t>
  </si>
  <si>
    <t>ステージコンセプト</t>
  </si>
  <si>
    <t>雑魚敵はSPY×FAMILYの敵を使用する。
雑魚は体力は1000ほど、攻撃は5000、移動速度は、少し速い、必殺ワザの使用はなし。
ゴールドファントムの登場確率は1体のみ出現し、一律10%の確率で登場する。</t>
  </si>
  <si>
    <t>BGM</t>
  </si>
  <si>
    <t>ファイル名</t>
  </si>
  <si>
    <t>⇩チュートリアルの敵原画固定</t>
  </si>
  <si>
    <t>⇩100固定</t>
  </si>
  <si>
    <t>味方ゲートID</t>
  </si>
  <si>
    <t>敵ゲートID</t>
  </si>
  <si>
    <t>敵ゲートasset</t>
  </si>
  <si>
    <t>敵ゲートHP</t>
  </si>
  <si>
    <t>リリースキー</t>
  </si>
  <si>
    <t>default</t>
  </si>
  <si>
    <t>入力してね</t>
  </si>
  <si>
    <t>■コマ設計</t>
  </si>
  <si>
    <t>行数</t>
  </si>
  <si>
    <t>行パターンID</t>
  </si>
  <si>
    <t>コマ数</t>
  </si>
  <si>
    <t>コマ高さ</t>
  </si>
  <si>
    <t>コマ幅1</t>
  </si>
  <si>
    <t>コマ幅2</t>
  </si>
  <si>
    <t>コマ幅3</t>
  </si>
  <si>
    <t>コマ幅4</t>
  </si>
  <si>
    <t>コマ効果1</t>
  </si>
  <si>
    <t>効果時間</t>
  </si>
  <si>
    <t>効果数値</t>
  </si>
  <si>
    <t>コマ効果2</t>
  </si>
  <si>
    <t>コマ効果3</t>
  </si>
  <si>
    <t>コマ効果4</t>
  </si>
  <si>
    <t>1行目</t>
  </si>
  <si>
    <t>2行目</t>
  </si>
  <si>
    <t>3行目</t>
  </si>
  <si>
    <t>※通常ブロックは3行(フロア)固定</t>
  </si>
  <si>
    <t xml:space="preserve">■Enemyシーケンス </t>
  </si>
  <si>
    <t>※コピペして使用</t>
  </si>
  <si>
    <t>sequence
_group_id</t>
  </si>
  <si>
    <t>sequence_
element_id</t>
  </si>
  <si>
    <t>priority_sequence_element_id</t>
  </si>
  <si>
    <t>Enemy_ID</t>
  </si>
  <si>
    <t>ファントム名</t>
  </si>
  <si>
    <t>unit_kind</t>
  </si>
  <si>
    <t>属性</t>
  </si>
  <si>
    <t>ロール</t>
  </si>
  <si>
    <t>オーラタイプ</t>
  </si>
  <si>
    <t>死亡タイプ</t>
  </si>
  <si>
    <t>必殺ワザ有無</t>
  </si>
  <si>
    <t>体力係数</t>
  </si>
  <si>
    <t>攻撃力</t>
  </si>
  <si>
    <t>攻撃係数</t>
  </si>
  <si>
    <t>通常攻撃F</t>
  </si>
  <si>
    <t>通常攻撃CDF</t>
  </si>
  <si>
    <t>通常攻撃DPS</t>
  </si>
  <si>
    <t>通常攻撃備考</t>
  </si>
  <si>
    <t>必殺技内容</t>
  </si>
  <si>
    <t>必殺発動回数</t>
  </si>
  <si>
    <t>必殺技F(秒)</t>
  </si>
  <si>
    <t>特性</t>
  </si>
  <si>
    <t>移動速度</t>
  </si>
  <si>
    <t>well_distance</t>
  </si>
  <si>
    <t>start_range</t>
  </si>
  <si>
    <t>end_range</t>
  </si>
  <si>
    <t>攻撃範囲</t>
  </si>
  <si>
    <t>KB回数</t>
  </si>
  <si>
    <t>撃破p</t>
  </si>
  <si>
    <t>上書き撃破p</t>
  </si>
  <si>
    <t>変身先ID</t>
  </si>
  <si>
    <t>変身条件1</t>
  </si>
  <si>
    <t>変身条件2</t>
  </si>
  <si>
    <t>出撃条件
condition_type</t>
  </si>
  <si>
    <t>出撃開始値
condition_value</t>
  </si>
  <si>
    <t>出撃間隔値
summon_interval</t>
  </si>
  <si>
    <t>召喚回数
summon_count</t>
  </si>
  <si>
    <t>アクション遅延
action_delay</t>
  </si>
  <si>
    <t>出撃
アニメーション</t>
  </si>
  <si>
    <t>召喚pos
summon_position</t>
  </si>
  <si>
    <t>移動開始条件
move_start_condition_type</t>
  </si>
  <si>
    <t>移動開始値
condition_value</t>
  </si>
  <si>
    <t>移動停止条件
move_stop_condition_type</t>
  </si>
  <si>
    <t>移動停止値</t>
  </si>
  <si>
    <t>移動再スタート条件
move_restart_condition_type</t>
  </si>
  <si>
    <t>移動再スタート値</t>
  </si>
  <si>
    <t>再スタート回数
move_loop_count</t>
  </si>
  <si>
    <t>ゲート無敵化</t>
  </si>
  <si>
    <t>出現停止条件</t>
  </si>
  <si>
    <t>停止条件値</t>
  </si>
  <si>
    <t>sequence_group_id</t>
  </si>
  <si>
    <t>sequence_element_id</t>
  </si>
  <si>
    <t>condition_type</t>
  </si>
  <si>
    <t>condition_value</t>
  </si>
  <si>
    <t>action_type</t>
  </si>
  <si>
    <t>action_value</t>
  </si>
  <si>
    <t>action_value2</t>
  </si>
  <si>
    <t>summon_count</t>
  </si>
  <si>
    <t>summon_interval</t>
  </si>
  <si>
    <t>summon_animation_type</t>
  </si>
  <si>
    <t>summon_position</t>
  </si>
  <si>
    <t>move_start_condition_type</t>
  </si>
  <si>
    <t>move_start_condition_value</t>
  </si>
  <si>
    <t>move_stop_condition_type</t>
  </si>
  <si>
    <t>move_stop_condition_value</t>
  </si>
  <si>
    <t>move_restart_condition_type</t>
  </si>
  <si>
    <t>move_restart_condition_value</t>
  </si>
  <si>
    <t>move_loop_count</t>
  </si>
  <si>
    <t>is_summon_unit_outpost_damage_invalidation</t>
  </si>
  <si>
    <t>last_boss_trigger</t>
  </si>
  <si>
    <t>aura_type</t>
  </si>
  <si>
    <t>death_type</t>
  </si>
  <si>
    <t>enemy_hp_coef</t>
  </si>
  <si>
    <t>enemy_attack_coef</t>
  </si>
  <si>
    <t>enemy_speed_coef</t>
  </si>
  <si>
    <t>override_drop_battle_point</t>
  </si>
  <si>
    <t>defeated_score</t>
  </si>
  <si>
    <t>action_delay</t>
  </si>
  <si>
    <t>deactivation_condition_type</t>
  </si>
  <si>
    <t>deactivation_condition_value</t>
  </si>
  <si>
    <t>c_spy_00101_general_n_Boss_Blue</t>
  </si>
  <si>
    <t>Default</t>
  </si>
  <si>
    <t>Normal</t>
  </si>
  <si>
    <t>未入力</t>
  </si>
  <si>
    <t>None</t>
  </si>
  <si>
    <t>ボスブロック_SPY×FAMILY</t>
  </si>
  <si>
    <t>SPY×FAMILYの「ロイド」を強敵オーラを付けて登場させます。
体力は50000ほど、攻撃は15000、移動速度は少し速い、必殺ワザの使用はあり。</t>
  </si>
  <si>
    <t>※ボスブロックは1行(フロア)固定</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</si>
</sst>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 h:mm"/>
    <numFmt numFmtId="165" formatCode="[$¥-411]#,##0"/>
    <numFmt numFmtId="166" formatCode="yyyy/MM/dd H:mm:ss"/>
    <numFmt numFmtId="167" formatCode="0.0"/>
    <numFmt numFmtId="168" formatCode="[$¥-411]#,##0.00"/>
    <numFmt numFmtId="169" formatCode="#,##0.000"/>
  </numFmts>
  <fonts count="32">
    <font>
      <sz val="10.0"/>
      <color rgb="FF000000"/>
      <name val="Arial"/>
      <scheme val="minor"/>
    </font>
    <font>
      <sz val="8.0"/>
      <color theme="1"/>
      <name val="Arial"/>
      <scheme val="minor"/>
    </font>
    <font>
      <b/>
      <sz val="12.0"/>
      <color theme="1"/>
      <name val="Arial"/>
    </font>
    <font>
      <b/>
      <sz val="10.0"/>
      <color theme="1"/>
      <name val="Arial"/>
      <scheme val="minor"/>
    </font>
    <font>
      <b/>
      <sz val="8.0"/>
      <color theme="1"/>
      <name val="Arial"/>
    </font>
    <font>
      <sz val="8.0"/>
      <color theme="1"/>
      <name val="Arial"/>
    </font>
    <font>
      <u/>
      <sz val="8.0"/>
      <color rgb="FF0000FF"/>
    </font>
    <font>
      <b/>
      <sz val="8.0"/>
      <color rgb="FFFFFFFF"/>
      <name val="Arial"/>
    </font>
    <font>
      <sz val="9.0"/>
      <color theme="1"/>
      <name val="Arial"/>
    </font>
    <font>
      <color theme="1"/>
      <name val="Arial"/>
    </font>
    <font>
      <b/>
      <sz val="8.0"/>
      <color theme="1"/>
      <name val="Arial"/>
      <scheme val="minor"/>
    </font>
    <font>
      <sz val="8.0"/>
      <color rgb="FFFF0000"/>
      <name val="Arial"/>
    </font>
    <font>
      <b/>
      <sz val="8.0"/>
      <color rgb="FFFF0000"/>
      <name val="Arial"/>
    </font>
    <font>
      <sz val="8.0"/>
      <color rgb="FF000000"/>
      <name val="Arial"/>
    </font>
    <font>
      <sz val="8.0"/>
      <color rgb="FFFFFFFF"/>
      <name val="Arial"/>
    </font>
    <font>
      <b/>
      <sz val="8.0"/>
      <color rgb="FF000000"/>
      <name val="Arial"/>
    </font>
    <font>
      <b/>
      <sz val="14.0"/>
      <color rgb="FFFF0000"/>
      <name val="Arial"/>
      <scheme val="minor"/>
    </font>
    <font>
      <sz val="7.0"/>
      <color theme="1"/>
      <name val="Arial"/>
      <scheme val="minor"/>
    </font>
    <font>
      <sz val="8.0"/>
      <color rgb="FFFFFFFF"/>
      <name val="Arial"/>
      <scheme val="minor"/>
    </font>
    <font>
      <b/>
      <sz val="10.0"/>
      <color rgb="FFFFFFFF"/>
      <name val="Arial"/>
      <scheme val="minor"/>
    </font>
    <font/>
    <font>
      <color rgb="FFFFFFFF"/>
      <name val="Arial"/>
      <scheme val="minor"/>
    </font>
    <font>
      <sz val="7.0"/>
      <color theme="1"/>
      <name val="Arial"/>
    </font>
    <font>
      <b/>
      <sz val="8.0"/>
      <color rgb="FFFF0000"/>
      <name val="Arial"/>
      <scheme val="minor"/>
    </font>
    <font>
      <sz val="6.0"/>
      <color theme="1"/>
      <name val="Arial"/>
      <scheme val="minor"/>
    </font>
    <font>
      <sz val="6.0"/>
      <color rgb="FFFFFFFF"/>
      <name val="Arial"/>
    </font>
    <font>
      <u/>
      <sz val="6.0"/>
      <color rgb="FF0000FF"/>
      <name val="Arial"/>
    </font>
    <font>
      <sz val="6.0"/>
      <color theme="1"/>
      <name val="Arial"/>
    </font>
    <font>
      <sz val="7.0"/>
      <color rgb="FFFFFFFF"/>
      <name val="Arial"/>
    </font>
    <font>
      <sz val="7.0"/>
      <color rgb="FF000000"/>
      <name val="Arial"/>
    </font>
    <font>
      <u/>
      <sz val="7.0"/>
      <color rgb="FF0000FF"/>
      <name val="Arial"/>
    </font>
    <font>
      <color theme="1"/>
      <name val="Arial"/>
      <scheme val="minor"/>
    </font>
  </fonts>
  <fills count="19">
    <fill>
      <patternFill patternType="none"/>
    </fill>
    <fill>
      <patternFill patternType="lightGray"/>
    </fill>
    <fill>
      <patternFill patternType="solid">
        <fgColor rgb="FFCCCCCC"/>
        <bgColor rgb="FFCCCCCC"/>
      </patternFill>
    </fill>
    <fill>
      <patternFill patternType="solid">
        <fgColor rgb="FFD9EAD3"/>
        <bgColor rgb="FFD9EAD3"/>
      </patternFill>
    </fill>
    <fill>
      <patternFill patternType="solid">
        <fgColor rgb="FF0000FF"/>
        <bgColor rgb="FF0000FF"/>
      </patternFill>
    </fill>
    <fill>
      <patternFill patternType="solid">
        <fgColor rgb="FF434343"/>
        <bgColor rgb="FF434343"/>
      </patternFill>
    </fill>
    <fill>
      <patternFill patternType="solid">
        <fgColor rgb="FFFFFF00"/>
        <bgColor rgb="FFFFFF00"/>
      </patternFill>
    </fill>
    <fill>
      <patternFill patternType="solid">
        <fgColor rgb="FFF4CCCC"/>
        <bgColor rgb="FFF4CCCC"/>
      </patternFill>
    </fill>
    <fill>
      <patternFill patternType="solid">
        <fgColor rgb="FFFFF2CC"/>
        <bgColor rgb="FFFFF2CC"/>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6AA84F"/>
        <bgColor rgb="FF6AA84F"/>
      </patternFill>
    </fill>
    <fill>
      <patternFill patternType="solid">
        <fgColor rgb="FFFCE5CD"/>
        <bgColor rgb="FFFCE5CD"/>
      </patternFill>
    </fill>
    <fill>
      <patternFill patternType="solid">
        <fgColor rgb="FFFFD966"/>
        <bgColor rgb="FFFFD966"/>
      </patternFill>
    </fill>
    <fill>
      <patternFill patternType="solid">
        <fgColor rgb="FFD9D9D9"/>
        <bgColor rgb="FFD9D9D9"/>
      </patternFill>
    </fill>
  </fills>
  <borders count="17">
    <border/>
    <border>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5">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readingOrder="0" shrinkToFit="0" vertical="bottom" wrapText="0"/>
    </xf>
    <xf borderId="0" fillId="2" fontId="1" numFmtId="0" xfId="0" applyAlignment="1" applyFont="1">
      <alignment vertical="center"/>
    </xf>
    <xf borderId="0" fillId="0" fontId="3" numFmtId="0" xfId="0" applyAlignment="1" applyFont="1">
      <alignment readingOrder="0" vertical="center"/>
    </xf>
    <xf borderId="0" fillId="0" fontId="4" numFmtId="0" xfId="0" applyAlignment="1" applyFont="1">
      <alignment vertical="bottom"/>
    </xf>
    <xf borderId="0" fillId="0" fontId="5" numFmtId="0" xfId="0" applyAlignment="1" applyFont="1">
      <alignment vertical="bottom"/>
    </xf>
    <xf borderId="0" fillId="0" fontId="1" numFmtId="0" xfId="0" applyAlignment="1" applyFont="1">
      <alignment readingOrder="0" vertical="center"/>
    </xf>
    <xf borderId="2" fillId="3" fontId="5" numFmtId="0" xfId="0" applyAlignment="1" applyBorder="1" applyFill="1" applyFont="1">
      <alignment shrinkToFit="0" vertical="bottom" wrapText="1"/>
    </xf>
    <xf borderId="3" fillId="0" fontId="1" numFmtId="164" xfId="0" applyAlignment="1" applyBorder="1" applyFont="1" applyNumberFormat="1">
      <alignment horizontal="left" readingOrder="0"/>
    </xf>
    <xf borderId="3" fillId="0" fontId="1" numFmtId="0" xfId="0" applyAlignment="1" applyBorder="1" applyFont="1">
      <alignment readingOrder="0"/>
    </xf>
    <xf borderId="0" fillId="0" fontId="6" numFmtId="0" xfId="0" applyAlignment="1" applyFont="1">
      <alignment readingOrder="0" vertical="center"/>
    </xf>
    <xf borderId="2" fillId="3" fontId="5" numFmtId="0" xfId="0" applyAlignment="1" applyBorder="1" applyFont="1">
      <alignment readingOrder="0" shrinkToFit="0" vertical="bottom" wrapText="1"/>
    </xf>
    <xf borderId="3" fillId="0" fontId="1" numFmtId="0" xfId="0" applyAlignment="1" applyBorder="1" applyFont="1">
      <alignment readingOrder="0" shrinkToFit="0" wrapText="1"/>
    </xf>
    <xf borderId="0" fillId="0" fontId="5" numFmtId="0" xfId="0" applyFont="1"/>
    <xf borderId="0" fillId="4" fontId="7" numFmtId="0" xfId="0" applyFill="1" applyFont="1"/>
    <xf borderId="0" fillId="4" fontId="5" numFmtId="0" xfId="0" applyFont="1"/>
    <xf borderId="0" fillId="0" fontId="4" numFmtId="0" xfId="0" applyAlignment="1" applyFont="1">
      <alignment readingOrder="0"/>
    </xf>
    <xf borderId="0" fillId="0" fontId="5" numFmtId="0" xfId="0" applyFont="1"/>
    <xf borderId="3" fillId="5" fontId="7" numFmtId="0" xfId="0" applyBorder="1" applyFill="1" applyFont="1"/>
    <xf borderId="3" fillId="0" fontId="5" numFmtId="0" xfId="0" applyAlignment="1" applyBorder="1" applyFont="1">
      <alignment readingOrder="0"/>
    </xf>
    <xf borderId="3" fillId="0" fontId="4" numFmtId="0" xfId="0" applyAlignment="1" applyBorder="1" applyFont="1">
      <alignment shrinkToFit="0" wrapText="1"/>
    </xf>
    <xf borderId="3" fillId="0" fontId="4" numFmtId="0" xfId="0" applyAlignment="1" applyBorder="1" applyFont="1">
      <alignment shrinkToFit="0" wrapText="1"/>
    </xf>
    <xf borderId="3" fillId="0" fontId="5" numFmtId="0" xfId="0" applyBorder="1" applyFont="1"/>
    <xf borderId="3" fillId="0" fontId="5" numFmtId="0" xfId="0" applyAlignment="1" applyBorder="1" applyFont="1">
      <alignment horizontal="right"/>
    </xf>
    <xf borderId="3" fillId="6" fontId="5" numFmtId="0" xfId="0" applyAlignment="1" applyBorder="1" applyFill="1" applyFont="1">
      <alignment horizontal="right" readingOrder="0"/>
    </xf>
    <xf borderId="0" fillId="0" fontId="5" numFmtId="0" xfId="0" applyAlignment="1" applyFont="1">
      <alignment vertical="center"/>
    </xf>
    <xf borderId="0" fillId="0" fontId="5" numFmtId="0" xfId="0" applyAlignment="1" applyFont="1">
      <alignment horizontal="left" vertical="center"/>
    </xf>
    <xf borderId="0" fillId="0" fontId="1" numFmtId="0" xfId="0" applyFont="1"/>
    <xf borderId="3" fillId="0" fontId="5" numFmtId="0" xfId="0" applyAlignment="1" applyBorder="1" applyFont="1">
      <alignment horizontal="right" readingOrder="0"/>
    </xf>
    <xf borderId="3" fillId="0" fontId="5" numFmtId="9" xfId="0" applyAlignment="1" applyBorder="1" applyFont="1" applyNumberFormat="1">
      <alignment horizontal="right" readingOrder="0"/>
    </xf>
    <xf borderId="4" fillId="7" fontId="5" numFmtId="0" xfId="0" applyBorder="1" applyFill="1" applyFont="1"/>
    <xf borderId="5" fillId="7" fontId="5" numFmtId="0" xfId="0" applyBorder="1" applyFont="1"/>
    <xf borderId="3" fillId="5" fontId="7" numFmtId="0" xfId="0" applyAlignment="1" applyBorder="1" applyFont="1">
      <alignment readingOrder="0"/>
    </xf>
    <xf borderId="6" fillId="7" fontId="5" numFmtId="0" xfId="0" applyBorder="1" applyFont="1"/>
    <xf borderId="3" fillId="0" fontId="5" numFmtId="2" xfId="0" applyAlignment="1" applyBorder="1" applyFont="1" applyNumberFormat="1">
      <alignment readingOrder="0"/>
    </xf>
    <xf borderId="0" fillId="0" fontId="5" numFmtId="0" xfId="0" applyAlignment="1" applyFont="1">
      <alignment readingOrder="0"/>
    </xf>
    <xf borderId="0" fillId="8" fontId="5" numFmtId="0" xfId="0" applyFill="1" applyFont="1"/>
    <xf borderId="0" fillId="4" fontId="7" numFmtId="0" xfId="0" applyAlignment="1" applyFont="1">
      <alignment readingOrder="0"/>
    </xf>
    <xf borderId="0" fillId="4" fontId="5" numFmtId="0" xfId="0" applyFont="1"/>
    <xf borderId="0" fillId="0" fontId="5" numFmtId="3" xfId="0" applyFont="1" applyNumberFormat="1"/>
    <xf borderId="3" fillId="0" fontId="4" numFmtId="0" xfId="0" applyAlignment="1" applyBorder="1" applyFont="1">
      <alignment horizontal="right" readingOrder="0" vertical="bottom"/>
    </xf>
    <xf borderId="3" fillId="0" fontId="4" numFmtId="0" xfId="0" applyBorder="1" applyFont="1"/>
    <xf borderId="3" fillId="0" fontId="5" numFmtId="0" xfId="0" applyAlignment="1" applyBorder="1" applyFont="1">
      <alignment horizontal="right"/>
    </xf>
    <xf borderId="0" fillId="0" fontId="8" numFmtId="0" xfId="0" applyAlignment="1" applyFont="1">
      <alignment vertical="center"/>
    </xf>
    <xf borderId="0" fillId="2" fontId="9" numFmtId="0" xfId="0" applyAlignment="1" applyFont="1">
      <alignment vertical="bottom"/>
    </xf>
    <xf borderId="0" fillId="0" fontId="5" numFmtId="0" xfId="0" applyAlignment="1" applyFont="1">
      <alignment vertical="bottom"/>
    </xf>
    <xf borderId="4" fillId="3" fontId="5" numFmtId="0" xfId="0" applyAlignment="1" applyBorder="1" applyFont="1">
      <alignment vertical="bottom"/>
    </xf>
    <xf borderId="3" fillId="0" fontId="5" numFmtId="0" xfId="0" applyAlignment="1" applyBorder="1" applyFont="1">
      <alignment readingOrder="0" vertical="bottom"/>
    </xf>
    <xf borderId="3" fillId="8" fontId="4" numFmtId="0" xfId="0" applyAlignment="1" applyBorder="1" applyFont="1">
      <alignment horizontal="right" vertical="bottom"/>
    </xf>
    <xf borderId="3" fillId="8" fontId="5" numFmtId="0" xfId="0" applyAlignment="1" applyBorder="1" applyFont="1">
      <alignment horizontal="right" vertical="bottom"/>
    </xf>
    <xf borderId="0" fillId="0" fontId="4" numFmtId="0" xfId="0" applyAlignment="1" applyFont="1">
      <alignment readingOrder="0" vertical="bottom"/>
    </xf>
    <xf borderId="3" fillId="3" fontId="5" numFmtId="0" xfId="0" applyAlignment="1" applyBorder="1" applyFont="1">
      <alignment readingOrder="0" vertical="bottom"/>
    </xf>
    <xf borderId="3" fillId="0" fontId="5" numFmtId="165" xfId="0" applyAlignment="1" applyBorder="1" applyFont="1" applyNumberFormat="1">
      <alignment readingOrder="0"/>
    </xf>
    <xf borderId="0" fillId="0" fontId="5" numFmtId="0" xfId="0" applyAlignment="1" applyFont="1">
      <alignment readingOrder="0" vertical="bottom"/>
    </xf>
    <xf borderId="0" fillId="0" fontId="4" numFmtId="0" xfId="0" applyAlignment="1" applyFont="1">
      <alignment vertical="bottom"/>
    </xf>
    <xf borderId="0" fillId="0" fontId="5" numFmtId="166" xfId="0" applyAlignment="1" applyFont="1" applyNumberFormat="1">
      <alignment vertical="bottom"/>
    </xf>
    <xf borderId="3" fillId="9" fontId="5" numFmtId="0" xfId="0" applyAlignment="1" applyBorder="1" applyFill="1" applyFont="1">
      <alignment horizontal="left" readingOrder="0" vertical="center"/>
    </xf>
    <xf borderId="3" fillId="9" fontId="5" numFmtId="0" xfId="0" applyAlignment="1" applyBorder="1" applyFont="1">
      <alignment horizontal="left" readingOrder="0" shrinkToFit="0" vertical="center" wrapText="1"/>
    </xf>
    <xf borderId="3" fillId="10" fontId="5" numFmtId="0" xfId="0" applyAlignment="1" applyBorder="1" applyFill="1" applyFont="1">
      <alignment horizontal="left" readingOrder="0" shrinkToFit="0" vertical="center" wrapText="1"/>
    </xf>
    <xf borderId="3" fillId="0" fontId="5" numFmtId="0" xfId="0" applyAlignment="1" applyBorder="1" applyFont="1">
      <alignment horizontal="left" readingOrder="0"/>
    </xf>
    <xf borderId="3" fillId="0" fontId="1" numFmtId="0" xfId="0" applyAlignment="1" applyBorder="1" applyFont="1">
      <alignment horizontal="left" readingOrder="0"/>
    </xf>
    <xf borderId="3" fillId="0" fontId="5" numFmtId="0" xfId="0" applyAlignment="1" applyBorder="1" applyFont="1">
      <alignment horizontal="left" readingOrder="0" vertical="bottom"/>
    </xf>
    <xf borderId="3" fillId="0" fontId="5" numFmtId="1" xfId="0" applyAlignment="1" applyBorder="1" applyFont="1" applyNumberFormat="1">
      <alignment horizontal="left" readingOrder="0" vertical="bottom"/>
    </xf>
    <xf borderId="3" fillId="0" fontId="5" numFmtId="167" xfId="0" applyAlignment="1" applyBorder="1" applyFont="1" applyNumberFormat="1">
      <alignment horizontal="left" vertical="bottom"/>
    </xf>
    <xf borderId="3" fillId="10" fontId="5" numFmtId="167" xfId="0" applyAlignment="1" applyBorder="1" applyFont="1" applyNumberFormat="1">
      <alignment horizontal="left" readingOrder="0" vertical="bottom"/>
    </xf>
    <xf borderId="0" fillId="0" fontId="5" numFmtId="0" xfId="0" applyAlignment="1" applyFont="1">
      <alignment readingOrder="0" vertical="center"/>
    </xf>
    <xf borderId="0" fillId="0" fontId="10" numFmtId="0" xfId="0" applyAlignment="1" applyFont="1">
      <alignment readingOrder="0"/>
    </xf>
    <xf borderId="0" fillId="0" fontId="10" numFmtId="0" xfId="0" applyFont="1"/>
    <xf borderId="3" fillId="3" fontId="5" numFmtId="166" xfId="0" applyAlignment="1" applyBorder="1" applyFont="1" applyNumberFormat="1">
      <alignment vertical="center"/>
    </xf>
    <xf borderId="3" fillId="3" fontId="5" numFmtId="0" xfId="0" applyAlignment="1" applyBorder="1" applyFont="1">
      <alignment readingOrder="0" shrinkToFit="0" vertical="center" wrapText="1"/>
    </xf>
    <xf borderId="3" fillId="3" fontId="5" numFmtId="0" xfId="0" applyAlignment="1" applyBorder="1" applyFont="1">
      <alignment vertical="center"/>
    </xf>
    <xf borderId="3" fillId="3" fontId="5" numFmtId="0" xfId="0" applyAlignment="1" applyBorder="1" applyFont="1">
      <alignment readingOrder="0" vertical="center"/>
    </xf>
    <xf borderId="3" fillId="11" fontId="5" numFmtId="0" xfId="0" applyAlignment="1" applyBorder="1" applyFill="1" applyFont="1">
      <alignment readingOrder="0" shrinkToFit="0" vertical="center" wrapText="1"/>
    </xf>
    <xf borderId="3" fillId="8" fontId="5" numFmtId="0" xfId="0" applyAlignment="1" applyBorder="1" applyFont="1">
      <alignment readingOrder="0" vertical="bottom"/>
    </xf>
    <xf borderId="3" fillId="0" fontId="5" numFmtId="0" xfId="0" applyAlignment="1" applyBorder="1" applyFont="1">
      <alignment horizontal="right" readingOrder="0" vertical="bottom"/>
    </xf>
    <xf borderId="3" fillId="12" fontId="5" numFmtId="0" xfId="0" applyAlignment="1" applyBorder="1" applyFill="1" applyFont="1">
      <alignment horizontal="right" readingOrder="0" vertical="bottom"/>
    </xf>
    <xf borderId="3" fillId="0" fontId="5" numFmtId="0" xfId="0" applyAlignment="1" applyBorder="1" applyFont="1">
      <alignment vertical="bottom"/>
    </xf>
    <xf borderId="3" fillId="0" fontId="1" numFmtId="0" xfId="0" applyBorder="1" applyFont="1"/>
    <xf borderId="3" fillId="0" fontId="5" numFmtId="168" xfId="0" applyAlignment="1" applyBorder="1" applyFont="1" applyNumberFormat="1">
      <alignment readingOrder="0" vertical="bottom"/>
    </xf>
    <xf borderId="3" fillId="0" fontId="11" numFmtId="0" xfId="0" applyAlignment="1" applyBorder="1" applyFont="1">
      <alignment readingOrder="0" vertical="bottom"/>
    </xf>
    <xf borderId="0" fillId="0" fontId="5" numFmtId="169" xfId="0" applyAlignment="1" applyFont="1" applyNumberFormat="1">
      <alignment vertical="bottom"/>
    </xf>
    <xf borderId="0" fillId="0" fontId="5" numFmtId="2" xfId="0" applyAlignment="1" applyFont="1" applyNumberFormat="1">
      <alignment vertical="bottom"/>
    </xf>
    <xf borderId="0" fillId="0" fontId="5" numFmtId="167" xfId="0" applyAlignment="1" applyFont="1" applyNumberFormat="1">
      <alignment vertical="bottom"/>
    </xf>
    <xf borderId="0" fillId="0" fontId="12" numFmtId="0" xfId="0" applyAlignment="1" applyFont="1">
      <alignment readingOrder="0" vertical="bottom"/>
    </xf>
    <xf borderId="3" fillId="9" fontId="5" numFmtId="0" xfId="0" applyAlignment="1" applyBorder="1" applyFont="1">
      <alignment readingOrder="0" vertical="bottom"/>
    </xf>
    <xf borderId="3" fillId="0" fontId="5" numFmtId="0" xfId="0" applyAlignment="1" applyBorder="1" applyFont="1">
      <alignment readingOrder="0" vertical="center"/>
    </xf>
    <xf borderId="3" fillId="0" fontId="5" numFmtId="0" xfId="0" applyAlignment="1" applyBorder="1" applyFont="1">
      <alignment readingOrder="0" shrinkToFit="0" vertical="center" wrapText="1"/>
    </xf>
    <xf borderId="0" fillId="13" fontId="9" numFmtId="0" xfId="0" applyAlignment="1" applyFill="1" applyFont="1">
      <alignment vertical="bottom"/>
    </xf>
    <xf borderId="0" fillId="0" fontId="13" numFmtId="0" xfId="0" applyAlignment="1" applyFont="1">
      <alignment horizontal="center" vertical="bottom"/>
    </xf>
    <xf borderId="0" fillId="0" fontId="13" numFmtId="166" xfId="0" applyAlignment="1" applyFont="1" applyNumberFormat="1">
      <alignment shrinkToFit="0" vertical="bottom" wrapText="1"/>
    </xf>
    <xf borderId="0" fillId="0" fontId="13" numFmtId="0" xfId="0" applyAlignment="1" applyFont="1">
      <alignment horizontal="center" readingOrder="0" shrinkToFit="0" vertical="bottom" wrapText="1"/>
    </xf>
    <xf borderId="0" fillId="0" fontId="13" numFmtId="0" xfId="0" applyAlignment="1" applyFont="1">
      <alignment horizontal="center" shrinkToFit="0" vertical="bottom" wrapText="1"/>
    </xf>
    <xf borderId="0" fillId="0" fontId="5" numFmtId="0" xfId="0" applyAlignment="1" applyFont="1">
      <alignment readingOrder="0" shrinkToFit="0" vertical="bottom" wrapText="1"/>
    </xf>
    <xf borderId="0" fillId="0" fontId="5" numFmtId="0" xfId="0" applyAlignment="1" applyFont="1">
      <alignment horizontal="center" shrinkToFit="0" vertical="bottom" wrapText="1"/>
    </xf>
    <xf borderId="0" fillId="0" fontId="5" numFmtId="0" xfId="0" applyAlignment="1" applyFont="1">
      <alignment shrinkToFit="0" vertical="bottom" wrapText="1"/>
    </xf>
    <xf borderId="0" fillId="0" fontId="5" numFmtId="0" xfId="0" applyAlignment="1" applyFont="1">
      <alignment shrinkToFit="0" vertical="bottom" wrapText="1"/>
    </xf>
    <xf borderId="0" fillId="13" fontId="5" numFmtId="0" xfId="0" applyAlignment="1" applyFont="1">
      <alignment shrinkToFit="0" vertical="bottom" wrapText="1"/>
    </xf>
    <xf borderId="0" fillId="0" fontId="14" numFmtId="0" xfId="0" applyAlignment="1" applyFont="1">
      <alignment horizontal="right" vertical="bottom"/>
    </xf>
    <xf borderId="3" fillId="5" fontId="14" numFmtId="0" xfId="0" applyAlignment="1" applyBorder="1" applyFont="1">
      <alignment shrinkToFit="0" vertical="center" wrapText="1"/>
    </xf>
    <xf borderId="2" fillId="5" fontId="14" numFmtId="0" xfId="0" applyAlignment="1" applyBorder="1" applyFont="1">
      <alignment shrinkToFit="0" vertical="center" wrapText="1"/>
    </xf>
    <xf borderId="7" fillId="5" fontId="14" numFmtId="0" xfId="0" applyAlignment="1" applyBorder="1" applyFont="1">
      <alignment shrinkToFit="0" vertical="center" wrapText="1"/>
    </xf>
    <xf borderId="8" fillId="5" fontId="14" numFmtId="0" xfId="0" applyAlignment="1" applyBorder="1" applyFont="1">
      <alignment shrinkToFit="0" vertical="center" wrapText="1"/>
    </xf>
    <xf borderId="0" fillId="0" fontId="1" numFmtId="0" xfId="0" applyAlignment="1" applyFont="1">
      <alignment shrinkToFit="0" vertical="center" wrapText="1"/>
    </xf>
    <xf borderId="0" fillId="13" fontId="1" numFmtId="0" xfId="0" applyAlignment="1" applyFont="1">
      <alignment shrinkToFit="0" vertical="center" wrapText="1"/>
    </xf>
    <xf borderId="0" fillId="0" fontId="9" numFmtId="0" xfId="0" applyAlignment="1" applyFont="1">
      <alignment readingOrder="0" vertical="bottom"/>
    </xf>
    <xf borderId="3" fillId="0" fontId="5" numFmtId="0" xfId="0" applyAlignment="1" applyBorder="1" applyFont="1">
      <alignment shrinkToFit="0" vertical="center" wrapText="1"/>
    </xf>
    <xf borderId="2" fillId="0" fontId="5" numFmtId="0" xfId="0" applyAlignment="1" applyBorder="1" applyFont="1">
      <alignment readingOrder="0" shrinkToFit="0" vertical="center" wrapText="1"/>
    </xf>
    <xf borderId="7" fillId="0" fontId="5" numFmtId="0" xfId="0" applyAlignment="1" applyBorder="1" applyFont="1">
      <alignment shrinkToFit="0" vertical="center" wrapText="1"/>
    </xf>
    <xf borderId="8" fillId="0" fontId="5" numFmtId="0" xfId="0" applyAlignment="1" applyBorder="1" applyFont="1">
      <alignment shrinkToFit="0" vertical="center" wrapText="1"/>
    </xf>
    <xf borderId="0" fillId="0" fontId="9" numFmtId="0" xfId="0" applyAlignment="1" applyFont="1">
      <alignment vertical="bottom"/>
    </xf>
    <xf borderId="3" fillId="3" fontId="13" numFmtId="164" xfId="0" applyAlignment="1" applyBorder="1" applyFont="1" applyNumberFormat="1">
      <alignment horizontal="left" readingOrder="0" shrinkToFit="0" vertical="center" wrapText="1"/>
    </xf>
    <xf borderId="3" fillId="3" fontId="13" numFmtId="0" xfId="0" applyAlignment="1" applyBorder="1" applyFont="1">
      <alignment horizontal="center" shrinkToFit="0" vertical="center" wrapText="1"/>
    </xf>
    <xf borderId="3" fillId="3" fontId="13"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2" fillId="0" fontId="11" numFmtId="0" xfId="0" applyAlignment="1" applyBorder="1" applyFont="1">
      <alignment readingOrder="0" shrinkToFit="0" vertical="center" wrapText="1"/>
    </xf>
    <xf borderId="3" fillId="5" fontId="7" numFmtId="0" xfId="0" applyAlignment="1" applyBorder="1" applyFont="1">
      <alignment horizontal="left" readingOrder="0" shrinkToFit="0" vertical="center" wrapText="1"/>
    </xf>
    <xf borderId="3" fillId="9" fontId="4" numFmtId="0" xfId="0" applyAlignment="1" applyBorder="1" applyFont="1">
      <alignment readingOrder="0" shrinkToFit="0" vertical="center" wrapText="1"/>
    </xf>
    <xf borderId="3" fillId="9" fontId="15" numFmtId="0" xfId="0" applyAlignment="1" applyBorder="1" applyFont="1">
      <alignment readingOrder="0" shrinkToFit="0" vertical="center" wrapText="1"/>
    </xf>
    <xf borderId="3" fillId="9" fontId="15" numFmtId="0" xfId="0" applyAlignment="1" applyBorder="1" applyFont="1">
      <alignment horizontal="left" readingOrder="0" shrinkToFit="0" vertical="center" wrapText="1"/>
    </xf>
    <xf borderId="0" fillId="13" fontId="4" numFmtId="0" xfId="0" applyAlignment="1" applyFont="1">
      <alignment readingOrder="0" shrinkToFit="0" vertical="center" wrapText="1"/>
    </xf>
    <xf borderId="6" fillId="0" fontId="4" numFmtId="0" xfId="0" applyAlignment="1" applyBorder="1" applyFont="1">
      <alignment horizontal="left" readingOrder="0" shrinkToFit="0" vertical="center" wrapText="1"/>
    </xf>
    <xf borderId="3" fillId="0" fontId="5" numFmtId="0" xfId="0" applyAlignment="1" applyBorder="1" applyFont="1">
      <alignment horizontal="right" shrinkToFit="0" wrapText="1"/>
    </xf>
    <xf borderId="3" fillId="0" fontId="5" numFmtId="0" xfId="0" applyAlignment="1" applyBorder="1" applyFont="1">
      <alignment horizontal="right" readingOrder="0" shrinkToFit="0" wrapText="1"/>
    </xf>
    <xf borderId="0" fillId="0" fontId="5" numFmtId="0" xfId="0" applyAlignment="1" applyFont="1">
      <alignment readingOrder="0" shrinkToFit="0" vertical="center" wrapText="1"/>
    </xf>
    <xf borderId="0" fillId="0" fontId="5" numFmtId="0" xfId="0" applyAlignment="1" applyFont="1">
      <alignment horizontal="left" shrinkToFit="0" vertical="center" wrapText="1"/>
    </xf>
    <xf borderId="0" fillId="0" fontId="5" numFmtId="0" xfId="0" applyAlignment="1" applyFont="1">
      <alignment shrinkToFit="0" vertical="center" wrapText="1"/>
    </xf>
    <xf borderId="0" fillId="0" fontId="1" numFmtId="0" xfId="0" applyAlignment="1" applyFont="1">
      <alignment shrinkToFit="0" wrapText="1"/>
    </xf>
    <xf borderId="3" fillId="0" fontId="4" numFmtId="0" xfId="0" applyAlignment="1" applyBorder="1" applyFont="1">
      <alignment horizontal="left" readingOrder="0" shrinkToFit="0" vertical="center" wrapText="1"/>
    </xf>
    <xf borderId="0" fillId="0" fontId="4" numFmtId="0" xfId="0" applyAlignment="1" applyFont="1">
      <alignment horizontal="left" readingOrder="0" shrinkToFit="0" vertical="center" wrapText="1"/>
    </xf>
    <xf borderId="3" fillId="14" fontId="1" numFmtId="0" xfId="0" applyAlignment="1" applyBorder="1" applyFill="1" applyFont="1">
      <alignment readingOrder="0" vertical="center"/>
    </xf>
    <xf borderId="3" fillId="0" fontId="1" numFmtId="0" xfId="0" applyAlignment="1" applyBorder="1" applyFont="1">
      <alignment readingOrder="0" vertical="center"/>
    </xf>
    <xf borderId="0" fillId="6" fontId="16" numFmtId="0" xfId="0" applyAlignment="1" applyFont="1">
      <alignment readingOrder="0"/>
    </xf>
    <xf borderId="0" fillId="6" fontId="1" numFmtId="0" xfId="0" applyFont="1"/>
    <xf borderId="0" fillId="6" fontId="17" numFmtId="0" xfId="0" applyFont="1"/>
    <xf borderId="0" fillId="5" fontId="1" numFmtId="0" xfId="0" applyFont="1"/>
    <xf borderId="0" fillId="0" fontId="17" numFmtId="0" xfId="0" applyFont="1"/>
    <xf borderId="0" fillId="0" fontId="18" numFmtId="0" xfId="0" applyAlignment="1" applyFont="1">
      <alignment readingOrder="0"/>
    </xf>
    <xf borderId="0" fillId="5" fontId="19" numFmtId="0" xfId="0" applyAlignment="1" applyFont="1">
      <alignment readingOrder="0"/>
    </xf>
    <xf borderId="0" fillId="5" fontId="17" numFmtId="0" xfId="0" applyFont="1"/>
    <xf borderId="0" fillId="2" fontId="1" numFmtId="0" xfId="0" applyFont="1"/>
    <xf borderId="0" fillId="2" fontId="17" numFmtId="0" xfId="0" applyFont="1"/>
    <xf borderId="2" fillId="3" fontId="1" numFmtId="0" xfId="0" applyAlignment="1" applyBorder="1" applyFont="1">
      <alignment readingOrder="0"/>
    </xf>
    <xf borderId="7" fillId="3" fontId="1" numFmtId="0" xfId="0" applyAlignment="1" applyBorder="1" applyFont="1">
      <alignment readingOrder="0"/>
    </xf>
    <xf borderId="8" fillId="3" fontId="1" numFmtId="0" xfId="0" applyAlignment="1" applyBorder="1" applyFont="1">
      <alignment readingOrder="0"/>
    </xf>
    <xf borderId="9" fillId="0" fontId="1" numFmtId="0" xfId="0" applyAlignment="1" applyBorder="1" applyFont="1">
      <alignment readingOrder="0"/>
    </xf>
    <xf borderId="10" fillId="0" fontId="20" numFmtId="0" xfId="0" applyBorder="1" applyFont="1"/>
    <xf borderId="11" fillId="0" fontId="20" numFmtId="0" xfId="0" applyBorder="1" applyFont="1"/>
    <xf borderId="12" fillId="0" fontId="20" numFmtId="0" xfId="0" applyBorder="1" applyFont="1"/>
    <xf borderId="13" fillId="0" fontId="20" numFmtId="0" xfId="0" applyBorder="1" applyFont="1"/>
    <xf borderId="14" fillId="0" fontId="20" numFmtId="0" xfId="0" applyBorder="1" applyFont="1"/>
    <xf borderId="15" fillId="0" fontId="20" numFmtId="0" xfId="0" applyBorder="1" applyFont="1"/>
    <xf borderId="16" fillId="0" fontId="20" numFmtId="0" xfId="0" applyBorder="1" applyFont="1"/>
    <xf borderId="2" fillId="15" fontId="21" numFmtId="0" xfId="0" applyAlignment="1" applyBorder="1" applyFill="1" applyFont="1">
      <alignment readingOrder="0"/>
    </xf>
    <xf borderId="7" fillId="0" fontId="20" numFmtId="0" xfId="0" applyBorder="1" applyFont="1"/>
    <xf borderId="8" fillId="0" fontId="20" numFmtId="0" xfId="0" applyBorder="1" applyFont="1"/>
    <xf borderId="2" fillId="0" fontId="5" numFmtId="0" xfId="0" applyAlignment="1" applyBorder="1" applyFont="1">
      <alignment readingOrder="0" vertical="bottom"/>
    </xf>
    <xf borderId="0" fillId="0" fontId="1" numFmtId="0" xfId="0" applyAlignment="1" applyFont="1">
      <alignment readingOrder="0"/>
    </xf>
    <xf borderId="2" fillId="3" fontId="5" numFmtId="0" xfId="0" applyAlignment="1" applyBorder="1" applyFont="1">
      <alignment vertical="bottom"/>
    </xf>
    <xf borderId="7" fillId="3" fontId="5" numFmtId="0" xfId="0" applyAlignment="1" applyBorder="1" applyFont="1">
      <alignment vertical="bottom"/>
    </xf>
    <xf borderId="8" fillId="3" fontId="5" numFmtId="0" xfId="0" applyAlignment="1" applyBorder="1" applyFont="1">
      <alignment vertical="bottom"/>
    </xf>
    <xf borderId="9" fillId="3" fontId="5" numFmtId="0" xfId="0" applyAlignment="1" applyBorder="1" applyFont="1">
      <alignment vertical="bottom"/>
    </xf>
    <xf borderId="2" fillId="0" fontId="5" numFmtId="0" xfId="0" applyAlignment="1" applyBorder="1" applyFont="1">
      <alignment horizontal="left" vertical="bottom"/>
    </xf>
    <xf borderId="7" fillId="0" fontId="5" numFmtId="0" xfId="0" applyAlignment="1" applyBorder="1" applyFont="1">
      <alignment horizontal="right" vertical="bottom"/>
    </xf>
    <xf borderId="8" fillId="0" fontId="5" numFmtId="0" xfId="0" applyAlignment="1" applyBorder="1" applyFont="1">
      <alignment horizontal="right" vertical="bottom"/>
    </xf>
    <xf borderId="2" fillId="0" fontId="5" numFmtId="0" xfId="0" applyAlignment="1" applyBorder="1" applyFont="1">
      <alignment horizontal="left" readingOrder="0" vertical="bottom"/>
    </xf>
    <xf borderId="2" fillId="0" fontId="5" numFmtId="0" xfId="0" applyAlignment="1" applyBorder="1" applyFont="1">
      <alignment vertical="bottom"/>
    </xf>
    <xf borderId="7" fillId="0" fontId="9" numFmtId="0" xfId="0" applyAlignment="1" applyBorder="1" applyFont="1">
      <alignment vertical="bottom"/>
    </xf>
    <xf borderId="8" fillId="0" fontId="9" numFmtId="0" xfId="0" applyAlignment="1" applyBorder="1" applyFont="1">
      <alignment vertical="bottom"/>
    </xf>
    <xf borderId="0" fillId="0" fontId="9" numFmtId="0" xfId="0" applyAlignment="1" applyFont="1">
      <alignment vertical="bottom"/>
    </xf>
    <xf borderId="2" fillId="15" fontId="14" numFmtId="0" xfId="0" applyAlignment="1" applyBorder="1" applyFont="1">
      <alignment horizontal="right" vertical="bottom"/>
    </xf>
    <xf borderId="2" fillId="15" fontId="14" numFmtId="0" xfId="0" applyAlignment="1" applyBorder="1" applyFont="1">
      <alignment horizontal="right" vertical="bottom"/>
    </xf>
    <xf borderId="2" fillId="8" fontId="5" numFmtId="0" xfId="0" applyAlignment="1" applyBorder="1" applyFont="1">
      <alignment vertical="bottom"/>
    </xf>
    <xf borderId="2" fillId="16" fontId="5" numFmtId="0" xfId="0" applyAlignment="1" applyBorder="1" applyFill="1" applyFont="1">
      <alignment vertical="bottom"/>
    </xf>
    <xf borderId="2" fillId="7" fontId="5" numFmtId="0" xfId="0" applyAlignment="1" applyBorder="1" applyFont="1">
      <alignment vertical="bottom"/>
    </xf>
    <xf borderId="2" fillId="7" fontId="5" numFmtId="0" xfId="0" applyAlignment="1" applyBorder="1" applyFont="1">
      <alignment vertical="bottom"/>
    </xf>
    <xf borderId="0" fillId="5" fontId="9" numFmtId="0" xfId="0" applyAlignment="1" applyFont="1">
      <alignment vertical="bottom"/>
    </xf>
    <xf borderId="0" fillId="2" fontId="9" numFmtId="0" xfId="0" applyAlignment="1" applyFont="1">
      <alignment vertical="bottom"/>
    </xf>
    <xf borderId="0" fillId="2" fontId="22" numFmtId="0" xfId="0" applyAlignment="1" applyFont="1">
      <alignment vertical="bottom"/>
    </xf>
    <xf borderId="2" fillId="0" fontId="5" numFmtId="0" xfId="0" applyAlignment="1" applyBorder="1" applyFont="1">
      <alignment horizontal="right" vertical="bottom"/>
    </xf>
    <xf borderId="2" fillId="0" fontId="5" numFmtId="0" xfId="0" applyAlignment="1" applyBorder="1" applyFont="1">
      <alignment horizontal="right" readingOrder="0" vertical="bottom"/>
    </xf>
    <xf borderId="2" fillId="0" fontId="5" numFmtId="0" xfId="0" applyAlignment="1" applyBorder="1" applyFont="1">
      <alignment horizontal="right" vertical="bottom"/>
    </xf>
    <xf borderId="2" fillId="0" fontId="9" numFmtId="0" xfId="0" applyAlignment="1" applyBorder="1" applyFont="1">
      <alignment vertical="bottom"/>
    </xf>
    <xf borderId="2" fillId="0" fontId="9" numFmtId="0" xfId="0" applyAlignment="1" applyBorder="1" applyFont="1">
      <alignment vertical="bottom"/>
    </xf>
    <xf borderId="0" fillId="2" fontId="9" numFmtId="0" xfId="0" applyAlignment="1" applyFont="1">
      <alignment readingOrder="0" vertical="bottom"/>
    </xf>
    <xf borderId="0" fillId="2" fontId="22" numFmtId="0" xfId="0" applyAlignment="1" applyFont="1">
      <alignment readingOrder="0" vertical="bottom"/>
    </xf>
    <xf borderId="0" fillId="0" fontId="23" numFmtId="0" xfId="0" applyAlignment="1" applyFont="1">
      <alignment readingOrder="0"/>
    </xf>
    <xf borderId="0" fillId="9" fontId="3" numFmtId="0" xfId="0" applyAlignment="1" applyFont="1">
      <alignment readingOrder="0"/>
    </xf>
    <xf borderId="0" fillId="9" fontId="1" numFmtId="0" xfId="0" applyFont="1"/>
    <xf borderId="0" fillId="9" fontId="1" numFmtId="0" xfId="0" applyAlignment="1" applyFont="1">
      <alignment readingOrder="0"/>
    </xf>
    <xf borderId="0" fillId="5" fontId="22" numFmtId="0" xfId="0" applyAlignment="1" applyFont="1">
      <alignment vertical="center"/>
    </xf>
    <xf borderId="0" fillId="2" fontId="22" numFmtId="0" xfId="0" applyAlignment="1" applyFont="1">
      <alignment vertical="center"/>
    </xf>
    <xf borderId="0" fillId="13" fontId="1" numFmtId="0" xfId="0" applyFont="1"/>
    <xf borderId="0" fillId="13" fontId="17" numFmtId="0" xfId="0" applyFont="1"/>
    <xf borderId="0" fillId="0" fontId="24" numFmtId="0" xfId="0" applyFont="1"/>
    <xf borderId="2" fillId="15" fontId="25" numFmtId="0" xfId="0" applyAlignment="1" applyBorder="1" applyFont="1">
      <alignment horizontal="center" shrinkToFit="0" vertical="center" wrapText="1"/>
    </xf>
    <xf borderId="2" fillId="15" fontId="25" numFmtId="0" xfId="0" applyAlignment="1" applyBorder="1" applyFont="1">
      <alignment horizontal="center" readingOrder="0" shrinkToFit="0" vertical="center" wrapText="1"/>
    </xf>
    <xf borderId="2" fillId="15" fontId="26" numFmtId="0" xfId="0" applyAlignment="1" applyBorder="1" applyFont="1">
      <alignment horizontal="center" readingOrder="0" shrinkToFit="0" vertical="center" wrapText="1"/>
    </xf>
    <xf borderId="2" fillId="15" fontId="25" numFmtId="0" xfId="0" applyAlignment="1" applyBorder="1" applyFont="1">
      <alignment horizontal="center" vertical="center"/>
    </xf>
    <xf borderId="2" fillId="15" fontId="25" numFmtId="0" xfId="0" applyAlignment="1" applyBorder="1" applyFont="1">
      <alignment horizontal="center" readingOrder="0" vertical="center"/>
    </xf>
    <xf borderId="2" fillId="17" fontId="27" numFmtId="0" xfId="0" applyAlignment="1" applyBorder="1" applyFill="1" applyFont="1">
      <alignment horizontal="center" vertical="center"/>
    </xf>
    <xf borderId="2" fillId="3" fontId="27" numFmtId="0" xfId="0" applyAlignment="1" applyBorder="1" applyFont="1">
      <alignment horizontal="center" readingOrder="0" vertical="center"/>
    </xf>
    <xf borderId="2" fillId="15" fontId="28" numFmtId="0" xfId="0" applyAlignment="1" applyBorder="1" applyFont="1">
      <alignment horizontal="center" readingOrder="0" vertical="center"/>
    </xf>
    <xf borderId="2" fillId="7" fontId="29" numFmtId="0" xfId="0" applyAlignment="1" applyBorder="1" applyFont="1">
      <alignment horizontal="center" readingOrder="0" vertical="center"/>
    </xf>
    <xf borderId="2" fillId="7" fontId="22" numFmtId="0" xfId="0" applyAlignment="1" applyBorder="1" applyFont="1">
      <alignment horizontal="center" vertical="center"/>
    </xf>
    <xf borderId="2" fillId="3" fontId="22" numFmtId="0" xfId="0" applyAlignment="1" applyBorder="1" applyFont="1">
      <alignment horizontal="center" vertical="center"/>
    </xf>
    <xf borderId="2" fillId="17" fontId="27" numFmtId="0" xfId="0" applyAlignment="1" applyBorder="1" applyFont="1">
      <alignment horizontal="center" readingOrder="0" vertical="center"/>
    </xf>
    <xf borderId="2" fillId="17" fontId="22" numFmtId="0" xfId="0" applyAlignment="1" applyBorder="1" applyFont="1">
      <alignment horizontal="center" vertical="center"/>
    </xf>
    <xf borderId="2" fillId="9" fontId="27" numFmtId="0" xfId="0" applyAlignment="1" applyBorder="1" applyFont="1">
      <alignment horizontal="center" readingOrder="0" vertical="center"/>
    </xf>
    <xf borderId="2" fillId="9" fontId="27" numFmtId="0" xfId="0" applyAlignment="1" applyBorder="1" applyFont="1">
      <alignment horizontal="center" vertical="bottom"/>
    </xf>
    <xf borderId="2" fillId="18" fontId="24" numFmtId="0" xfId="0" applyAlignment="1" applyBorder="1" applyFill="1" applyFont="1">
      <alignment horizontal="center" readingOrder="0" vertical="center"/>
    </xf>
    <xf borderId="0" fillId="5" fontId="24" numFmtId="0" xfId="0" applyFont="1"/>
    <xf borderId="3" fillId="8" fontId="22" numFmtId="0" xfId="0" applyAlignment="1" applyBorder="1" applyFont="1">
      <alignment vertical="bottom"/>
    </xf>
    <xf borderId="3" fillId="8" fontId="30" numFmtId="0" xfId="0" applyAlignment="1" applyBorder="1" applyFont="1">
      <alignment readingOrder="0" vertical="bottom"/>
    </xf>
    <xf borderId="0" fillId="0" fontId="24" numFmtId="0" xfId="0" applyAlignment="1" applyFont="1">
      <alignment readingOrder="0"/>
    </xf>
    <xf borderId="2" fillId="0" fontId="17" numFmtId="0" xfId="0" applyAlignment="1" applyBorder="1" applyFont="1">
      <alignment readingOrder="0"/>
    </xf>
    <xf borderId="2" fillId="0" fontId="17" numFmtId="0" xfId="0" applyBorder="1" applyFont="1"/>
    <xf borderId="2" fillId="0" fontId="17" numFmtId="0" xfId="0" applyAlignment="1" applyBorder="1" applyFont="1">
      <alignment horizontal="left" readingOrder="0"/>
    </xf>
    <xf borderId="2" fillId="18" fontId="17" numFmtId="0" xfId="0" applyAlignment="1" applyBorder="1" applyFont="1">
      <alignment horizontal="center"/>
    </xf>
    <xf borderId="2" fillId="0" fontId="17" numFmtId="0" xfId="0" applyAlignment="1" applyBorder="1" applyFont="1">
      <alignment horizontal="center"/>
    </xf>
    <xf borderId="2" fillId="18" fontId="17" numFmtId="0" xfId="0" applyBorder="1" applyFont="1"/>
    <xf borderId="2" fillId="2" fontId="17" numFmtId="0" xfId="0" applyBorder="1" applyFont="1"/>
    <xf borderId="2" fillId="2" fontId="17" numFmtId="2" xfId="0" applyBorder="1" applyFont="1" applyNumberFormat="1"/>
    <xf borderId="2" fillId="2" fontId="17" numFmtId="0" xfId="0" applyAlignment="1" applyBorder="1" applyFont="1">
      <alignment horizontal="right"/>
    </xf>
    <xf borderId="2" fillId="18" fontId="17" numFmtId="0" xfId="0" applyAlignment="1" applyBorder="1" applyFont="1">
      <alignment horizontal="right"/>
    </xf>
    <xf borderId="7" fillId="18" fontId="22" numFmtId="0" xfId="0" applyAlignment="1" applyBorder="1" applyFont="1">
      <alignment horizontal="right" vertical="bottom"/>
    </xf>
    <xf borderId="2" fillId="0" fontId="22" numFmtId="0" xfId="0" applyAlignment="1" applyBorder="1" applyFont="1">
      <alignment readingOrder="0" vertical="center"/>
    </xf>
    <xf borderId="2" fillId="0" fontId="22" numFmtId="0" xfId="0" applyAlignment="1" applyBorder="1" applyFont="1">
      <alignment vertical="center"/>
    </xf>
    <xf borderId="2" fillId="0" fontId="22" numFmtId="0" xfId="0" applyAlignment="1" applyBorder="1" applyFont="1">
      <alignment vertical="bottom"/>
    </xf>
    <xf borderId="3" fillId="0" fontId="17" numFmtId="0" xfId="0" applyAlignment="1" applyBorder="1" applyFont="1">
      <alignment horizontal="right"/>
    </xf>
    <xf borderId="3" fillId="0" fontId="17" numFmtId="0" xfId="0" applyAlignment="1" applyBorder="1" applyFont="1">
      <alignment horizontal="right" readingOrder="0"/>
    </xf>
    <xf borderId="3" fillId="14" fontId="17" numFmtId="0" xfId="0" applyAlignment="1" applyBorder="1" applyFont="1">
      <alignment horizontal="right"/>
    </xf>
    <xf borderId="2" fillId="0" fontId="22" numFmtId="0" xfId="0" applyAlignment="1" applyBorder="1" applyFont="1">
      <alignment vertical="bottom"/>
    </xf>
    <xf borderId="15" fillId="0" fontId="9" numFmtId="0" xfId="0" applyAlignment="1" applyBorder="1" applyFont="1">
      <alignment readingOrder="0" vertical="bottom"/>
    </xf>
    <xf borderId="15" fillId="0" fontId="9" numFmtId="0" xfId="0" applyAlignment="1" applyBorder="1" applyFont="1">
      <alignment vertical="bottom"/>
    </xf>
    <xf borderId="0" fillId="0" fontId="31" numFmtId="0" xfId="0" applyFont="1"/>
    <xf borderId="13" fillId="0" fontId="9" numFmtId="0" xfId="0" applyAlignment="1" applyBorder="1" applyFont="1">
      <alignment vertical="bottom"/>
    </xf>
    <xf borderId="3" fillId="14" fontId="4" numFmtId="49" xfId="0" applyAlignment="1" applyBorder="1" applyFont="1" applyNumberFormat="1">
      <alignment horizontal="center" vertical="bottom"/>
    </xf>
    <xf borderId="8" fillId="14" fontId="4" numFmtId="49" xfId="0" applyAlignment="1" applyBorder="1" applyFont="1" applyNumberFormat="1">
      <alignment horizontal="center" vertical="bottom"/>
    </xf>
    <xf borderId="8" fillId="3" fontId="4" numFmtId="49" xfId="0" applyAlignment="1" applyBorder="1" applyFont="1" applyNumberFormat="1">
      <alignment horizontal="center" vertical="bottom"/>
    </xf>
    <xf borderId="8" fillId="8" fontId="4" numFmtId="49" xfId="0" applyAlignment="1" applyBorder="1" applyFont="1" applyNumberFormat="1">
      <alignment horizontal="center" vertical="bottom"/>
    </xf>
    <xf borderId="8" fillId="7" fontId="4" numFmtId="49" xfId="0" applyAlignment="1" applyBorder="1" applyFont="1" applyNumberFormat="1">
      <alignment horizontal="right" vertical="bottom"/>
    </xf>
    <xf borderId="8" fillId="7" fontId="4" numFmtId="49" xfId="0" applyAlignment="1" applyBorder="1" applyFont="1" applyNumberFormat="1">
      <alignment horizontal="center" vertical="bottom"/>
    </xf>
    <xf borderId="8" fillId="16" fontId="4" numFmtId="49" xfId="0" applyAlignment="1" applyBorder="1" applyFont="1" applyNumberFormat="1">
      <alignment horizontal="center" vertical="bottom"/>
    </xf>
    <xf borderId="0" fillId="0" fontId="31" numFmtId="49" xfId="0" applyFont="1" applyNumberFormat="1"/>
    <xf borderId="3" fillId="0" fontId="5" numFmtId="49" xfId="0" applyAlignment="1" applyBorder="1" applyFont="1" applyNumberFormat="1">
      <alignment vertical="bottom"/>
    </xf>
    <xf borderId="3" fillId="18" fontId="5" numFmtId="0" xfId="0" applyAlignment="1" applyBorder="1" applyFont="1">
      <alignment vertical="bottom"/>
    </xf>
    <xf borderId="3" fillId="18" fontId="9" numFmtId="0" xfId="0" applyAlignment="1" applyBorder="1" applyFont="1">
      <alignment vertical="bottom"/>
    </xf>
    <xf borderId="3" fillId="0" fontId="9" numFmtId="0" xfId="0" applyAlignment="1" applyBorder="1" applyFont="1">
      <alignment vertical="bottom"/>
    </xf>
    <xf borderId="3" fillId="0" fontId="9" numFmtId="49" xfId="0" applyAlignment="1" applyBorder="1" applyFont="1" applyNumberFormat="1">
      <alignment vertical="bottom"/>
    </xf>
    <xf borderId="3" fillId="0" fontId="31" numFmtId="0" xfId="0" applyBorder="1" applyFont="1"/>
    <xf borderId="3" fillId="0" fontId="5" numFmtId="0" xfId="0" applyAlignment="1" applyBorder="1" applyFont="1">
      <alignment vertical="bottom"/>
    </xf>
    <xf borderId="3" fillId="18" fontId="31" numFmtId="0" xfId="0" applyBorder="1" applyFont="1"/>
    <xf borderId="3" fillId="0" fontId="31" numFmtId="49" xfId="0" applyBorder="1" applyFont="1" applyNumberFormat="1"/>
    <xf borderId="0" fillId="18" fontId="31" numFmtId="0" xfId="0" applyFont="1"/>
  </cellXfs>
  <cellStyles count="1">
    <cellStyle xfId="0" name="Normal" builtinId="0"/>
  </cellStyles>
  <dxfs count="7">
    <dxf>
      <font/>
      <fill>
        <patternFill patternType="solid">
          <fgColor rgb="FFFFFF00"/>
          <bgColor rgb="FFFFFF00"/>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D5JYX9W2KpGQQrejkP6grv6Qds1GhjyAd6eNjJVa6eM/edit?gid=1084645352" TargetMode="External"/><Relationship Id="rId2" Type="http://schemas.openxmlformats.org/officeDocument/2006/relationships/hyperlink" Target="https://docs.google.com/spreadsheets/d/1D5JYX9W2KpGQQrejkP6grv6Qds1GhjyAd6eNjJVa6eM/edit?gid=130100354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D5JYX9W2KpGQQrejkP6grv6Qds1GhjyAd6eNjJVa6eM/edit?gid=1084645352" TargetMode="External"/><Relationship Id="rId2" Type="http://schemas.openxmlformats.org/officeDocument/2006/relationships/hyperlink" Target="https://docs.google.com/spreadsheets/d/1D5JYX9W2KpGQQrejkP6grv6Qds1GhjyAd6eNjJVa6eM/edit?gid=1301003540"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5.13"/>
    <col customWidth="1" min="3" max="3" width="17.25"/>
    <col customWidth="1" min="4" max="4" width="14.63"/>
    <col customWidth="1" min="5" max="9" width="13.88"/>
    <col customWidth="1" min="10" max="12" width="3.5"/>
  </cols>
  <sheetData>
    <row r="1">
      <c r="A1" s="1"/>
      <c r="B1" s="2" t="s">
        <v>0</v>
      </c>
      <c r="C1" s="3"/>
      <c r="D1" s="3"/>
      <c r="E1" s="3"/>
      <c r="F1" s="3"/>
      <c r="G1" s="3"/>
      <c r="H1" s="3"/>
      <c r="I1" s="3"/>
      <c r="J1" s="1"/>
      <c r="K1" s="1"/>
      <c r="L1" s="1"/>
    </row>
    <row r="2">
      <c r="A2" s="1"/>
      <c r="B2" s="4"/>
      <c r="C2" s="1"/>
      <c r="D2" s="1"/>
      <c r="E2" s="1"/>
      <c r="F2" s="1"/>
      <c r="G2" s="1"/>
      <c r="H2" s="1"/>
      <c r="I2" s="1"/>
      <c r="J2" s="1"/>
      <c r="K2" s="1"/>
      <c r="L2" s="1"/>
    </row>
    <row r="3">
      <c r="A3" s="1"/>
      <c r="B3" s="5" t="s">
        <v>1</v>
      </c>
      <c r="C3" s="6"/>
      <c r="D3" s="1"/>
      <c r="E3" s="1"/>
      <c r="F3" s="7" t="s">
        <v>2</v>
      </c>
      <c r="G3" s="1"/>
      <c r="H3" s="1"/>
      <c r="I3" s="1"/>
      <c r="J3" s="1"/>
      <c r="K3" s="1"/>
      <c r="L3" s="1"/>
    </row>
    <row r="4">
      <c r="A4" s="1"/>
      <c r="B4" s="8" t="s">
        <v>3</v>
      </c>
      <c r="C4" s="9">
        <v>46125.625</v>
      </c>
      <c r="D4" s="1"/>
      <c r="E4" s="1"/>
      <c r="F4" s="7" t="s">
        <v>4</v>
      </c>
      <c r="G4" s="1"/>
      <c r="H4" s="1"/>
      <c r="I4" s="1"/>
      <c r="J4" s="1"/>
      <c r="K4" s="1"/>
      <c r="L4" s="1"/>
    </row>
    <row r="5">
      <c r="A5" s="1"/>
      <c r="B5" s="8" t="s">
        <v>5</v>
      </c>
      <c r="C5" s="10" t="s">
        <v>6</v>
      </c>
      <c r="D5" s="1"/>
      <c r="E5" s="1"/>
      <c r="F5" s="11" t="s">
        <v>7</v>
      </c>
      <c r="G5" s="1"/>
      <c r="H5" s="1"/>
      <c r="I5" s="1"/>
      <c r="J5" s="1"/>
      <c r="K5" s="1"/>
      <c r="L5" s="1"/>
    </row>
    <row r="6">
      <c r="A6" s="1"/>
      <c r="B6" s="12" t="s">
        <v>8</v>
      </c>
      <c r="C6" s="13" t="s">
        <v>9</v>
      </c>
      <c r="D6" s="1"/>
      <c r="E6" s="1"/>
      <c r="F6" s="11" t="s">
        <v>10</v>
      </c>
      <c r="G6" s="1"/>
      <c r="H6" s="1"/>
      <c r="I6" s="1"/>
      <c r="J6" s="1"/>
      <c r="K6" s="1"/>
      <c r="L6" s="1"/>
    </row>
    <row r="7">
      <c r="A7" s="1"/>
      <c r="B7" s="4"/>
      <c r="C7" s="1"/>
      <c r="D7" s="1"/>
      <c r="E7" s="1"/>
      <c r="F7" s="1"/>
      <c r="G7" s="1"/>
      <c r="H7" s="1"/>
      <c r="I7" s="1"/>
      <c r="J7" s="1"/>
      <c r="K7" s="1"/>
      <c r="L7" s="1"/>
    </row>
    <row r="8">
      <c r="A8" s="14"/>
      <c r="B8" s="15" t="s">
        <v>11</v>
      </c>
      <c r="C8" s="16"/>
      <c r="D8" s="16"/>
      <c r="E8" s="16"/>
      <c r="F8" s="16"/>
      <c r="G8" s="16"/>
      <c r="H8" s="16"/>
      <c r="I8" s="16"/>
      <c r="J8" s="1"/>
      <c r="K8" s="1"/>
      <c r="L8" s="1"/>
    </row>
    <row r="9">
      <c r="A9" s="14"/>
      <c r="B9" s="17" t="s">
        <v>12</v>
      </c>
      <c r="C9" s="14"/>
      <c r="D9" s="14"/>
      <c r="E9" s="14"/>
      <c r="F9" s="14"/>
      <c r="G9" s="14"/>
      <c r="H9" s="14"/>
      <c r="I9" s="14"/>
      <c r="J9" s="1"/>
      <c r="K9" s="1"/>
      <c r="L9" s="1"/>
    </row>
    <row r="10">
      <c r="A10" s="14"/>
      <c r="B10" s="17" t="s">
        <v>13</v>
      </c>
      <c r="C10" s="14"/>
      <c r="D10" s="14"/>
      <c r="E10" s="14"/>
      <c r="F10" s="18"/>
      <c r="G10" s="14"/>
      <c r="H10" s="18"/>
      <c r="I10" s="14"/>
      <c r="J10" s="1"/>
      <c r="K10" s="1"/>
      <c r="L10" s="1"/>
    </row>
    <row r="11">
      <c r="A11" s="14"/>
      <c r="B11" s="19" t="s">
        <v>14</v>
      </c>
      <c r="E11" s="6"/>
      <c r="F11" s="6"/>
      <c r="G11" s="6"/>
      <c r="H11" s="6"/>
      <c r="I11" s="6"/>
      <c r="J11" s="1"/>
      <c r="K11" s="1"/>
      <c r="L11" s="1"/>
    </row>
    <row r="12">
      <c r="A12" s="14"/>
      <c r="B12" s="20" t="s">
        <v>15</v>
      </c>
      <c r="C12" s="21" t="s">
        <v>16</v>
      </c>
      <c r="D12" s="22" t="s">
        <v>17</v>
      </c>
      <c r="E12" s="6"/>
      <c r="F12" s="6"/>
      <c r="G12" s="6"/>
      <c r="H12" s="6"/>
      <c r="I12" s="6"/>
      <c r="J12" s="1"/>
      <c r="K12" s="1"/>
      <c r="L12" s="1"/>
    </row>
    <row r="13">
      <c r="A13" s="14"/>
      <c r="B13" s="23" t="s">
        <v>18</v>
      </c>
      <c r="C13" s="24">
        <v>0.0</v>
      </c>
      <c r="D13" s="25">
        <v>100.0</v>
      </c>
      <c r="E13" s="6"/>
      <c r="F13" s="6"/>
      <c r="G13" s="6"/>
      <c r="H13" s="6"/>
      <c r="I13" s="6"/>
      <c r="J13" s="1"/>
      <c r="K13" s="1"/>
      <c r="L13" s="1"/>
    </row>
    <row r="14" ht="6.0" customHeight="1">
      <c r="A14" s="26"/>
      <c r="B14" s="27"/>
      <c r="C14" s="26"/>
      <c r="D14" s="1"/>
      <c r="E14" s="28"/>
      <c r="F14" s="28"/>
      <c r="G14" s="28"/>
      <c r="H14" s="28"/>
      <c r="I14" s="28"/>
      <c r="J14" s="1"/>
      <c r="K14" s="1"/>
      <c r="L14" s="1"/>
    </row>
    <row r="15">
      <c r="A15" s="14"/>
      <c r="B15" s="19" t="s">
        <v>19</v>
      </c>
      <c r="G15" s="6"/>
      <c r="H15" s="6"/>
      <c r="I15" s="6"/>
      <c r="J15" s="1"/>
      <c r="K15" s="1"/>
      <c r="L15" s="1"/>
    </row>
    <row r="16">
      <c r="A16" s="14"/>
      <c r="B16" s="20" t="s">
        <v>15</v>
      </c>
      <c r="C16" s="21" t="s">
        <v>16</v>
      </c>
      <c r="D16" s="22" t="s">
        <v>17</v>
      </c>
      <c r="E16" s="22" t="s">
        <v>17</v>
      </c>
      <c r="F16" s="22" t="s">
        <v>17</v>
      </c>
      <c r="G16" s="6"/>
      <c r="H16" s="6"/>
      <c r="I16" s="6"/>
      <c r="J16" s="1"/>
      <c r="K16" s="1"/>
      <c r="L16" s="1"/>
    </row>
    <row r="17">
      <c r="A17" s="14"/>
      <c r="B17" s="23" t="s">
        <v>18</v>
      </c>
      <c r="C17" s="24">
        <v>0.0</v>
      </c>
      <c r="D17" s="29">
        <v>100.0</v>
      </c>
      <c r="E17" s="29">
        <v>300.0</v>
      </c>
      <c r="F17" s="29">
        <v>500.0</v>
      </c>
      <c r="G17" s="6"/>
      <c r="H17" s="6"/>
      <c r="I17" s="6"/>
      <c r="J17" s="1"/>
      <c r="K17" s="1"/>
      <c r="L17" s="1"/>
    </row>
    <row r="18">
      <c r="A18" s="14"/>
      <c r="B18" s="23" t="s">
        <v>20</v>
      </c>
      <c r="C18" s="24">
        <v>0.0</v>
      </c>
      <c r="D18" s="30">
        <v>0.6</v>
      </c>
      <c r="E18" s="30">
        <v>0.3</v>
      </c>
      <c r="F18" s="30">
        <v>0.1</v>
      </c>
      <c r="G18" s="6"/>
      <c r="H18" s="6"/>
      <c r="I18" s="6"/>
      <c r="J18" s="1"/>
      <c r="K18" s="1"/>
      <c r="L18" s="1"/>
    </row>
    <row r="19" ht="6.0" customHeight="1">
      <c r="A19" s="26"/>
      <c r="B19" s="27"/>
      <c r="C19" s="26"/>
      <c r="D19" s="1"/>
      <c r="E19" s="1"/>
      <c r="F19" s="1"/>
      <c r="G19" s="28"/>
      <c r="H19" s="28"/>
      <c r="I19" s="28"/>
      <c r="J19" s="1"/>
      <c r="K19" s="1"/>
      <c r="L19" s="1"/>
    </row>
    <row r="20">
      <c r="A20" s="14"/>
      <c r="B20" s="14"/>
      <c r="C20" s="14"/>
      <c r="D20" s="18"/>
      <c r="E20" s="18"/>
      <c r="F20" s="14"/>
      <c r="G20" s="14"/>
      <c r="H20" s="14"/>
      <c r="I20" s="14"/>
      <c r="J20" s="1"/>
      <c r="K20" s="1"/>
      <c r="L20" s="1"/>
    </row>
    <row r="21">
      <c r="A21" s="14"/>
      <c r="B21" s="17" t="s">
        <v>21</v>
      </c>
      <c r="C21" s="14"/>
      <c r="D21" s="14"/>
      <c r="E21" s="14"/>
      <c r="F21" s="18"/>
      <c r="G21" s="14"/>
      <c r="H21" s="18"/>
      <c r="I21" s="14"/>
      <c r="J21" s="1"/>
      <c r="K21" s="1"/>
      <c r="L21" s="1"/>
    </row>
    <row r="22">
      <c r="A22" s="14"/>
      <c r="B22" s="19" t="s">
        <v>14</v>
      </c>
      <c r="E22" s="6"/>
      <c r="F22" s="6"/>
      <c r="G22" s="14"/>
      <c r="H22" s="18"/>
      <c r="I22" s="14"/>
      <c r="J22" s="1"/>
      <c r="K22" s="1"/>
      <c r="L22" s="1"/>
    </row>
    <row r="23">
      <c r="A23" s="14"/>
      <c r="B23" s="20" t="s">
        <v>15</v>
      </c>
      <c r="C23" s="21" t="s">
        <v>16</v>
      </c>
      <c r="D23" s="22" t="s">
        <v>17</v>
      </c>
      <c r="E23" s="6"/>
      <c r="F23" s="6"/>
      <c r="G23" s="14"/>
      <c r="H23" s="18"/>
      <c r="I23" s="14"/>
      <c r="J23" s="1"/>
      <c r="K23" s="1"/>
      <c r="L23" s="1"/>
    </row>
    <row r="24">
      <c r="A24" s="14"/>
      <c r="B24" s="23" t="s">
        <v>18</v>
      </c>
      <c r="C24" s="24">
        <v>0.0</v>
      </c>
      <c r="D24" s="25">
        <v>500.0</v>
      </c>
      <c r="E24" s="6"/>
      <c r="F24" s="6"/>
      <c r="G24" s="14"/>
      <c r="H24" s="18"/>
      <c r="I24" s="14"/>
      <c r="J24" s="1"/>
      <c r="K24" s="1"/>
      <c r="L24" s="1"/>
    </row>
    <row r="25" ht="6.0" customHeight="1">
      <c r="A25" s="26"/>
      <c r="B25" s="27"/>
      <c r="C25" s="26"/>
      <c r="D25" s="1"/>
      <c r="E25" s="28"/>
      <c r="F25" s="28"/>
      <c r="G25" s="14"/>
      <c r="H25" s="18"/>
      <c r="I25" s="14"/>
      <c r="J25" s="1"/>
      <c r="K25" s="1"/>
      <c r="L25" s="1"/>
    </row>
    <row r="26">
      <c r="A26" s="14"/>
      <c r="B26" s="19" t="s">
        <v>19</v>
      </c>
      <c r="G26" s="14"/>
      <c r="H26" s="18"/>
      <c r="I26" s="14"/>
      <c r="J26" s="1"/>
      <c r="K26" s="1"/>
      <c r="L26" s="1"/>
    </row>
    <row r="27">
      <c r="A27" s="14"/>
      <c r="B27" s="20" t="s">
        <v>15</v>
      </c>
      <c r="C27" s="21" t="s">
        <v>16</v>
      </c>
      <c r="D27" s="22" t="s">
        <v>17</v>
      </c>
      <c r="E27" s="22" t="s">
        <v>17</v>
      </c>
      <c r="F27" s="22" t="s">
        <v>17</v>
      </c>
      <c r="G27" s="14"/>
      <c r="H27" s="18"/>
      <c r="I27" s="14"/>
      <c r="J27" s="1"/>
      <c r="K27" s="1"/>
      <c r="L27" s="1"/>
    </row>
    <row r="28">
      <c r="A28" s="14"/>
      <c r="B28" s="23" t="s">
        <v>18</v>
      </c>
      <c r="C28" s="24">
        <v>0.0</v>
      </c>
      <c r="D28" s="29">
        <v>500.0</v>
      </c>
      <c r="E28" s="29">
        <v>750.0</v>
      </c>
      <c r="F28" s="29">
        <v>1000.0</v>
      </c>
      <c r="G28" s="14"/>
      <c r="H28" s="18"/>
      <c r="I28" s="14"/>
      <c r="J28" s="1"/>
      <c r="K28" s="1"/>
      <c r="L28" s="1"/>
    </row>
    <row r="29">
      <c r="A29" s="14"/>
      <c r="B29" s="23" t="s">
        <v>20</v>
      </c>
      <c r="C29" s="24">
        <v>0.0</v>
      </c>
      <c r="D29" s="30">
        <v>0.6</v>
      </c>
      <c r="E29" s="30">
        <v>0.3</v>
      </c>
      <c r="F29" s="30">
        <v>0.1</v>
      </c>
      <c r="G29" s="14"/>
      <c r="H29" s="18"/>
      <c r="I29" s="14"/>
      <c r="J29" s="1"/>
      <c r="K29" s="1"/>
      <c r="L29" s="1"/>
    </row>
    <row r="30" ht="6.0" customHeight="1">
      <c r="A30" s="26"/>
      <c r="B30" s="27"/>
      <c r="C30" s="26"/>
      <c r="D30" s="1"/>
      <c r="E30" s="1"/>
      <c r="F30" s="1"/>
      <c r="G30" s="14"/>
      <c r="H30" s="18"/>
      <c r="I30" s="14"/>
      <c r="J30" s="1"/>
      <c r="K30" s="1"/>
      <c r="L30" s="1"/>
    </row>
    <row r="31">
      <c r="A31" s="14"/>
      <c r="B31" s="14"/>
      <c r="C31" s="14"/>
      <c r="D31" s="18"/>
      <c r="E31" s="18"/>
      <c r="F31" s="14"/>
      <c r="G31" s="14"/>
      <c r="H31" s="31"/>
      <c r="I31" s="14"/>
      <c r="J31" s="1"/>
      <c r="K31" s="1"/>
      <c r="L31" s="1"/>
    </row>
    <row r="32">
      <c r="A32" s="14"/>
      <c r="B32" s="17" t="s">
        <v>22</v>
      </c>
      <c r="C32" s="14"/>
      <c r="D32" s="18"/>
      <c r="E32" s="18"/>
      <c r="F32" s="14"/>
      <c r="G32" s="14"/>
      <c r="H32" s="32"/>
      <c r="I32" s="14"/>
      <c r="J32" s="1"/>
      <c r="K32" s="1"/>
      <c r="L32" s="1"/>
    </row>
    <row r="33">
      <c r="A33" s="14"/>
      <c r="B33" s="33" t="s">
        <v>23</v>
      </c>
      <c r="C33" s="33" t="s">
        <v>24</v>
      </c>
      <c r="D33" s="18"/>
      <c r="E33" s="18"/>
      <c r="F33" s="14"/>
      <c r="G33" s="14"/>
      <c r="H33" s="34"/>
      <c r="I33" s="14"/>
      <c r="J33" s="1"/>
      <c r="K33" s="1"/>
      <c r="L33" s="1"/>
    </row>
    <row r="34">
      <c r="A34" s="14"/>
      <c r="B34" s="20" t="s">
        <v>25</v>
      </c>
      <c r="C34" s="35">
        <v>1.0</v>
      </c>
      <c r="D34" s="18">
        <f t="shared" ref="D34:D39" si="1">1500*C34</f>
        <v>1500</v>
      </c>
      <c r="E34" s="36">
        <f t="shared" ref="E34:E39" si="2">70*C34</f>
        <v>70</v>
      </c>
      <c r="F34" s="14"/>
      <c r="G34" s="14"/>
      <c r="H34" s="14"/>
      <c r="I34" s="14"/>
      <c r="J34" s="1"/>
      <c r="K34" s="1"/>
      <c r="L34" s="1"/>
    </row>
    <row r="35">
      <c r="A35" s="14"/>
      <c r="B35" s="20" t="s">
        <v>26</v>
      </c>
      <c r="C35" s="35">
        <v>1.2</v>
      </c>
      <c r="D35" s="18">
        <f t="shared" si="1"/>
        <v>1800</v>
      </c>
      <c r="E35" s="36">
        <f t="shared" si="2"/>
        <v>84</v>
      </c>
      <c r="F35" s="14"/>
      <c r="G35" s="14"/>
      <c r="H35" s="37"/>
      <c r="I35" s="14"/>
      <c r="J35" s="1"/>
      <c r="K35" s="1"/>
      <c r="L35" s="1"/>
    </row>
    <row r="36">
      <c r="A36" s="14"/>
      <c r="B36" s="20" t="s">
        <v>27</v>
      </c>
      <c r="C36" s="35">
        <v>1.3</v>
      </c>
      <c r="D36" s="18">
        <f t="shared" si="1"/>
        <v>1950</v>
      </c>
      <c r="E36" s="36">
        <f t="shared" si="2"/>
        <v>91</v>
      </c>
      <c r="F36" s="14"/>
      <c r="G36" s="14"/>
      <c r="H36" s="14"/>
      <c r="I36" s="14"/>
      <c r="J36" s="1"/>
      <c r="K36" s="1"/>
      <c r="L36" s="1"/>
    </row>
    <row r="37">
      <c r="A37" s="14"/>
      <c r="B37" s="20" t="s">
        <v>28</v>
      </c>
      <c r="C37" s="35">
        <v>1.5</v>
      </c>
      <c r="D37" s="18">
        <f t="shared" si="1"/>
        <v>2250</v>
      </c>
      <c r="E37" s="36">
        <f t="shared" si="2"/>
        <v>105</v>
      </c>
      <c r="F37" s="14"/>
      <c r="G37" s="14"/>
      <c r="H37" s="14"/>
      <c r="I37" s="14"/>
      <c r="J37" s="1"/>
      <c r="K37" s="1"/>
      <c r="L37" s="1"/>
    </row>
    <row r="38">
      <c r="A38" s="14"/>
      <c r="B38" s="20" t="s">
        <v>29</v>
      </c>
      <c r="C38" s="35">
        <v>1.7</v>
      </c>
      <c r="D38" s="18">
        <f t="shared" si="1"/>
        <v>2550</v>
      </c>
      <c r="E38" s="36">
        <f t="shared" si="2"/>
        <v>119</v>
      </c>
      <c r="F38" s="14"/>
      <c r="G38" s="14"/>
      <c r="H38" s="14"/>
      <c r="I38" s="14"/>
      <c r="J38" s="1"/>
      <c r="K38" s="1"/>
      <c r="L38" s="1"/>
    </row>
    <row r="39">
      <c r="A39" s="14"/>
      <c r="B39" s="20" t="s">
        <v>30</v>
      </c>
      <c r="C39" s="35">
        <v>2.0</v>
      </c>
      <c r="D39" s="18">
        <f t="shared" si="1"/>
        <v>3000</v>
      </c>
      <c r="E39" s="36">
        <f t="shared" si="2"/>
        <v>140</v>
      </c>
      <c r="F39" s="14"/>
      <c r="G39" s="14"/>
      <c r="H39" s="14"/>
      <c r="I39" s="14"/>
      <c r="J39" s="1"/>
      <c r="K39" s="1"/>
      <c r="L39" s="1"/>
    </row>
    <row r="40">
      <c r="A40" s="14"/>
      <c r="B40" s="14"/>
      <c r="C40" s="14"/>
      <c r="D40" s="18"/>
      <c r="E40" s="18"/>
      <c r="F40" s="14"/>
      <c r="G40" s="14"/>
      <c r="H40" s="14"/>
      <c r="I40" s="14"/>
      <c r="J40" s="1"/>
      <c r="K40" s="1"/>
      <c r="L40" s="1"/>
    </row>
    <row r="41">
      <c r="A41" s="14"/>
      <c r="B41" s="14"/>
      <c r="C41" s="14"/>
      <c r="D41" s="18"/>
      <c r="E41" s="18"/>
      <c r="F41" s="14"/>
      <c r="G41" s="14"/>
      <c r="H41" s="14"/>
      <c r="I41" s="14"/>
      <c r="J41" s="1"/>
      <c r="K41" s="1"/>
      <c r="L41" s="1"/>
    </row>
    <row r="42">
      <c r="A42" s="14"/>
      <c r="B42" s="38" t="s">
        <v>31</v>
      </c>
      <c r="C42" s="16"/>
      <c r="D42" s="39"/>
      <c r="E42" s="39"/>
      <c r="F42" s="16"/>
      <c r="G42" s="16"/>
      <c r="H42" s="16"/>
      <c r="I42" s="16"/>
      <c r="J42" s="1"/>
      <c r="K42" s="1"/>
      <c r="L42" s="1"/>
    </row>
    <row r="43">
      <c r="A43" s="14"/>
      <c r="B43" s="17" t="s">
        <v>32</v>
      </c>
      <c r="C43" s="14"/>
      <c r="D43" s="18"/>
      <c r="E43" s="18"/>
      <c r="F43" s="14"/>
      <c r="G43" s="14"/>
      <c r="H43" s="40"/>
      <c r="I43" s="14"/>
      <c r="J43" s="1"/>
      <c r="K43" s="1"/>
      <c r="L43" s="1"/>
    </row>
    <row r="44">
      <c r="A44" s="14"/>
      <c r="B44" s="14"/>
      <c r="C44" s="14"/>
      <c r="D44" s="18"/>
      <c r="E44" s="18"/>
      <c r="F44" s="14"/>
      <c r="G44" s="14"/>
      <c r="H44" s="40"/>
      <c r="I44" s="14"/>
      <c r="J44" s="1"/>
      <c r="K44" s="1"/>
      <c r="L44" s="1"/>
    </row>
    <row r="45">
      <c r="A45" s="14"/>
      <c r="B45" s="33" t="s">
        <v>23</v>
      </c>
      <c r="C45" s="22" t="s">
        <v>16</v>
      </c>
      <c r="D45" s="22" t="s">
        <v>17</v>
      </c>
      <c r="E45" s="21" t="s">
        <v>33</v>
      </c>
      <c r="F45" s="21" t="s">
        <v>34</v>
      </c>
      <c r="G45" s="21" t="s">
        <v>35</v>
      </c>
      <c r="H45" s="21" t="s">
        <v>36</v>
      </c>
      <c r="I45" s="21" t="s">
        <v>37</v>
      </c>
      <c r="J45" s="1"/>
      <c r="K45" s="1"/>
      <c r="L45" s="1"/>
    </row>
    <row r="46">
      <c r="A46" s="14"/>
      <c r="B46" s="41">
        <v>1.0</v>
      </c>
      <c r="C46" s="24">
        <v>0.0</v>
      </c>
      <c r="D46" s="25">
        <v>5000.0</v>
      </c>
      <c r="E46" s="24">
        <v>0.0</v>
      </c>
      <c r="F46" s="24">
        <v>0.0</v>
      </c>
      <c r="G46" s="24">
        <v>0.0</v>
      </c>
      <c r="H46" s="24">
        <v>0.0</v>
      </c>
      <c r="I46" s="24">
        <v>0.0</v>
      </c>
      <c r="J46" s="1"/>
      <c r="K46" s="1"/>
      <c r="L46" s="1"/>
    </row>
    <row r="47">
      <c r="A47" s="14"/>
      <c r="B47" s="41">
        <v>5.0</v>
      </c>
      <c r="C47" s="24">
        <v>0.0</v>
      </c>
      <c r="D47" s="24">
        <v>0.0</v>
      </c>
      <c r="E47" s="24">
        <v>0.0</v>
      </c>
      <c r="F47" s="25">
        <v>1.0</v>
      </c>
      <c r="G47" s="24">
        <v>0.0</v>
      </c>
      <c r="H47" s="24">
        <v>0.0</v>
      </c>
      <c r="I47" s="24">
        <v>0.0</v>
      </c>
      <c r="J47" s="1"/>
      <c r="K47" s="1"/>
      <c r="L47" s="1"/>
    </row>
    <row r="48">
      <c r="A48" s="14"/>
      <c r="B48" s="41">
        <v>10.0</v>
      </c>
      <c r="C48" s="24">
        <v>0.0</v>
      </c>
      <c r="D48" s="25">
        <v>10000.0</v>
      </c>
      <c r="E48" s="24">
        <v>0.0</v>
      </c>
      <c r="F48" s="24">
        <v>0.0</v>
      </c>
      <c r="G48" s="24">
        <v>0.0</v>
      </c>
      <c r="H48" s="24">
        <v>0.0</v>
      </c>
      <c r="I48" s="24">
        <v>0.0</v>
      </c>
      <c r="J48" s="1"/>
      <c r="K48" s="1"/>
      <c r="L48" s="1"/>
    </row>
    <row r="49">
      <c r="A49" s="14"/>
      <c r="B49" s="41">
        <v>15.0</v>
      </c>
      <c r="C49" s="25">
        <v>50.0</v>
      </c>
      <c r="D49" s="24">
        <v>0.0</v>
      </c>
      <c r="E49" s="24">
        <v>0.0</v>
      </c>
      <c r="F49" s="24">
        <v>0.0</v>
      </c>
      <c r="G49" s="24">
        <v>0.0</v>
      </c>
      <c r="H49" s="24">
        <v>0.0</v>
      </c>
      <c r="I49" s="24">
        <v>0.0</v>
      </c>
      <c r="J49" s="1"/>
      <c r="K49" s="1"/>
      <c r="L49" s="1"/>
    </row>
    <row r="50">
      <c r="A50" s="14"/>
      <c r="B50" s="41">
        <v>20.0</v>
      </c>
      <c r="C50" s="24">
        <v>0.0</v>
      </c>
      <c r="D50" s="25">
        <v>35000.0</v>
      </c>
      <c r="E50" s="24">
        <v>0.0</v>
      </c>
      <c r="F50" s="24">
        <v>0.0</v>
      </c>
      <c r="G50" s="24">
        <v>0.0</v>
      </c>
      <c r="H50" s="24">
        <v>0.0</v>
      </c>
      <c r="I50" s="24">
        <v>0.0</v>
      </c>
      <c r="J50" s="1"/>
      <c r="K50" s="1"/>
      <c r="L50" s="1"/>
    </row>
    <row r="51">
      <c r="A51" s="14"/>
      <c r="B51" s="41">
        <v>30.0</v>
      </c>
      <c r="C51" s="25">
        <v>100.0</v>
      </c>
      <c r="D51" s="24">
        <v>0.0</v>
      </c>
      <c r="E51" s="24">
        <v>0.0</v>
      </c>
      <c r="F51" s="24"/>
      <c r="G51" s="24">
        <v>0.0</v>
      </c>
      <c r="H51" s="24">
        <v>0.0</v>
      </c>
      <c r="I51" s="24">
        <v>0.0</v>
      </c>
      <c r="J51" s="1"/>
      <c r="K51" s="1"/>
      <c r="L51" s="1"/>
    </row>
    <row r="52" ht="6.0" customHeight="1">
      <c r="A52" s="26"/>
      <c r="B52" s="27"/>
      <c r="C52" s="26"/>
      <c r="D52" s="1"/>
      <c r="E52" s="1"/>
      <c r="F52" s="26"/>
      <c r="G52" s="28"/>
      <c r="H52" s="28"/>
      <c r="I52" s="28"/>
      <c r="J52" s="1"/>
      <c r="K52" s="1"/>
      <c r="L52" s="1"/>
    </row>
    <row r="53">
      <c r="A53" s="14"/>
      <c r="B53" s="42" t="s">
        <v>38</v>
      </c>
      <c r="C53" s="43">
        <f t="shared" ref="C53:I53" si="3">sum(C46:C51)</f>
        <v>150</v>
      </c>
      <c r="D53" s="43">
        <f t="shared" si="3"/>
        <v>50000</v>
      </c>
      <c r="E53" s="43">
        <f t="shared" si="3"/>
        <v>0</v>
      </c>
      <c r="F53" s="24">
        <f t="shared" si="3"/>
        <v>1</v>
      </c>
      <c r="G53" s="24">
        <f t="shared" si="3"/>
        <v>0</v>
      </c>
      <c r="H53" s="24">
        <f t="shared" si="3"/>
        <v>0</v>
      </c>
      <c r="I53" s="24">
        <f t="shared" si="3"/>
        <v>0</v>
      </c>
      <c r="J53" s="1"/>
      <c r="K53" s="1"/>
      <c r="L53" s="1"/>
    </row>
    <row r="54">
      <c r="A54" s="14"/>
      <c r="B54" s="14"/>
      <c r="C54" s="14"/>
      <c r="D54" s="18"/>
      <c r="E54" s="18"/>
      <c r="F54" s="14"/>
      <c r="G54" s="14"/>
      <c r="H54" s="40"/>
      <c r="I54" s="14"/>
      <c r="J54" s="1"/>
      <c r="K54" s="1"/>
      <c r="L54" s="1"/>
    </row>
    <row r="55">
      <c r="A55" s="14"/>
      <c r="B55" s="14"/>
      <c r="C55" s="14"/>
      <c r="D55" s="18"/>
      <c r="E55" s="18"/>
      <c r="F55" s="14"/>
      <c r="G55" s="14"/>
      <c r="H55" s="40"/>
      <c r="I55" s="14"/>
      <c r="J55" s="1"/>
      <c r="K55" s="1"/>
      <c r="L55" s="1"/>
    </row>
    <row r="56">
      <c r="A56" s="1"/>
      <c r="B56" s="1"/>
      <c r="C56" s="1"/>
      <c r="D56" s="7"/>
      <c r="E56" s="7"/>
      <c r="F56" s="1"/>
      <c r="G56" s="1"/>
      <c r="H56" s="1"/>
      <c r="I56" s="1"/>
      <c r="J56" s="1"/>
      <c r="K56" s="1"/>
      <c r="L56" s="1"/>
    </row>
    <row r="57">
      <c r="A57" s="1"/>
      <c r="B57" s="1"/>
      <c r="C57" s="1"/>
      <c r="D57" s="7"/>
      <c r="E57" s="7"/>
      <c r="F57" s="1"/>
      <c r="G57" s="1"/>
      <c r="H57" s="1"/>
      <c r="I57" s="1"/>
      <c r="J57" s="1"/>
      <c r="K57" s="1"/>
      <c r="L57" s="1"/>
    </row>
  </sheetData>
  <hyperlinks>
    <hyperlink r:id="rId1" location="gid=1084645352" ref="F5"/>
    <hyperlink r:id="rId2" location="gid=1301003540" ref="F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1" max="1" width="1.5"/>
    <col customWidth="1" min="2" max="2" width="33.38"/>
    <col customWidth="1" min="3" max="3" width="29.25"/>
    <col customWidth="1" min="4" max="4" width="15.63"/>
    <col customWidth="1" min="5" max="5" width="13.88"/>
    <col customWidth="1" min="6" max="6" width="17.75"/>
    <col customWidth="1" min="7" max="7" width="14.25"/>
    <col customWidth="1" min="8" max="8" width="13.63"/>
    <col customWidth="1" min="9" max="10" width="18.38"/>
    <col customWidth="1" min="11" max="11" width="2.5"/>
    <col customWidth="1" min="12" max="12" width="3.25"/>
    <col customWidth="1" min="13" max="13" width="3.38"/>
  </cols>
  <sheetData>
    <row r="1">
      <c r="A1" s="44"/>
      <c r="B1" s="2" t="s">
        <v>39</v>
      </c>
      <c r="C1" s="45"/>
      <c r="D1" s="45"/>
      <c r="E1" s="45"/>
      <c r="F1" s="45"/>
      <c r="G1" s="45"/>
      <c r="H1" s="45"/>
      <c r="I1" s="45"/>
      <c r="J1" s="45"/>
      <c r="K1" s="45"/>
      <c r="L1" s="45"/>
      <c r="M1" s="45"/>
    </row>
    <row r="2">
      <c r="A2" s="6"/>
      <c r="B2" s="5"/>
      <c r="C2" s="6"/>
      <c r="D2" s="46"/>
      <c r="E2" s="46"/>
      <c r="F2" s="6"/>
      <c r="G2" s="6"/>
      <c r="H2" s="6"/>
      <c r="I2" s="46"/>
      <c r="J2" s="46"/>
      <c r="K2" s="46"/>
      <c r="L2" s="46"/>
      <c r="M2" s="46"/>
    </row>
    <row r="3">
      <c r="A3" s="6"/>
      <c r="B3" s="5" t="s">
        <v>1</v>
      </c>
      <c r="C3" s="6"/>
      <c r="D3" s="46"/>
      <c r="E3" s="46"/>
      <c r="F3" s="6"/>
      <c r="G3" s="47" t="s">
        <v>40</v>
      </c>
      <c r="H3" s="47" t="s">
        <v>41</v>
      </c>
      <c r="I3" s="46"/>
      <c r="J3" s="46"/>
      <c r="K3" s="46"/>
      <c r="L3" s="46"/>
      <c r="M3" s="46"/>
    </row>
    <row r="4">
      <c r="A4" s="6"/>
      <c r="B4" s="8" t="s">
        <v>42</v>
      </c>
      <c r="C4" s="48" t="s">
        <v>43</v>
      </c>
      <c r="D4" s="6"/>
      <c r="E4" s="6"/>
      <c r="F4" s="46"/>
      <c r="G4" s="49">
        <v>10.0</v>
      </c>
      <c r="H4" s="50">
        <v>63.0</v>
      </c>
      <c r="I4" s="46"/>
      <c r="J4" s="46"/>
      <c r="K4" s="46"/>
      <c r="L4" s="46"/>
      <c r="M4" s="46"/>
    </row>
    <row r="5">
      <c r="A5" s="6"/>
      <c r="B5" s="8" t="s">
        <v>3</v>
      </c>
      <c r="C5" s="9">
        <v>46125.625</v>
      </c>
      <c r="D5" s="6"/>
      <c r="E5" s="6"/>
      <c r="F5" s="6"/>
      <c r="G5" s="49">
        <v>30.0</v>
      </c>
      <c r="H5" s="50">
        <v>94.0</v>
      </c>
      <c r="I5" s="46"/>
      <c r="J5" s="46"/>
      <c r="K5" s="46"/>
      <c r="L5" s="46"/>
      <c r="M5" s="46"/>
    </row>
    <row r="6">
      <c r="A6" s="6"/>
      <c r="B6" s="8" t="s">
        <v>5</v>
      </c>
      <c r="C6" s="10" t="s">
        <v>6</v>
      </c>
      <c r="D6" s="6"/>
      <c r="E6" s="6"/>
      <c r="F6" s="6"/>
      <c r="G6" s="49">
        <v>50.0</v>
      </c>
      <c r="H6" s="50">
        <v>127.0</v>
      </c>
      <c r="I6" s="46"/>
      <c r="J6" s="46"/>
      <c r="K6" s="46"/>
      <c r="L6" s="46"/>
      <c r="M6" s="46"/>
    </row>
    <row r="7">
      <c r="A7" s="6"/>
      <c r="B7" s="12" t="s">
        <v>8</v>
      </c>
      <c r="C7" s="13" t="s">
        <v>44</v>
      </c>
      <c r="D7" s="6"/>
      <c r="E7" s="6"/>
      <c r="F7" s="6"/>
      <c r="G7" s="49">
        <v>90.0</v>
      </c>
      <c r="H7" s="50">
        <v>195.0</v>
      </c>
      <c r="I7" s="46"/>
      <c r="J7" s="46"/>
      <c r="K7" s="46"/>
      <c r="L7" s="46"/>
      <c r="M7" s="46"/>
    </row>
    <row r="8">
      <c r="A8" s="6"/>
      <c r="B8" s="46"/>
      <c r="C8" s="46"/>
      <c r="D8" s="6"/>
      <c r="E8" s="6"/>
      <c r="F8" s="6"/>
      <c r="G8" s="49">
        <v>100.0</v>
      </c>
      <c r="H8" s="50">
        <v>212.0</v>
      </c>
      <c r="I8" s="6"/>
      <c r="J8" s="6"/>
      <c r="K8" s="6"/>
      <c r="L8" s="6"/>
      <c r="M8" s="6"/>
    </row>
    <row r="9">
      <c r="A9" s="6"/>
      <c r="B9" s="51" t="s">
        <v>45</v>
      </c>
      <c r="C9" s="46"/>
      <c r="D9" s="6"/>
      <c r="E9" s="6"/>
      <c r="F9" s="6"/>
      <c r="G9" s="49">
        <v>130.0</v>
      </c>
      <c r="H9" s="50">
        <v>264.0</v>
      </c>
      <c r="I9" s="6"/>
      <c r="J9" s="6"/>
      <c r="K9" s="6"/>
      <c r="L9" s="6"/>
      <c r="M9" s="6"/>
    </row>
    <row r="10">
      <c r="A10" s="6"/>
      <c r="B10" s="52" t="s">
        <v>46</v>
      </c>
      <c r="C10" s="52" t="s">
        <v>47</v>
      </c>
      <c r="D10" s="46"/>
      <c r="F10" s="6"/>
      <c r="G10" s="6"/>
      <c r="H10" s="6"/>
      <c r="I10" s="6"/>
      <c r="J10" s="6"/>
      <c r="K10" s="6"/>
      <c r="L10" s="6"/>
      <c r="M10" s="6"/>
    </row>
    <row r="11">
      <c r="A11" s="6"/>
      <c r="B11" s="20" t="s">
        <v>48</v>
      </c>
      <c r="C11" s="53">
        <f>50*7.56</f>
        <v>378</v>
      </c>
      <c r="D11" s="54" t="s">
        <v>49</v>
      </c>
      <c r="F11" s="6"/>
      <c r="G11" s="6"/>
      <c r="H11" s="6"/>
      <c r="I11" s="6"/>
      <c r="J11" s="6"/>
      <c r="K11" s="6"/>
      <c r="L11" s="6"/>
      <c r="M11" s="6"/>
    </row>
    <row r="12">
      <c r="A12" s="6"/>
      <c r="D12" s="6"/>
      <c r="E12" s="6"/>
      <c r="F12" s="6"/>
      <c r="G12" s="6"/>
      <c r="H12" s="6"/>
      <c r="I12" s="6"/>
      <c r="J12" s="6"/>
      <c r="K12" s="6"/>
      <c r="L12" s="6"/>
      <c r="M12" s="6"/>
    </row>
    <row r="13">
      <c r="A13" s="6"/>
      <c r="B13" s="55"/>
      <c r="C13" s="56"/>
      <c r="D13" s="6"/>
      <c r="E13" s="6"/>
      <c r="F13" s="6"/>
      <c r="G13" s="6"/>
      <c r="H13" s="6"/>
      <c r="I13" s="6"/>
      <c r="J13" s="6"/>
      <c r="K13" s="6"/>
      <c r="L13" s="6"/>
      <c r="M13" s="6"/>
    </row>
    <row r="14">
      <c r="A14" s="6"/>
      <c r="B14" s="55" t="s">
        <v>50</v>
      </c>
      <c r="C14" s="56"/>
      <c r="D14" s="6"/>
      <c r="E14" s="6"/>
      <c r="F14" s="6"/>
      <c r="G14" s="6"/>
      <c r="H14" s="6"/>
      <c r="I14" s="6"/>
      <c r="J14" s="6"/>
      <c r="K14" s="6"/>
      <c r="L14" s="6"/>
      <c r="M14" s="6"/>
    </row>
    <row r="15">
      <c r="A15" s="6"/>
      <c r="B15" s="54" t="s">
        <v>51</v>
      </c>
      <c r="C15" s="56"/>
      <c r="D15" s="6"/>
      <c r="E15" s="6"/>
      <c r="F15" s="46"/>
      <c r="G15" s="6"/>
      <c r="H15" s="6"/>
      <c r="I15" s="46"/>
      <c r="J15" s="46"/>
      <c r="K15" s="46"/>
      <c r="L15" s="46"/>
      <c r="M15" s="46"/>
    </row>
    <row r="16">
      <c r="A16" s="6"/>
      <c r="B16" s="54"/>
      <c r="C16" s="56"/>
      <c r="D16" s="6"/>
      <c r="E16" s="6"/>
      <c r="F16" s="46"/>
      <c r="G16" s="6"/>
      <c r="H16" s="6"/>
      <c r="I16" s="54" t="s">
        <v>52</v>
      </c>
      <c r="J16" s="46"/>
      <c r="K16" s="46"/>
      <c r="L16" s="46"/>
      <c r="M16" s="46"/>
    </row>
    <row r="17">
      <c r="A17" s="6"/>
      <c r="B17" s="57" t="s">
        <v>53</v>
      </c>
      <c r="C17" s="57" t="s">
        <v>54</v>
      </c>
      <c r="D17" s="57" t="s">
        <v>55</v>
      </c>
      <c r="E17" s="58" t="s">
        <v>56</v>
      </c>
      <c r="F17" s="58" t="s">
        <v>57</v>
      </c>
      <c r="G17" s="58" t="s">
        <v>58</v>
      </c>
      <c r="H17" s="58" t="s">
        <v>59</v>
      </c>
      <c r="I17" s="59" t="s">
        <v>60</v>
      </c>
      <c r="J17" s="46"/>
      <c r="K17" s="46"/>
      <c r="L17" s="46"/>
      <c r="M17" s="46"/>
    </row>
    <row r="18">
      <c r="A18" s="6"/>
      <c r="B18" s="60" t="s">
        <v>61</v>
      </c>
      <c r="C18" s="60" t="s">
        <v>48</v>
      </c>
      <c r="D18" s="61">
        <v>20.0</v>
      </c>
      <c r="E18" s="62">
        <v>1.2</v>
      </c>
      <c r="F18" s="63">
        <v>10.0</v>
      </c>
      <c r="G18" s="64">
        <f t="shared" ref="G18:G19" si="1">200/30</f>
        <v>6.666666667</v>
      </c>
      <c r="H18" s="64">
        <f t="shared" ref="H18:H19" si="2">D18*E18*F18*G18</f>
        <v>1600</v>
      </c>
      <c r="I18" s="65">
        <f t="shared" ref="I18:I19" si="3">H18*2</f>
        <v>3200</v>
      </c>
      <c r="J18" s="66"/>
      <c r="K18" s="66"/>
      <c r="L18" s="66"/>
      <c r="M18" s="66"/>
    </row>
    <row r="19">
      <c r="A19" s="6"/>
      <c r="B19" s="60" t="s">
        <v>62</v>
      </c>
      <c r="C19" s="60" t="s">
        <v>48</v>
      </c>
      <c r="D19" s="61">
        <v>40.0</v>
      </c>
      <c r="E19" s="62">
        <v>1.2</v>
      </c>
      <c r="F19" s="63">
        <v>5.0</v>
      </c>
      <c r="G19" s="64">
        <f t="shared" si="1"/>
        <v>6.666666667</v>
      </c>
      <c r="H19" s="64">
        <f t="shared" si="2"/>
        <v>1600</v>
      </c>
      <c r="I19" s="65">
        <f t="shared" si="3"/>
        <v>3200</v>
      </c>
      <c r="J19" s="54"/>
      <c r="K19" s="54"/>
      <c r="L19" s="54"/>
      <c r="M19" s="54"/>
    </row>
    <row r="20">
      <c r="A20" s="6"/>
      <c r="B20" s="67" t="s">
        <v>63</v>
      </c>
      <c r="C20" s="68"/>
      <c r="I20" s="54"/>
      <c r="J20" s="54"/>
      <c r="K20" s="54"/>
      <c r="L20" s="54"/>
      <c r="M20" s="54"/>
    </row>
    <row r="21" ht="16.5" customHeight="1">
      <c r="A21" s="6"/>
      <c r="B21" s="56"/>
      <c r="C21" s="56"/>
      <c r="D21" s="6"/>
      <c r="E21" s="6"/>
      <c r="F21" s="46"/>
      <c r="G21" s="6"/>
      <c r="H21" s="6"/>
      <c r="I21" s="46"/>
      <c r="J21" s="46"/>
      <c r="K21" s="46"/>
      <c r="L21" s="46"/>
      <c r="M21" s="46"/>
    </row>
    <row r="22">
      <c r="A22" s="6"/>
      <c r="B22" s="56"/>
      <c r="C22" s="56"/>
      <c r="D22" s="46"/>
      <c r="E22" s="6"/>
      <c r="F22" s="46"/>
      <c r="G22" s="46"/>
      <c r="H22" s="46"/>
      <c r="I22" s="46"/>
      <c r="J22" s="46"/>
      <c r="K22" s="46"/>
      <c r="L22" s="46"/>
      <c r="M22" s="46"/>
    </row>
    <row r="23">
      <c r="A23" s="6"/>
      <c r="B23" s="51" t="s">
        <v>64</v>
      </c>
      <c r="C23" s="56"/>
      <c r="D23" s="46"/>
      <c r="E23" s="6"/>
      <c r="F23" s="46"/>
      <c r="G23" s="46"/>
      <c r="H23" s="46"/>
      <c r="I23" s="46"/>
      <c r="J23" s="46"/>
      <c r="K23" s="46"/>
      <c r="L23" s="46"/>
      <c r="M23" s="46"/>
    </row>
    <row r="24">
      <c r="A24" s="6"/>
      <c r="B24" s="69" t="s">
        <v>65</v>
      </c>
      <c r="C24" s="69" t="s">
        <v>66</v>
      </c>
      <c r="D24" s="70" t="s">
        <v>67</v>
      </c>
      <c r="E24" s="71" t="s">
        <v>68</v>
      </c>
      <c r="F24" s="72" t="s">
        <v>69</v>
      </c>
      <c r="G24" s="73" t="s">
        <v>70</v>
      </c>
      <c r="H24" s="73" t="s">
        <v>71</v>
      </c>
      <c r="I24" s="73" t="s">
        <v>47</v>
      </c>
      <c r="J24" s="28"/>
      <c r="K24" s="46"/>
      <c r="L24" s="46"/>
      <c r="M24" s="46"/>
    </row>
    <row r="25">
      <c r="A25" s="6"/>
      <c r="B25" s="74" t="s">
        <v>72</v>
      </c>
      <c r="C25" s="20" t="s">
        <v>16</v>
      </c>
      <c r="D25" s="75">
        <v>50.0</v>
      </c>
      <c r="E25" s="76">
        <v>1.0</v>
      </c>
      <c r="F25" s="48">
        <v>5000.0</v>
      </c>
      <c r="G25" s="77">
        <f t="shared" ref="G25:H25" si="4">D25*E25</f>
        <v>50</v>
      </c>
      <c r="H25" s="78">
        <f t="shared" si="4"/>
        <v>5000</v>
      </c>
      <c r="I25" s="79">
        <v>2.0</v>
      </c>
      <c r="J25" s="28"/>
      <c r="K25" s="46"/>
      <c r="L25" s="46"/>
      <c r="M25" s="46"/>
    </row>
    <row r="26">
      <c r="A26" s="6"/>
      <c r="B26" s="74" t="s">
        <v>72</v>
      </c>
      <c r="C26" s="20" t="s">
        <v>73</v>
      </c>
      <c r="D26" s="75">
        <v>1.0</v>
      </c>
      <c r="E26" s="76">
        <v>40.0</v>
      </c>
      <c r="F26" s="48">
        <v>1000.0</v>
      </c>
      <c r="G26" s="77">
        <f t="shared" ref="G26:H26" si="5">D26*E26</f>
        <v>40</v>
      </c>
      <c r="H26" s="78">
        <f t="shared" si="5"/>
        <v>40000</v>
      </c>
      <c r="I26" s="79">
        <v>378.0</v>
      </c>
      <c r="J26" s="28"/>
      <c r="K26" s="46"/>
      <c r="L26" s="46"/>
      <c r="M26" s="46"/>
    </row>
    <row r="27">
      <c r="A27" s="6"/>
      <c r="B27" s="74" t="s">
        <v>72</v>
      </c>
      <c r="C27" s="20" t="s">
        <v>74</v>
      </c>
      <c r="D27" s="75">
        <v>1.0</v>
      </c>
      <c r="E27" s="76">
        <v>10.0</v>
      </c>
      <c r="F27" s="48">
        <v>500.0</v>
      </c>
      <c r="G27" s="77">
        <f t="shared" ref="G27:H27" si="6">D27*E27</f>
        <v>10</v>
      </c>
      <c r="H27" s="78">
        <f t="shared" si="6"/>
        <v>5000</v>
      </c>
      <c r="I27" s="79">
        <v>226.8</v>
      </c>
      <c r="J27" s="28"/>
      <c r="K27" s="46"/>
      <c r="L27" s="46"/>
      <c r="M27" s="46"/>
    </row>
    <row r="28">
      <c r="A28" s="6"/>
      <c r="B28" s="74" t="s">
        <v>72</v>
      </c>
      <c r="C28" s="20" t="s">
        <v>75</v>
      </c>
      <c r="D28" s="75">
        <v>1.0</v>
      </c>
      <c r="E28" s="76">
        <v>30.0</v>
      </c>
      <c r="F28" s="48">
        <v>300.0</v>
      </c>
      <c r="G28" s="77">
        <f t="shared" ref="G28:H28" si="7">D28*E28</f>
        <v>30</v>
      </c>
      <c r="H28" s="78">
        <f t="shared" si="7"/>
        <v>9000</v>
      </c>
      <c r="I28" s="79">
        <v>151.2</v>
      </c>
      <c r="J28" s="28"/>
      <c r="K28" s="46"/>
      <c r="L28" s="46"/>
      <c r="M28" s="46"/>
    </row>
    <row r="29">
      <c r="A29" s="6"/>
      <c r="B29" s="74" t="s">
        <v>72</v>
      </c>
      <c r="C29" s="20" t="s">
        <v>76</v>
      </c>
      <c r="D29" s="75">
        <v>1.0</v>
      </c>
      <c r="E29" s="76">
        <v>50.0</v>
      </c>
      <c r="F29" s="48">
        <v>100.0</v>
      </c>
      <c r="G29" s="77">
        <f t="shared" ref="G29:H29" si="8">D29*E29</f>
        <v>50</v>
      </c>
      <c r="H29" s="78">
        <f t="shared" si="8"/>
        <v>5000</v>
      </c>
      <c r="I29" s="79">
        <v>75.6</v>
      </c>
      <c r="J29" s="28"/>
      <c r="K29" s="46"/>
      <c r="L29" s="46"/>
      <c r="M29" s="46"/>
    </row>
    <row r="30">
      <c r="A30" s="6"/>
      <c r="B30" s="74" t="s">
        <v>72</v>
      </c>
      <c r="C30" s="20" t="s">
        <v>33</v>
      </c>
      <c r="D30" s="75">
        <v>1.0</v>
      </c>
      <c r="E30" s="76">
        <v>1.0</v>
      </c>
      <c r="F30" s="48">
        <v>10000.0</v>
      </c>
      <c r="G30" s="77">
        <f t="shared" ref="G30:H30" si="9">D30*E30</f>
        <v>1</v>
      </c>
      <c r="H30" s="78">
        <f t="shared" si="9"/>
        <v>10000</v>
      </c>
      <c r="I30" s="79">
        <v>300.0</v>
      </c>
      <c r="J30" s="28"/>
      <c r="K30" s="46"/>
      <c r="L30" s="46"/>
      <c r="M30" s="46"/>
    </row>
    <row r="31">
      <c r="A31" s="6"/>
      <c r="B31" s="74" t="s">
        <v>72</v>
      </c>
      <c r="C31" s="20" t="s">
        <v>37</v>
      </c>
      <c r="D31" s="75">
        <v>1.0</v>
      </c>
      <c r="E31" s="76">
        <v>1.0</v>
      </c>
      <c r="F31" s="48">
        <v>500.0</v>
      </c>
      <c r="G31" s="77">
        <f t="shared" ref="G31:H31" si="10">D31*E31</f>
        <v>1</v>
      </c>
      <c r="H31" s="78">
        <f t="shared" si="10"/>
        <v>500</v>
      </c>
      <c r="I31" s="79">
        <v>30.0</v>
      </c>
      <c r="J31" s="28"/>
      <c r="K31" s="46"/>
      <c r="L31" s="46"/>
      <c r="M31" s="46"/>
    </row>
    <row r="32">
      <c r="A32" s="6"/>
      <c r="B32" s="74" t="s">
        <v>72</v>
      </c>
      <c r="C32" s="20" t="s">
        <v>36</v>
      </c>
      <c r="D32" s="75">
        <v>1.0</v>
      </c>
      <c r="E32" s="76">
        <v>15.0</v>
      </c>
      <c r="F32" s="48">
        <v>300.0</v>
      </c>
      <c r="G32" s="77">
        <f t="shared" ref="G32:H32" si="11">D32*E32</f>
        <v>15</v>
      </c>
      <c r="H32" s="78">
        <f t="shared" si="11"/>
        <v>4500</v>
      </c>
      <c r="I32" s="79">
        <v>15.0</v>
      </c>
      <c r="J32" s="28"/>
      <c r="K32" s="46"/>
      <c r="L32" s="46"/>
      <c r="M32" s="46"/>
    </row>
    <row r="33">
      <c r="A33" s="6"/>
      <c r="B33" s="74" t="s">
        <v>72</v>
      </c>
      <c r="C33" s="20" t="s">
        <v>35</v>
      </c>
      <c r="D33" s="75">
        <v>1.0</v>
      </c>
      <c r="E33" s="76">
        <v>30.0</v>
      </c>
      <c r="F33" s="48">
        <v>100.0</v>
      </c>
      <c r="G33" s="77">
        <f t="shared" ref="G33:H33" si="12">D33*E33</f>
        <v>30</v>
      </c>
      <c r="H33" s="78">
        <f t="shared" si="12"/>
        <v>3000</v>
      </c>
      <c r="I33" s="79">
        <v>10.0</v>
      </c>
      <c r="J33" s="28"/>
      <c r="K33" s="46"/>
      <c r="L33" s="46"/>
      <c r="M33" s="46"/>
    </row>
    <row r="34">
      <c r="A34" s="6"/>
      <c r="B34" s="74" t="s">
        <v>72</v>
      </c>
      <c r="C34" s="20" t="s">
        <v>77</v>
      </c>
      <c r="D34" s="75">
        <v>5.0</v>
      </c>
      <c r="E34" s="76">
        <v>10.0</v>
      </c>
      <c r="F34" s="48">
        <v>50.0</v>
      </c>
      <c r="G34" s="77">
        <f t="shared" ref="G34:H34" si="13">D34*E34</f>
        <v>50</v>
      </c>
      <c r="H34" s="78">
        <f t="shared" si="13"/>
        <v>500</v>
      </c>
      <c r="I34" s="79">
        <v>0.27</v>
      </c>
      <c r="J34" s="28"/>
      <c r="K34" s="46"/>
      <c r="L34" s="46"/>
      <c r="M34" s="46"/>
    </row>
    <row r="35">
      <c r="A35" s="6"/>
      <c r="B35" s="74" t="s">
        <v>72</v>
      </c>
      <c r="C35" s="20" t="s">
        <v>78</v>
      </c>
      <c r="D35" s="75">
        <v>5.0</v>
      </c>
      <c r="E35" s="76">
        <v>10.0</v>
      </c>
      <c r="F35" s="48">
        <v>50.0</v>
      </c>
      <c r="G35" s="77">
        <f t="shared" ref="G35:H35" si="14">D35*E35</f>
        <v>50</v>
      </c>
      <c r="H35" s="78">
        <f t="shared" si="14"/>
        <v>500</v>
      </c>
      <c r="I35" s="79">
        <v>0.27</v>
      </c>
      <c r="J35" s="28"/>
      <c r="K35" s="46"/>
      <c r="L35" s="46"/>
      <c r="M35" s="46"/>
    </row>
    <row r="36">
      <c r="A36" s="6"/>
      <c r="B36" s="74" t="s">
        <v>72</v>
      </c>
      <c r="C36" s="20" t="s">
        <v>79</v>
      </c>
      <c r="D36" s="75">
        <v>5.0</v>
      </c>
      <c r="E36" s="76">
        <v>10.0</v>
      </c>
      <c r="F36" s="48">
        <v>50.0</v>
      </c>
      <c r="G36" s="77">
        <f t="shared" ref="G36:H36" si="15">D36*E36</f>
        <v>50</v>
      </c>
      <c r="H36" s="78">
        <f t="shared" si="15"/>
        <v>500</v>
      </c>
      <c r="I36" s="79">
        <v>0.27</v>
      </c>
      <c r="J36" s="28"/>
      <c r="K36" s="46"/>
      <c r="L36" s="46"/>
      <c r="M36" s="46"/>
    </row>
    <row r="37">
      <c r="A37" s="6"/>
      <c r="B37" s="74" t="s">
        <v>72</v>
      </c>
      <c r="C37" s="20" t="s">
        <v>80</v>
      </c>
      <c r="D37" s="75">
        <v>5.0</v>
      </c>
      <c r="E37" s="76">
        <v>10.0</v>
      </c>
      <c r="F37" s="48">
        <v>50.0</v>
      </c>
      <c r="G37" s="77">
        <f t="shared" ref="G37:H37" si="16">D37*E37</f>
        <v>50</v>
      </c>
      <c r="H37" s="78">
        <f t="shared" si="16"/>
        <v>500</v>
      </c>
      <c r="I37" s="79">
        <v>0.27</v>
      </c>
      <c r="J37" s="28"/>
      <c r="K37" s="46"/>
      <c r="L37" s="46"/>
      <c r="M37" s="46"/>
    </row>
    <row r="38">
      <c r="A38" s="6"/>
      <c r="B38" s="74" t="s">
        <v>72</v>
      </c>
      <c r="C38" s="20" t="s">
        <v>81</v>
      </c>
      <c r="D38" s="75">
        <v>5.0</v>
      </c>
      <c r="E38" s="76">
        <v>10.0</v>
      </c>
      <c r="F38" s="48">
        <v>50.0</v>
      </c>
      <c r="G38" s="77">
        <f t="shared" ref="G38:H38" si="17">D38*E38</f>
        <v>50</v>
      </c>
      <c r="H38" s="78">
        <f t="shared" si="17"/>
        <v>500</v>
      </c>
      <c r="I38" s="79">
        <v>0.27</v>
      </c>
      <c r="J38" s="28"/>
      <c r="K38" s="46"/>
      <c r="L38" s="46"/>
      <c r="M38" s="46"/>
    </row>
    <row r="39">
      <c r="A39" s="6"/>
      <c r="B39" s="74" t="s">
        <v>72</v>
      </c>
      <c r="C39" s="20" t="s">
        <v>82</v>
      </c>
      <c r="D39" s="75">
        <v>1.0</v>
      </c>
      <c r="E39" s="76">
        <v>10.0</v>
      </c>
      <c r="F39" s="80">
        <v>100.0</v>
      </c>
      <c r="G39" s="77">
        <f t="shared" ref="G39:H39" si="18">D39*E39</f>
        <v>10</v>
      </c>
      <c r="H39" s="78">
        <f t="shared" si="18"/>
        <v>1000</v>
      </c>
      <c r="I39" s="79">
        <v>75.6</v>
      </c>
      <c r="J39" s="28"/>
      <c r="K39" s="46"/>
      <c r="L39" s="46"/>
      <c r="M39" s="46"/>
    </row>
    <row r="40">
      <c r="A40" s="6"/>
      <c r="B40" s="74" t="s">
        <v>72</v>
      </c>
      <c r="C40" s="20" t="s">
        <v>17</v>
      </c>
      <c r="D40" s="48">
        <v>100.0</v>
      </c>
      <c r="E40" s="76">
        <v>150.0</v>
      </c>
      <c r="F40" s="48">
        <v>10.0</v>
      </c>
      <c r="G40" s="77">
        <f t="shared" ref="G40:H40" si="19">D40*E40</f>
        <v>15000</v>
      </c>
      <c r="H40" s="78">
        <f t="shared" si="19"/>
        <v>1500</v>
      </c>
      <c r="I40" s="79">
        <v>0.01</v>
      </c>
      <c r="J40" s="28"/>
      <c r="K40" s="46"/>
      <c r="L40" s="46"/>
      <c r="M40" s="46"/>
    </row>
    <row r="41">
      <c r="A41" s="6"/>
      <c r="B41" s="56"/>
      <c r="C41" s="56"/>
      <c r="D41" s="46"/>
      <c r="E41" s="46"/>
      <c r="F41" s="46"/>
      <c r="G41" s="46"/>
      <c r="H41" s="46"/>
      <c r="I41" s="81"/>
      <c r="J41" s="81"/>
      <c r="K41" s="46"/>
      <c r="L41" s="46"/>
      <c r="M41" s="46"/>
    </row>
    <row r="42">
      <c r="A42" s="6"/>
      <c r="B42" s="56"/>
      <c r="C42" s="56"/>
      <c r="D42" s="46"/>
      <c r="E42" s="46"/>
      <c r="F42" s="46"/>
      <c r="G42" s="46"/>
      <c r="H42" s="82">
        <f>SUM(H25:H40)/sum(H18:H19)</f>
        <v>27.1875</v>
      </c>
      <c r="I42" s="83">
        <f t="shared" ref="I42:I43" si="20">H42*16</f>
        <v>435</v>
      </c>
      <c r="J42" s="46"/>
      <c r="K42" s="46"/>
      <c r="L42" s="46"/>
      <c r="M42" s="46"/>
    </row>
    <row r="43">
      <c r="A43" s="6"/>
      <c r="B43" s="51" t="s">
        <v>83</v>
      </c>
      <c r="C43" s="56"/>
      <c r="D43" s="46"/>
      <c r="E43" s="46"/>
      <c r="F43" s="46"/>
      <c r="G43" s="46"/>
      <c r="H43" s="83">
        <f>H42*30</f>
        <v>815.625</v>
      </c>
      <c r="I43" s="83">
        <f t="shared" si="20"/>
        <v>13050</v>
      </c>
      <c r="J43" s="46"/>
      <c r="K43" s="46"/>
      <c r="L43" s="46"/>
      <c r="M43" s="46"/>
    </row>
    <row r="44">
      <c r="A44" s="6"/>
      <c r="B44" s="84" t="s">
        <v>84</v>
      </c>
      <c r="C44" s="56"/>
      <c r="D44" s="46"/>
      <c r="E44" s="46"/>
      <c r="F44" s="46"/>
      <c r="G44" s="54" t="s">
        <v>85</v>
      </c>
      <c r="H44" s="46"/>
      <c r="I44" s="46"/>
      <c r="J44" s="46"/>
      <c r="K44" s="46"/>
      <c r="L44" s="46"/>
      <c r="M44" s="46"/>
    </row>
    <row r="45">
      <c r="A45" s="6"/>
      <c r="B45" s="85" t="s">
        <v>86</v>
      </c>
      <c r="C45" s="85" t="s">
        <v>87</v>
      </c>
      <c r="D45" s="46"/>
      <c r="E45" s="46"/>
      <c r="F45" s="46"/>
      <c r="G45" s="46"/>
      <c r="H45" s="46"/>
      <c r="I45" s="46"/>
      <c r="J45" s="46"/>
      <c r="K45" s="46"/>
      <c r="L45" s="46"/>
      <c r="M45" s="46"/>
    </row>
    <row r="46">
      <c r="A46" s="6"/>
      <c r="B46" s="86" t="s">
        <v>88</v>
      </c>
      <c r="C46" s="86" t="s">
        <v>89</v>
      </c>
      <c r="D46" s="46"/>
      <c r="E46" s="46"/>
      <c r="F46" s="46"/>
      <c r="G46" s="46"/>
      <c r="H46" s="46"/>
      <c r="I46" s="46"/>
      <c r="J46" s="46"/>
      <c r="K46" s="46"/>
      <c r="L46" s="46"/>
      <c r="M46" s="46"/>
    </row>
    <row r="47">
      <c r="A47" s="6"/>
      <c r="B47" s="87" t="s">
        <v>90</v>
      </c>
      <c r="C47" s="87" t="s">
        <v>91</v>
      </c>
      <c r="D47" s="46"/>
      <c r="E47" s="46"/>
      <c r="F47" s="46"/>
      <c r="G47" s="46"/>
      <c r="H47" s="46"/>
      <c r="I47" s="46"/>
      <c r="J47" s="46"/>
      <c r="K47" s="46"/>
      <c r="L47" s="46"/>
      <c r="M47" s="46"/>
    </row>
    <row r="48">
      <c r="A48" s="6"/>
      <c r="B48" s="87" t="s">
        <v>92</v>
      </c>
      <c r="C48" s="87" t="s">
        <v>93</v>
      </c>
      <c r="D48" s="46"/>
      <c r="E48" s="46"/>
      <c r="F48" s="46"/>
      <c r="G48" s="46"/>
      <c r="H48" s="46"/>
      <c r="I48" s="46"/>
      <c r="J48" s="46"/>
      <c r="K48" s="46"/>
      <c r="L48" s="46"/>
      <c r="M48" s="46"/>
    </row>
    <row r="49">
      <c r="A49" s="6"/>
      <c r="B49" s="87" t="s">
        <v>94</v>
      </c>
      <c r="C49" s="87" t="s">
        <v>95</v>
      </c>
      <c r="D49" s="46"/>
      <c r="E49" s="46"/>
      <c r="F49" s="46"/>
      <c r="G49" s="46"/>
      <c r="H49" s="46"/>
      <c r="I49" s="46"/>
      <c r="J49" s="46"/>
      <c r="K49" s="46"/>
      <c r="L49" s="46"/>
      <c r="M49" s="46"/>
    </row>
    <row r="50">
      <c r="A50" s="6"/>
      <c r="B50" s="87" t="s">
        <v>96</v>
      </c>
      <c r="C50" s="87" t="s">
        <v>97</v>
      </c>
      <c r="D50" s="46"/>
      <c r="E50" s="46"/>
      <c r="F50" s="46"/>
      <c r="G50" s="46"/>
      <c r="H50" s="46"/>
      <c r="I50" s="46"/>
      <c r="J50" s="46"/>
      <c r="K50" s="46"/>
      <c r="L50" s="46"/>
      <c r="M50" s="46"/>
    </row>
    <row r="51">
      <c r="A51" s="6"/>
      <c r="B51" s="87" t="s">
        <v>98</v>
      </c>
      <c r="C51" s="87" t="s">
        <v>99</v>
      </c>
      <c r="D51" s="46"/>
      <c r="E51" s="46"/>
      <c r="F51" s="46"/>
      <c r="G51" s="46"/>
      <c r="H51" s="46"/>
      <c r="I51" s="46"/>
      <c r="J51" s="46"/>
      <c r="K51" s="46"/>
      <c r="L51" s="46"/>
      <c r="M51" s="46"/>
    </row>
    <row r="52">
      <c r="A52" s="6"/>
      <c r="B52" s="87" t="s">
        <v>100</v>
      </c>
      <c r="C52" s="87" t="s">
        <v>101</v>
      </c>
      <c r="D52" s="46"/>
      <c r="E52" s="46"/>
      <c r="F52" s="46"/>
      <c r="G52" s="46"/>
      <c r="H52" s="46"/>
      <c r="I52" s="46"/>
      <c r="J52" s="46"/>
      <c r="K52" s="46"/>
      <c r="L52" s="46"/>
      <c r="M52" s="46"/>
    </row>
    <row r="53">
      <c r="A53" s="6"/>
      <c r="B53" s="87" t="s">
        <v>102</v>
      </c>
      <c r="C53" s="87" t="s">
        <v>103</v>
      </c>
      <c r="D53" s="46"/>
      <c r="E53" s="46"/>
      <c r="F53" s="46"/>
      <c r="G53" s="46"/>
      <c r="H53" s="46"/>
      <c r="I53" s="46"/>
      <c r="J53" s="46"/>
      <c r="K53" s="46"/>
      <c r="L53" s="46"/>
      <c r="M53" s="46"/>
    </row>
    <row r="54">
      <c r="A54" s="6"/>
      <c r="B54" s="87" t="s">
        <v>104</v>
      </c>
      <c r="C54" s="87" t="s">
        <v>105</v>
      </c>
      <c r="D54" s="46"/>
      <c r="E54" s="46"/>
      <c r="F54" s="46"/>
      <c r="G54" s="46"/>
      <c r="H54" s="46"/>
      <c r="I54" s="46"/>
      <c r="J54" s="46"/>
      <c r="K54" s="46"/>
      <c r="L54" s="46"/>
      <c r="M54" s="46"/>
    </row>
    <row r="55">
      <c r="A55" s="6"/>
      <c r="B55" s="87" t="s">
        <v>106</v>
      </c>
      <c r="C55" s="87" t="s">
        <v>107</v>
      </c>
      <c r="D55" s="46"/>
      <c r="E55" s="46"/>
      <c r="F55" s="46"/>
      <c r="G55" s="46"/>
      <c r="H55" s="46"/>
      <c r="I55" s="46"/>
      <c r="J55" s="46"/>
      <c r="K55" s="46"/>
      <c r="L55" s="46"/>
      <c r="M55" s="46"/>
    </row>
    <row r="56">
      <c r="A56" s="6"/>
      <c r="B56" s="87" t="s">
        <v>108</v>
      </c>
      <c r="C56" s="87" t="s">
        <v>109</v>
      </c>
      <c r="D56" s="46"/>
      <c r="E56" s="46"/>
      <c r="F56" s="46"/>
      <c r="G56" s="46"/>
      <c r="H56" s="46"/>
      <c r="I56" s="46"/>
      <c r="J56" s="46"/>
      <c r="K56" s="46"/>
      <c r="L56" s="46"/>
      <c r="M56" s="46"/>
    </row>
    <row r="57">
      <c r="A57" s="6"/>
      <c r="B57" s="87" t="s">
        <v>110</v>
      </c>
      <c r="C57" s="87" t="s">
        <v>111</v>
      </c>
      <c r="D57" s="46"/>
      <c r="E57" s="46"/>
      <c r="F57" s="46"/>
      <c r="G57" s="46"/>
      <c r="H57" s="46"/>
      <c r="I57" s="46"/>
      <c r="J57" s="46"/>
      <c r="K57" s="46"/>
      <c r="L57" s="46"/>
      <c r="M57" s="46"/>
    </row>
    <row r="58">
      <c r="A58" s="6"/>
      <c r="B58" s="87" t="s">
        <v>112</v>
      </c>
      <c r="C58" s="87" t="s">
        <v>113</v>
      </c>
      <c r="D58" s="46"/>
      <c r="E58" s="46"/>
      <c r="F58" s="46"/>
      <c r="G58" s="46"/>
      <c r="H58" s="46"/>
      <c r="I58" s="46"/>
      <c r="J58" s="46"/>
      <c r="K58" s="46"/>
      <c r="L58" s="46"/>
      <c r="M58" s="46"/>
    </row>
    <row r="59">
      <c r="A59" s="6"/>
      <c r="B59" s="87" t="s">
        <v>114</v>
      </c>
      <c r="C59" s="87" t="s">
        <v>115</v>
      </c>
      <c r="D59" s="46"/>
      <c r="E59" s="46"/>
      <c r="F59" s="46"/>
      <c r="G59" s="46"/>
      <c r="H59" s="46"/>
      <c r="I59" s="46"/>
      <c r="J59" s="46"/>
      <c r="K59" s="46"/>
      <c r="L59" s="46"/>
      <c r="M59" s="46"/>
    </row>
    <row r="60">
      <c r="A60" s="6"/>
      <c r="B60" s="87" t="s">
        <v>116</v>
      </c>
      <c r="C60" s="87" t="s">
        <v>117</v>
      </c>
      <c r="D60" s="46"/>
      <c r="E60" s="46"/>
      <c r="F60" s="46"/>
      <c r="G60" s="46"/>
      <c r="H60" s="46"/>
      <c r="I60" s="46"/>
      <c r="J60" s="46"/>
      <c r="K60" s="46"/>
      <c r="L60" s="46"/>
      <c r="M60" s="46"/>
    </row>
    <row r="61">
      <c r="A61" s="6"/>
      <c r="B61" s="87" t="s">
        <v>118</v>
      </c>
      <c r="C61" s="87" t="s">
        <v>119</v>
      </c>
      <c r="D61" s="46"/>
      <c r="E61" s="46"/>
      <c r="F61" s="46"/>
      <c r="G61" s="46"/>
      <c r="H61" s="46"/>
      <c r="I61" s="46"/>
      <c r="J61" s="46"/>
      <c r="K61" s="46"/>
      <c r="L61" s="46"/>
      <c r="M61" s="46"/>
    </row>
    <row r="62">
      <c r="A62" s="6"/>
      <c r="B62" s="56"/>
      <c r="C62" s="54"/>
      <c r="D62" s="46"/>
      <c r="E62" s="46"/>
      <c r="F62" s="46"/>
      <c r="G62" s="46"/>
      <c r="H62" s="46"/>
      <c r="I62" s="46"/>
      <c r="J62" s="46"/>
      <c r="K62" s="46"/>
      <c r="L62" s="46"/>
      <c r="M62" s="46"/>
    </row>
    <row r="63">
      <c r="A63" s="6"/>
      <c r="B63" s="56"/>
      <c r="C63" s="54"/>
      <c r="D63" s="46"/>
      <c r="E63" s="46"/>
      <c r="F63" s="46"/>
      <c r="G63" s="46"/>
      <c r="H63" s="46"/>
      <c r="I63" s="46"/>
      <c r="J63" s="46"/>
      <c r="K63" s="46"/>
      <c r="L63" s="46"/>
      <c r="M63" s="46"/>
    </row>
  </sheetData>
  <dataValidations>
    <dataValidation type="list" allowBlank="1" showErrorMessage="1" sqref="B25:B40">
      <formula1>"イベント限定,恒常"</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F1B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0"/>
    <col customWidth="1" min="2" max="2" width="57.25"/>
    <col customWidth="1" min="3" max="9" width="18.88"/>
    <col customWidth="1" min="10" max="10" width="4.63"/>
  </cols>
  <sheetData>
    <row r="1">
      <c r="A1" s="44"/>
      <c r="B1" s="2" t="s">
        <v>120</v>
      </c>
      <c r="C1" s="45"/>
      <c r="D1" s="45"/>
      <c r="E1" s="45"/>
      <c r="F1" s="45"/>
      <c r="G1" s="45"/>
      <c r="H1" s="45"/>
      <c r="I1" s="45"/>
      <c r="J1" s="88"/>
    </row>
    <row r="2">
      <c r="A2" s="89"/>
      <c r="B2" s="90"/>
      <c r="C2" s="90"/>
      <c r="D2" s="91"/>
      <c r="E2" s="92"/>
      <c r="F2" s="93"/>
      <c r="G2" s="94"/>
      <c r="H2" s="95"/>
      <c r="I2" s="96"/>
      <c r="J2" s="97"/>
    </row>
    <row r="3">
      <c r="A3" s="98"/>
      <c r="B3" s="99" t="s">
        <v>121</v>
      </c>
      <c r="C3" s="100" t="s">
        <v>122</v>
      </c>
      <c r="D3" s="101"/>
      <c r="E3" s="102"/>
      <c r="F3" s="103"/>
      <c r="G3" s="103"/>
      <c r="H3" s="103"/>
      <c r="I3" s="103"/>
      <c r="J3" s="104"/>
    </row>
    <row r="4">
      <c r="A4" s="105"/>
      <c r="B4" s="106" t="s">
        <v>123</v>
      </c>
      <c r="C4" s="107" t="s">
        <v>124</v>
      </c>
      <c r="D4" s="108"/>
      <c r="E4" s="109"/>
      <c r="F4" s="103"/>
      <c r="G4" s="103"/>
      <c r="H4" s="103"/>
      <c r="I4" s="103"/>
      <c r="J4" s="104"/>
    </row>
    <row r="5">
      <c r="A5" s="110"/>
      <c r="B5" s="106" t="s">
        <v>125</v>
      </c>
      <c r="C5" s="111">
        <v>46125.625</v>
      </c>
      <c r="D5" s="112" t="s">
        <v>126</v>
      </c>
      <c r="E5" s="113" t="s">
        <v>6</v>
      </c>
      <c r="F5" s="103"/>
      <c r="G5" s="114"/>
      <c r="H5" s="114"/>
      <c r="I5" s="114"/>
      <c r="J5" s="104"/>
    </row>
    <row r="6">
      <c r="A6" s="98"/>
      <c r="B6" s="87" t="s">
        <v>8</v>
      </c>
      <c r="C6" s="115" t="s">
        <v>127</v>
      </c>
      <c r="D6" s="108"/>
      <c r="E6" s="109"/>
      <c r="F6" s="103"/>
      <c r="G6" s="103"/>
      <c r="H6" s="103"/>
      <c r="I6" s="103"/>
      <c r="J6" s="104"/>
    </row>
    <row r="7">
      <c r="A7" s="98"/>
      <c r="B7" s="103"/>
      <c r="C7" s="103"/>
      <c r="D7" s="103"/>
      <c r="E7" s="103"/>
      <c r="F7" s="103"/>
      <c r="G7" s="103"/>
      <c r="H7" s="103"/>
      <c r="I7" s="103"/>
      <c r="J7" s="104"/>
    </row>
    <row r="8">
      <c r="A8" s="105"/>
      <c r="B8" s="116" t="s">
        <v>128</v>
      </c>
      <c r="C8" s="117" t="s">
        <v>16</v>
      </c>
      <c r="D8" s="117" t="s">
        <v>17</v>
      </c>
      <c r="E8" s="118" t="s">
        <v>33</v>
      </c>
      <c r="F8" s="118" t="s">
        <v>34</v>
      </c>
      <c r="G8" s="119" t="s">
        <v>35</v>
      </c>
      <c r="H8" s="119" t="s">
        <v>36</v>
      </c>
      <c r="I8" s="119" t="s">
        <v>37</v>
      </c>
      <c r="J8" s="120"/>
    </row>
    <row r="9">
      <c r="A9" s="110"/>
      <c r="B9" s="121" t="s">
        <v>129</v>
      </c>
      <c r="C9" s="122"/>
      <c r="D9" s="122"/>
      <c r="E9" s="122"/>
      <c r="F9" s="122"/>
      <c r="G9" s="123">
        <v>10.0</v>
      </c>
      <c r="H9" s="122"/>
      <c r="I9" s="122"/>
      <c r="J9" s="124"/>
    </row>
    <row r="10">
      <c r="A10" s="110"/>
      <c r="B10" s="121" t="s">
        <v>130</v>
      </c>
      <c r="C10" s="122"/>
      <c r="D10" s="122"/>
      <c r="E10" s="122"/>
      <c r="F10" s="122"/>
      <c r="G10" s="123"/>
      <c r="H10" s="123">
        <v>5.0</v>
      </c>
      <c r="I10" s="122"/>
      <c r="J10" s="124"/>
    </row>
    <row r="11">
      <c r="A11" s="110"/>
      <c r="B11" s="121" t="s">
        <v>131</v>
      </c>
      <c r="C11" s="122"/>
      <c r="D11" s="122"/>
      <c r="E11" s="122"/>
      <c r="F11" s="122"/>
      <c r="G11" s="123"/>
      <c r="H11" s="122"/>
      <c r="I11" s="123">
        <v>1.0</v>
      </c>
      <c r="J11" s="124"/>
    </row>
    <row r="12">
      <c r="A12" s="110"/>
      <c r="B12" s="121" t="s">
        <v>132</v>
      </c>
      <c r="C12" s="122"/>
      <c r="D12" s="122"/>
      <c r="E12" s="123">
        <v>1.0</v>
      </c>
      <c r="F12" s="122"/>
      <c r="G12" s="123"/>
      <c r="H12" s="122"/>
      <c r="I12" s="122"/>
      <c r="J12" s="124"/>
    </row>
    <row r="13">
      <c r="A13" s="110"/>
      <c r="B13" s="121" t="s">
        <v>133</v>
      </c>
      <c r="C13" s="122"/>
      <c r="D13" s="123">
        <v>5000.0</v>
      </c>
      <c r="E13" s="122"/>
      <c r="F13" s="122"/>
      <c r="G13" s="122"/>
      <c r="H13" s="123"/>
      <c r="I13" s="122"/>
      <c r="J13" s="124"/>
    </row>
    <row r="14">
      <c r="A14" s="110"/>
      <c r="B14" s="121" t="s">
        <v>134</v>
      </c>
      <c r="C14" s="122"/>
      <c r="D14" s="123">
        <v>10000.0</v>
      </c>
      <c r="E14" s="122"/>
      <c r="F14" s="122"/>
      <c r="G14" s="122"/>
      <c r="H14" s="123"/>
      <c r="I14" s="122"/>
      <c r="J14" s="124"/>
    </row>
    <row r="15">
      <c r="A15" s="110"/>
      <c r="B15" s="121" t="s">
        <v>135</v>
      </c>
      <c r="C15" s="122"/>
      <c r="D15" s="123">
        <v>15000.0</v>
      </c>
      <c r="E15" s="122"/>
      <c r="F15" s="122"/>
      <c r="G15" s="122"/>
      <c r="H15" s="123"/>
      <c r="I15" s="122"/>
      <c r="J15" s="124"/>
    </row>
    <row r="16">
      <c r="A16" s="110"/>
      <c r="B16" s="121" t="s">
        <v>136</v>
      </c>
      <c r="C16" s="123"/>
      <c r="D16" s="123">
        <v>20000.0</v>
      </c>
      <c r="E16" s="122"/>
      <c r="F16" s="122"/>
      <c r="G16" s="122"/>
      <c r="H16" s="122"/>
      <c r="I16" s="123"/>
      <c r="J16" s="124"/>
    </row>
    <row r="17">
      <c r="A17" s="110"/>
      <c r="B17" s="121" t="s">
        <v>137</v>
      </c>
      <c r="C17" s="123"/>
      <c r="D17" s="123">
        <v>25000.0</v>
      </c>
      <c r="E17" s="122"/>
      <c r="F17" s="122"/>
      <c r="G17" s="122"/>
      <c r="H17" s="122"/>
      <c r="I17" s="123"/>
      <c r="J17" s="124"/>
    </row>
    <row r="18">
      <c r="A18" s="110"/>
      <c r="B18" s="121" t="s">
        <v>138</v>
      </c>
      <c r="C18" s="123">
        <v>20.0</v>
      </c>
      <c r="D18" s="122"/>
      <c r="E18" s="122"/>
      <c r="F18" s="122"/>
      <c r="G18" s="122"/>
      <c r="H18" s="122"/>
      <c r="I18" s="123"/>
      <c r="J18" s="124"/>
    </row>
    <row r="19">
      <c r="A19" s="110"/>
      <c r="B19" s="121" t="s">
        <v>139</v>
      </c>
      <c r="C19" s="123">
        <v>20.0</v>
      </c>
      <c r="D19" s="122"/>
      <c r="E19" s="122"/>
      <c r="F19" s="122"/>
      <c r="G19" s="122"/>
      <c r="H19" s="122"/>
      <c r="I19" s="123"/>
      <c r="J19" s="124"/>
    </row>
    <row r="20">
      <c r="A20" s="110"/>
      <c r="B20" s="121" t="s">
        <v>140</v>
      </c>
      <c r="C20" s="123">
        <v>20.0</v>
      </c>
      <c r="D20" s="122"/>
      <c r="E20" s="122"/>
      <c r="F20" s="122"/>
      <c r="G20" s="122"/>
      <c r="H20" s="122"/>
      <c r="I20" s="123"/>
      <c r="J20" s="124"/>
    </row>
    <row r="21">
      <c r="A21" s="110"/>
      <c r="B21" s="121" t="s">
        <v>141</v>
      </c>
      <c r="C21" s="123">
        <v>20.0</v>
      </c>
      <c r="D21" s="122"/>
      <c r="E21" s="122"/>
      <c r="F21" s="122"/>
      <c r="G21" s="122"/>
      <c r="H21" s="122"/>
      <c r="I21" s="123"/>
      <c r="J21" s="124"/>
    </row>
    <row r="22">
      <c r="A22" s="110"/>
      <c r="B22" s="121" t="s">
        <v>142</v>
      </c>
      <c r="C22" s="123">
        <v>20.0</v>
      </c>
      <c r="D22" s="122"/>
      <c r="E22" s="122"/>
      <c r="F22" s="122"/>
      <c r="G22" s="122"/>
      <c r="H22" s="122"/>
      <c r="I22" s="123"/>
      <c r="J22" s="124"/>
    </row>
    <row r="23">
      <c r="A23" s="110"/>
      <c r="B23" s="121" t="s">
        <v>143</v>
      </c>
      <c r="C23" s="123">
        <v>20.0</v>
      </c>
      <c r="D23" s="122"/>
      <c r="E23" s="122"/>
      <c r="F23" s="122"/>
      <c r="G23" s="122"/>
      <c r="H23" s="122"/>
      <c r="I23" s="123"/>
      <c r="J23" s="124"/>
    </row>
    <row r="24">
      <c r="A24" s="110"/>
      <c r="B24" s="121" t="s">
        <v>144</v>
      </c>
      <c r="C24" s="123">
        <v>20.0</v>
      </c>
      <c r="D24" s="122"/>
      <c r="E24" s="122"/>
      <c r="F24" s="122"/>
      <c r="G24" s="122"/>
      <c r="H24" s="122"/>
      <c r="I24" s="123"/>
      <c r="J24" s="124"/>
    </row>
    <row r="25">
      <c r="A25" s="110"/>
      <c r="B25" s="121" t="s">
        <v>145</v>
      </c>
      <c r="C25" s="123">
        <v>20.0</v>
      </c>
      <c r="D25" s="122"/>
      <c r="E25" s="122"/>
      <c r="F25" s="122"/>
      <c r="G25" s="122"/>
      <c r="H25" s="122"/>
      <c r="I25" s="123"/>
      <c r="J25" s="124"/>
    </row>
    <row r="26">
      <c r="A26" s="110"/>
      <c r="B26" s="121" t="s">
        <v>146</v>
      </c>
      <c r="C26" s="123">
        <v>20.0</v>
      </c>
      <c r="D26" s="122"/>
      <c r="E26" s="122"/>
      <c r="F26" s="122"/>
      <c r="G26" s="122"/>
      <c r="H26" s="122"/>
      <c r="I26" s="123"/>
      <c r="J26" s="124"/>
    </row>
    <row r="27">
      <c r="A27" s="110"/>
      <c r="B27" s="121" t="s">
        <v>147</v>
      </c>
      <c r="C27" s="123">
        <v>20.0</v>
      </c>
      <c r="D27" s="122"/>
      <c r="E27" s="122"/>
      <c r="F27" s="122"/>
      <c r="G27" s="122"/>
      <c r="H27" s="122"/>
      <c r="I27" s="123"/>
      <c r="J27" s="124"/>
    </row>
    <row r="28">
      <c r="A28" s="110"/>
      <c r="B28" s="121" t="s">
        <v>148</v>
      </c>
      <c r="C28" s="123">
        <v>20.0</v>
      </c>
      <c r="D28" s="122"/>
      <c r="E28" s="122"/>
      <c r="F28" s="122"/>
      <c r="G28" s="122"/>
      <c r="H28" s="122"/>
      <c r="I28" s="123"/>
      <c r="J28" s="124"/>
    </row>
    <row r="29">
      <c r="A29" s="110"/>
      <c r="B29" s="121" t="s">
        <v>149</v>
      </c>
      <c r="C29" s="123">
        <v>20.0</v>
      </c>
      <c r="D29" s="122"/>
      <c r="E29" s="122"/>
      <c r="F29" s="122"/>
      <c r="G29" s="122"/>
      <c r="H29" s="122"/>
      <c r="I29" s="123"/>
      <c r="J29" s="124"/>
    </row>
    <row r="30">
      <c r="A30" s="110"/>
      <c r="B30" s="121" t="s">
        <v>150</v>
      </c>
      <c r="C30" s="123">
        <v>20.0</v>
      </c>
      <c r="D30" s="122"/>
      <c r="E30" s="122"/>
      <c r="F30" s="122"/>
      <c r="G30" s="122"/>
      <c r="H30" s="122"/>
      <c r="I30" s="123"/>
      <c r="J30" s="124"/>
    </row>
    <row r="31">
      <c r="A31" s="110"/>
      <c r="B31" s="121" t="s">
        <v>151</v>
      </c>
      <c r="C31" s="123">
        <v>20.0</v>
      </c>
      <c r="D31" s="122"/>
      <c r="E31" s="122"/>
      <c r="F31" s="122"/>
      <c r="G31" s="122"/>
      <c r="H31" s="122"/>
      <c r="I31" s="123"/>
      <c r="J31" s="124"/>
    </row>
    <row r="32">
      <c r="A32" s="110"/>
      <c r="B32" s="121" t="s">
        <v>152</v>
      </c>
      <c r="C32" s="123">
        <v>20.0</v>
      </c>
      <c r="D32" s="122"/>
      <c r="E32" s="122"/>
      <c r="F32" s="122"/>
      <c r="G32" s="122"/>
      <c r="H32" s="122"/>
      <c r="I32" s="123"/>
      <c r="J32" s="124"/>
    </row>
    <row r="33" ht="7.5" customHeight="1">
      <c r="A33" s="110"/>
      <c r="B33" s="125"/>
      <c r="C33" s="126"/>
      <c r="D33" s="103"/>
      <c r="E33" s="103"/>
      <c r="F33" s="126"/>
      <c r="G33" s="126"/>
      <c r="H33" s="126"/>
      <c r="I33" s="126"/>
      <c r="J33" s="127"/>
    </row>
    <row r="34">
      <c r="A34" s="110"/>
      <c r="B34" s="128" t="s">
        <v>38</v>
      </c>
      <c r="C34" s="106">
        <f t="shared" ref="C34:I34" si="1">sum(C9:C32)</f>
        <v>300</v>
      </c>
      <c r="D34" s="106">
        <f t="shared" si="1"/>
        <v>75000</v>
      </c>
      <c r="E34" s="106">
        <f t="shared" si="1"/>
        <v>1</v>
      </c>
      <c r="F34" s="106">
        <f t="shared" si="1"/>
        <v>0</v>
      </c>
      <c r="G34" s="106">
        <f t="shared" si="1"/>
        <v>10</v>
      </c>
      <c r="H34" s="106">
        <f t="shared" si="1"/>
        <v>5</v>
      </c>
      <c r="I34" s="106">
        <f t="shared" si="1"/>
        <v>1</v>
      </c>
      <c r="J34" s="126"/>
    </row>
    <row r="35">
      <c r="A35" s="110"/>
      <c r="B35" s="129"/>
      <c r="C35" s="126"/>
      <c r="D35" s="126"/>
      <c r="E35" s="126"/>
      <c r="F35" s="126"/>
      <c r="G35" s="126"/>
      <c r="H35" s="126"/>
      <c r="I35" s="126"/>
      <c r="J35" s="126"/>
    </row>
    <row r="36">
      <c r="A36" s="110"/>
      <c r="B36" s="129"/>
      <c r="C36" s="126"/>
      <c r="D36" s="126"/>
      <c r="E36" s="126"/>
      <c r="F36" s="126"/>
      <c r="G36" s="126"/>
      <c r="H36" s="126"/>
      <c r="I36" s="126"/>
      <c r="J36" s="126"/>
    </row>
    <row r="37">
      <c r="A37" s="110"/>
      <c r="B37" s="129"/>
      <c r="C37" s="126"/>
      <c r="D37" s="126"/>
      <c r="E37" s="126"/>
      <c r="F37" s="126"/>
      <c r="G37" s="126"/>
      <c r="H37" s="126"/>
      <c r="I37" s="126"/>
      <c r="J37" s="126"/>
    </row>
    <row r="38">
      <c r="A38" s="110"/>
      <c r="B38" s="129"/>
      <c r="C38" s="126"/>
      <c r="D38" s="126"/>
      <c r="E38" s="126"/>
      <c r="F38" s="126"/>
      <c r="G38" s="126"/>
      <c r="H38" s="126"/>
      <c r="I38" s="126"/>
      <c r="J38" s="126"/>
    </row>
  </sheetData>
  <conditionalFormatting sqref="C9:I32">
    <cfRule type="cellIs" dxfId="0" priority="1" operator="greater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5.13"/>
    <col customWidth="1" min="3" max="3" width="17.25"/>
    <col customWidth="1" min="4" max="4" width="14.63"/>
    <col customWidth="1" min="5" max="9" width="13.88"/>
    <col customWidth="1" min="10" max="12" width="3.5"/>
  </cols>
  <sheetData>
    <row r="1">
      <c r="A1" s="1"/>
      <c r="B1" s="2" t="s">
        <v>0</v>
      </c>
      <c r="C1" s="3"/>
      <c r="D1" s="3"/>
      <c r="E1" s="3"/>
      <c r="F1" s="3"/>
      <c r="G1" s="3"/>
      <c r="H1" s="3"/>
      <c r="I1" s="3"/>
      <c r="J1" s="1"/>
      <c r="K1" s="1"/>
      <c r="L1" s="1"/>
    </row>
    <row r="2">
      <c r="A2" s="1"/>
      <c r="B2" s="4"/>
      <c r="C2" s="1"/>
      <c r="D2" s="1"/>
      <c r="E2" s="1"/>
      <c r="F2" s="1"/>
      <c r="G2" s="1"/>
      <c r="H2" s="1"/>
      <c r="I2" s="1"/>
      <c r="J2" s="1"/>
      <c r="K2" s="1"/>
      <c r="L2" s="1"/>
    </row>
    <row r="3">
      <c r="A3" s="1"/>
      <c r="B3" s="5" t="s">
        <v>1</v>
      </c>
      <c r="C3" s="6"/>
      <c r="D3" s="1"/>
      <c r="E3" s="1"/>
      <c r="F3" s="7" t="s">
        <v>2</v>
      </c>
      <c r="G3" s="1"/>
      <c r="H3" s="1"/>
      <c r="I3" s="1"/>
      <c r="J3" s="1"/>
      <c r="K3" s="1"/>
      <c r="L3" s="1"/>
    </row>
    <row r="4">
      <c r="A4" s="1"/>
      <c r="B4" s="8" t="s">
        <v>3</v>
      </c>
      <c r="C4" s="9">
        <v>46125.625</v>
      </c>
      <c r="D4" s="1"/>
      <c r="E4" s="1"/>
      <c r="F4" s="7" t="s">
        <v>4</v>
      </c>
      <c r="G4" s="1"/>
      <c r="H4" s="1"/>
      <c r="I4" s="1"/>
      <c r="J4" s="1"/>
      <c r="K4" s="1"/>
      <c r="L4" s="1"/>
    </row>
    <row r="5">
      <c r="A5" s="1"/>
      <c r="B5" s="8" t="s">
        <v>5</v>
      </c>
      <c r="C5" s="10" t="s">
        <v>6</v>
      </c>
      <c r="D5" s="1"/>
      <c r="E5" s="1"/>
      <c r="F5" s="11" t="s">
        <v>7</v>
      </c>
      <c r="G5" s="1"/>
      <c r="H5" s="1"/>
      <c r="I5" s="1"/>
      <c r="J5" s="1"/>
      <c r="K5" s="1"/>
      <c r="L5" s="1"/>
    </row>
    <row r="6">
      <c r="A6" s="1"/>
      <c r="B6" s="1"/>
      <c r="C6" s="1"/>
      <c r="D6" s="1"/>
      <c r="E6" s="1"/>
      <c r="F6" s="11" t="s">
        <v>10</v>
      </c>
      <c r="G6" s="1"/>
      <c r="H6" s="1"/>
      <c r="I6" s="1"/>
      <c r="J6" s="1"/>
      <c r="K6" s="1"/>
      <c r="L6" s="1"/>
    </row>
    <row r="7">
      <c r="A7" s="1"/>
      <c r="B7" s="4"/>
      <c r="C7" s="1"/>
      <c r="D7" s="1"/>
      <c r="E7" s="1"/>
      <c r="F7" s="1"/>
      <c r="G7" s="1"/>
      <c r="H7" s="1"/>
      <c r="I7" s="1"/>
      <c r="J7" s="1"/>
      <c r="K7" s="1"/>
      <c r="L7" s="1"/>
    </row>
    <row r="8">
      <c r="A8" s="14"/>
      <c r="B8" s="38" t="s">
        <v>153</v>
      </c>
      <c r="C8" s="16"/>
      <c r="D8" s="16"/>
      <c r="E8" s="16"/>
      <c r="F8" s="16"/>
      <c r="G8" s="16"/>
      <c r="H8" s="16"/>
      <c r="I8" s="16"/>
      <c r="J8" s="1"/>
      <c r="K8" s="1"/>
      <c r="L8" s="1"/>
    </row>
    <row r="9">
      <c r="A9" s="14"/>
      <c r="B9" s="17" t="s">
        <v>12</v>
      </c>
      <c r="C9" s="14"/>
      <c r="D9" s="14"/>
      <c r="E9" s="14"/>
      <c r="F9" s="14"/>
      <c r="G9" s="14"/>
      <c r="H9" s="14"/>
      <c r="I9" s="14"/>
      <c r="J9" s="1"/>
      <c r="K9" s="1"/>
      <c r="L9" s="1"/>
    </row>
    <row r="10">
      <c r="A10" s="14"/>
      <c r="B10" s="17" t="s">
        <v>154</v>
      </c>
      <c r="C10" s="14"/>
      <c r="D10" s="14"/>
      <c r="E10" s="14"/>
      <c r="F10" s="18"/>
      <c r="G10" s="14"/>
      <c r="H10" s="18"/>
      <c r="I10" s="14"/>
      <c r="J10" s="1"/>
      <c r="K10" s="1"/>
      <c r="L10" s="1"/>
    </row>
    <row r="11">
      <c r="A11" s="14"/>
      <c r="B11" s="14"/>
      <c r="C11" s="14"/>
      <c r="D11" s="18"/>
      <c r="E11" s="18"/>
      <c r="F11" s="14"/>
      <c r="G11" s="14"/>
      <c r="H11" s="14"/>
      <c r="I11" s="14"/>
      <c r="J11" s="1"/>
      <c r="K11" s="1"/>
      <c r="L11" s="1"/>
    </row>
    <row r="12">
      <c r="A12" s="14"/>
      <c r="B12" s="17" t="s">
        <v>155</v>
      </c>
      <c r="C12" s="14"/>
      <c r="D12" s="18"/>
      <c r="E12" s="18"/>
      <c r="F12" s="14"/>
      <c r="G12" s="14"/>
      <c r="H12" s="14"/>
      <c r="I12" s="14"/>
      <c r="J12" s="1"/>
      <c r="K12" s="1"/>
      <c r="L12" s="1"/>
    </row>
    <row r="13">
      <c r="A13" s="14"/>
      <c r="B13" s="33" t="s">
        <v>23</v>
      </c>
      <c r="C13" s="36" t="s">
        <v>156</v>
      </c>
      <c r="D13" s="18"/>
      <c r="E13" s="18"/>
      <c r="F13" s="14"/>
      <c r="G13" s="14"/>
      <c r="H13" s="14"/>
      <c r="I13" s="14"/>
      <c r="J13" s="1"/>
      <c r="K13" s="1"/>
      <c r="L13" s="1"/>
    </row>
    <row r="14">
      <c r="A14" s="14"/>
      <c r="B14" s="20" t="s">
        <v>25</v>
      </c>
      <c r="C14" s="36"/>
      <c r="D14" s="18"/>
      <c r="E14" s="18"/>
      <c r="F14" s="14"/>
      <c r="G14" s="14"/>
      <c r="H14" s="14"/>
      <c r="I14" s="14"/>
      <c r="J14" s="1"/>
      <c r="K14" s="1"/>
      <c r="L14" s="1"/>
    </row>
    <row r="15">
      <c r="A15" s="14"/>
      <c r="B15" s="20"/>
      <c r="C15" s="14"/>
      <c r="D15" s="18"/>
      <c r="E15" s="18"/>
      <c r="F15" s="14"/>
      <c r="G15" s="14"/>
      <c r="H15" s="14"/>
      <c r="I15" s="14"/>
      <c r="J15" s="1"/>
      <c r="K15" s="1"/>
      <c r="L15" s="1"/>
    </row>
    <row r="16">
      <c r="A16" s="14"/>
      <c r="B16" s="20"/>
      <c r="C16" s="14"/>
      <c r="D16" s="18"/>
      <c r="E16" s="18"/>
      <c r="F16" s="14"/>
      <c r="G16" s="14"/>
      <c r="H16" s="14"/>
      <c r="I16" s="14"/>
      <c r="J16" s="1"/>
      <c r="K16" s="1"/>
      <c r="L16" s="1"/>
    </row>
    <row r="17">
      <c r="A17" s="14"/>
      <c r="B17" s="20"/>
      <c r="C17" s="14"/>
      <c r="D17" s="18"/>
      <c r="E17" s="18"/>
      <c r="F17" s="14"/>
      <c r="G17" s="14"/>
      <c r="H17" s="14"/>
      <c r="I17" s="14"/>
      <c r="J17" s="1"/>
      <c r="K17" s="1"/>
      <c r="L17" s="1"/>
    </row>
    <row r="18">
      <c r="A18" s="14"/>
      <c r="B18" s="20"/>
      <c r="C18" s="14"/>
      <c r="D18" s="18"/>
      <c r="E18" s="18"/>
      <c r="F18" s="14"/>
      <c r="G18" s="14"/>
      <c r="H18" s="14"/>
      <c r="I18" s="14"/>
      <c r="J18" s="1"/>
      <c r="K18" s="1"/>
      <c r="L18" s="1"/>
    </row>
    <row r="19">
      <c r="A19" s="14"/>
      <c r="B19" s="20"/>
      <c r="C19" s="14"/>
      <c r="D19" s="18"/>
      <c r="E19" s="18"/>
      <c r="F19" s="14"/>
      <c r="G19" s="14"/>
      <c r="H19" s="14"/>
      <c r="I19" s="14"/>
      <c r="J19" s="1"/>
      <c r="K19" s="1"/>
      <c r="L19" s="1"/>
    </row>
    <row r="20">
      <c r="A20" s="14"/>
      <c r="B20" s="20" t="s">
        <v>26</v>
      </c>
      <c r="C20" s="14"/>
      <c r="D20" s="18"/>
      <c r="E20" s="18"/>
      <c r="F20" s="14"/>
      <c r="G20" s="14"/>
      <c r="H20" s="14"/>
      <c r="I20" s="14"/>
      <c r="J20" s="1"/>
      <c r="K20" s="1"/>
      <c r="L20" s="1"/>
    </row>
    <row r="21">
      <c r="A21" s="14"/>
      <c r="B21" s="20" t="s">
        <v>27</v>
      </c>
      <c r="C21" s="14"/>
      <c r="D21" s="18"/>
      <c r="E21" s="18"/>
      <c r="F21" s="14"/>
      <c r="G21" s="14"/>
      <c r="H21" s="14"/>
      <c r="I21" s="14"/>
      <c r="J21" s="1"/>
      <c r="K21" s="1"/>
      <c r="L21" s="1"/>
    </row>
    <row r="22">
      <c r="A22" s="14"/>
      <c r="B22" s="20" t="s">
        <v>28</v>
      </c>
      <c r="C22" s="14"/>
      <c r="D22" s="18"/>
      <c r="E22" s="18"/>
      <c r="F22" s="14"/>
      <c r="G22" s="14"/>
      <c r="H22" s="14"/>
      <c r="I22" s="14"/>
      <c r="J22" s="1"/>
      <c r="K22" s="1"/>
      <c r="L22" s="1"/>
    </row>
    <row r="23">
      <c r="A23" s="14"/>
      <c r="B23" s="20" t="s">
        <v>29</v>
      </c>
      <c r="C23" s="14"/>
      <c r="D23" s="18"/>
      <c r="E23" s="18"/>
      <c r="F23" s="14"/>
      <c r="G23" s="14"/>
      <c r="H23" s="14"/>
      <c r="I23" s="14"/>
      <c r="J23" s="1"/>
      <c r="K23" s="1"/>
      <c r="L23" s="1"/>
    </row>
    <row r="24">
      <c r="A24" s="14"/>
      <c r="B24" s="20" t="s">
        <v>30</v>
      </c>
      <c r="C24" s="14"/>
      <c r="D24" s="18"/>
      <c r="E24" s="18"/>
      <c r="F24" s="14"/>
      <c r="G24" s="14"/>
      <c r="H24" s="14"/>
      <c r="I24" s="14"/>
      <c r="J24" s="1"/>
      <c r="K24" s="1"/>
      <c r="L24" s="1"/>
    </row>
    <row r="25">
      <c r="A25" s="14"/>
      <c r="B25" s="14"/>
      <c r="C25" s="14"/>
      <c r="D25" s="18"/>
      <c r="E25" s="18"/>
      <c r="F25" s="14"/>
      <c r="G25" s="14"/>
      <c r="H25" s="14"/>
      <c r="I25" s="14"/>
      <c r="J25" s="1"/>
      <c r="K25" s="1"/>
      <c r="L25" s="1"/>
    </row>
    <row r="26">
      <c r="A26" s="14"/>
      <c r="B26" s="14"/>
      <c r="C26" s="14"/>
      <c r="D26" s="18"/>
      <c r="E26" s="18"/>
      <c r="F26" s="14"/>
      <c r="G26" s="14"/>
      <c r="H26" s="14"/>
      <c r="I26" s="14"/>
      <c r="J26" s="1"/>
      <c r="K26" s="1"/>
      <c r="L26" s="1"/>
    </row>
    <row r="27">
      <c r="A27" s="14"/>
      <c r="B27" s="38" t="s">
        <v>157</v>
      </c>
      <c r="C27" s="16"/>
      <c r="D27" s="39"/>
      <c r="E27" s="39"/>
      <c r="F27" s="16"/>
      <c r="G27" s="16"/>
      <c r="H27" s="16"/>
      <c r="I27" s="16"/>
      <c r="J27" s="1"/>
      <c r="K27" s="1"/>
      <c r="L27" s="1"/>
    </row>
    <row r="28">
      <c r="A28" s="14"/>
      <c r="B28" s="17" t="s">
        <v>158</v>
      </c>
      <c r="C28" s="14"/>
      <c r="D28" s="18"/>
      <c r="E28" s="18"/>
      <c r="F28" s="14"/>
      <c r="G28" s="14"/>
      <c r="H28" s="40"/>
      <c r="I28" s="14"/>
      <c r="J28" s="1"/>
      <c r="K28" s="1"/>
      <c r="L28" s="1"/>
    </row>
    <row r="29">
      <c r="A29" s="14"/>
      <c r="B29" s="17" t="s">
        <v>159</v>
      </c>
      <c r="E29" s="17" t="s">
        <v>160</v>
      </c>
      <c r="H29" s="1"/>
      <c r="I29" s="1"/>
      <c r="J29" s="1"/>
      <c r="K29" s="1"/>
      <c r="L29" s="1"/>
    </row>
    <row r="30">
      <c r="A30" s="14"/>
      <c r="B30" s="33" t="s">
        <v>23</v>
      </c>
      <c r="C30" s="33" t="s">
        <v>24</v>
      </c>
      <c r="D30" s="1"/>
      <c r="E30" s="130" t="s">
        <v>161</v>
      </c>
      <c r="F30" s="130" t="s">
        <v>162</v>
      </c>
      <c r="G30" s="130" t="s">
        <v>163</v>
      </c>
      <c r="H30" s="1"/>
      <c r="I30" s="1"/>
      <c r="J30" s="1"/>
      <c r="K30" s="1"/>
      <c r="L30" s="1"/>
    </row>
    <row r="31">
      <c r="A31" s="14"/>
      <c r="B31" s="20" t="s">
        <v>25</v>
      </c>
      <c r="C31" s="35">
        <v>1.0</v>
      </c>
      <c r="D31" s="1"/>
      <c r="E31" s="131" t="s">
        <v>164</v>
      </c>
      <c r="F31" s="131">
        <v>5000.0</v>
      </c>
      <c r="G31" s="131">
        <v>1000.0</v>
      </c>
      <c r="H31" s="1"/>
      <c r="I31" s="1"/>
      <c r="J31" s="1"/>
      <c r="K31" s="1"/>
      <c r="L31" s="1"/>
    </row>
    <row r="32">
      <c r="A32" s="14"/>
      <c r="B32" s="20" t="s">
        <v>165</v>
      </c>
      <c r="C32" s="35">
        <v>1.2</v>
      </c>
      <c r="D32" s="1"/>
      <c r="E32" s="131" t="s">
        <v>166</v>
      </c>
      <c r="F32" s="131">
        <v>20000.0</v>
      </c>
      <c r="G32" s="131">
        <v>10000.0</v>
      </c>
      <c r="H32" s="1"/>
      <c r="I32" s="1"/>
      <c r="J32" s="1"/>
      <c r="K32" s="1"/>
      <c r="L32" s="1"/>
    </row>
    <row r="33">
      <c r="A33" s="14"/>
      <c r="B33" s="20" t="s">
        <v>26</v>
      </c>
      <c r="C33" s="35">
        <v>1.4</v>
      </c>
      <c r="D33" s="1"/>
      <c r="E33" s="1"/>
      <c r="F33" s="1"/>
      <c r="G33" s="1"/>
      <c r="H33" s="1"/>
      <c r="I33" s="1"/>
      <c r="J33" s="1"/>
      <c r="K33" s="1"/>
      <c r="L33" s="1"/>
    </row>
    <row r="34">
      <c r="A34" s="14"/>
      <c r="B34" s="20" t="s">
        <v>27</v>
      </c>
      <c r="C34" s="35">
        <v>1.6</v>
      </c>
      <c r="D34" s="1"/>
      <c r="E34" s="1"/>
      <c r="F34" s="1"/>
      <c r="G34" s="1"/>
      <c r="H34" s="1"/>
      <c r="I34" s="1"/>
      <c r="J34" s="1"/>
      <c r="K34" s="1"/>
      <c r="L34" s="1"/>
    </row>
    <row r="35">
      <c r="A35" s="14"/>
      <c r="B35" s="20" t="s">
        <v>28</v>
      </c>
      <c r="C35" s="35">
        <v>1.8</v>
      </c>
      <c r="D35" s="1"/>
      <c r="E35" s="1"/>
      <c r="F35" s="1"/>
      <c r="G35" s="1"/>
      <c r="H35" s="1"/>
      <c r="I35" s="1"/>
      <c r="J35" s="1"/>
      <c r="K35" s="1"/>
      <c r="L35" s="1"/>
    </row>
    <row r="36">
      <c r="A36" s="14"/>
      <c r="B36" s="20" t="s">
        <v>29</v>
      </c>
      <c r="C36" s="35">
        <v>2.0</v>
      </c>
      <c r="D36" s="1"/>
      <c r="E36" s="1"/>
      <c r="F36" s="1"/>
      <c r="G36" s="1"/>
      <c r="H36" s="1"/>
      <c r="I36" s="1"/>
      <c r="J36" s="1"/>
      <c r="K36" s="1"/>
      <c r="L36" s="1"/>
    </row>
    <row r="37">
      <c r="A37" s="14"/>
      <c r="B37" s="20" t="s">
        <v>30</v>
      </c>
      <c r="C37" s="35">
        <v>2.5</v>
      </c>
      <c r="D37" s="1"/>
      <c r="E37" s="1"/>
      <c r="F37" s="1"/>
      <c r="G37" s="1"/>
      <c r="H37" s="40"/>
      <c r="I37" s="14"/>
      <c r="J37" s="1"/>
      <c r="K37" s="1"/>
      <c r="L37" s="1"/>
    </row>
    <row r="38">
      <c r="A38" s="14"/>
      <c r="B38" s="14"/>
      <c r="C38" s="14"/>
      <c r="D38" s="18"/>
      <c r="E38" s="18"/>
      <c r="F38" s="14"/>
      <c r="G38" s="14"/>
      <c r="H38" s="40"/>
      <c r="I38" s="14"/>
      <c r="J38" s="1"/>
      <c r="K38" s="1"/>
      <c r="L38" s="1"/>
    </row>
    <row r="39">
      <c r="A39" s="1"/>
      <c r="B39" s="1"/>
      <c r="C39" s="1"/>
      <c r="D39" s="7"/>
      <c r="E39" s="7"/>
      <c r="F39" s="1"/>
      <c r="G39" s="1"/>
      <c r="H39" s="1"/>
      <c r="I39" s="1"/>
      <c r="J39" s="1"/>
      <c r="K39" s="1"/>
      <c r="L39" s="1"/>
    </row>
    <row r="40">
      <c r="A40" s="1"/>
      <c r="B40" s="1"/>
      <c r="C40" s="1"/>
      <c r="D40" s="7"/>
      <c r="E40" s="7"/>
      <c r="F40" s="1"/>
      <c r="G40" s="1"/>
      <c r="H40" s="1"/>
      <c r="I40" s="1"/>
      <c r="J40" s="1"/>
      <c r="K40" s="1"/>
      <c r="L40" s="1"/>
    </row>
  </sheetData>
  <hyperlinks>
    <hyperlink r:id="rId1" location="gid=1084645352" ref="F5"/>
    <hyperlink r:id="rId2" location="gid=1301003540" ref="F6"/>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1" width="12.63"/>
    <col customWidth="1" min="152"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28"/>
      <c r="B1" s="132" t="s">
        <v>167</v>
      </c>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3"/>
      <c r="CH1" s="133"/>
      <c r="CI1" s="133"/>
      <c r="CJ1" s="133"/>
      <c r="CK1" s="133"/>
      <c r="CL1" s="133"/>
      <c r="CM1" s="133"/>
      <c r="CN1" s="133"/>
      <c r="CO1" s="133"/>
      <c r="CP1" s="133"/>
      <c r="CQ1" s="133"/>
      <c r="CR1" s="133"/>
      <c r="CS1" s="133"/>
      <c r="CT1" s="133"/>
      <c r="CU1" s="133"/>
      <c r="CV1" s="133"/>
      <c r="CW1" s="133"/>
      <c r="CX1" s="133"/>
      <c r="CY1" s="133"/>
      <c r="CZ1" s="133"/>
      <c r="DA1" s="133"/>
      <c r="DB1" s="133"/>
      <c r="DC1" s="133"/>
      <c r="DD1" s="133"/>
      <c r="DE1" s="133"/>
      <c r="DF1" s="133"/>
      <c r="DG1" s="133"/>
      <c r="DH1" s="133"/>
      <c r="DI1" s="133"/>
      <c r="DJ1" s="133"/>
      <c r="DK1" s="133"/>
      <c r="DL1" s="133"/>
      <c r="DM1" s="133"/>
      <c r="DN1" s="133"/>
      <c r="DO1" s="133"/>
      <c r="DP1" s="133"/>
      <c r="DQ1" s="133"/>
      <c r="DR1" s="133"/>
      <c r="DS1" s="133"/>
      <c r="DT1" s="133"/>
      <c r="DU1" s="133"/>
      <c r="DV1" s="133"/>
      <c r="DW1" s="133"/>
      <c r="DX1" s="133"/>
      <c r="DY1" s="133"/>
      <c r="DZ1" s="133"/>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3"/>
      <c r="FG1" s="133"/>
    </row>
    <row r="2">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135"/>
      <c r="DZ2" s="28"/>
      <c r="EA2" s="136"/>
      <c r="EB2" s="136"/>
      <c r="EC2" s="136"/>
      <c r="ED2" s="136"/>
      <c r="EE2" s="136"/>
      <c r="EF2" s="136"/>
      <c r="EG2" s="136"/>
      <c r="EH2" s="136"/>
      <c r="EI2" s="136"/>
      <c r="EJ2" s="136"/>
      <c r="EK2" s="136"/>
      <c r="EL2" s="136"/>
      <c r="EM2" s="136"/>
      <c r="EN2" s="136"/>
      <c r="EO2" s="136"/>
      <c r="EP2" s="136"/>
      <c r="EQ2" s="136"/>
      <c r="ER2" s="136"/>
      <c r="ES2" s="136"/>
      <c r="ET2" s="136"/>
      <c r="EU2" s="136"/>
      <c r="EV2" s="136"/>
      <c r="EW2" s="136"/>
      <c r="EX2" s="136"/>
      <c r="EY2" s="136"/>
      <c r="EZ2" s="136"/>
      <c r="FA2" s="136"/>
      <c r="FB2" s="136"/>
      <c r="FC2" s="136"/>
      <c r="FD2" s="136"/>
      <c r="FE2" s="136"/>
      <c r="FF2" s="28"/>
      <c r="FG2" s="28"/>
    </row>
    <row r="3">
      <c r="A3" s="137"/>
      <c r="B3" s="138" t="s">
        <v>168</v>
      </c>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5"/>
      <c r="BY3" s="135"/>
      <c r="BZ3" s="135"/>
      <c r="CA3" s="135"/>
      <c r="CB3" s="135"/>
      <c r="CC3" s="135"/>
      <c r="CD3" s="135"/>
      <c r="CE3" s="135"/>
      <c r="CF3" s="135"/>
      <c r="CG3" s="135"/>
      <c r="CH3" s="135"/>
      <c r="CI3" s="135"/>
      <c r="CJ3" s="135"/>
      <c r="CK3" s="135"/>
      <c r="CL3" s="135"/>
      <c r="CM3" s="135"/>
      <c r="CN3" s="135"/>
      <c r="CO3" s="135"/>
      <c r="CP3" s="135"/>
      <c r="CQ3" s="135"/>
      <c r="CR3" s="135"/>
      <c r="CS3" s="135"/>
      <c r="CT3" s="135"/>
      <c r="CU3" s="135"/>
      <c r="CV3" s="135"/>
      <c r="CW3" s="135"/>
      <c r="CX3" s="135"/>
      <c r="CY3" s="135"/>
      <c r="CZ3" s="135"/>
      <c r="DA3" s="135"/>
      <c r="DB3" s="135"/>
      <c r="DC3" s="135"/>
      <c r="DD3" s="135"/>
      <c r="DE3" s="135"/>
      <c r="DF3" s="135"/>
      <c r="DG3" s="135"/>
      <c r="DH3" s="135"/>
      <c r="DI3" s="135"/>
      <c r="DJ3" s="135"/>
      <c r="DK3" s="135"/>
      <c r="DL3" s="135"/>
      <c r="DM3" s="135"/>
      <c r="DN3" s="135"/>
      <c r="DO3" s="135"/>
      <c r="DP3" s="135"/>
      <c r="DQ3" s="135"/>
      <c r="DR3" s="135"/>
      <c r="DS3" s="135"/>
      <c r="DT3" s="135"/>
      <c r="DU3" s="135"/>
      <c r="DV3" s="135"/>
      <c r="DW3" s="135"/>
      <c r="DX3" s="135"/>
      <c r="DY3" s="135"/>
      <c r="DZ3" s="135"/>
      <c r="EA3" s="139"/>
      <c r="EB3" s="139"/>
      <c r="EC3" s="139"/>
      <c r="ED3" s="139"/>
      <c r="EE3" s="139"/>
      <c r="EF3" s="139"/>
      <c r="EG3" s="139"/>
      <c r="EH3" s="139"/>
      <c r="EI3" s="139"/>
      <c r="EJ3" s="139"/>
      <c r="EK3" s="139"/>
      <c r="EL3" s="139"/>
      <c r="EM3" s="139"/>
      <c r="EN3" s="139"/>
      <c r="EO3" s="139"/>
      <c r="EP3" s="139"/>
      <c r="EQ3" s="139"/>
      <c r="ER3" s="139"/>
      <c r="ES3" s="139"/>
      <c r="ET3" s="139"/>
      <c r="EU3" s="139"/>
      <c r="EV3" s="139"/>
      <c r="EW3" s="139"/>
      <c r="EX3" s="139"/>
      <c r="EY3" s="139"/>
      <c r="EZ3" s="139"/>
      <c r="FA3" s="139"/>
      <c r="FB3" s="139"/>
      <c r="FC3" s="139"/>
      <c r="FD3" s="139"/>
      <c r="FE3" s="139"/>
      <c r="FF3" s="135"/>
      <c r="FG3" s="135"/>
    </row>
    <row r="4">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135"/>
      <c r="DZ4" s="140"/>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0"/>
      <c r="FG4" s="140"/>
    </row>
    <row r="5">
      <c r="A5" s="28"/>
      <c r="B5" s="142" t="s">
        <v>169</v>
      </c>
      <c r="C5" s="143"/>
      <c r="D5" s="144"/>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135"/>
      <c r="DZ5" s="140"/>
      <c r="EA5" s="141"/>
      <c r="EB5" s="141"/>
      <c r="EC5" s="141"/>
      <c r="ED5" s="141"/>
      <c r="EE5" s="141"/>
      <c r="EF5" s="141"/>
      <c r="EG5" s="141"/>
      <c r="EH5" s="141"/>
      <c r="EI5" s="141"/>
      <c r="EJ5" s="141"/>
      <c r="EK5" s="141"/>
      <c r="EL5" s="141"/>
      <c r="EM5" s="141"/>
      <c r="EN5" s="141"/>
      <c r="EO5" s="141"/>
      <c r="EP5" s="141"/>
      <c r="EQ5" s="141"/>
      <c r="ER5" s="141"/>
      <c r="ES5" s="141"/>
      <c r="ET5" s="141"/>
      <c r="EU5" s="141"/>
      <c r="EV5" s="141"/>
      <c r="EW5" s="141"/>
      <c r="EX5" s="141"/>
      <c r="EY5" s="141"/>
      <c r="EZ5" s="141"/>
      <c r="FA5" s="141"/>
      <c r="FB5" s="141"/>
      <c r="FC5" s="141"/>
      <c r="FD5" s="141"/>
      <c r="FE5" s="141"/>
      <c r="FF5" s="140"/>
      <c r="FG5" s="140"/>
    </row>
    <row r="6">
      <c r="A6" s="28"/>
      <c r="B6" s="145" t="s">
        <v>170</v>
      </c>
      <c r="C6" s="146"/>
      <c r="D6" s="146"/>
      <c r="E6" s="146"/>
      <c r="F6" s="146"/>
      <c r="G6" s="146"/>
      <c r="H6" s="146"/>
      <c r="I6" s="146"/>
      <c r="J6" s="146"/>
      <c r="K6" s="146"/>
      <c r="L6" s="146"/>
      <c r="M6" s="146"/>
      <c r="N6" s="146"/>
      <c r="O6" s="146"/>
      <c r="P6" s="146"/>
      <c r="Q6" s="147"/>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135"/>
      <c r="DZ6" s="140"/>
      <c r="EA6" s="141"/>
      <c r="EB6" s="141"/>
      <c r="EC6" s="141"/>
      <c r="ED6" s="141"/>
      <c r="EE6" s="141"/>
      <c r="EF6" s="141"/>
      <c r="EG6" s="141"/>
      <c r="EH6" s="141"/>
      <c r="EI6" s="141"/>
      <c r="EJ6" s="141"/>
      <c r="EK6" s="141"/>
      <c r="EL6" s="141"/>
      <c r="EM6" s="141"/>
      <c r="EN6" s="141"/>
      <c r="EO6" s="141"/>
      <c r="EP6" s="141"/>
      <c r="EQ6" s="141"/>
      <c r="ER6" s="141"/>
      <c r="ES6" s="141"/>
      <c r="ET6" s="141"/>
      <c r="EU6" s="141"/>
      <c r="EV6" s="141"/>
      <c r="EW6" s="141"/>
      <c r="EX6" s="141"/>
      <c r="EY6" s="141"/>
      <c r="EZ6" s="141"/>
      <c r="FA6" s="141"/>
      <c r="FB6" s="141"/>
      <c r="FC6" s="141"/>
      <c r="FD6" s="141"/>
      <c r="FE6" s="141"/>
      <c r="FF6" s="140"/>
      <c r="FG6" s="140"/>
    </row>
    <row r="7">
      <c r="A7" s="28"/>
      <c r="B7" s="148"/>
      <c r="Q7" s="149"/>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135"/>
      <c r="DZ7" s="140"/>
      <c r="EA7" s="141"/>
      <c r="EB7" s="141"/>
      <c r="EC7" s="141"/>
      <c r="ED7" s="141"/>
      <c r="EE7" s="141"/>
      <c r="EF7" s="141"/>
      <c r="EG7" s="141"/>
      <c r="EH7" s="141"/>
      <c r="EI7" s="141"/>
      <c r="EJ7" s="141"/>
      <c r="EK7" s="141"/>
      <c r="EL7" s="141"/>
      <c r="EM7" s="141"/>
      <c r="EN7" s="141"/>
      <c r="EO7" s="141"/>
      <c r="EP7" s="141"/>
      <c r="EQ7" s="141"/>
      <c r="ER7" s="141"/>
      <c r="ES7" s="141"/>
      <c r="ET7" s="141"/>
      <c r="EU7" s="141"/>
      <c r="EV7" s="141"/>
      <c r="EW7" s="141"/>
      <c r="EX7" s="141"/>
      <c r="EY7" s="141"/>
      <c r="EZ7" s="141"/>
      <c r="FA7" s="141"/>
      <c r="FB7" s="141"/>
      <c r="FC7" s="141"/>
      <c r="FD7" s="141"/>
      <c r="FE7" s="141"/>
      <c r="FF7" s="140"/>
      <c r="FG7" s="140"/>
    </row>
    <row r="8">
      <c r="A8" s="28"/>
      <c r="B8" s="150"/>
      <c r="C8" s="151"/>
      <c r="D8" s="151"/>
      <c r="E8" s="151"/>
      <c r="F8" s="151"/>
      <c r="G8" s="151"/>
      <c r="H8" s="151"/>
      <c r="I8" s="151"/>
      <c r="J8" s="151"/>
      <c r="K8" s="151"/>
      <c r="L8" s="151"/>
      <c r="M8" s="151"/>
      <c r="N8" s="151"/>
      <c r="O8" s="151"/>
      <c r="P8" s="151"/>
      <c r="Q8" s="152"/>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135"/>
      <c r="DZ8" s="140"/>
      <c r="EA8" s="141"/>
      <c r="EB8" s="141"/>
      <c r="EC8" s="141"/>
      <c r="ED8" s="141"/>
      <c r="EE8" s="141"/>
      <c r="EF8" s="141"/>
      <c r="EG8" s="141"/>
      <c r="EH8" s="141"/>
      <c r="EI8" s="141"/>
      <c r="EJ8" s="141"/>
      <c r="EK8" s="141"/>
      <c r="EL8" s="141"/>
      <c r="EM8" s="141"/>
      <c r="EN8" s="141"/>
      <c r="EO8" s="141"/>
      <c r="EP8" s="141"/>
      <c r="EQ8" s="141"/>
      <c r="ER8" s="141"/>
      <c r="ES8" s="141"/>
      <c r="ET8" s="141"/>
      <c r="EU8" s="141"/>
      <c r="EV8" s="141"/>
      <c r="EW8" s="141"/>
      <c r="EX8" s="141"/>
      <c r="EY8" s="141"/>
      <c r="EZ8" s="141"/>
      <c r="FA8" s="141"/>
      <c r="FB8" s="141"/>
      <c r="FC8" s="141"/>
      <c r="FD8" s="141"/>
      <c r="FE8" s="141"/>
      <c r="FF8" s="140"/>
      <c r="FG8" s="140"/>
    </row>
    <row r="9">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135"/>
      <c r="DZ9" s="140"/>
      <c r="EA9" s="141"/>
      <c r="EB9" s="141"/>
      <c r="EC9" s="141"/>
      <c r="ED9" s="141"/>
      <c r="EE9" s="141"/>
      <c r="EF9" s="141"/>
      <c r="EG9" s="141"/>
      <c r="EH9" s="141"/>
      <c r="EI9" s="141"/>
      <c r="EJ9" s="141"/>
      <c r="EK9" s="141"/>
      <c r="EL9" s="141"/>
      <c r="EM9" s="141"/>
      <c r="EN9" s="141"/>
      <c r="EO9" s="141"/>
      <c r="EP9" s="141"/>
      <c r="EQ9" s="141"/>
      <c r="ER9" s="141"/>
      <c r="ES9" s="141"/>
      <c r="ET9" s="141"/>
      <c r="EU9" s="141"/>
      <c r="EV9" s="141"/>
      <c r="EW9" s="141"/>
      <c r="EX9" s="141"/>
      <c r="EY9" s="141"/>
      <c r="EZ9" s="141"/>
      <c r="FA9" s="141"/>
      <c r="FB9" s="141"/>
      <c r="FC9" s="141"/>
      <c r="FD9" s="141"/>
      <c r="FE9" s="141"/>
      <c r="FF9" s="140"/>
      <c r="FG9" s="140"/>
    </row>
    <row r="10">
      <c r="A10" s="28"/>
      <c r="B10" s="153" t="s">
        <v>171</v>
      </c>
      <c r="C10" s="154"/>
      <c r="D10" s="154"/>
      <c r="E10" s="154"/>
      <c r="F10" s="155"/>
      <c r="G10" s="28"/>
      <c r="H10" s="28"/>
      <c r="I10" s="28"/>
      <c r="J10" s="28"/>
      <c r="K10" s="28"/>
      <c r="L10" s="28"/>
      <c r="M10" s="28"/>
      <c r="N10" s="28"/>
      <c r="O10" s="28"/>
      <c r="P10" s="28"/>
      <c r="Q10" s="28"/>
      <c r="R10" s="28"/>
      <c r="S10" s="28"/>
      <c r="T10" s="28"/>
      <c r="U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135"/>
      <c r="DZ10" s="140"/>
      <c r="EA10" s="141"/>
      <c r="EB10" s="141"/>
      <c r="EC10" s="141"/>
      <c r="ED10" s="141"/>
      <c r="EE10" s="141"/>
      <c r="EF10" s="141"/>
      <c r="EG10" s="141"/>
      <c r="EH10" s="141"/>
      <c r="EI10" s="141"/>
      <c r="EJ10" s="141"/>
      <c r="EK10" s="141"/>
      <c r="EL10" s="141"/>
      <c r="EM10" s="141"/>
      <c r="EN10" s="141"/>
      <c r="EO10" s="141"/>
      <c r="EP10" s="141"/>
      <c r="EQ10" s="141"/>
      <c r="ER10" s="141"/>
      <c r="ES10" s="141"/>
      <c r="ET10" s="141"/>
      <c r="EU10" s="141"/>
      <c r="EV10" s="141"/>
      <c r="EW10" s="141"/>
      <c r="EX10" s="141"/>
      <c r="EY10" s="141"/>
      <c r="EZ10" s="141"/>
      <c r="FA10" s="141"/>
      <c r="FB10" s="141"/>
      <c r="FC10" s="141"/>
      <c r="FD10" s="141"/>
      <c r="FE10" s="141"/>
      <c r="FF10" s="140"/>
      <c r="FG10" s="140"/>
    </row>
    <row r="11">
      <c r="A11" s="28"/>
      <c r="B11" s="156" t="s">
        <v>172</v>
      </c>
      <c r="C11" s="154"/>
      <c r="D11" s="154"/>
      <c r="E11" s="154"/>
      <c r="F11" s="155"/>
      <c r="G11" s="28"/>
      <c r="H11" s="28"/>
      <c r="I11" s="28"/>
      <c r="J11" s="28"/>
      <c r="K11" s="28"/>
      <c r="L11" s="28"/>
      <c r="M11" s="28"/>
      <c r="N11" s="28"/>
      <c r="O11" s="28"/>
      <c r="P11" s="28"/>
      <c r="Q11" s="28"/>
      <c r="R11" s="28"/>
      <c r="S11" s="28"/>
      <c r="T11" s="28"/>
      <c r="U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135"/>
      <c r="DZ11" s="140"/>
      <c r="EA11" s="141"/>
      <c r="EB11" s="141"/>
      <c r="EC11" s="141"/>
      <c r="ED11" s="141"/>
      <c r="EE11" s="141"/>
      <c r="EF11" s="141"/>
      <c r="EG11" s="141"/>
      <c r="EH11" s="141"/>
      <c r="EI11" s="141"/>
      <c r="EJ11" s="141"/>
      <c r="EK11" s="141"/>
      <c r="EL11" s="141"/>
      <c r="EM11" s="141"/>
      <c r="EN11" s="141"/>
      <c r="EO11" s="141"/>
      <c r="EP11" s="141"/>
      <c r="EQ11" s="141"/>
      <c r="ER11" s="141"/>
      <c r="ES11" s="141"/>
      <c r="ET11" s="141"/>
      <c r="EU11" s="141"/>
      <c r="EV11" s="141"/>
      <c r="EW11" s="141"/>
      <c r="EX11" s="141"/>
      <c r="EY11" s="141"/>
      <c r="EZ11" s="141"/>
      <c r="FA11" s="141"/>
      <c r="FB11" s="141"/>
      <c r="FC11" s="141"/>
      <c r="FD11" s="141"/>
      <c r="FE11" s="141"/>
      <c r="FF11" s="140"/>
      <c r="FG11" s="140"/>
    </row>
    <row r="12">
      <c r="A12" s="28"/>
      <c r="B12" s="28"/>
      <c r="C12" s="28"/>
      <c r="D12" s="28"/>
      <c r="E12" s="157" t="s">
        <v>173</v>
      </c>
      <c r="F12" s="28"/>
      <c r="G12" s="28"/>
      <c r="I12" s="28"/>
      <c r="J12" s="28"/>
      <c r="K12" s="157" t="s">
        <v>174</v>
      </c>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135"/>
      <c r="DZ12" s="140"/>
      <c r="EA12" s="141"/>
      <c r="EB12" s="141"/>
      <c r="EC12" s="141"/>
      <c r="ED12" s="141"/>
      <c r="EE12" s="141"/>
      <c r="EF12" s="141"/>
      <c r="EG12" s="141"/>
      <c r="EH12" s="141"/>
      <c r="EI12" s="141"/>
      <c r="EJ12" s="141"/>
      <c r="EK12" s="141"/>
      <c r="EL12" s="141"/>
      <c r="EM12" s="141"/>
      <c r="EN12" s="141"/>
      <c r="EO12" s="141"/>
      <c r="EP12" s="141"/>
      <c r="EQ12" s="141"/>
      <c r="ER12" s="141"/>
      <c r="ES12" s="141"/>
      <c r="ET12" s="141"/>
      <c r="EU12" s="141"/>
      <c r="EV12" s="141"/>
      <c r="EW12" s="141"/>
      <c r="EX12" s="141"/>
      <c r="EY12" s="141"/>
      <c r="EZ12" s="141"/>
      <c r="FA12" s="141"/>
      <c r="FB12" s="141"/>
      <c r="FC12" s="141"/>
      <c r="FD12" s="141"/>
      <c r="FE12" s="141"/>
      <c r="FF12" s="140"/>
      <c r="FG12" s="140"/>
    </row>
    <row r="13">
      <c r="A13" s="28"/>
      <c r="B13" s="158" t="s">
        <v>175</v>
      </c>
      <c r="C13" s="159"/>
      <c r="D13" s="159"/>
      <c r="E13" s="158" t="s">
        <v>176</v>
      </c>
      <c r="F13" s="154"/>
      <c r="G13" s="154"/>
      <c r="H13" s="158" t="s">
        <v>177</v>
      </c>
      <c r="I13" s="159"/>
      <c r="J13" s="159"/>
      <c r="K13" s="158" t="s">
        <v>178</v>
      </c>
      <c r="L13" s="159"/>
      <c r="M13" s="160"/>
      <c r="N13" s="161" t="s">
        <v>179</v>
      </c>
      <c r="O13" s="146"/>
      <c r="P13" s="147"/>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135"/>
      <c r="DZ13" s="140"/>
      <c r="EA13" s="141"/>
      <c r="EB13" s="141"/>
      <c r="EC13" s="141"/>
      <c r="ED13" s="141"/>
      <c r="EE13" s="141"/>
      <c r="EF13" s="141"/>
      <c r="EG13" s="141"/>
      <c r="EH13" s="141"/>
      <c r="EI13" s="141"/>
      <c r="EJ13" s="141"/>
      <c r="EK13" s="141"/>
      <c r="EL13" s="141"/>
      <c r="EM13" s="141"/>
      <c r="EN13" s="141"/>
      <c r="EO13" s="141"/>
      <c r="EP13" s="141"/>
      <c r="EQ13" s="141"/>
      <c r="ER13" s="141"/>
      <c r="ES13" s="141"/>
      <c r="ET13" s="141"/>
      <c r="EU13" s="141"/>
      <c r="EV13" s="141"/>
      <c r="EW13" s="141"/>
      <c r="EX13" s="141"/>
      <c r="EY13" s="141"/>
      <c r="EZ13" s="141"/>
      <c r="FA13" s="141"/>
      <c r="FB13" s="141"/>
      <c r="FC13" s="141"/>
      <c r="FD13" s="141"/>
      <c r="FE13" s="141"/>
      <c r="FF13" s="140"/>
      <c r="FG13" s="140"/>
    </row>
    <row r="14">
      <c r="A14" s="28"/>
      <c r="B14" s="162" t="s">
        <v>180</v>
      </c>
      <c r="C14" s="163"/>
      <c r="D14" s="164"/>
      <c r="E14" s="165" t="s">
        <v>181</v>
      </c>
      <c r="F14" s="163"/>
      <c r="G14" s="164"/>
      <c r="H14" s="165" t="s">
        <v>181</v>
      </c>
      <c r="I14" s="163"/>
      <c r="J14" s="164"/>
      <c r="K14" s="165">
        <v>100.0</v>
      </c>
      <c r="L14" s="163"/>
      <c r="M14" s="164"/>
      <c r="N14" s="166" t="s">
        <v>181</v>
      </c>
      <c r="O14" s="167"/>
      <c r="P14" s="16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135"/>
      <c r="DZ14" s="140"/>
      <c r="EA14" s="141"/>
      <c r="EB14" s="141"/>
      <c r="EC14" s="141"/>
      <c r="ED14" s="141"/>
      <c r="EE14" s="141"/>
      <c r="EF14" s="141"/>
      <c r="EG14" s="141"/>
      <c r="EH14" s="141"/>
      <c r="EI14" s="141"/>
      <c r="EJ14" s="141"/>
      <c r="EK14" s="141"/>
      <c r="EL14" s="141"/>
      <c r="EM14" s="141"/>
      <c r="EN14" s="141"/>
      <c r="EO14" s="141"/>
      <c r="EP14" s="141"/>
      <c r="EQ14" s="141"/>
      <c r="ER14" s="141"/>
      <c r="ES14" s="141"/>
      <c r="ET14" s="141"/>
      <c r="EU14" s="141"/>
      <c r="EV14" s="141"/>
      <c r="EW14" s="141"/>
      <c r="EX14" s="141"/>
      <c r="EY14" s="141"/>
      <c r="EZ14" s="141"/>
      <c r="FA14" s="141"/>
      <c r="FB14" s="141"/>
      <c r="FC14" s="141"/>
      <c r="FD14" s="141"/>
      <c r="FE14" s="141"/>
      <c r="FF14" s="140"/>
      <c r="FG14" s="140"/>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135"/>
      <c r="DZ15" s="140"/>
      <c r="EA15" s="141"/>
      <c r="EB15" s="141"/>
      <c r="EC15" s="141"/>
      <c r="ED15" s="141"/>
      <c r="EE15" s="141"/>
      <c r="EF15" s="141"/>
      <c r="EG15" s="141"/>
      <c r="EH15" s="141"/>
      <c r="EI15" s="141"/>
      <c r="EJ15" s="141"/>
      <c r="EK15" s="141"/>
      <c r="EL15" s="141"/>
      <c r="EM15" s="141"/>
      <c r="EN15" s="141"/>
      <c r="EO15" s="141"/>
      <c r="EP15" s="141"/>
      <c r="EQ15" s="141"/>
      <c r="ER15" s="141"/>
      <c r="ES15" s="141"/>
      <c r="ET15" s="141"/>
      <c r="EU15" s="141"/>
      <c r="EV15" s="141"/>
      <c r="EW15" s="141"/>
      <c r="EX15" s="141"/>
      <c r="EY15" s="141"/>
      <c r="EZ15" s="141"/>
      <c r="FA15" s="141"/>
      <c r="FB15" s="141"/>
      <c r="FC15" s="141"/>
      <c r="FD15" s="141"/>
      <c r="FE15" s="141"/>
      <c r="FF15" s="140"/>
      <c r="FG15" s="140"/>
    </row>
    <row r="16">
      <c r="A16" s="137"/>
      <c r="B16" s="138" t="s">
        <v>182</v>
      </c>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c r="AV16" s="135"/>
      <c r="AW16" s="135"/>
      <c r="AX16" s="135"/>
      <c r="AY16" s="135"/>
      <c r="AZ16" s="135"/>
      <c r="BA16" s="135"/>
      <c r="BB16" s="135"/>
      <c r="BC16" s="135"/>
      <c r="BD16" s="135"/>
      <c r="BE16" s="135"/>
      <c r="BF16" s="135"/>
      <c r="BG16" s="135"/>
      <c r="BH16" s="135"/>
      <c r="BI16" s="135"/>
      <c r="BJ16" s="135"/>
      <c r="BK16" s="135"/>
      <c r="BL16" s="135"/>
      <c r="BM16" s="135"/>
      <c r="BN16" s="135"/>
      <c r="BO16" s="135"/>
      <c r="BP16" s="135"/>
      <c r="BQ16" s="135"/>
      <c r="BR16" s="135"/>
      <c r="BS16" s="135"/>
      <c r="BT16" s="135"/>
      <c r="BU16" s="135"/>
      <c r="BV16" s="135"/>
      <c r="BW16" s="135"/>
      <c r="BX16" s="135"/>
      <c r="BY16" s="135"/>
      <c r="BZ16" s="135"/>
      <c r="CA16" s="135"/>
      <c r="CB16" s="135"/>
      <c r="CC16" s="135"/>
      <c r="CD16" s="135"/>
      <c r="CE16" s="135"/>
      <c r="CF16" s="135"/>
      <c r="CG16" s="135"/>
      <c r="CH16" s="135"/>
      <c r="CI16" s="135"/>
      <c r="CJ16" s="135"/>
      <c r="CK16" s="135"/>
      <c r="CL16" s="135"/>
      <c r="CM16" s="135"/>
      <c r="CN16" s="135"/>
      <c r="CO16" s="135"/>
      <c r="CP16" s="135"/>
      <c r="CQ16" s="135"/>
      <c r="CR16" s="135"/>
      <c r="CS16" s="135"/>
      <c r="CT16" s="135"/>
      <c r="CU16" s="135"/>
      <c r="CV16" s="135"/>
      <c r="CW16" s="135"/>
      <c r="CX16" s="135"/>
      <c r="CY16" s="135"/>
      <c r="CZ16" s="135"/>
      <c r="DA16" s="135"/>
      <c r="DB16" s="135"/>
      <c r="DC16" s="135"/>
      <c r="DD16" s="135"/>
      <c r="DE16" s="135"/>
      <c r="DF16" s="135"/>
      <c r="DG16" s="135"/>
      <c r="DH16" s="135"/>
      <c r="DI16" s="135"/>
      <c r="DJ16" s="135"/>
      <c r="DK16" s="135"/>
      <c r="DL16" s="135"/>
      <c r="DM16" s="135"/>
      <c r="DN16" s="135"/>
      <c r="DO16" s="135"/>
      <c r="DP16" s="135"/>
      <c r="DQ16" s="135"/>
      <c r="DR16" s="135"/>
      <c r="DS16" s="135"/>
      <c r="DT16" s="135"/>
      <c r="DU16" s="135"/>
      <c r="DV16" s="135"/>
      <c r="DW16" s="135"/>
      <c r="DX16" s="135"/>
      <c r="DY16" s="135"/>
      <c r="DZ16" s="140"/>
      <c r="EA16" s="141"/>
      <c r="EB16" s="141"/>
      <c r="EC16" s="141"/>
      <c r="ED16" s="141"/>
      <c r="EE16" s="141"/>
      <c r="EF16" s="141"/>
      <c r="EG16" s="141"/>
      <c r="EH16" s="141"/>
      <c r="EI16" s="141"/>
      <c r="EJ16" s="141"/>
      <c r="EK16" s="141"/>
      <c r="EL16" s="141"/>
      <c r="EM16" s="141"/>
      <c r="EN16" s="141"/>
      <c r="EO16" s="141"/>
      <c r="EP16" s="141"/>
      <c r="EQ16" s="141"/>
      <c r="ER16" s="141"/>
      <c r="ES16" s="141"/>
      <c r="ET16" s="141"/>
      <c r="EU16" s="141"/>
      <c r="EV16" s="141"/>
      <c r="EW16" s="141"/>
      <c r="EX16" s="141"/>
      <c r="EY16" s="141"/>
      <c r="EZ16" s="141"/>
      <c r="FA16" s="141"/>
      <c r="FB16" s="141"/>
      <c r="FC16" s="141"/>
      <c r="FD16" s="141"/>
      <c r="FE16" s="141"/>
      <c r="FF16" s="140"/>
      <c r="FG16" s="140"/>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135"/>
      <c r="DZ17" s="140"/>
      <c r="EA17" s="141"/>
      <c r="EB17" s="141"/>
      <c r="EC17" s="141"/>
      <c r="ED17" s="141"/>
      <c r="EE17" s="141"/>
      <c r="EF17" s="141"/>
      <c r="EG17" s="141"/>
      <c r="EH17" s="141"/>
      <c r="EI17" s="141"/>
      <c r="EJ17" s="141"/>
      <c r="EK17" s="141"/>
      <c r="EL17" s="141"/>
      <c r="EM17" s="141"/>
      <c r="EN17" s="141"/>
      <c r="EO17" s="141"/>
      <c r="EP17" s="141"/>
      <c r="EQ17" s="141"/>
      <c r="ER17" s="141"/>
      <c r="ES17" s="141"/>
      <c r="ET17" s="141"/>
      <c r="EU17" s="141"/>
      <c r="EV17" s="141"/>
      <c r="EW17" s="141"/>
      <c r="EX17" s="141"/>
      <c r="EY17" s="141"/>
      <c r="EZ17" s="141"/>
      <c r="FA17" s="141"/>
      <c r="FB17" s="141"/>
      <c r="FC17" s="141"/>
      <c r="FD17" s="141"/>
      <c r="FE17" s="141"/>
      <c r="FF17" s="140"/>
      <c r="FG17" s="140"/>
    </row>
    <row r="18">
      <c r="A18" s="169"/>
      <c r="B18" s="170" t="s">
        <v>183</v>
      </c>
      <c r="C18" s="155"/>
      <c r="D18" s="170" t="s">
        <v>184</v>
      </c>
      <c r="E18" s="154"/>
      <c r="F18" s="170" t="s">
        <v>185</v>
      </c>
      <c r="G18" s="155"/>
      <c r="H18" s="170" t="s">
        <v>186</v>
      </c>
      <c r="I18" s="154"/>
      <c r="J18" s="170" t="s">
        <v>187</v>
      </c>
      <c r="K18" s="154"/>
      <c r="L18" s="170" t="s">
        <v>188</v>
      </c>
      <c r="M18" s="154"/>
      <c r="N18" s="170" t="s">
        <v>189</v>
      </c>
      <c r="O18" s="154"/>
      <c r="P18" s="171" t="s">
        <v>190</v>
      </c>
      <c r="Q18" s="154"/>
      <c r="R18" s="28"/>
      <c r="S18" s="28"/>
      <c r="T18" s="110"/>
      <c r="U18" s="158" t="s">
        <v>191</v>
      </c>
      <c r="V18" s="154"/>
      <c r="W18" s="154"/>
      <c r="X18" s="154"/>
      <c r="Y18" s="154"/>
      <c r="Z18" s="158" t="s">
        <v>192</v>
      </c>
      <c r="AA18" s="154"/>
      <c r="AB18" s="158" t="s">
        <v>193</v>
      </c>
      <c r="AC18" s="154"/>
      <c r="AD18" s="172" t="s">
        <v>194</v>
      </c>
      <c r="AE18" s="154"/>
      <c r="AF18" s="154"/>
      <c r="AG18" s="154"/>
      <c r="AH18" s="154"/>
      <c r="AI18" s="172" t="s">
        <v>192</v>
      </c>
      <c r="AJ18" s="154"/>
      <c r="AK18" s="172" t="s">
        <v>193</v>
      </c>
      <c r="AL18" s="154"/>
      <c r="AM18" s="173" t="s">
        <v>195</v>
      </c>
      <c r="AN18" s="154"/>
      <c r="AO18" s="154"/>
      <c r="AP18" s="154"/>
      <c r="AQ18" s="154"/>
      <c r="AR18" s="173" t="s">
        <v>192</v>
      </c>
      <c r="AS18" s="154"/>
      <c r="AT18" s="173" t="s">
        <v>193</v>
      </c>
      <c r="AU18" s="154"/>
      <c r="AV18" s="174" t="s">
        <v>196</v>
      </c>
      <c r="AW18" s="154"/>
      <c r="AX18" s="154"/>
      <c r="AY18" s="154"/>
      <c r="AZ18" s="154"/>
      <c r="BA18" s="175" t="s">
        <v>192</v>
      </c>
      <c r="BB18" s="154"/>
      <c r="BC18" s="175" t="s">
        <v>193</v>
      </c>
      <c r="BD18" s="154"/>
      <c r="BE18" s="169"/>
      <c r="BF18" s="169"/>
      <c r="BG18" s="169"/>
      <c r="BH18" s="169"/>
      <c r="BI18" s="169"/>
      <c r="BJ18" s="169"/>
      <c r="BK18" s="169"/>
      <c r="BL18" s="169"/>
      <c r="BM18" s="169"/>
      <c r="BN18" s="169"/>
      <c r="BO18" s="169"/>
      <c r="BP18" s="169"/>
      <c r="BQ18" s="169"/>
      <c r="BR18" s="169"/>
      <c r="BS18" s="169"/>
      <c r="BT18" s="169"/>
      <c r="BU18" s="169"/>
      <c r="BV18" s="169"/>
      <c r="BW18" s="169"/>
      <c r="BX18" s="169"/>
      <c r="BY18" s="169"/>
      <c r="BZ18" s="169"/>
      <c r="CA18" s="169"/>
      <c r="CB18" s="169"/>
      <c r="CC18" s="169"/>
      <c r="CD18" s="169"/>
      <c r="CE18" s="169"/>
      <c r="CF18" s="169"/>
      <c r="CG18" s="169"/>
      <c r="CH18" s="169"/>
      <c r="CI18" s="169"/>
      <c r="CJ18" s="169"/>
      <c r="CK18" s="169"/>
      <c r="CL18" s="169"/>
      <c r="CM18" s="169"/>
      <c r="CN18" s="169"/>
      <c r="CO18" s="169"/>
      <c r="CP18" s="169"/>
      <c r="CQ18" s="169"/>
      <c r="CR18" s="169"/>
      <c r="CS18" s="169"/>
      <c r="CT18" s="169"/>
      <c r="CU18" s="169"/>
      <c r="CV18" s="169"/>
      <c r="CW18" s="169"/>
      <c r="CX18" s="169"/>
      <c r="CY18" s="169"/>
      <c r="CZ18" s="169"/>
      <c r="DA18" s="169"/>
      <c r="DB18" s="169"/>
      <c r="DC18" s="169"/>
      <c r="DD18" s="169"/>
      <c r="DE18" s="169"/>
      <c r="DF18" s="169"/>
      <c r="DG18" s="169"/>
      <c r="DH18" s="169"/>
      <c r="DI18" s="169"/>
      <c r="DJ18" s="169"/>
      <c r="DK18" s="169"/>
      <c r="DL18" s="169"/>
      <c r="DM18" s="169"/>
      <c r="DN18" s="169"/>
      <c r="DO18" s="169"/>
      <c r="DP18" s="169"/>
      <c r="DQ18" s="169"/>
      <c r="DR18" s="169"/>
      <c r="DS18" s="169"/>
      <c r="DT18" s="169"/>
      <c r="DU18" s="169"/>
      <c r="DV18" s="169"/>
      <c r="DW18" s="169"/>
      <c r="DX18" s="169"/>
      <c r="DY18" s="176"/>
      <c r="DZ18" s="177"/>
      <c r="EA18" s="178"/>
      <c r="EB18" s="178"/>
      <c r="EC18" s="178"/>
      <c r="ED18" s="178"/>
      <c r="EE18" s="178"/>
      <c r="EF18" s="178"/>
      <c r="EG18" s="178"/>
      <c r="EH18" s="178"/>
      <c r="EI18" s="178"/>
      <c r="EJ18" s="178"/>
      <c r="EK18" s="178"/>
      <c r="EL18" s="178"/>
      <c r="EM18" s="178"/>
      <c r="EN18" s="178"/>
      <c r="EO18" s="178"/>
      <c r="EP18" s="178"/>
      <c r="EQ18" s="178"/>
      <c r="ER18" s="178"/>
      <c r="ES18" s="178"/>
      <c r="ET18" s="178"/>
      <c r="EU18" s="178"/>
      <c r="EV18" s="178"/>
      <c r="EW18" s="178"/>
      <c r="EX18" s="178"/>
      <c r="EY18" s="178"/>
      <c r="EZ18" s="178"/>
      <c r="FA18" s="178"/>
      <c r="FB18" s="178"/>
      <c r="FC18" s="178"/>
      <c r="FD18" s="178"/>
      <c r="FE18" s="178"/>
      <c r="FF18" s="177"/>
      <c r="FG18" s="177"/>
    </row>
    <row r="19">
      <c r="A19" s="169"/>
      <c r="B19" s="179" t="s">
        <v>197</v>
      </c>
      <c r="C19" s="155"/>
      <c r="D19" s="180">
        <v>1.0</v>
      </c>
      <c r="E19" s="154"/>
      <c r="F19" s="179" t="str">
        <f t="shared" ref="F19:F20" si="1">iferror(vlookup(D19,'行パターン'!$A$2:$C48,2,false),"error")</f>
        <v>error</v>
      </c>
      <c r="G19" s="155"/>
      <c r="H19" s="179">
        <v>0.55</v>
      </c>
      <c r="I19" s="155"/>
      <c r="J19" s="179" t="str">
        <f t="shared" ref="J19:J20" si="2">iferror(INDEX('行パターン'!D:D,MATCH(D19,'行パターン'!A:A,0),0),"error")</f>
        <v>error</v>
      </c>
      <c r="K19" s="155"/>
      <c r="L19" s="179" t="str">
        <f t="shared" ref="L19:L21" si="3">iferror(if(sum(J19)=1,"none",INDEX('行パターン'!E:E,MATCH($D19,'行パターン'!$A:$A,0),0)),"")</f>
        <v/>
      </c>
      <c r="M19" s="155"/>
      <c r="N19" s="179" t="str">
        <f t="shared" ref="N19:N21" si="4">iferror(if(sum(J19:M19)=1,"none",INDEX('行パターン'!F:F,MATCH($D19,'行パターン'!$A:$A,0),0)),"")</f>
        <v/>
      </c>
      <c r="O19" s="155"/>
      <c r="P19" s="181" t="str">
        <f t="shared" ref="P19:P20" si="5">iferror(if(sum(J19:O19)=1,"none",INDEX('行パターン'!G:G,MATCH($D19,'行パターン'!$A:$A,0),0)),"")</f>
        <v/>
      </c>
      <c r="Q19" s="155"/>
      <c r="R19" s="28"/>
      <c r="S19" s="28"/>
      <c r="T19" s="110"/>
      <c r="U19" s="182"/>
      <c r="V19" s="154"/>
      <c r="W19" s="154"/>
      <c r="X19" s="154"/>
      <c r="Y19" s="155"/>
      <c r="Z19" s="183"/>
      <c r="AA19" s="155"/>
      <c r="AB19" s="183"/>
      <c r="AC19" s="155"/>
      <c r="AD19" s="182"/>
      <c r="AE19" s="154"/>
      <c r="AF19" s="154"/>
      <c r="AG19" s="154"/>
      <c r="AH19" s="155"/>
      <c r="AI19" s="183"/>
      <c r="AJ19" s="155"/>
      <c r="AK19" s="183"/>
      <c r="AL19" s="155"/>
      <c r="AM19" s="182"/>
      <c r="AN19" s="154"/>
      <c r="AO19" s="154"/>
      <c r="AP19" s="154"/>
      <c r="AQ19" s="155"/>
      <c r="AR19" s="183"/>
      <c r="AS19" s="155"/>
      <c r="AT19" s="183"/>
      <c r="AU19" s="155"/>
      <c r="AV19" s="182"/>
      <c r="AW19" s="154"/>
      <c r="AX19" s="154"/>
      <c r="AY19" s="154"/>
      <c r="AZ19" s="155"/>
      <c r="BA19" s="183"/>
      <c r="BB19" s="155"/>
      <c r="BC19" s="183"/>
      <c r="BD19" s="155"/>
      <c r="BE19" s="169"/>
      <c r="BF19" s="169"/>
      <c r="BG19" s="169"/>
      <c r="BH19" s="169"/>
      <c r="BI19" s="169"/>
      <c r="BJ19" s="169"/>
      <c r="BK19" s="169"/>
      <c r="BL19" s="169"/>
      <c r="BM19" s="169"/>
      <c r="BN19" s="169"/>
      <c r="BO19" s="169"/>
      <c r="BP19" s="169"/>
      <c r="BQ19" s="169"/>
      <c r="BR19" s="169"/>
      <c r="BS19" s="169"/>
      <c r="BT19" s="169"/>
      <c r="BU19" s="169"/>
      <c r="BV19" s="169"/>
      <c r="BW19" s="169"/>
      <c r="BX19" s="169"/>
      <c r="BY19" s="169"/>
      <c r="BZ19" s="169"/>
      <c r="CA19" s="169"/>
      <c r="CB19" s="169"/>
      <c r="CC19" s="169"/>
      <c r="CD19" s="169"/>
      <c r="CE19" s="169"/>
      <c r="CF19" s="169"/>
      <c r="CG19" s="169"/>
      <c r="CH19" s="169"/>
      <c r="CI19" s="169"/>
      <c r="CJ19" s="169"/>
      <c r="CK19" s="169"/>
      <c r="CL19" s="169"/>
      <c r="CM19" s="169"/>
      <c r="CN19" s="169"/>
      <c r="CO19" s="169"/>
      <c r="CP19" s="169"/>
      <c r="CQ19" s="169"/>
      <c r="CR19" s="169"/>
      <c r="CS19" s="169"/>
      <c r="CT19" s="169"/>
      <c r="CU19" s="169"/>
      <c r="CV19" s="169"/>
      <c r="CW19" s="169"/>
      <c r="CX19" s="169"/>
      <c r="CY19" s="169"/>
      <c r="CZ19" s="169"/>
      <c r="DA19" s="169"/>
      <c r="DB19" s="169"/>
      <c r="DC19" s="169"/>
      <c r="DD19" s="169"/>
      <c r="DE19" s="169"/>
      <c r="DF19" s="169"/>
      <c r="DG19" s="169"/>
      <c r="DH19" s="169"/>
      <c r="DI19" s="169"/>
      <c r="DJ19" s="169"/>
      <c r="DK19" s="169"/>
      <c r="DL19" s="169"/>
      <c r="DM19" s="169"/>
      <c r="DN19" s="169"/>
      <c r="DO19" s="169"/>
      <c r="DP19" s="169"/>
      <c r="DQ19" s="169"/>
      <c r="DR19" s="169"/>
      <c r="DS19" s="169"/>
      <c r="DT19" s="169"/>
      <c r="DU19" s="169"/>
      <c r="DV19" s="169"/>
      <c r="DW19" s="169"/>
      <c r="DX19" s="169"/>
      <c r="DY19" s="176"/>
      <c r="DZ19" s="184"/>
      <c r="EA19" s="185"/>
      <c r="EB19" s="185"/>
      <c r="EC19" s="185"/>
      <c r="ED19" s="185"/>
      <c r="EE19" s="185"/>
      <c r="EF19" s="185"/>
      <c r="EG19" s="185"/>
      <c r="EH19" s="185"/>
      <c r="EI19" s="185"/>
      <c r="EJ19" s="185"/>
      <c r="EK19" s="185"/>
      <c r="EL19" s="185"/>
      <c r="EM19" s="185"/>
      <c r="EN19" s="185"/>
      <c r="EO19" s="185"/>
      <c r="EP19" s="185"/>
      <c r="EQ19" s="185"/>
      <c r="ER19" s="185"/>
      <c r="ES19" s="185"/>
      <c r="ET19" s="185"/>
      <c r="EU19" s="185"/>
      <c r="EV19" s="185"/>
      <c r="EW19" s="185"/>
      <c r="EX19" s="185"/>
      <c r="EY19" s="185"/>
      <c r="EZ19" s="185"/>
      <c r="FA19" s="185"/>
      <c r="FB19" s="185"/>
      <c r="FC19" s="185"/>
      <c r="FD19" s="185"/>
      <c r="FE19" s="185"/>
      <c r="FF19" s="184"/>
      <c r="FG19" s="177"/>
    </row>
    <row r="20">
      <c r="A20" s="169"/>
      <c r="B20" s="179" t="s">
        <v>198</v>
      </c>
      <c r="C20" s="155"/>
      <c r="D20" s="180">
        <v>10.0</v>
      </c>
      <c r="E20" s="154"/>
      <c r="F20" s="179" t="str">
        <f t="shared" si="1"/>
        <v>error</v>
      </c>
      <c r="G20" s="155"/>
      <c r="H20" s="179">
        <v>0.55</v>
      </c>
      <c r="I20" s="155"/>
      <c r="J20" s="179" t="str">
        <f t="shared" si="2"/>
        <v>error</v>
      </c>
      <c r="K20" s="155"/>
      <c r="L20" s="179" t="str">
        <f t="shared" si="3"/>
        <v/>
      </c>
      <c r="M20" s="155"/>
      <c r="N20" s="179" t="str">
        <f t="shared" si="4"/>
        <v/>
      </c>
      <c r="O20" s="155"/>
      <c r="P20" s="181" t="str">
        <f t="shared" si="5"/>
        <v/>
      </c>
      <c r="Q20" s="155"/>
      <c r="R20" s="28"/>
      <c r="S20" s="28"/>
      <c r="T20" s="110"/>
      <c r="U20" s="182"/>
      <c r="V20" s="154"/>
      <c r="W20" s="154"/>
      <c r="X20" s="154"/>
      <c r="Y20" s="155"/>
      <c r="Z20" s="183"/>
      <c r="AA20" s="155"/>
      <c r="AB20" s="183"/>
      <c r="AC20" s="155"/>
      <c r="AD20" s="182"/>
      <c r="AE20" s="154"/>
      <c r="AF20" s="154"/>
      <c r="AG20" s="154"/>
      <c r="AH20" s="155"/>
      <c r="AI20" s="183"/>
      <c r="AJ20" s="155"/>
      <c r="AK20" s="183"/>
      <c r="AL20" s="155"/>
      <c r="AM20" s="182"/>
      <c r="AN20" s="154"/>
      <c r="AO20" s="154"/>
      <c r="AP20" s="154"/>
      <c r="AQ20" s="155"/>
      <c r="AR20" s="183"/>
      <c r="AS20" s="155"/>
      <c r="AT20" s="183"/>
      <c r="AU20" s="155"/>
      <c r="AV20" s="182"/>
      <c r="AW20" s="154"/>
      <c r="AX20" s="154"/>
      <c r="AY20" s="154"/>
      <c r="AZ20" s="155"/>
      <c r="BA20" s="183"/>
      <c r="BB20" s="155"/>
      <c r="BC20" s="183"/>
      <c r="BD20" s="155"/>
      <c r="BE20" s="169"/>
      <c r="BF20" s="169"/>
      <c r="BG20" s="169"/>
      <c r="BH20" s="169"/>
      <c r="BI20" s="169"/>
      <c r="BJ20" s="169"/>
      <c r="BK20" s="169"/>
      <c r="BL20" s="169"/>
      <c r="BM20" s="169"/>
      <c r="BN20" s="169"/>
      <c r="BO20" s="169"/>
      <c r="BP20" s="169"/>
      <c r="BQ20" s="169"/>
      <c r="BR20" s="169"/>
      <c r="BS20" s="169"/>
      <c r="BT20" s="169"/>
      <c r="BU20" s="169"/>
      <c r="BV20" s="169"/>
      <c r="BW20" s="169"/>
      <c r="BX20" s="169"/>
      <c r="BY20" s="169"/>
      <c r="BZ20" s="169"/>
      <c r="CA20" s="169"/>
      <c r="CB20" s="169"/>
      <c r="CC20" s="169"/>
      <c r="CD20" s="169"/>
      <c r="CE20" s="169"/>
      <c r="CF20" s="169"/>
      <c r="CG20" s="169"/>
      <c r="CH20" s="169"/>
      <c r="CI20" s="169"/>
      <c r="CJ20" s="169"/>
      <c r="CK20" s="169"/>
      <c r="CL20" s="169"/>
      <c r="CM20" s="169"/>
      <c r="CN20" s="169"/>
      <c r="CO20" s="169"/>
      <c r="CP20" s="169"/>
      <c r="CQ20" s="169"/>
      <c r="CR20" s="169"/>
      <c r="CS20" s="169"/>
      <c r="CT20" s="169"/>
      <c r="CU20" s="169"/>
      <c r="CV20" s="169"/>
      <c r="CW20" s="169"/>
      <c r="CX20" s="169"/>
      <c r="CY20" s="169"/>
      <c r="CZ20" s="169"/>
      <c r="DA20" s="169"/>
      <c r="DB20" s="169"/>
      <c r="DC20" s="169"/>
      <c r="DD20" s="169"/>
      <c r="DE20" s="169"/>
      <c r="DF20" s="169"/>
      <c r="DG20" s="169"/>
      <c r="DH20" s="169"/>
      <c r="DI20" s="169"/>
      <c r="DJ20" s="169"/>
      <c r="DK20" s="169"/>
      <c r="DL20" s="169"/>
      <c r="DM20" s="169"/>
      <c r="DN20" s="169"/>
      <c r="DO20" s="169"/>
      <c r="DP20" s="169"/>
      <c r="DQ20" s="169"/>
      <c r="DR20" s="169"/>
      <c r="DS20" s="169"/>
      <c r="DT20" s="169"/>
      <c r="DU20" s="169"/>
      <c r="DV20" s="169"/>
      <c r="DW20" s="169"/>
      <c r="DX20" s="169"/>
      <c r="DY20" s="176"/>
      <c r="DZ20" s="177"/>
      <c r="EA20" s="178"/>
      <c r="EB20" s="178"/>
      <c r="EC20" s="178"/>
      <c r="ED20" s="178"/>
      <c r="EE20" s="178"/>
      <c r="EF20" s="178"/>
      <c r="EG20" s="178"/>
      <c r="EH20" s="178"/>
      <c r="EI20" s="178"/>
      <c r="EJ20" s="178"/>
      <c r="EK20" s="178"/>
      <c r="EL20" s="178"/>
      <c r="EM20" s="178"/>
      <c r="EN20" s="178"/>
      <c r="EO20" s="178"/>
      <c r="EP20" s="178"/>
      <c r="EQ20" s="178"/>
      <c r="ER20" s="178"/>
      <c r="ES20" s="178"/>
      <c r="ET20" s="178"/>
      <c r="EU20" s="178"/>
      <c r="EV20" s="178"/>
      <c r="EW20" s="178"/>
      <c r="EX20" s="178"/>
      <c r="EY20" s="178"/>
      <c r="EZ20" s="178"/>
      <c r="FA20" s="178"/>
      <c r="FB20" s="178"/>
      <c r="FC20" s="178"/>
      <c r="FD20" s="178"/>
      <c r="FE20" s="178"/>
      <c r="FF20" s="177"/>
      <c r="FG20" s="177"/>
    </row>
    <row r="21">
      <c r="A21" s="169"/>
      <c r="B21" s="179" t="s">
        <v>199</v>
      </c>
      <c r="C21" s="155"/>
      <c r="D21" s="180"/>
      <c r="E21" s="154"/>
      <c r="F21" s="179" t="str">
        <f>iferror(vlookup(D21,'行パターン'!$A$2:$C48,2,false)," ")</f>
        <v> </v>
      </c>
      <c r="G21" s="155"/>
      <c r="H21" s="179"/>
      <c r="I21" s="155"/>
      <c r="J21" s="179" t="str">
        <f t="array" ref="J21">iferror(INDEX('行パターン'!D:D,MATCH(D21,'行パターン'!A:A,0),0)," ")</f>
        <v> </v>
      </c>
      <c r="K21" s="155"/>
      <c r="L21" s="179" t="str">
        <f t="shared" si="3"/>
        <v/>
      </c>
      <c r="M21" s="155"/>
      <c r="N21" s="179" t="str">
        <f t="shared" si="4"/>
        <v/>
      </c>
      <c r="O21" s="155"/>
      <c r="P21" s="181" t="str">
        <f t="array" ref="P21">iferror(if(sum(J21:O21)=1,"none",INDEX('行パターン'!H:H,MATCH($D21,'行パターン'!$A:$A,0),0)),"")</f>
        <v/>
      </c>
      <c r="Q21" s="155"/>
      <c r="R21" s="28"/>
      <c r="S21" s="28"/>
      <c r="T21" s="110"/>
      <c r="U21" s="182"/>
      <c r="V21" s="154"/>
      <c r="W21" s="154"/>
      <c r="X21" s="154"/>
      <c r="Y21" s="155"/>
      <c r="Z21" s="183"/>
      <c r="AA21" s="155"/>
      <c r="AB21" s="183"/>
      <c r="AC21" s="155"/>
      <c r="AD21" s="182"/>
      <c r="AE21" s="154"/>
      <c r="AF21" s="154"/>
      <c r="AG21" s="154"/>
      <c r="AH21" s="155"/>
      <c r="AI21" s="183"/>
      <c r="AJ21" s="155"/>
      <c r="AK21" s="183"/>
      <c r="AL21" s="155"/>
      <c r="AM21" s="182"/>
      <c r="AN21" s="154"/>
      <c r="AO21" s="154"/>
      <c r="AP21" s="154"/>
      <c r="AQ21" s="155"/>
      <c r="AR21" s="183"/>
      <c r="AS21" s="155"/>
      <c r="AT21" s="183"/>
      <c r="AU21" s="155"/>
      <c r="AV21" s="182"/>
      <c r="AW21" s="154"/>
      <c r="AX21" s="154"/>
      <c r="AY21" s="154"/>
      <c r="AZ21" s="155"/>
      <c r="BA21" s="183"/>
      <c r="BB21" s="155"/>
      <c r="BC21" s="183"/>
      <c r="BD21" s="155"/>
      <c r="BE21" s="169"/>
      <c r="BF21" s="169"/>
      <c r="BG21" s="169"/>
      <c r="BH21" s="169"/>
      <c r="BI21" s="169"/>
      <c r="BJ21" s="169"/>
      <c r="BK21" s="169"/>
      <c r="BL21" s="169"/>
      <c r="BM21" s="169"/>
      <c r="BN21" s="169"/>
      <c r="BO21" s="169"/>
      <c r="BP21" s="169"/>
      <c r="BQ21" s="169"/>
      <c r="BR21" s="169"/>
      <c r="BS21" s="169"/>
      <c r="BT21" s="169"/>
      <c r="BU21" s="169"/>
      <c r="BV21" s="169"/>
      <c r="BW21" s="169"/>
      <c r="BX21" s="169"/>
      <c r="BY21" s="169"/>
      <c r="BZ21" s="169"/>
      <c r="CA21" s="169"/>
      <c r="CB21" s="169"/>
      <c r="CC21" s="169"/>
      <c r="CD21" s="169"/>
      <c r="CE21" s="169"/>
      <c r="CF21" s="169"/>
      <c r="CG21" s="169"/>
      <c r="CH21" s="169"/>
      <c r="CI21" s="169"/>
      <c r="CJ21" s="169"/>
      <c r="CK21" s="169"/>
      <c r="CL21" s="169"/>
      <c r="CM21" s="169"/>
      <c r="CN21" s="169"/>
      <c r="CO21" s="169"/>
      <c r="CP21" s="169"/>
      <c r="CQ21" s="169"/>
      <c r="CR21" s="169"/>
      <c r="CS21" s="169"/>
      <c r="CT21" s="169"/>
      <c r="CU21" s="169"/>
      <c r="CV21" s="169"/>
      <c r="CW21" s="169"/>
      <c r="CX21" s="169"/>
      <c r="CY21" s="169"/>
      <c r="CZ21" s="169"/>
      <c r="DA21" s="169"/>
      <c r="DB21" s="169"/>
      <c r="DC21" s="169"/>
      <c r="DD21" s="169"/>
      <c r="DE21" s="169"/>
      <c r="DF21" s="169"/>
      <c r="DG21" s="169"/>
      <c r="DH21" s="169"/>
      <c r="DI21" s="169"/>
      <c r="DJ21" s="169"/>
      <c r="DK21" s="169"/>
      <c r="DL21" s="169"/>
      <c r="DM21" s="169"/>
      <c r="DN21" s="169"/>
      <c r="DO21" s="169"/>
      <c r="DP21" s="169"/>
      <c r="DQ21" s="169"/>
      <c r="DR21" s="169"/>
      <c r="DS21" s="169"/>
      <c r="DT21" s="169"/>
      <c r="DU21" s="169"/>
      <c r="DV21" s="169"/>
      <c r="DW21" s="169"/>
      <c r="DX21" s="169"/>
      <c r="DY21" s="176"/>
      <c r="DZ21" s="177"/>
      <c r="EA21" s="178"/>
      <c r="EB21" s="178"/>
      <c r="EC21" s="178"/>
      <c r="ED21" s="178"/>
      <c r="EE21" s="178"/>
      <c r="EF21" s="178"/>
      <c r="EG21" s="178"/>
      <c r="EH21" s="178"/>
      <c r="EI21" s="178"/>
      <c r="EJ21" s="178"/>
      <c r="EK21" s="178"/>
      <c r="EL21" s="178"/>
      <c r="EM21" s="178"/>
      <c r="EN21" s="178"/>
      <c r="EO21" s="178"/>
      <c r="EP21" s="178"/>
      <c r="EQ21" s="178"/>
      <c r="ER21" s="178"/>
      <c r="ES21" s="178"/>
      <c r="ET21" s="178"/>
      <c r="EU21" s="178"/>
      <c r="EV21" s="178"/>
      <c r="EW21" s="178"/>
      <c r="EX21" s="178"/>
      <c r="EY21" s="178"/>
      <c r="EZ21" s="178"/>
      <c r="FA21" s="178"/>
      <c r="FB21" s="178"/>
      <c r="FC21" s="178"/>
      <c r="FD21" s="178"/>
      <c r="FE21" s="178"/>
      <c r="FF21" s="177"/>
      <c r="FG21" s="177"/>
    </row>
    <row r="22">
      <c r="A22" s="28"/>
      <c r="B22" s="186" t="s">
        <v>200</v>
      </c>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135"/>
      <c r="DZ22" s="140"/>
      <c r="EA22" s="141"/>
      <c r="EB22" s="141"/>
      <c r="EC22" s="141"/>
      <c r="ED22" s="141"/>
      <c r="EE22" s="141"/>
      <c r="EF22" s="141"/>
      <c r="EG22" s="141"/>
      <c r="EH22" s="141"/>
      <c r="EI22" s="141"/>
      <c r="EJ22" s="141"/>
      <c r="EK22" s="141"/>
      <c r="EL22" s="141"/>
      <c r="EM22" s="141"/>
      <c r="EN22" s="141"/>
      <c r="EO22" s="141"/>
      <c r="EP22" s="141"/>
      <c r="EQ22" s="141"/>
      <c r="ER22" s="141"/>
      <c r="ES22" s="141"/>
      <c r="ET22" s="141"/>
      <c r="EU22" s="141"/>
      <c r="EV22" s="141"/>
      <c r="EW22" s="141"/>
      <c r="EX22" s="141"/>
      <c r="EY22" s="141"/>
      <c r="EZ22" s="141"/>
      <c r="FA22" s="141"/>
      <c r="FB22" s="141"/>
      <c r="FC22" s="141"/>
      <c r="FD22" s="141"/>
      <c r="FE22" s="141"/>
      <c r="FF22" s="140"/>
      <c r="FG22" s="140"/>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135"/>
      <c r="DZ23" s="140"/>
      <c r="EA23" s="141"/>
      <c r="EB23" s="141"/>
      <c r="EC23" s="141"/>
      <c r="ED23" s="141"/>
      <c r="EE23" s="141"/>
      <c r="EF23" s="141"/>
      <c r="EG23" s="141"/>
      <c r="EH23" s="141"/>
      <c r="EI23" s="141"/>
      <c r="EJ23" s="141"/>
      <c r="EK23" s="141"/>
      <c r="EL23" s="141"/>
      <c r="EM23" s="141"/>
      <c r="EN23" s="141"/>
      <c r="EO23" s="141"/>
      <c r="EP23" s="141"/>
      <c r="EQ23" s="141"/>
      <c r="ER23" s="141"/>
      <c r="ES23" s="141"/>
      <c r="ET23" s="141"/>
      <c r="EU23" s="141"/>
      <c r="EV23" s="141"/>
      <c r="EW23" s="141"/>
      <c r="EX23" s="141"/>
      <c r="EY23" s="141"/>
      <c r="EZ23" s="141"/>
      <c r="FA23" s="141"/>
      <c r="FB23" s="141"/>
      <c r="FC23" s="141"/>
      <c r="FD23" s="141"/>
      <c r="FE23" s="141"/>
      <c r="FF23" s="140"/>
      <c r="FG23" s="140"/>
    </row>
    <row r="24">
      <c r="A24" s="28"/>
      <c r="B24" s="187" t="s">
        <v>201</v>
      </c>
      <c r="C24" s="188"/>
      <c r="D24" s="188"/>
      <c r="E24" s="189"/>
      <c r="F24" s="189" t="s">
        <v>202</v>
      </c>
      <c r="G24" s="188"/>
      <c r="H24" s="188"/>
      <c r="I24" s="188"/>
      <c r="J24" s="188"/>
      <c r="K24" s="188"/>
      <c r="L24" s="188"/>
      <c r="M24" s="188"/>
      <c r="N24" s="188"/>
      <c r="O24" s="188"/>
      <c r="P24" s="188"/>
      <c r="Q24" s="188"/>
      <c r="R24" s="188"/>
      <c r="S24" s="188"/>
      <c r="T24" s="188"/>
      <c r="U24" s="188"/>
      <c r="V24" s="188"/>
      <c r="W24" s="188"/>
      <c r="X24" s="188"/>
      <c r="Y24" s="188"/>
      <c r="Z24" s="188"/>
      <c r="AA24" s="188"/>
      <c r="AB24" s="188"/>
      <c r="AC24" s="188"/>
      <c r="AD24" s="188"/>
      <c r="AE24" s="188"/>
      <c r="AF24" s="188"/>
      <c r="AG24" s="188"/>
      <c r="AH24" s="188"/>
      <c r="AI24" s="188"/>
      <c r="AJ24" s="188"/>
      <c r="AK24" s="188"/>
      <c r="AL24" s="188"/>
      <c r="AM24" s="188"/>
      <c r="AN24" s="188"/>
      <c r="AO24" s="188"/>
      <c r="AP24" s="188"/>
      <c r="AQ24" s="188"/>
      <c r="AR24" s="188"/>
      <c r="AS24" s="188"/>
      <c r="AT24" s="188"/>
      <c r="AU24" s="188"/>
      <c r="AV24" s="188"/>
      <c r="AW24" s="188"/>
      <c r="AX24" s="188"/>
      <c r="AY24" s="188"/>
      <c r="AZ24" s="188"/>
      <c r="BA24" s="188"/>
      <c r="BB24" s="188"/>
      <c r="BC24" s="188"/>
      <c r="BD24" s="188"/>
      <c r="BE24" s="188"/>
      <c r="BF24" s="188"/>
      <c r="BG24" s="188"/>
      <c r="BH24" s="188"/>
      <c r="BI24" s="188"/>
      <c r="BJ24" s="188"/>
      <c r="BK24" s="188"/>
      <c r="BL24" s="188"/>
      <c r="BM24" s="188"/>
      <c r="BN24" s="188"/>
      <c r="BO24" s="188"/>
      <c r="BP24" s="188"/>
      <c r="BQ24" s="188"/>
      <c r="BR24" s="188"/>
      <c r="BS24" s="188"/>
      <c r="BT24" s="188"/>
      <c r="BU24" s="188"/>
      <c r="BV24" s="188"/>
      <c r="BW24" s="188"/>
      <c r="BX24" s="188"/>
      <c r="BY24" s="188"/>
      <c r="BZ24" s="188"/>
      <c r="CA24" s="188"/>
      <c r="CB24" s="188"/>
      <c r="CC24" s="188"/>
      <c r="CD24" s="188"/>
      <c r="CE24" s="188"/>
      <c r="CF24" s="188"/>
      <c r="CG24" s="188"/>
      <c r="CH24" s="188"/>
      <c r="CI24" s="188"/>
      <c r="CJ24" s="188"/>
      <c r="CK24" s="188"/>
      <c r="CL24" s="188"/>
      <c r="CM24" s="188"/>
      <c r="CN24" s="188"/>
      <c r="CO24" s="188"/>
      <c r="CP24" s="188"/>
      <c r="CQ24" s="188"/>
      <c r="CR24" s="188"/>
      <c r="CS24" s="188"/>
      <c r="CT24" s="188"/>
      <c r="CU24" s="188"/>
      <c r="CV24" s="188"/>
      <c r="CW24" s="188"/>
      <c r="CX24" s="188"/>
      <c r="CY24" s="188"/>
      <c r="CZ24" s="188"/>
      <c r="DA24" s="188"/>
      <c r="DB24" s="188"/>
      <c r="DC24" s="188"/>
      <c r="DD24" s="188"/>
      <c r="DE24" s="188"/>
      <c r="DF24" s="188"/>
      <c r="DG24" s="188"/>
      <c r="DH24" s="188"/>
      <c r="DI24" s="188"/>
      <c r="DJ24" s="188"/>
      <c r="DK24" s="188"/>
      <c r="DL24" s="188"/>
      <c r="DM24" s="188"/>
      <c r="DN24" s="188"/>
      <c r="DO24" s="188"/>
      <c r="DP24" s="188"/>
      <c r="DQ24" s="188"/>
      <c r="DR24" s="188"/>
      <c r="DS24" s="188"/>
      <c r="DT24" s="188"/>
      <c r="DU24" s="188"/>
      <c r="DV24" s="188"/>
      <c r="DW24" s="188"/>
      <c r="DX24" s="188"/>
      <c r="DY24" s="190"/>
      <c r="DZ24" s="191"/>
      <c r="EA24" s="191"/>
      <c r="EB24" s="191"/>
      <c r="EC24" s="191"/>
      <c r="ED24" s="191"/>
      <c r="EE24" s="191"/>
      <c r="EF24" s="191"/>
      <c r="EG24" s="191"/>
      <c r="EH24" s="191"/>
      <c r="EI24" s="191"/>
      <c r="EJ24" s="191"/>
      <c r="EK24" s="191"/>
      <c r="EL24" s="191"/>
      <c r="EM24" s="191"/>
      <c r="EN24" s="191"/>
      <c r="EO24" s="191"/>
      <c r="EP24" s="191"/>
      <c r="EQ24" s="191"/>
      <c r="ER24" s="191"/>
      <c r="ES24" s="191"/>
      <c r="ET24" s="191"/>
      <c r="EU24" s="191"/>
      <c r="EV24" s="191"/>
      <c r="EW24" s="191"/>
      <c r="EX24" s="191"/>
      <c r="EY24" s="191"/>
      <c r="EZ24" s="191"/>
      <c r="FA24" s="191"/>
      <c r="FB24" s="191"/>
      <c r="FC24" s="191"/>
      <c r="FD24" s="191"/>
      <c r="FE24" s="191"/>
      <c r="FF24" s="191"/>
      <c r="FG24" s="191"/>
    </row>
    <row r="25">
      <c r="A25" s="28"/>
      <c r="B25" s="28"/>
      <c r="C25" s="28"/>
      <c r="D25" s="157"/>
      <c r="E25" s="28"/>
      <c r="G25" s="28"/>
      <c r="H25" s="28"/>
      <c r="I25" s="28"/>
      <c r="J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135"/>
      <c r="DZ25" s="192"/>
      <c r="EA25" s="193"/>
      <c r="EB25" s="193"/>
      <c r="EC25" s="193"/>
      <c r="ED25" s="193"/>
      <c r="EE25" s="193"/>
      <c r="EF25" s="193"/>
      <c r="EG25" s="193"/>
      <c r="EH25" s="193"/>
      <c r="EI25" s="193"/>
      <c r="EJ25" s="193"/>
      <c r="EK25" s="193"/>
      <c r="EL25" s="193"/>
      <c r="EM25" s="193"/>
      <c r="EN25" s="193"/>
      <c r="EO25" s="193"/>
      <c r="EP25" s="193"/>
      <c r="EQ25" s="193"/>
      <c r="ER25" s="193"/>
      <c r="ES25" s="193"/>
      <c r="ET25" s="193"/>
      <c r="EU25" s="193"/>
      <c r="EV25" s="193"/>
      <c r="EW25" s="193"/>
      <c r="EX25" s="193"/>
      <c r="EY25" s="193"/>
      <c r="EZ25" s="193"/>
      <c r="FA25" s="193"/>
      <c r="FB25" s="193"/>
      <c r="FC25" s="193"/>
      <c r="FD25" s="193"/>
      <c r="FE25" s="193"/>
      <c r="FF25" s="192"/>
      <c r="FG25" s="192"/>
    </row>
    <row r="26">
      <c r="A26" s="194"/>
      <c r="B26" s="195" t="s">
        <v>203</v>
      </c>
      <c r="C26" s="155"/>
      <c r="D26" s="196" t="s">
        <v>204</v>
      </c>
      <c r="E26" s="155"/>
      <c r="F26" s="197" t="s">
        <v>205</v>
      </c>
      <c r="G26" s="155"/>
      <c r="H26" s="198" t="s">
        <v>206</v>
      </c>
      <c r="I26" s="154"/>
      <c r="J26" s="154"/>
      <c r="K26" s="155"/>
      <c r="L26" s="198" t="s">
        <v>207</v>
      </c>
      <c r="M26" s="154"/>
      <c r="N26" s="154"/>
      <c r="O26" s="154"/>
      <c r="P26" s="198" t="s">
        <v>208</v>
      </c>
      <c r="Q26" s="155"/>
      <c r="R26" s="198" t="s">
        <v>209</v>
      </c>
      <c r="S26" s="155"/>
      <c r="T26" s="198" t="s">
        <v>210</v>
      </c>
      <c r="U26" s="155"/>
      <c r="V26" s="199" t="s">
        <v>211</v>
      </c>
      <c r="W26" s="155"/>
      <c r="X26" s="199" t="s">
        <v>212</v>
      </c>
      <c r="Y26" s="155"/>
      <c r="Z26" s="198" t="s">
        <v>213</v>
      </c>
      <c r="AA26" s="155"/>
      <c r="AB26" s="200" t="s">
        <v>163</v>
      </c>
      <c r="AC26" s="155"/>
      <c r="AD26" s="200" t="s">
        <v>214</v>
      </c>
      <c r="AE26" s="155"/>
      <c r="AF26" s="200" t="s">
        <v>215</v>
      </c>
      <c r="AG26" s="155"/>
      <c r="AH26" s="200" t="s">
        <v>216</v>
      </c>
      <c r="AI26" s="155"/>
      <c r="AJ26" s="201" t="s">
        <v>217</v>
      </c>
      <c r="AK26" s="154"/>
      <c r="AL26" s="201" t="s">
        <v>218</v>
      </c>
      <c r="AM26" s="154"/>
      <c r="AN26" s="198" t="s">
        <v>219</v>
      </c>
      <c r="AO26" s="154"/>
      <c r="AP26" s="202" t="s">
        <v>220</v>
      </c>
      <c r="AQ26" s="154"/>
      <c r="AR26" s="154"/>
      <c r="AS26" s="154"/>
      <c r="AT26" s="203" t="s">
        <v>221</v>
      </c>
      <c r="AU26" s="154"/>
      <c r="AV26" s="154"/>
      <c r="AW26" s="154"/>
      <c r="AX26" s="154"/>
      <c r="AY26" s="204" t="s">
        <v>222</v>
      </c>
      <c r="AZ26" s="155"/>
      <c r="BA26" s="204" t="s">
        <v>223</v>
      </c>
      <c r="BB26" s="154"/>
      <c r="BC26" s="205" t="s">
        <v>224</v>
      </c>
      <c r="BD26" s="154"/>
      <c r="BE26" s="206" t="s">
        <v>225</v>
      </c>
      <c r="BF26" s="155"/>
      <c r="BG26" s="200" t="s">
        <v>226</v>
      </c>
      <c r="BH26" s="155"/>
      <c r="BI26" s="200" t="s">
        <v>227</v>
      </c>
      <c r="BJ26" s="155"/>
      <c r="BK26" s="200" t="s">
        <v>228</v>
      </c>
      <c r="BL26" s="155"/>
      <c r="BM26" s="207" t="s">
        <v>229</v>
      </c>
      <c r="BN26" s="155"/>
      <c r="BO26" s="200" t="s">
        <v>230</v>
      </c>
      <c r="BP26" s="155"/>
      <c r="BQ26" s="200" t="s">
        <v>231</v>
      </c>
      <c r="BR26" s="155"/>
      <c r="BS26" s="207" t="s">
        <v>232</v>
      </c>
      <c r="BT26" s="155"/>
      <c r="BU26" s="206" t="s">
        <v>233</v>
      </c>
      <c r="BV26" s="155"/>
      <c r="BW26" s="206" t="s">
        <v>234</v>
      </c>
      <c r="BX26" s="155"/>
      <c r="BY26" s="206" t="s">
        <v>235</v>
      </c>
      <c r="BZ26" s="155"/>
      <c r="CA26" s="208" t="s">
        <v>236</v>
      </c>
      <c r="CB26" s="154"/>
      <c r="CC26" s="154"/>
      <c r="CD26" s="155"/>
      <c r="CE26" s="209" t="s">
        <v>237</v>
      </c>
      <c r="CF26" s="155"/>
      <c r="CG26" s="209" t="s">
        <v>238</v>
      </c>
      <c r="CH26" s="155"/>
      <c r="CI26" s="208" t="s">
        <v>239</v>
      </c>
      <c r="CJ26" s="155"/>
      <c r="CK26" s="208" t="s">
        <v>240</v>
      </c>
      <c r="CL26" s="155"/>
      <c r="CM26" s="208" t="s">
        <v>241</v>
      </c>
      <c r="CN26" s="155"/>
      <c r="CO26" s="208" t="s">
        <v>242</v>
      </c>
      <c r="CP26" s="155"/>
      <c r="CQ26" s="208" t="s">
        <v>243</v>
      </c>
      <c r="CR26" s="154"/>
      <c r="CS26" s="154"/>
      <c r="CT26" s="155"/>
      <c r="CU26" s="208" t="s">
        <v>244</v>
      </c>
      <c r="CV26" s="155"/>
      <c r="CW26" s="208" t="s">
        <v>245</v>
      </c>
      <c r="CX26" s="154"/>
      <c r="CY26" s="154"/>
      <c r="CZ26" s="155"/>
      <c r="DA26" s="208" t="s">
        <v>246</v>
      </c>
      <c r="DB26" s="155"/>
      <c r="DC26" s="208" t="s">
        <v>247</v>
      </c>
      <c r="DD26" s="154"/>
      <c r="DE26" s="154"/>
      <c r="DF26" s="155"/>
      <c r="DG26" s="208" t="s">
        <v>248</v>
      </c>
      <c r="DH26" s="155"/>
      <c r="DI26" s="208" t="s">
        <v>249</v>
      </c>
      <c r="DJ26" s="155"/>
      <c r="DK26" s="208" t="s">
        <v>250</v>
      </c>
      <c r="DL26" s="155"/>
      <c r="DM26" s="208" t="s">
        <v>251</v>
      </c>
      <c r="DN26" s="154"/>
      <c r="DO26" s="154"/>
      <c r="DP26" s="155"/>
      <c r="DQ26" s="208" t="s">
        <v>252</v>
      </c>
      <c r="DR26" s="155"/>
      <c r="DS26" s="210" t="s">
        <v>8</v>
      </c>
      <c r="DT26" s="154"/>
      <c r="DU26" s="154"/>
      <c r="DV26" s="154"/>
      <c r="DW26" s="155"/>
      <c r="DX26" s="194"/>
      <c r="DY26" s="211"/>
      <c r="DZ26" s="194"/>
      <c r="EA26" s="212" t="s">
        <v>253</v>
      </c>
      <c r="EB26" s="212" t="s">
        <v>254</v>
      </c>
      <c r="EC26" s="212" t="s">
        <v>205</v>
      </c>
      <c r="ED26" s="212" t="s">
        <v>255</v>
      </c>
      <c r="EE26" s="212" t="s">
        <v>256</v>
      </c>
      <c r="EF26" s="212" t="s">
        <v>257</v>
      </c>
      <c r="EG26" s="212" t="s">
        <v>258</v>
      </c>
      <c r="EH26" s="213" t="s">
        <v>259</v>
      </c>
      <c r="EI26" s="212" t="s">
        <v>260</v>
      </c>
      <c r="EJ26" s="212" t="s">
        <v>261</v>
      </c>
      <c r="EK26" s="212" t="s">
        <v>262</v>
      </c>
      <c r="EL26" s="212" t="s">
        <v>263</v>
      </c>
      <c r="EM26" s="212" t="s">
        <v>264</v>
      </c>
      <c r="EN26" s="212" t="s">
        <v>265</v>
      </c>
      <c r="EO26" s="212" t="s">
        <v>266</v>
      </c>
      <c r="EP26" s="212" t="s">
        <v>267</v>
      </c>
      <c r="EQ26" s="212" t="s">
        <v>268</v>
      </c>
      <c r="ER26" s="212" t="s">
        <v>269</v>
      </c>
      <c r="ES26" s="212" t="s">
        <v>270</v>
      </c>
      <c r="ET26" s="212" t="s">
        <v>271</v>
      </c>
      <c r="EU26" s="212" t="s">
        <v>272</v>
      </c>
      <c r="EV26" s="212" t="s">
        <v>273</v>
      </c>
      <c r="EW26" s="212" t="s">
        <v>274</v>
      </c>
      <c r="EX26" s="212" t="s">
        <v>275</v>
      </c>
      <c r="EY26" s="212" t="s">
        <v>276</v>
      </c>
      <c r="EZ26" s="212" t="s">
        <v>277</v>
      </c>
      <c r="FA26" s="212" t="s">
        <v>278</v>
      </c>
      <c r="FB26" s="212" t="s">
        <v>279</v>
      </c>
      <c r="FC26" s="212" t="s">
        <v>280</v>
      </c>
      <c r="FD26" s="212" t="s">
        <v>281</v>
      </c>
      <c r="FE26" s="212" t="s">
        <v>282</v>
      </c>
      <c r="FF26" s="214"/>
      <c r="FG26" s="194"/>
    </row>
    <row r="27">
      <c r="A27" s="136"/>
      <c r="B27" s="215"/>
      <c r="C27" s="155"/>
      <c r="D27" s="215">
        <v>1.0</v>
      </c>
      <c r="E27" s="155"/>
      <c r="F27" s="216"/>
      <c r="G27" s="155"/>
      <c r="H27" s="217" t="s">
        <v>283</v>
      </c>
      <c r="I27" s="154"/>
      <c r="J27" s="154"/>
      <c r="K27" s="155"/>
      <c r="L27" s="218" t="str">
        <f t="array" ref="L27">iferror(INDEX('ファントムマスター'!F:F,MATCH(H27,'ファントムマスター'!D:D,0),0),"error")</f>
        <v>&lt;黄昏&gt; ロイド</v>
      </c>
      <c r="M27" s="154"/>
      <c r="N27" s="154"/>
      <c r="O27" s="155"/>
      <c r="P27" s="218" t="str">
        <f t="shared" ref="P27:P46" si="6">iferror(INDEX('ファントムマスター'!H:H,MATCH(H27,'ファントムマスター'!D:D,0),0),"none")</f>
        <v>none</v>
      </c>
      <c r="Q27" s="155"/>
      <c r="R27" s="219" t="str">
        <f t="shared" ref="R27:R46" si="7">iferror(INDEX('ファントムマスター'!J:J,MATCH(H27,'ファントムマスター'!D:D,0),0),"none")</f>
        <v>none</v>
      </c>
      <c r="S27" s="155"/>
      <c r="T27" s="218" t="str">
        <f t="shared" ref="T27:T46" si="8">iferror(INDEX('ファントムマスター'!I:I,MATCH(H27,'ファントムマスター'!D:D,0),0),"none")</f>
        <v>none</v>
      </c>
      <c r="U27" s="155"/>
      <c r="V27" s="215" t="s">
        <v>284</v>
      </c>
      <c r="W27" s="155"/>
      <c r="X27" s="215" t="s">
        <v>285</v>
      </c>
      <c r="Y27" s="155"/>
      <c r="Z27" s="216"/>
      <c r="AA27" s="155"/>
      <c r="AB27" s="220" t="str">
        <f t="shared" ref="AB27:AB46" si="9">iferror(INDEX('ファントムマスター'!K:K,MATCH(H27,'ファントムマスター'!D:D,0),0)*AD27,"none")</f>
        <v>none</v>
      </c>
      <c r="AC27" s="155"/>
      <c r="AD27" s="215">
        <v>1.0</v>
      </c>
      <c r="AE27" s="155"/>
      <c r="AF27" s="220" t="str">
        <f t="shared" ref="AF27:AF46" si="10">iferror(INDEX('ファントムマスター'!O:O,MATCH(H27,'ファントムマスター'!D:D,0),0)*AH27,"none")</f>
        <v>none</v>
      </c>
      <c r="AG27" s="155"/>
      <c r="AH27" s="215">
        <v>1.0</v>
      </c>
      <c r="AI27" s="155"/>
      <c r="AJ27" s="221" t="str">
        <f t="shared" ref="AJ27:AJ46" si="11">iferror(right(INDEX('ファントムマスター'!T:T,MATCH(H27,'ファントムマスター'!D:D,0),0),4)*50,"none")</f>
        <v>none</v>
      </c>
      <c r="AK27" s="155"/>
      <c r="AL27" s="221" t="str">
        <f t="shared" ref="AL27:AL46" si="12">iferror(right(INDEX('ファントムマスター'!V:V,MATCH(H27,'ファントムマスター'!D:D,0),0),4),"none")</f>
        <v>none</v>
      </c>
      <c r="AM27" s="155"/>
      <c r="AN27" s="222" t="str">
        <f t="shared" ref="AN27:AN46" si="13">iferror(AF27*(50/(AJ27+AL27)),"攻撃力に数値を入力")</f>
        <v>攻撃力に数値を入力</v>
      </c>
      <c r="AO27" s="155"/>
      <c r="AP27" s="216"/>
      <c r="AQ27" s="154"/>
      <c r="AR27" s="154"/>
      <c r="AS27" s="155"/>
      <c r="AT27" s="223" t="str">
        <f t="shared" ref="AT27:AT46" si="14">iferror(INDEX('ファントムマスター'!Y:Y,MATCH(H27,'ファントムマスター'!D:D,0),0),"none")</f>
        <v>none</v>
      </c>
      <c r="AU27" s="154"/>
      <c r="AV27" s="154"/>
      <c r="AW27" s="154"/>
      <c r="AX27" s="155"/>
      <c r="AY27" s="224" t="str">
        <f t="shared" ref="AY27:AY46" si="15">iferror(INDEX('ファントムマスター'!Z:Z,MATCH(H27,'ファントムマスター'!D:D,0),0),"none")</f>
        <v>none</v>
      </c>
      <c r="AZ27" s="155"/>
      <c r="BA27" s="224" t="str">
        <f t="shared" ref="BA27:BA46" si="16">iferror(INDEX('ファントムマスター'!W:W,MATCH(H27,'ファントムマスター'!D:D,0),0)*50,"none")</f>
        <v>none</v>
      </c>
      <c r="BB27" s="155"/>
      <c r="BC27" s="218" t="str">
        <f t="shared" ref="BC27:BC46" si="17">iferror(INDEX('ファントムマスター'!AA:AA,MATCH(H27,'ファントムマスター'!D:D,0),0),"none")</f>
        <v>none</v>
      </c>
      <c r="BD27" s="155"/>
      <c r="BE27" s="220" t="str">
        <f t="shared" ref="BE27:BE46" si="18">iferror(INDEX('ファントムマスター'!M:M,MATCH(H27,'ファントムマスター'!D:D,0),0),"none")</f>
        <v>none</v>
      </c>
      <c r="BF27" s="155"/>
      <c r="BG27" s="220" t="str">
        <f t="shared" ref="BG27:BG46" si="19">iferror(INDEX('ファントムマスター'!N:N,MATCH(H27,'ファントムマスター'!D:D,0),0),"none")</f>
        <v>none</v>
      </c>
      <c r="BH27" s="155"/>
      <c r="BI27" s="220" t="str">
        <f t="shared" ref="BI27:BI46" si="20">iferror(INDEX('ファントムマスター'!P:P,MATCH(H27,'ファントムマスター'!D:D,0),0),"none")</f>
        <v>none</v>
      </c>
      <c r="BJ27" s="155"/>
      <c r="BK27" s="220" t="str">
        <f t="shared" ref="BK27:BK46" si="21">iferror(INDEX('ファントムマスター'!Q:Q,MATCH(H27,'ファントムマスター'!D:D,0),0),"none")</f>
        <v>none</v>
      </c>
      <c r="BL27" s="155"/>
      <c r="BM27" s="225" t="str">
        <f t="shared" ref="BM27:BM46" si="22">iferror(INDEX('ファントムマスター'!R:R,MATCH(H27,'ファントムマスター'!D:D,0),0),"none")</f>
        <v>none</v>
      </c>
      <c r="BN27" s="155"/>
      <c r="BO27" s="220" t="str">
        <f t="shared" ref="BO27:BO46" si="23">iferror(INDEX('ファントムマスター'!L:L,MATCH(H27,'ファントムマスター'!D:D,0),0),"none")</f>
        <v>none</v>
      </c>
      <c r="BP27" s="155"/>
      <c r="BQ27" s="220" t="str">
        <f t="shared" ref="BQ27:BQ46" si="24">iferror(INDEX('ファントムマスター'!S:S,MATCH(H27,'ファントムマスター'!D:D,0),0),"none")</f>
        <v>none</v>
      </c>
      <c r="BR27" s="155"/>
      <c r="BS27" s="216"/>
      <c r="BT27" s="155"/>
      <c r="BU27" s="216"/>
      <c r="BV27" s="155"/>
      <c r="BW27" s="183"/>
      <c r="BX27" s="155"/>
      <c r="BY27" s="216"/>
      <c r="BZ27" s="155"/>
      <c r="CA27" s="215" t="s">
        <v>286</v>
      </c>
      <c r="CB27" s="154"/>
      <c r="CC27" s="154"/>
      <c r="CD27" s="155"/>
      <c r="CE27" s="226">
        <v>1.0</v>
      </c>
      <c r="CF27" s="155"/>
      <c r="CG27" s="226">
        <v>10.0</v>
      </c>
      <c r="CH27" s="155"/>
      <c r="CI27" s="226">
        <v>99.0</v>
      </c>
      <c r="CJ27" s="155"/>
      <c r="CK27" s="226"/>
      <c r="CL27" s="155"/>
      <c r="CM27" s="226" t="s">
        <v>287</v>
      </c>
      <c r="CN27" s="155"/>
      <c r="CO27" s="216"/>
      <c r="CP27" s="155"/>
      <c r="CQ27" s="215" t="s">
        <v>287</v>
      </c>
      <c r="CR27" s="154"/>
      <c r="CS27" s="154"/>
      <c r="CT27" s="155"/>
      <c r="CU27" s="227"/>
      <c r="CV27" s="155"/>
      <c r="CW27" s="215" t="s">
        <v>287</v>
      </c>
      <c r="CX27" s="154"/>
      <c r="CY27" s="154"/>
      <c r="CZ27" s="155"/>
      <c r="DA27" s="227"/>
      <c r="DB27" s="155"/>
      <c r="DC27" s="215" t="s">
        <v>287</v>
      </c>
      <c r="DD27" s="154"/>
      <c r="DE27" s="154"/>
      <c r="DF27" s="155"/>
      <c r="DG27" s="227"/>
      <c r="DH27" s="155"/>
      <c r="DI27" s="227"/>
      <c r="DJ27" s="155"/>
      <c r="DK27" s="226" t="b">
        <v>0</v>
      </c>
      <c r="DL27" s="155"/>
      <c r="DM27" s="228" t="s">
        <v>287</v>
      </c>
      <c r="DN27" s="154"/>
      <c r="DO27" s="154"/>
      <c r="DP27" s="155"/>
      <c r="DQ27" s="227"/>
      <c r="DR27" s="155"/>
      <c r="DS27" s="216"/>
      <c r="DT27" s="154"/>
      <c r="DU27" s="154"/>
      <c r="DV27" s="154"/>
      <c r="DW27" s="155"/>
      <c r="DX27" s="136"/>
      <c r="DY27" s="139"/>
      <c r="DZ27" s="136"/>
      <c r="EA27" s="229" t="str">
        <f t="shared" ref="EA27:EA46" si="25">B27</f>
        <v/>
      </c>
      <c r="EB27" s="229">
        <f t="shared" ref="EB27:EB46" si="26">D27</f>
        <v>1</v>
      </c>
      <c r="EC27" s="229" t="str">
        <f t="shared" ref="EC27:EC46" si="27">F27</f>
        <v/>
      </c>
      <c r="ED27" s="229" t="str">
        <f t="shared" ref="ED27:ED46" si="28">CA27</f>
        <v>未入力</v>
      </c>
      <c r="EE27" s="229">
        <f t="shared" ref="EE27:EE46" si="29">CE27</f>
        <v>1</v>
      </c>
      <c r="EF27" s="229" t="str">
        <f t="shared" ref="EF27:EF46" si="30">"SummonEnemy"</f>
        <v>SummonEnemy</v>
      </c>
      <c r="EG27" s="229" t="str">
        <f t="shared" ref="EG27:EG46" si="31">H27</f>
        <v>c_spy_00101_general_n_Boss_Blue</v>
      </c>
      <c r="EH27" s="229"/>
      <c r="EI27" s="229">
        <f t="shared" ref="EI27:EI46" si="32">CI27</f>
        <v>99</v>
      </c>
      <c r="EJ27" s="229">
        <f t="shared" ref="EJ27:EJ46" si="33">CG27</f>
        <v>10</v>
      </c>
      <c r="EK27" s="229" t="str">
        <f t="shared" ref="EK27:EK46" si="34">CM27</f>
        <v>None</v>
      </c>
      <c r="EL27" s="229" t="str">
        <f t="shared" ref="EL27:EL46" si="35">CO27</f>
        <v/>
      </c>
      <c r="EM27" s="229" t="str">
        <f t="shared" ref="EM27:EM46" si="36">CQ27</f>
        <v>None</v>
      </c>
      <c r="EN27" s="229" t="str">
        <f t="shared" ref="EN27:EN46" si="37">CU27</f>
        <v/>
      </c>
      <c r="EO27" s="229" t="str">
        <f t="shared" ref="EO27:EO46" si="38">CW27</f>
        <v>None</v>
      </c>
      <c r="EP27" s="229" t="str">
        <f t="shared" ref="EP27:EP46" si="39">DA27</f>
        <v/>
      </c>
      <c r="EQ27" s="229" t="str">
        <f t="shared" ref="EQ27:EQ46" si="40">DC27</f>
        <v>None</v>
      </c>
      <c r="ER27" s="229" t="str">
        <f t="shared" ref="ER27:ER46" si="41">DG27</f>
        <v/>
      </c>
      <c r="ES27" s="229" t="str">
        <f t="shared" ref="ES27:ES46" si="42">DI27</f>
        <v/>
      </c>
      <c r="ET27" s="229" t="b">
        <f t="shared" ref="ET27:ET46" si="43">DK27</f>
        <v>0</v>
      </c>
      <c r="EU27" s="229"/>
      <c r="EV27" s="229" t="str">
        <f t="shared" ref="EV27:EV46" si="44">V27</f>
        <v>Default</v>
      </c>
      <c r="EW27" s="229" t="str">
        <f t="shared" ref="EW27:EW46" si="45">X27</f>
        <v>Normal</v>
      </c>
      <c r="EX27" s="229">
        <f t="shared" ref="EX27:EX46" si="46">AD27</f>
        <v>1</v>
      </c>
      <c r="EY27" s="229">
        <f t="shared" ref="EY27:EY46" si="47">AH27</f>
        <v>1</v>
      </c>
      <c r="EZ27" s="229" t="str">
        <f t="shared" ref="EZ27:EZ46" si="48">"1"</f>
        <v>1</v>
      </c>
      <c r="FA27" s="229" t="str">
        <f t="shared" ref="FA27:FA46" si="49">BS27</f>
        <v/>
      </c>
      <c r="FB27" s="230">
        <v>0.0</v>
      </c>
      <c r="FC27" s="229" t="str">
        <f t="shared" ref="FC27:FC46" si="50">CK27</f>
        <v/>
      </c>
      <c r="FD27" s="229" t="str">
        <f t="shared" ref="FD27:FD46" si="51">DM27</f>
        <v>None</v>
      </c>
      <c r="FE27" s="229" t="str">
        <f t="shared" ref="FE27:FE46" si="52">DQ27</f>
        <v/>
      </c>
      <c r="FF27" s="136"/>
      <c r="FG27" s="136"/>
    </row>
    <row r="28">
      <c r="A28" s="28"/>
      <c r="B28" s="215"/>
      <c r="C28" s="155"/>
      <c r="D28" s="216"/>
      <c r="E28" s="155"/>
      <c r="F28" s="216"/>
      <c r="G28" s="155"/>
      <c r="H28" s="217"/>
      <c r="I28" s="154"/>
      <c r="J28" s="154"/>
      <c r="K28" s="155"/>
      <c r="L28" s="218" t="str">
        <f t="shared" ref="L28:L46" si="53">iferror(INDEX('ファントムマスター'!F:F,MATCH(H28,'ファントムマスター'!D:D,0),0),"none")</f>
        <v>none</v>
      </c>
      <c r="M28" s="154"/>
      <c r="N28" s="154"/>
      <c r="O28" s="155"/>
      <c r="P28" s="218" t="str">
        <f t="shared" si="6"/>
        <v>none</v>
      </c>
      <c r="Q28" s="155"/>
      <c r="R28" s="219" t="str">
        <f t="shared" si="7"/>
        <v>none</v>
      </c>
      <c r="S28" s="155"/>
      <c r="T28" s="218" t="str">
        <f t="shared" si="8"/>
        <v>none</v>
      </c>
      <c r="U28" s="155"/>
      <c r="V28" s="215" t="s">
        <v>284</v>
      </c>
      <c r="W28" s="155"/>
      <c r="X28" s="215" t="s">
        <v>285</v>
      </c>
      <c r="Y28" s="155"/>
      <c r="Z28" s="216"/>
      <c r="AA28" s="155"/>
      <c r="AB28" s="220" t="str">
        <f t="shared" si="9"/>
        <v>none</v>
      </c>
      <c r="AC28" s="155"/>
      <c r="AD28" s="215">
        <v>1.0</v>
      </c>
      <c r="AE28" s="155"/>
      <c r="AF28" s="220" t="str">
        <f t="shared" si="10"/>
        <v>none</v>
      </c>
      <c r="AG28" s="155"/>
      <c r="AH28" s="215">
        <v>1.0</v>
      </c>
      <c r="AI28" s="155"/>
      <c r="AJ28" s="221" t="str">
        <f t="shared" si="11"/>
        <v>none</v>
      </c>
      <c r="AK28" s="155"/>
      <c r="AL28" s="221" t="str">
        <f t="shared" si="12"/>
        <v>none</v>
      </c>
      <c r="AM28" s="155"/>
      <c r="AN28" s="222" t="str">
        <f t="shared" si="13"/>
        <v>攻撃力に数値を入力</v>
      </c>
      <c r="AO28" s="155"/>
      <c r="AP28" s="216"/>
      <c r="AQ28" s="154"/>
      <c r="AR28" s="154"/>
      <c r="AS28" s="155"/>
      <c r="AT28" s="223" t="str">
        <f t="shared" si="14"/>
        <v>none</v>
      </c>
      <c r="AU28" s="154"/>
      <c r="AV28" s="154"/>
      <c r="AW28" s="154"/>
      <c r="AX28" s="155"/>
      <c r="AY28" s="224" t="str">
        <f t="shared" si="15"/>
        <v>none</v>
      </c>
      <c r="AZ28" s="155"/>
      <c r="BA28" s="224" t="str">
        <f t="shared" si="16"/>
        <v>none</v>
      </c>
      <c r="BB28" s="155"/>
      <c r="BC28" s="218" t="str">
        <f t="shared" si="17"/>
        <v>none</v>
      </c>
      <c r="BD28" s="155"/>
      <c r="BE28" s="220" t="str">
        <f t="shared" si="18"/>
        <v>none</v>
      </c>
      <c r="BF28" s="155"/>
      <c r="BG28" s="220" t="str">
        <f t="shared" si="19"/>
        <v>none</v>
      </c>
      <c r="BH28" s="155"/>
      <c r="BI28" s="220" t="str">
        <f t="shared" si="20"/>
        <v>none</v>
      </c>
      <c r="BJ28" s="155"/>
      <c r="BK28" s="220" t="str">
        <f t="shared" si="21"/>
        <v>none</v>
      </c>
      <c r="BL28" s="155"/>
      <c r="BM28" s="225" t="str">
        <f t="shared" si="22"/>
        <v>none</v>
      </c>
      <c r="BN28" s="155"/>
      <c r="BO28" s="220" t="str">
        <f t="shared" si="23"/>
        <v>none</v>
      </c>
      <c r="BP28" s="155"/>
      <c r="BQ28" s="220" t="str">
        <f t="shared" si="24"/>
        <v>none</v>
      </c>
      <c r="BR28" s="155"/>
      <c r="BS28" s="216"/>
      <c r="BT28" s="155"/>
      <c r="BU28" s="216"/>
      <c r="BV28" s="155"/>
      <c r="BW28" s="183"/>
      <c r="BX28" s="155"/>
      <c r="BY28" s="216"/>
      <c r="BZ28" s="155"/>
      <c r="CA28" s="215" t="s">
        <v>286</v>
      </c>
      <c r="CB28" s="154"/>
      <c r="CC28" s="154"/>
      <c r="CD28" s="155"/>
      <c r="CE28" s="227"/>
      <c r="CF28" s="155"/>
      <c r="CG28" s="227"/>
      <c r="CH28" s="155"/>
      <c r="CI28" s="227"/>
      <c r="CJ28" s="155"/>
      <c r="CK28" s="227"/>
      <c r="CL28" s="155"/>
      <c r="CM28" s="226" t="s">
        <v>287</v>
      </c>
      <c r="CN28" s="155"/>
      <c r="CO28" s="216"/>
      <c r="CP28" s="155"/>
      <c r="CQ28" s="215" t="s">
        <v>287</v>
      </c>
      <c r="CR28" s="154"/>
      <c r="CS28" s="154"/>
      <c r="CT28" s="155"/>
      <c r="CU28" s="227"/>
      <c r="CV28" s="155"/>
      <c r="CW28" s="215" t="s">
        <v>287</v>
      </c>
      <c r="CX28" s="154"/>
      <c r="CY28" s="154"/>
      <c r="CZ28" s="155"/>
      <c r="DA28" s="227"/>
      <c r="DB28" s="155"/>
      <c r="DC28" s="215" t="s">
        <v>287</v>
      </c>
      <c r="DD28" s="154"/>
      <c r="DE28" s="154"/>
      <c r="DF28" s="155"/>
      <c r="DG28" s="227"/>
      <c r="DH28" s="155"/>
      <c r="DI28" s="227"/>
      <c r="DJ28" s="155"/>
      <c r="DK28" s="226" t="b">
        <v>0</v>
      </c>
      <c r="DL28" s="155"/>
      <c r="DM28" s="228" t="s">
        <v>287</v>
      </c>
      <c r="DN28" s="154"/>
      <c r="DO28" s="154"/>
      <c r="DP28" s="155"/>
      <c r="DQ28" s="227"/>
      <c r="DR28" s="155"/>
      <c r="DS28" s="216"/>
      <c r="DT28" s="154"/>
      <c r="DU28" s="154"/>
      <c r="DV28" s="154"/>
      <c r="DW28" s="155"/>
      <c r="DX28" s="28"/>
      <c r="DY28" s="135"/>
      <c r="DZ28" s="28"/>
      <c r="EA28" s="231" t="str">
        <f t="shared" si="25"/>
        <v/>
      </c>
      <c r="EB28" s="231" t="str">
        <f t="shared" si="26"/>
        <v/>
      </c>
      <c r="EC28" s="231" t="str">
        <f t="shared" si="27"/>
        <v/>
      </c>
      <c r="ED28" s="231" t="str">
        <f t="shared" si="28"/>
        <v>未入力</v>
      </c>
      <c r="EE28" s="231" t="str">
        <f t="shared" si="29"/>
        <v/>
      </c>
      <c r="EF28" s="231" t="str">
        <f t="shared" si="30"/>
        <v>SummonEnemy</v>
      </c>
      <c r="EG28" s="231" t="str">
        <f t="shared" si="31"/>
        <v/>
      </c>
      <c r="EH28" s="231"/>
      <c r="EI28" s="231" t="str">
        <f t="shared" si="32"/>
        <v/>
      </c>
      <c r="EJ28" s="231" t="str">
        <f t="shared" si="33"/>
        <v/>
      </c>
      <c r="EK28" s="231" t="str">
        <f t="shared" si="34"/>
        <v>None</v>
      </c>
      <c r="EL28" s="231" t="str">
        <f t="shared" si="35"/>
        <v/>
      </c>
      <c r="EM28" s="231" t="str">
        <f t="shared" si="36"/>
        <v>None</v>
      </c>
      <c r="EN28" s="231" t="str">
        <f t="shared" si="37"/>
        <v/>
      </c>
      <c r="EO28" s="231" t="str">
        <f t="shared" si="38"/>
        <v>None</v>
      </c>
      <c r="EP28" s="231" t="str">
        <f t="shared" si="39"/>
        <v/>
      </c>
      <c r="EQ28" s="231" t="str">
        <f t="shared" si="40"/>
        <v>None</v>
      </c>
      <c r="ER28" s="231" t="str">
        <f t="shared" si="41"/>
        <v/>
      </c>
      <c r="ES28" s="231" t="str">
        <f t="shared" si="42"/>
        <v/>
      </c>
      <c r="ET28" s="231" t="b">
        <f t="shared" si="43"/>
        <v>0</v>
      </c>
      <c r="EU28" s="231"/>
      <c r="EV28" s="231" t="str">
        <f t="shared" si="44"/>
        <v>Default</v>
      </c>
      <c r="EW28" s="231" t="str">
        <f t="shared" si="45"/>
        <v>Normal</v>
      </c>
      <c r="EX28" s="231">
        <f t="shared" si="46"/>
        <v>1</v>
      </c>
      <c r="EY28" s="231">
        <f t="shared" si="47"/>
        <v>1</v>
      </c>
      <c r="EZ28" s="231" t="str">
        <f t="shared" si="48"/>
        <v>1</v>
      </c>
      <c r="FA28" s="231" t="str">
        <f t="shared" si="49"/>
        <v/>
      </c>
      <c r="FB28" s="231">
        <v>0.0</v>
      </c>
      <c r="FC28" s="231" t="str">
        <f t="shared" si="50"/>
        <v/>
      </c>
      <c r="FD28" s="231" t="str">
        <f t="shared" si="51"/>
        <v>None</v>
      </c>
      <c r="FE28" s="231" t="str">
        <f t="shared" si="52"/>
        <v/>
      </c>
      <c r="FF28" s="28"/>
      <c r="FG28" s="28"/>
    </row>
    <row r="29">
      <c r="A29" s="28"/>
      <c r="B29" s="215"/>
      <c r="C29" s="155"/>
      <c r="D29" s="216"/>
      <c r="E29" s="155"/>
      <c r="F29" s="216"/>
      <c r="G29" s="155"/>
      <c r="H29" s="217"/>
      <c r="I29" s="154"/>
      <c r="J29" s="154"/>
      <c r="K29" s="155"/>
      <c r="L29" s="218" t="str">
        <f t="shared" si="53"/>
        <v>none</v>
      </c>
      <c r="M29" s="154"/>
      <c r="N29" s="154"/>
      <c r="O29" s="155"/>
      <c r="P29" s="218" t="str">
        <f t="shared" si="6"/>
        <v>none</v>
      </c>
      <c r="Q29" s="155"/>
      <c r="R29" s="219" t="str">
        <f t="shared" si="7"/>
        <v>none</v>
      </c>
      <c r="S29" s="155"/>
      <c r="T29" s="218" t="str">
        <f t="shared" si="8"/>
        <v>none</v>
      </c>
      <c r="U29" s="155"/>
      <c r="V29" s="215" t="s">
        <v>284</v>
      </c>
      <c r="W29" s="155"/>
      <c r="X29" s="215" t="s">
        <v>285</v>
      </c>
      <c r="Y29" s="155"/>
      <c r="Z29" s="216"/>
      <c r="AA29" s="155"/>
      <c r="AB29" s="220" t="str">
        <f t="shared" si="9"/>
        <v>none</v>
      </c>
      <c r="AC29" s="155"/>
      <c r="AD29" s="215">
        <v>1.0</v>
      </c>
      <c r="AE29" s="155"/>
      <c r="AF29" s="220" t="str">
        <f t="shared" si="10"/>
        <v>none</v>
      </c>
      <c r="AG29" s="155"/>
      <c r="AH29" s="215">
        <v>1.0</v>
      </c>
      <c r="AI29" s="155"/>
      <c r="AJ29" s="221" t="str">
        <f t="shared" si="11"/>
        <v>none</v>
      </c>
      <c r="AK29" s="155"/>
      <c r="AL29" s="221" t="str">
        <f t="shared" si="12"/>
        <v>none</v>
      </c>
      <c r="AM29" s="155"/>
      <c r="AN29" s="222" t="str">
        <f t="shared" si="13"/>
        <v>攻撃力に数値を入力</v>
      </c>
      <c r="AO29" s="155"/>
      <c r="AP29" s="216"/>
      <c r="AQ29" s="154"/>
      <c r="AR29" s="154"/>
      <c r="AS29" s="155"/>
      <c r="AT29" s="223" t="str">
        <f t="shared" si="14"/>
        <v>none</v>
      </c>
      <c r="AU29" s="154"/>
      <c r="AV29" s="154"/>
      <c r="AW29" s="154"/>
      <c r="AX29" s="155"/>
      <c r="AY29" s="224" t="str">
        <f t="shared" si="15"/>
        <v>none</v>
      </c>
      <c r="AZ29" s="155"/>
      <c r="BA29" s="224" t="str">
        <f t="shared" si="16"/>
        <v>none</v>
      </c>
      <c r="BB29" s="155"/>
      <c r="BC29" s="218" t="str">
        <f t="shared" si="17"/>
        <v>none</v>
      </c>
      <c r="BD29" s="155"/>
      <c r="BE29" s="220" t="str">
        <f t="shared" si="18"/>
        <v>none</v>
      </c>
      <c r="BF29" s="155"/>
      <c r="BG29" s="220" t="str">
        <f t="shared" si="19"/>
        <v>none</v>
      </c>
      <c r="BH29" s="155"/>
      <c r="BI29" s="220" t="str">
        <f t="shared" si="20"/>
        <v>none</v>
      </c>
      <c r="BJ29" s="155"/>
      <c r="BK29" s="220" t="str">
        <f t="shared" si="21"/>
        <v>none</v>
      </c>
      <c r="BL29" s="155"/>
      <c r="BM29" s="225" t="str">
        <f t="shared" si="22"/>
        <v>none</v>
      </c>
      <c r="BN29" s="155"/>
      <c r="BO29" s="220" t="str">
        <f t="shared" si="23"/>
        <v>none</v>
      </c>
      <c r="BP29" s="155"/>
      <c r="BQ29" s="220" t="str">
        <f t="shared" si="24"/>
        <v>none</v>
      </c>
      <c r="BR29" s="155"/>
      <c r="BS29" s="216"/>
      <c r="BT29" s="155"/>
      <c r="BU29" s="216"/>
      <c r="BV29" s="155"/>
      <c r="BW29" s="232"/>
      <c r="BX29" s="155"/>
      <c r="BY29" s="216"/>
      <c r="BZ29" s="155"/>
      <c r="CA29" s="215" t="s">
        <v>286</v>
      </c>
      <c r="CB29" s="154"/>
      <c r="CC29" s="154"/>
      <c r="CD29" s="155"/>
      <c r="CE29" s="227"/>
      <c r="CF29" s="155"/>
      <c r="CG29" s="227"/>
      <c r="CH29" s="155"/>
      <c r="CI29" s="227"/>
      <c r="CJ29" s="155"/>
      <c r="CK29" s="227"/>
      <c r="CL29" s="155"/>
      <c r="CM29" s="226" t="s">
        <v>287</v>
      </c>
      <c r="CN29" s="155"/>
      <c r="CO29" s="216"/>
      <c r="CP29" s="155"/>
      <c r="CQ29" s="215" t="s">
        <v>287</v>
      </c>
      <c r="CR29" s="154"/>
      <c r="CS29" s="154"/>
      <c r="CT29" s="155"/>
      <c r="CU29" s="227"/>
      <c r="CV29" s="155"/>
      <c r="CW29" s="215" t="s">
        <v>287</v>
      </c>
      <c r="CX29" s="154"/>
      <c r="CY29" s="154"/>
      <c r="CZ29" s="155"/>
      <c r="DA29" s="227"/>
      <c r="DB29" s="155"/>
      <c r="DC29" s="215" t="s">
        <v>287</v>
      </c>
      <c r="DD29" s="154"/>
      <c r="DE29" s="154"/>
      <c r="DF29" s="155"/>
      <c r="DG29" s="227"/>
      <c r="DH29" s="155"/>
      <c r="DI29" s="227"/>
      <c r="DJ29" s="155"/>
      <c r="DK29" s="226" t="b">
        <v>0</v>
      </c>
      <c r="DL29" s="155"/>
      <c r="DM29" s="228" t="s">
        <v>287</v>
      </c>
      <c r="DN29" s="154"/>
      <c r="DO29" s="154"/>
      <c r="DP29" s="155"/>
      <c r="DQ29" s="227"/>
      <c r="DR29" s="155"/>
      <c r="DS29" s="216"/>
      <c r="DT29" s="154"/>
      <c r="DU29" s="154"/>
      <c r="DV29" s="154"/>
      <c r="DW29" s="155"/>
      <c r="DX29" s="28"/>
      <c r="DY29" s="135"/>
      <c r="DZ29" s="28"/>
      <c r="EA29" s="229" t="str">
        <f t="shared" si="25"/>
        <v/>
      </c>
      <c r="EB29" s="229" t="str">
        <f t="shared" si="26"/>
        <v/>
      </c>
      <c r="EC29" s="229" t="str">
        <f t="shared" si="27"/>
        <v/>
      </c>
      <c r="ED29" s="229" t="str">
        <f t="shared" si="28"/>
        <v>未入力</v>
      </c>
      <c r="EE29" s="229" t="str">
        <f t="shared" si="29"/>
        <v/>
      </c>
      <c r="EF29" s="229" t="str">
        <f t="shared" si="30"/>
        <v>SummonEnemy</v>
      </c>
      <c r="EG29" s="229" t="str">
        <f t="shared" si="31"/>
        <v/>
      </c>
      <c r="EH29" s="229"/>
      <c r="EI29" s="229" t="str">
        <f t="shared" si="32"/>
        <v/>
      </c>
      <c r="EJ29" s="229" t="str">
        <f t="shared" si="33"/>
        <v/>
      </c>
      <c r="EK29" s="229" t="str">
        <f t="shared" si="34"/>
        <v>None</v>
      </c>
      <c r="EL29" s="229" t="str">
        <f t="shared" si="35"/>
        <v/>
      </c>
      <c r="EM29" s="229" t="str">
        <f t="shared" si="36"/>
        <v>None</v>
      </c>
      <c r="EN29" s="229" t="str">
        <f t="shared" si="37"/>
        <v/>
      </c>
      <c r="EO29" s="229" t="str">
        <f t="shared" si="38"/>
        <v>None</v>
      </c>
      <c r="EP29" s="229" t="str">
        <f t="shared" si="39"/>
        <v/>
      </c>
      <c r="EQ29" s="229" t="str">
        <f t="shared" si="40"/>
        <v>None</v>
      </c>
      <c r="ER29" s="229" t="str">
        <f t="shared" si="41"/>
        <v/>
      </c>
      <c r="ES29" s="229" t="str">
        <f t="shared" si="42"/>
        <v/>
      </c>
      <c r="ET29" s="229" t="b">
        <f t="shared" si="43"/>
        <v>0</v>
      </c>
      <c r="EU29" s="229"/>
      <c r="EV29" s="229" t="str">
        <f t="shared" si="44"/>
        <v>Default</v>
      </c>
      <c r="EW29" s="229" t="str">
        <f t="shared" si="45"/>
        <v>Normal</v>
      </c>
      <c r="EX29" s="229">
        <f t="shared" si="46"/>
        <v>1</v>
      </c>
      <c r="EY29" s="229">
        <f t="shared" si="47"/>
        <v>1</v>
      </c>
      <c r="EZ29" s="229" t="str">
        <f t="shared" si="48"/>
        <v>1</v>
      </c>
      <c r="FA29" s="229" t="str">
        <f t="shared" si="49"/>
        <v/>
      </c>
      <c r="FB29" s="230">
        <v>0.0</v>
      </c>
      <c r="FC29" s="229" t="str">
        <f t="shared" si="50"/>
        <v/>
      </c>
      <c r="FD29" s="229" t="str">
        <f t="shared" si="51"/>
        <v>None</v>
      </c>
      <c r="FE29" s="229" t="str">
        <f t="shared" si="52"/>
        <v/>
      </c>
      <c r="FF29" s="28"/>
      <c r="FG29" s="28"/>
    </row>
    <row r="30">
      <c r="A30" s="28"/>
      <c r="B30" s="215"/>
      <c r="C30" s="155"/>
      <c r="D30" s="216"/>
      <c r="E30" s="155"/>
      <c r="F30" s="216"/>
      <c r="G30" s="155"/>
      <c r="H30" s="217"/>
      <c r="I30" s="154"/>
      <c r="J30" s="154"/>
      <c r="K30" s="155"/>
      <c r="L30" s="218" t="str">
        <f t="shared" si="53"/>
        <v>none</v>
      </c>
      <c r="M30" s="154"/>
      <c r="N30" s="154"/>
      <c r="O30" s="155"/>
      <c r="P30" s="218" t="str">
        <f t="shared" si="6"/>
        <v>none</v>
      </c>
      <c r="Q30" s="155"/>
      <c r="R30" s="219" t="str">
        <f t="shared" si="7"/>
        <v>none</v>
      </c>
      <c r="S30" s="155"/>
      <c r="T30" s="218" t="str">
        <f t="shared" si="8"/>
        <v>none</v>
      </c>
      <c r="U30" s="155"/>
      <c r="V30" s="215" t="s">
        <v>284</v>
      </c>
      <c r="W30" s="155"/>
      <c r="X30" s="215" t="s">
        <v>285</v>
      </c>
      <c r="Y30" s="155"/>
      <c r="Z30" s="216"/>
      <c r="AA30" s="155"/>
      <c r="AB30" s="220" t="str">
        <f t="shared" si="9"/>
        <v>none</v>
      </c>
      <c r="AC30" s="155"/>
      <c r="AD30" s="215">
        <v>1.0</v>
      </c>
      <c r="AE30" s="155"/>
      <c r="AF30" s="220" t="str">
        <f t="shared" si="10"/>
        <v>none</v>
      </c>
      <c r="AG30" s="155"/>
      <c r="AH30" s="215">
        <v>1.0</v>
      </c>
      <c r="AI30" s="155"/>
      <c r="AJ30" s="221" t="str">
        <f t="shared" si="11"/>
        <v>none</v>
      </c>
      <c r="AK30" s="155"/>
      <c r="AL30" s="221" t="str">
        <f t="shared" si="12"/>
        <v>none</v>
      </c>
      <c r="AM30" s="155"/>
      <c r="AN30" s="222" t="str">
        <f t="shared" si="13"/>
        <v>攻撃力に数値を入力</v>
      </c>
      <c r="AO30" s="155"/>
      <c r="AP30" s="216"/>
      <c r="AQ30" s="154"/>
      <c r="AR30" s="154"/>
      <c r="AS30" s="155"/>
      <c r="AT30" s="223" t="str">
        <f t="shared" si="14"/>
        <v>none</v>
      </c>
      <c r="AU30" s="154"/>
      <c r="AV30" s="154"/>
      <c r="AW30" s="154"/>
      <c r="AX30" s="155"/>
      <c r="AY30" s="224" t="str">
        <f t="shared" si="15"/>
        <v>none</v>
      </c>
      <c r="AZ30" s="155"/>
      <c r="BA30" s="224" t="str">
        <f t="shared" si="16"/>
        <v>none</v>
      </c>
      <c r="BB30" s="155"/>
      <c r="BC30" s="218" t="str">
        <f t="shared" si="17"/>
        <v>none</v>
      </c>
      <c r="BD30" s="155"/>
      <c r="BE30" s="220" t="str">
        <f t="shared" si="18"/>
        <v>none</v>
      </c>
      <c r="BF30" s="155"/>
      <c r="BG30" s="220" t="str">
        <f t="shared" si="19"/>
        <v>none</v>
      </c>
      <c r="BH30" s="155"/>
      <c r="BI30" s="220" t="str">
        <f t="shared" si="20"/>
        <v>none</v>
      </c>
      <c r="BJ30" s="155"/>
      <c r="BK30" s="220" t="str">
        <f t="shared" si="21"/>
        <v>none</v>
      </c>
      <c r="BL30" s="155"/>
      <c r="BM30" s="225" t="str">
        <f t="shared" si="22"/>
        <v>none</v>
      </c>
      <c r="BN30" s="155"/>
      <c r="BO30" s="220" t="str">
        <f t="shared" si="23"/>
        <v>none</v>
      </c>
      <c r="BP30" s="155"/>
      <c r="BQ30" s="220" t="str">
        <f t="shared" si="24"/>
        <v>none</v>
      </c>
      <c r="BR30" s="155"/>
      <c r="BS30" s="216"/>
      <c r="BT30" s="155"/>
      <c r="BU30" s="216"/>
      <c r="BV30" s="155"/>
      <c r="BW30" s="183"/>
      <c r="BX30" s="155"/>
      <c r="BY30" s="216"/>
      <c r="BZ30" s="155"/>
      <c r="CA30" s="215" t="s">
        <v>286</v>
      </c>
      <c r="CB30" s="154"/>
      <c r="CC30" s="154"/>
      <c r="CD30" s="155"/>
      <c r="CE30" s="227"/>
      <c r="CF30" s="155"/>
      <c r="CG30" s="227"/>
      <c r="CH30" s="155"/>
      <c r="CI30" s="227"/>
      <c r="CJ30" s="155"/>
      <c r="CK30" s="227"/>
      <c r="CL30" s="155"/>
      <c r="CM30" s="226" t="s">
        <v>287</v>
      </c>
      <c r="CN30" s="155"/>
      <c r="CO30" s="216"/>
      <c r="CP30" s="155"/>
      <c r="CQ30" s="215" t="s">
        <v>287</v>
      </c>
      <c r="CR30" s="154"/>
      <c r="CS30" s="154"/>
      <c r="CT30" s="155"/>
      <c r="CU30" s="227"/>
      <c r="CV30" s="155"/>
      <c r="CW30" s="215" t="s">
        <v>287</v>
      </c>
      <c r="CX30" s="154"/>
      <c r="CY30" s="154"/>
      <c r="CZ30" s="155"/>
      <c r="DA30" s="227"/>
      <c r="DB30" s="155"/>
      <c r="DC30" s="215" t="s">
        <v>287</v>
      </c>
      <c r="DD30" s="154"/>
      <c r="DE30" s="154"/>
      <c r="DF30" s="155"/>
      <c r="DG30" s="227"/>
      <c r="DH30" s="155"/>
      <c r="DI30" s="227"/>
      <c r="DJ30" s="155"/>
      <c r="DK30" s="226" t="b">
        <v>0</v>
      </c>
      <c r="DL30" s="155"/>
      <c r="DM30" s="228" t="s">
        <v>287</v>
      </c>
      <c r="DN30" s="154"/>
      <c r="DO30" s="154"/>
      <c r="DP30" s="155"/>
      <c r="DQ30" s="227"/>
      <c r="DR30" s="155"/>
      <c r="DS30" s="216"/>
      <c r="DT30" s="154"/>
      <c r="DU30" s="154"/>
      <c r="DV30" s="154"/>
      <c r="DW30" s="155"/>
      <c r="DX30" s="28"/>
      <c r="DY30" s="135"/>
      <c r="DZ30" s="28"/>
      <c r="EA30" s="231" t="str">
        <f t="shared" si="25"/>
        <v/>
      </c>
      <c r="EB30" s="231" t="str">
        <f t="shared" si="26"/>
        <v/>
      </c>
      <c r="EC30" s="231" t="str">
        <f t="shared" si="27"/>
        <v/>
      </c>
      <c r="ED30" s="231" t="str">
        <f t="shared" si="28"/>
        <v>未入力</v>
      </c>
      <c r="EE30" s="231" t="str">
        <f t="shared" si="29"/>
        <v/>
      </c>
      <c r="EF30" s="231" t="str">
        <f t="shared" si="30"/>
        <v>SummonEnemy</v>
      </c>
      <c r="EG30" s="231" t="str">
        <f t="shared" si="31"/>
        <v/>
      </c>
      <c r="EH30" s="231"/>
      <c r="EI30" s="231" t="str">
        <f t="shared" si="32"/>
        <v/>
      </c>
      <c r="EJ30" s="231" t="str">
        <f t="shared" si="33"/>
        <v/>
      </c>
      <c r="EK30" s="231" t="str">
        <f t="shared" si="34"/>
        <v>None</v>
      </c>
      <c r="EL30" s="231" t="str">
        <f t="shared" si="35"/>
        <v/>
      </c>
      <c r="EM30" s="231" t="str">
        <f t="shared" si="36"/>
        <v>None</v>
      </c>
      <c r="EN30" s="231" t="str">
        <f t="shared" si="37"/>
        <v/>
      </c>
      <c r="EO30" s="231" t="str">
        <f t="shared" si="38"/>
        <v>None</v>
      </c>
      <c r="EP30" s="231" t="str">
        <f t="shared" si="39"/>
        <v/>
      </c>
      <c r="EQ30" s="231" t="str">
        <f t="shared" si="40"/>
        <v>None</v>
      </c>
      <c r="ER30" s="231" t="str">
        <f t="shared" si="41"/>
        <v/>
      </c>
      <c r="ES30" s="231" t="str">
        <f t="shared" si="42"/>
        <v/>
      </c>
      <c r="ET30" s="231" t="b">
        <f t="shared" si="43"/>
        <v>0</v>
      </c>
      <c r="EU30" s="231"/>
      <c r="EV30" s="231" t="str">
        <f t="shared" si="44"/>
        <v>Default</v>
      </c>
      <c r="EW30" s="231" t="str">
        <f t="shared" si="45"/>
        <v>Normal</v>
      </c>
      <c r="EX30" s="231">
        <f t="shared" si="46"/>
        <v>1</v>
      </c>
      <c r="EY30" s="231">
        <f t="shared" si="47"/>
        <v>1</v>
      </c>
      <c r="EZ30" s="231" t="str">
        <f t="shared" si="48"/>
        <v>1</v>
      </c>
      <c r="FA30" s="231" t="str">
        <f t="shared" si="49"/>
        <v/>
      </c>
      <c r="FB30" s="231">
        <v>0.0</v>
      </c>
      <c r="FC30" s="231" t="str">
        <f t="shared" si="50"/>
        <v/>
      </c>
      <c r="FD30" s="231" t="str">
        <f t="shared" si="51"/>
        <v>None</v>
      </c>
      <c r="FE30" s="231" t="str">
        <f t="shared" si="52"/>
        <v/>
      </c>
      <c r="FF30" s="28"/>
      <c r="FG30" s="28"/>
    </row>
    <row r="31">
      <c r="A31" s="28"/>
      <c r="B31" s="215"/>
      <c r="C31" s="155"/>
      <c r="D31" s="216"/>
      <c r="E31" s="155"/>
      <c r="F31" s="216"/>
      <c r="G31" s="155"/>
      <c r="H31" s="217"/>
      <c r="I31" s="154"/>
      <c r="J31" s="154"/>
      <c r="K31" s="155"/>
      <c r="L31" s="218" t="str">
        <f t="shared" si="53"/>
        <v>none</v>
      </c>
      <c r="M31" s="154"/>
      <c r="N31" s="154"/>
      <c r="O31" s="155"/>
      <c r="P31" s="218" t="str">
        <f t="shared" si="6"/>
        <v>none</v>
      </c>
      <c r="Q31" s="155"/>
      <c r="R31" s="219" t="str">
        <f t="shared" si="7"/>
        <v>none</v>
      </c>
      <c r="S31" s="155"/>
      <c r="T31" s="218" t="str">
        <f t="shared" si="8"/>
        <v>none</v>
      </c>
      <c r="U31" s="155"/>
      <c r="V31" s="215" t="s">
        <v>284</v>
      </c>
      <c r="W31" s="155"/>
      <c r="X31" s="215" t="s">
        <v>285</v>
      </c>
      <c r="Y31" s="155"/>
      <c r="Z31" s="216"/>
      <c r="AA31" s="155"/>
      <c r="AB31" s="220" t="str">
        <f t="shared" si="9"/>
        <v>none</v>
      </c>
      <c r="AC31" s="155"/>
      <c r="AD31" s="215">
        <v>1.0</v>
      </c>
      <c r="AE31" s="155"/>
      <c r="AF31" s="220" t="str">
        <f t="shared" si="10"/>
        <v>none</v>
      </c>
      <c r="AG31" s="155"/>
      <c r="AH31" s="215">
        <v>1.0</v>
      </c>
      <c r="AI31" s="155"/>
      <c r="AJ31" s="221" t="str">
        <f t="shared" si="11"/>
        <v>none</v>
      </c>
      <c r="AK31" s="155"/>
      <c r="AL31" s="221" t="str">
        <f t="shared" si="12"/>
        <v>none</v>
      </c>
      <c r="AM31" s="155"/>
      <c r="AN31" s="222" t="str">
        <f t="shared" si="13"/>
        <v>攻撃力に数値を入力</v>
      </c>
      <c r="AO31" s="155"/>
      <c r="AP31" s="216"/>
      <c r="AQ31" s="154"/>
      <c r="AR31" s="154"/>
      <c r="AS31" s="155"/>
      <c r="AT31" s="223" t="str">
        <f t="shared" si="14"/>
        <v>none</v>
      </c>
      <c r="AU31" s="154"/>
      <c r="AV31" s="154"/>
      <c r="AW31" s="154"/>
      <c r="AX31" s="155"/>
      <c r="AY31" s="224" t="str">
        <f t="shared" si="15"/>
        <v>none</v>
      </c>
      <c r="AZ31" s="155"/>
      <c r="BA31" s="224" t="str">
        <f t="shared" si="16"/>
        <v>none</v>
      </c>
      <c r="BB31" s="155"/>
      <c r="BC31" s="218" t="str">
        <f t="shared" si="17"/>
        <v>none</v>
      </c>
      <c r="BD31" s="155"/>
      <c r="BE31" s="220" t="str">
        <f t="shared" si="18"/>
        <v>none</v>
      </c>
      <c r="BF31" s="155"/>
      <c r="BG31" s="220" t="str">
        <f t="shared" si="19"/>
        <v>none</v>
      </c>
      <c r="BH31" s="155"/>
      <c r="BI31" s="220" t="str">
        <f t="shared" si="20"/>
        <v>none</v>
      </c>
      <c r="BJ31" s="155"/>
      <c r="BK31" s="220" t="str">
        <f t="shared" si="21"/>
        <v>none</v>
      </c>
      <c r="BL31" s="155"/>
      <c r="BM31" s="225" t="str">
        <f t="shared" si="22"/>
        <v>none</v>
      </c>
      <c r="BN31" s="155"/>
      <c r="BO31" s="220" t="str">
        <f t="shared" si="23"/>
        <v>none</v>
      </c>
      <c r="BP31" s="155"/>
      <c r="BQ31" s="220" t="str">
        <f t="shared" si="24"/>
        <v>none</v>
      </c>
      <c r="BR31" s="155"/>
      <c r="BS31" s="216"/>
      <c r="BT31" s="155"/>
      <c r="BU31" s="216"/>
      <c r="BV31" s="155"/>
      <c r="BW31" s="232"/>
      <c r="BX31" s="155"/>
      <c r="BY31" s="216"/>
      <c r="BZ31" s="155"/>
      <c r="CA31" s="215" t="s">
        <v>286</v>
      </c>
      <c r="CB31" s="154"/>
      <c r="CC31" s="154"/>
      <c r="CD31" s="155"/>
      <c r="CE31" s="227"/>
      <c r="CF31" s="155"/>
      <c r="CG31" s="227"/>
      <c r="CH31" s="155"/>
      <c r="CI31" s="227"/>
      <c r="CJ31" s="155"/>
      <c r="CK31" s="227"/>
      <c r="CL31" s="155"/>
      <c r="CM31" s="226" t="s">
        <v>287</v>
      </c>
      <c r="CN31" s="155"/>
      <c r="CO31" s="216"/>
      <c r="CP31" s="155"/>
      <c r="CQ31" s="215" t="s">
        <v>287</v>
      </c>
      <c r="CR31" s="154"/>
      <c r="CS31" s="154"/>
      <c r="CT31" s="155"/>
      <c r="CU31" s="227"/>
      <c r="CV31" s="155"/>
      <c r="CW31" s="215" t="s">
        <v>287</v>
      </c>
      <c r="CX31" s="154"/>
      <c r="CY31" s="154"/>
      <c r="CZ31" s="155"/>
      <c r="DA31" s="227"/>
      <c r="DB31" s="155"/>
      <c r="DC31" s="215" t="s">
        <v>287</v>
      </c>
      <c r="DD31" s="154"/>
      <c r="DE31" s="154"/>
      <c r="DF31" s="155"/>
      <c r="DG31" s="227"/>
      <c r="DH31" s="155"/>
      <c r="DI31" s="227"/>
      <c r="DJ31" s="155"/>
      <c r="DK31" s="226" t="b">
        <v>0</v>
      </c>
      <c r="DL31" s="155"/>
      <c r="DM31" s="228" t="s">
        <v>287</v>
      </c>
      <c r="DN31" s="154"/>
      <c r="DO31" s="154"/>
      <c r="DP31" s="155"/>
      <c r="DQ31" s="227"/>
      <c r="DR31" s="155"/>
      <c r="DS31" s="216"/>
      <c r="DT31" s="154"/>
      <c r="DU31" s="154"/>
      <c r="DV31" s="154"/>
      <c r="DW31" s="155"/>
      <c r="DX31" s="28"/>
      <c r="DY31" s="135"/>
      <c r="DZ31" s="28"/>
      <c r="EA31" s="229" t="str">
        <f t="shared" si="25"/>
        <v/>
      </c>
      <c r="EB31" s="229" t="str">
        <f t="shared" si="26"/>
        <v/>
      </c>
      <c r="EC31" s="229" t="str">
        <f t="shared" si="27"/>
        <v/>
      </c>
      <c r="ED31" s="229" t="str">
        <f t="shared" si="28"/>
        <v>未入力</v>
      </c>
      <c r="EE31" s="229" t="str">
        <f t="shared" si="29"/>
        <v/>
      </c>
      <c r="EF31" s="229" t="str">
        <f t="shared" si="30"/>
        <v>SummonEnemy</v>
      </c>
      <c r="EG31" s="229" t="str">
        <f t="shared" si="31"/>
        <v/>
      </c>
      <c r="EH31" s="229"/>
      <c r="EI31" s="229" t="str">
        <f t="shared" si="32"/>
        <v/>
      </c>
      <c r="EJ31" s="229" t="str">
        <f t="shared" si="33"/>
        <v/>
      </c>
      <c r="EK31" s="229" t="str">
        <f t="shared" si="34"/>
        <v>None</v>
      </c>
      <c r="EL31" s="229" t="str">
        <f t="shared" si="35"/>
        <v/>
      </c>
      <c r="EM31" s="229" t="str">
        <f t="shared" si="36"/>
        <v>None</v>
      </c>
      <c r="EN31" s="229" t="str">
        <f t="shared" si="37"/>
        <v/>
      </c>
      <c r="EO31" s="229" t="str">
        <f t="shared" si="38"/>
        <v>None</v>
      </c>
      <c r="EP31" s="229" t="str">
        <f t="shared" si="39"/>
        <v/>
      </c>
      <c r="EQ31" s="229" t="str">
        <f t="shared" si="40"/>
        <v>None</v>
      </c>
      <c r="ER31" s="229" t="str">
        <f t="shared" si="41"/>
        <v/>
      </c>
      <c r="ES31" s="229" t="str">
        <f t="shared" si="42"/>
        <v/>
      </c>
      <c r="ET31" s="229" t="b">
        <f t="shared" si="43"/>
        <v>0</v>
      </c>
      <c r="EU31" s="229"/>
      <c r="EV31" s="229" t="str">
        <f t="shared" si="44"/>
        <v>Default</v>
      </c>
      <c r="EW31" s="229" t="str">
        <f t="shared" si="45"/>
        <v>Normal</v>
      </c>
      <c r="EX31" s="229">
        <f t="shared" si="46"/>
        <v>1</v>
      </c>
      <c r="EY31" s="229">
        <f t="shared" si="47"/>
        <v>1</v>
      </c>
      <c r="EZ31" s="229" t="str">
        <f t="shared" si="48"/>
        <v>1</v>
      </c>
      <c r="FA31" s="229" t="str">
        <f t="shared" si="49"/>
        <v/>
      </c>
      <c r="FB31" s="230">
        <v>0.0</v>
      </c>
      <c r="FC31" s="229" t="str">
        <f t="shared" si="50"/>
        <v/>
      </c>
      <c r="FD31" s="229" t="str">
        <f t="shared" si="51"/>
        <v>None</v>
      </c>
      <c r="FE31" s="229" t="str">
        <f t="shared" si="52"/>
        <v/>
      </c>
      <c r="FF31" s="28"/>
      <c r="FG31" s="28"/>
    </row>
    <row r="32">
      <c r="A32" s="28"/>
      <c r="B32" s="215"/>
      <c r="C32" s="155"/>
      <c r="D32" s="216"/>
      <c r="E32" s="155"/>
      <c r="F32" s="216"/>
      <c r="G32" s="155"/>
      <c r="H32" s="217"/>
      <c r="I32" s="154"/>
      <c r="J32" s="154"/>
      <c r="K32" s="155"/>
      <c r="L32" s="218" t="str">
        <f t="shared" si="53"/>
        <v>none</v>
      </c>
      <c r="M32" s="154"/>
      <c r="N32" s="154"/>
      <c r="O32" s="155"/>
      <c r="P32" s="218" t="str">
        <f t="shared" si="6"/>
        <v>none</v>
      </c>
      <c r="Q32" s="155"/>
      <c r="R32" s="219" t="str">
        <f t="shared" si="7"/>
        <v>none</v>
      </c>
      <c r="S32" s="155"/>
      <c r="T32" s="218" t="str">
        <f t="shared" si="8"/>
        <v>none</v>
      </c>
      <c r="U32" s="155"/>
      <c r="V32" s="215" t="s">
        <v>284</v>
      </c>
      <c r="W32" s="155"/>
      <c r="X32" s="215" t="s">
        <v>285</v>
      </c>
      <c r="Y32" s="155"/>
      <c r="Z32" s="216"/>
      <c r="AA32" s="155"/>
      <c r="AB32" s="220" t="str">
        <f t="shared" si="9"/>
        <v>none</v>
      </c>
      <c r="AC32" s="155"/>
      <c r="AD32" s="215">
        <v>1.0</v>
      </c>
      <c r="AE32" s="155"/>
      <c r="AF32" s="220" t="str">
        <f t="shared" si="10"/>
        <v>none</v>
      </c>
      <c r="AG32" s="155"/>
      <c r="AH32" s="215">
        <v>1.0</v>
      </c>
      <c r="AI32" s="155"/>
      <c r="AJ32" s="221" t="str">
        <f t="shared" si="11"/>
        <v>none</v>
      </c>
      <c r="AK32" s="155"/>
      <c r="AL32" s="221" t="str">
        <f t="shared" si="12"/>
        <v>none</v>
      </c>
      <c r="AM32" s="155"/>
      <c r="AN32" s="222" t="str">
        <f t="shared" si="13"/>
        <v>攻撃力に数値を入力</v>
      </c>
      <c r="AO32" s="155"/>
      <c r="AP32" s="216"/>
      <c r="AQ32" s="154"/>
      <c r="AR32" s="154"/>
      <c r="AS32" s="155"/>
      <c r="AT32" s="223" t="str">
        <f t="shared" si="14"/>
        <v>none</v>
      </c>
      <c r="AU32" s="154"/>
      <c r="AV32" s="154"/>
      <c r="AW32" s="154"/>
      <c r="AX32" s="155"/>
      <c r="AY32" s="224" t="str">
        <f t="shared" si="15"/>
        <v>none</v>
      </c>
      <c r="AZ32" s="155"/>
      <c r="BA32" s="224" t="str">
        <f t="shared" si="16"/>
        <v>none</v>
      </c>
      <c r="BB32" s="155"/>
      <c r="BC32" s="218" t="str">
        <f t="shared" si="17"/>
        <v>none</v>
      </c>
      <c r="BD32" s="155"/>
      <c r="BE32" s="220" t="str">
        <f t="shared" si="18"/>
        <v>none</v>
      </c>
      <c r="BF32" s="155"/>
      <c r="BG32" s="220" t="str">
        <f t="shared" si="19"/>
        <v>none</v>
      </c>
      <c r="BH32" s="155"/>
      <c r="BI32" s="220" t="str">
        <f t="shared" si="20"/>
        <v>none</v>
      </c>
      <c r="BJ32" s="155"/>
      <c r="BK32" s="220" t="str">
        <f t="shared" si="21"/>
        <v>none</v>
      </c>
      <c r="BL32" s="155"/>
      <c r="BM32" s="225" t="str">
        <f t="shared" si="22"/>
        <v>none</v>
      </c>
      <c r="BN32" s="155"/>
      <c r="BO32" s="220" t="str">
        <f t="shared" si="23"/>
        <v>none</v>
      </c>
      <c r="BP32" s="155"/>
      <c r="BQ32" s="220" t="str">
        <f t="shared" si="24"/>
        <v>none</v>
      </c>
      <c r="BR32" s="155"/>
      <c r="BS32" s="216"/>
      <c r="BT32" s="155"/>
      <c r="BU32" s="216"/>
      <c r="BV32" s="155"/>
      <c r="BW32" s="183"/>
      <c r="BX32" s="155"/>
      <c r="BY32" s="216"/>
      <c r="BZ32" s="155"/>
      <c r="CA32" s="215" t="s">
        <v>286</v>
      </c>
      <c r="CB32" s="154"/>
      <c r="CC32" s="154"/>
      <c r="CD32" s="155"/>
      <c r="CE32" s="227"/>
      <c r="CF32" s="155"/>
      <c r="CG32" s="227"/>
      <c r="CH32" s="155"/>
      <c r="CI32" s="227"/>
      <c r="CJ32" s="155"/>
      <c r="CK32" s="227"/>
      <c r="CL32" s="155"/>
      <c r="CM32" s="226" t="s">
        <v>287</v>
      </c>
      <c r="CN32" s="155"/>
      <c r="CO32" s="216"/>
      <c r="CP32" s="155"/>
      <c r="CQ32" s="215" t="s">
        <v>287</v>
      </c>
      <c r="CR32" s="154"/>
      <c r="CS32" s="154"/>
      <c r="CT32" s="155"/>
      <c r="CU32" s="227"/>
      <c r="CV32" s="155"/>
      <c r="CW32" s="215" t="s">
        <v>287</v>
      </c>
      <c r="CX32" s="154"/>
      <c r="CY32" s="154"/>
      <c r="CZ32" s="155"/>
      <c r="DA32" s="227"/>
      <c r="DB32" s="155"/>
      <c r="DC32" s="215" t="s">
        <v>287</v>
      </c>
      <c r="DD32" s="154"/>
      <c r="DE32" s="154"/>
      <c r="DF32" s="155"/>
      <c r="DG32" s="227"/>
      <c r="DH32" s="155"/>
      <c r="DI32" s="227"/>
      <c r="DJ32" s="155"/>
      <c r="DK32" s="226" t="b">
        <v>0</v>
      </c>
      <c r="DL32" s="155"/>
      <c r="DM32" s="228" t="s">
        <v>287</v>
      </c>
      <c r="DN32" s="154"/>
      <c r="DO32" s="154"/>
      <c r="DP32" s="155"/>
      <c r="DQ32" s="227"/>
      <c r="DR32" s="155"/>
      <c r="DS32" s="216"/>
      <c r="DT32" s="154"/>
      <c r="DU32" s="154"/>
      <c r="DV32" s="154"/>
      <c r="DW32" s="155"/>
      <c r="DX32" s="28"/>
      <c r="DY32" s="135"/>
      <c r="DZ32" s="28"/>
      <c r="EA32" s="231" t="str">
        <f t="shared" si="25"/>
        <v/>
      </c>
      <c r="EB32" s="231" t="str">
        <f t="shared" si="26"/>
        <v/>
      </c>
      <c r="EC32" s="231" t="str">
        <f t="shared" si="27"/>
        <v/>
      </c>
      <c r="ED32" s="231" t="str">
        <f t="shared" si="28"/>
        <v>未入力</v>
      </c>
      <c r="EE32" s="231" t="str">
        <f t="shared" si="29"/>
        <v/>
      </c>
      <c r="EF32" s="231" t="str">
        <f t="shared" si="30"/>
        <v>SummonEnemy</v>
      </c>
      <c r="EG32" s="231" t="str">
        <f t="shared" si="31"/>
        <v/>
      </c>
      <c r="EH32" s="231"/>
      <c r="EI32" s="231" t="str">
        <f t="shared" si="32"/>
        <v/>
      </c>
      <c r="EJ32" s="231" t="str">
        <f t="shared" si="33"/>
        <v/>
      </c>
      <c r="EK32" s="231" t="str">
        <f t="shared" si="34"/>
        <v>None</v>
      </c>
      <c r="EL32" s="231" t="str">
        <f t="shared" si="35"/>
        <v/>
      </c>
      <c r="EM32" s="231" t="str">
        <f t="shared" si="36"/>
        <v>None</v>
      </c>
      <c r="EN32" s="231" t="str">
        <f t="shared" si="37"/>
        <v/>
      </c>
      <c r="EO32" s="231" t="str">
        <f t="shared" si="38"/>
        <v>None</v>
      </c>
      <c r="EP32" s="231" t="str">
        <f t="shared" si="39"/>
        <v/>
      </c>
      <c r="EQ32" s="231" t="str">
        <f t="shared" si="40"/>
        <v>None</v>
      </c>
      <c r="ER32" s="231" t="str">
        <f t="shared" si="41"/>
        <v/>
      </c>
      <c r="ES32" s="231" t="str">
        <f t="shared" si="42"/>
        <v/>
      </c>
      <c r="ET32" s="231" t="b">
        <f t="shared" si="43"/>
        <v>0</v>
      </c>
      <c r="EU32" s="231"/>
      <c r="EV32" s="231" t="str">
        <f t="shared" si="44"/>
        <v>Default</v>
      </c>
      <c r="EW32" s="231" t="str">
        <f t="shared" si="45"/>
        <v>Normal</v>
      </c>
      <c r="EX32" s="231">
        <f t="shared" si="46"/>
        <v>1</v>
      </c>
      <c r="EY32" s="231">
        <f t="shared" si="47"/>
        <v>1</v>
      </c>
      <c r="EZ32" s="231" t="str">
        <f t="shared" si="48"/>
        <v>1</v>
      </c>
      <c r="FA32" s="231" t="str">
        <f t="shared" si="49"/>
        <v/>
      </c>
      <c r="FB32" s="231">
        <v>0.0</v>
      </c>
      <c r="FC32" s="231" t="str">
        <f t="shared" si="50"/>
        <v/>
      </c>
      <c r="FD32" s="231" t="str">
        <f t="shared" si="51"/>
        <v>None</v>
      </c>
      <c r="FE32" s="231" t="str">
        <f t="shared" si="52"/>
        <v/>
      </c>
      <c r="FF32" s="28"/>
      <c r="FG32" s="28"/>
    </row>
    <row r="33">
      <c r="A33" s="28"/>
      <c r="B33" s="215"/>
      <c r="C33" s="155"/>
      <c r="D33" s="216"/>
      <c r="E33" s="155"/>
      <c r="F33" s="216"/>
      <c r="G33" s="155"/>
      <c r="H33" s="217"/>
      <c r="I33" s="154"/>
      <c r="J33" s="154"/>
      <c r="K33" s="155"/>
      <c r="L33" s="218" t="str">
        <f t="shared" si="53"/>
        <v>none</v>
      </c>
      <c r="M33" s="154"/>
      <c r="N33" s="154"/>
      <c r="O33" s="155"/>
      <c r="P33" s="218" t="str">
        <f t="shared" si="6"/>
        <v>none</v>
      </c>
      <c r="Q33" s="155"/>
      <c r="R33" s="219" t="str">
        <f t="shared" si="7"/>
        <v>none</v>
      </c>
      <c r="S33" s="155"/>
      <c r="T33" s="218" t="str">
        <f t="shared" si="8"/>
        <v>none</v>
      </c>
      <c r="U33" s="155"/>
      <c r="V33" s="215" t="s">
        <v>284</v>
      </c>
      <c r="W33" s="155"/>
      <c r="X33" s="215" t="s">
        <v>285</v>
      </c>
      <c r="Y33" s="155"/>
      <c r="Z33" s="216"/>
      <c r="AA33" s="155"/>
      <c r="AB33" s="220" t="str">
        <f t="shared" si="9"/>
        <v>none</v>
      </c>
      <c r="AC33" s="155"/>
      <c r="AD33" s="215">
        <v>1.0</v>
      </c>
      <c r="AE33" s="155"/>
      <c r="AF33" s="220" t="str">
        <f t="shared" si="10"/>
        <v>none</v>
      </c>
      <c r="AG33" s="155"/>
      <c r="AH33" s="215">
        <v>1.0</v>
      </c>
      <c r="AI33" s="155"/>
      <c r="AJ33" s="221" t="str">
        <f t="shared" si="11"/>
        <v>none</v>
      </c>
      <c r="AK33" s="155"/>
      <c r="AL33" s="221" t="str">
        <f t="shared" si="12"/>
        <v>none</v>
      </c>
      <c r="AM33" s="155"/>
      <c r="AN33" s="222" t="str">
        <f t="shared" si="13"/>
        <v>攻撃力に数値を入力</v>
      </c>
      <c r="AO33" s="155"/>
      <c r="AP33" s="216"/>
      <c r="AQ33" s="154"/>
      <c r="AR33" s="154"/>
      <c r="AS33" s="155"/>
      <c r="AT33" s="223" t="str">
        <f t="shared" si="14"/>
        <v>none</v>
      </c>
      <c r="AU33" s="154"/>
      <c r="AV33" s="154"/>
      <c r="AW33" s="154"/>
      <c r="AX33" s="155"/>
      <c r="AY33" s="224" t="str">
        <f t="shared" si="15"/>
        <v>none</v>
      </c>
      <c r="AZ33" s="155"/>
      <c r="BA33" s="224" t="str">
        <f t="shared" si="16"/>
        <v>none</v>
      </c>
      <c r="BB33" s="155"/>
      <c r="BC33" s="218" t="str">
        <f t="shared" si="17"/>
        <v>none</v>
      </c>
      <c r="BD33" s="155"/>
      <c r="BE33" s="220" t="str">
        <f t="shared" si="18"/>
        <v>none</v>
      </c>
      <c r="BF33" s="155"/>
      <c r="BG33" s="220" t="str">
        <f t="shared" si="19"/>
        <v>none</v>
      </c>
      <c r="BH33" s="155"/>
      <c r="BI33" s="220" t="str">
        <f t="shared" si="20"/>
        <v>none</v>
      </c>
      <c r="BJ33" s="155"/>
      <c r="BK33" s="220" t="str">
        <f t="shared" si="21"/>
        <v>none</v>
      </c>
      <c r="BL33" s="155"/>
      <c r="BM33" s="225" t="str">
        <f t="shared" si="22"/>
        <v>none</v>
      </c>
      <c r="BN33" s="155"/>
      <c r="BO33" s="220" t="str">
        <f t="shared" si="23"/>
        <v>none</v>
      </c>
      <c r="BP33" s="155"/>
      <c r="BQ33" s="220" t="str">
        <f t="shared" si="24"/>
        <v>none</v>
      </c>
      <c r="BR33" s="155"/>
      <c r="BS33" s="216"/>
      <c r="BT33" s="155"/>
      <c r="BU33" s="216"/>
      <c r="BV33" s="155"/>
      <c r="BW33" s="183"/>
      <c r="BX33" s="155"/>
      <c r="BY33" s="216"/>
      <c r="BZ33" s="155"/>
      <c r="CA33" s="215" t="s">
        <v>286</v>
      </c>
      <c r="CB33" s="154"/>
      <c r="CC33" s="154"/>
      <c r="CD33" s="155"/>
      <c r="CE33" s="227"/>
      <c r="CF33" s="155"/>
      <c r="CG33" s="227"/>
      <c r="CH33" s="155"/>
      <c r="CI33" s="227"/>
      <c r="CJ33" s="155"/>
      <c r="CK33" s="227"/>
      <c r="CL33" s="155"/>
      <c r="CM33" s="226" t="s">
        <v>287</v>
      </c>
      <c r="CN33" s="155"/>
      <c r="CO33" s="216"/>
      <c r="CP33" s="155"/>
      <c r="CQ33" s="215" t="s">
        <v>287</v>
      </c>
      <c r="CR33" s="154"/>
      <c r="CS33" s="154"/>
      <c r="CT33" s="155"/>
      <c r="CU33" s="227"/>
      <c r="CV33" s="155"/>
      <c r="CW33" s="215" t="s">
        <v>287</v>
      </c>
      <c r="CX33" s="154"/>
      <c r="CY33" s="154"/>
      <c r="CZ33" s="155"/>
      <c r="DA33" s="227"/>
      <c r="DB33" s="155"/>
      <c r="DC33" s="215" t="s">
        <v>287</v>
      </c>
      <c r="DD33" s="154"/>
      <c r="DE33" s="154"/>
      <c r="DF33" s="155"/>
      <c r="DG33" s="227"/>
      <c r="DH33" s="155"/>
      <c r="DI33" s="227"/>
      <c r="DJ33" s="155"/>
      <c r="DK33" s="226" t="b">
        <v>0</v>
      </c>
      <c r="DL33" s="155"/>
      <c r="DM33" s="228" t="s">
        <v>287</v>
      </c>
      <c r="DN33" s="154"/>
      <c r="DO33" s="154"/>
      <c r="DP33" s="155"/>
      <c r="DQ33" s="227"/>
      <c r="DR33" s="155"/>
      <c r="DS33" s="216"/>
      <c r="DT33" s="154"/>
      <c r="DU33" s="154"/>
      <c r="DV33" s="154"/>
      <c r="DW33" s="155"/>
      <c r="DX33" s="28"/>
      <c r="DY33" s="135"/>
      <c r="DZ33" s="28"/>
      <c r="EA33" s="229" t="str">
        <f t="shared" si="25"/>
        <v/>
      </c>
      <c r="EB33" s="229" t="str">
        <f t="shared" si="26"/>
        <v/>
      </c>
      <c r="EC33" s="229" t="str">
        <f t="shared" si="27"/>
        <v/>
      </c>
      <c r="ED33" s="229" t="str">
        <f t="shared" si="28"/>
        <v>未入力</v>
      </c>
      <c r="EE33" s="229" t="str">
        <f t="shared" si="29"/>
        <v/>
      </c>
      <c r="EF33" s="229" t="str">
        <f t="shared" si="30"/>
        <v>SummonEnemy</v>
      </c>
      <c r="EG33" s="229" t="str">
        <f t="shared" si="31"/>
        <v/>
      </c>
      <c r="EH33" s="229"/>
      <c r="EI33" s="229" t="str">
        <f t="shared" si="32"/>
        <v/>
      </c>
      <c r="EJ33" s="229" t="str">
        <f t="shared" si="33"/>
        <v/>
      </c>
      <c r="EK33" s="229" t="str">
        <f t="shared" si="34"/>
        <v>None</v>
      </c>
      <c r="EL33" s="229" t="str">
        <f t="shared" si="35"/>
        <v/>
      </c>
      <c r="EM33" s="229" t="str">
        <f t="shared" si="36"/>
        <v>None</v>
      </c>
      <c r="EN33" s="229" t="str">
        <f t="shared" si="37"/>
        <v/>
      </c>
      <c r="EO33" s="229" t="str">
        <f t="shared" si="38"/>
        <v>None</v>
      </c>
      <c r="EP33" s="229" t="str">
        <f t="shared" si="39"/>
        <v/>
      </c>
      <c r="EQ33" s="229" t="str">
        <f t="shared" si="40"/>
        <v>None</v>
      </c>
      <c r="ER33" s="229" t="str">
        <f t="shared" si="41"/>
        <v/>
      </c>
      <c r="ES33" s="229" t="str">
        <f t="shared" si="42"/>
        <v/>
      </c>
      <c r="ET33" s="229" t="b">
        <f t="shared" si="43"/>
        <v>0</v>
      </c>
      <c r="EU33" s="229"/>
      <c r="EV33" s="229" t="str">
        <f t="shared" si="44"/>
        <v>Default</v>
      </c>
      <c r="EW33" s="229" t="str">
        <f t="shared" si="45"/>
        <v>Normal</v>
      </c>
      <c r="EX33" s="229">
        <f t="shared" si="46"/>
        <v>1</v>
      </c>
      <c r="EY33" s="229">
        <f t="shared" si="47"/>
        <v>1</v>
      </c>
      <c r="EZ33" s="229" t="str">
        <f t="shared" si="48"/>
        <v>1</v>
      </c>
      <c r="FA33" s="229" t="str">
        <f t="shared" si="49"/>
        <v/>
      </c>
      <c r="FB33" s="230">
        <v>0.0</v>
      </c>
      <c r="FC33" s="229" t="str">
        <f t="shared" si="50"/>
        <v/>
      </c>
      <c r="FD33" s="229" t="str">
        <f t="shared" si="51"/>
        <v>None</v>
      </c>
      <c r="FE33" s="229" t="str">
        <f t="shared" si="52"/>
        <v/>
      </c>
      <c r="FF33" s="28"/>
      <c r="FG33" s="28"/>
    </row>
    <row r="34">
      <c r="A34" s="28"/>
      <c r="B34" s="215"/>
      <c r="C34" s="155"/>
      <c r="D34" s="216"/>
      <c r="E34" s="155"/>
      <c r="F34" s="216"/>
      <c r="G34" s="155"/>
      <c r="H34" s="217"/>
      <c r="I34" s="154"/>
      <c r="J34" s="154"/>
      <c r="K34" s="155"/>
      <c r="L34" s="218" t="str">
        <f t="shared" si="53"/>
        <v>none</v>
      </c>
      <c r="M34" s="154"/>
      <c r="N34" s="154"/>
      <c r="O34" s="155"/>
      <c r="P34" s="218" t="str">
        <f t="shared" si="6"/>
        <v>none</v>
      </c>
      <c r="Q34" s="155"/>
      <c r="R34" s="219" t="str">
        <f t="shared" si="7"/>
        <v>none</v>
      </c>
      <c r="S34" s="155"/>
      <c r="T34" s="218" t="str">
        <f t="shared" si="8"/>
        <v>none</v>
      </c>
      <c r="U34" s="155"/>
      <c r="V34" s="215" t="s">
        <v>284</v>
      </c>
      <c r="W34" s="155"/>
      <c r="X34" s="215" t="s">
        <v>285</v>
      </c>
      <c r="Y34" s="155"/>
      <c r="Z34" s="216"/>
      <c r="AA34" s="155"/>
      <c r="AB34" s="220" t="str">
        <f t="shared" si="9"/>
        <v>none</v>
      </c>
      <c r="AC34" s="155"/>
      <c r="AD34" s="215">
        <v>1.0</v>
      </c>
      <c r="AE34" s="155"/>
      <c r="AF34" s="220" t="str">
        <f t="shared" si="10"/>
        <v>none</v>
      </c>
      <c r="AG34" s="155"/>
      <c r="AH34" s="215">
        <v>1.0</v>
      </c>
      <c r="AI34" s="155"/>
      <c r="AJ34" s="221" t="str">
        <f t="shared" si="11"/>
        <v>none</v>
      </c>
      <c r="AK34" s="155"/>
      <c r="AL34" s="221" t="str">
        <f t="shared" si="12"/>
        <v>none</v>
      </c>
      <c r="AM34" s="155"/>
      <c r="AN34" s="222" t="str">
        <f t="shared" si="13"/>
        <v>攻撃力に数値を入力</v>
      </c>
      <c r="AO34" s="155"/>
      <c r="AP34" s="216"/>
      <c r="AQ34" s="154"/>
      <c r="AR34" s="154"/>
      <c r="AS34" s="155"/>
      <c r="AT34" s="223" t="str">
        <f t="shared" si="14"/>
        <v>none</v>
      </c>
      <c r="AU34" s="154"/>
      <c r="AV34" s="154"/>
      <c r="AW34" s="154"/>
      <c r="AX34" s="155"/>
      <c r="AY34" s="224" t="str">
        <f t="shared" si="15"/>
        <v>none</v>
      </c>
      <c r="AZ34" s="155"/>
      <c r="BA34" s="224" t="str">
        <f t="shared" si="16"/>
        <v>none</v>
      </c>
      <c r="BB34" s="155"/>
      <c r="BC34" s="218" t="str">
        <f t="shared" si="17"/>
        <v>none</v>
      </c>
      <c r="BD34" s="155"/>
      <c r="BE34" s="220" t="str">
        <f t="shared" si="18"/>
        <v>none</v>
      </c>
      <c r="BF34" s="155"/>
      <c r="BG34" s="220" t="str">
        <f t="shared" si="19"/>
        <v>none</v>
      </c>
      <c r="BH34" s="155"/>
      <c r="BI34" s="220" t="str">
        <f t="shared" si="20"/>
        <v>none</v>
      </c>
      <c r="BJ34" s="155"/>
      <c r="BK34" s="220" t="str">
        <f t="shared" si="21"/>
        <v>none</v>
      </c>
      <c r="BL34" s="155"/>
      <c r="BM34" s="225" t="str">
        <f t="shared" si="22"/>
        <v>none</v>
      </c>
      <c r="BN34" s="155"/>
      <c r="BO34" s="220" t="str">
        <f t="shared" si="23"/>
        <v>none</v>
      </c>
      <c r="BP34" s="155"/>
      <c r="BQ34" s="220" t="str">
        <f t="shared" si="24"/>
        <v>none</v>
      </c>
      <c r="BR34" s="155"/>
      <c r="BS34" s="216"/>
      <c r="BT34" s="155"/>
      <c r="BU34" s="216"/>
      <c r="BV34" s="155"/>
      <c r="BW34" s="183"/>
      <c r="BX34" s="155"/>
      <c r="BY34" s="216"/>
      <c r="BZ34" s="155"/>
      <c r="CA34" s="215" t="s">
        <v>286</v>
      </c>
      <c r="CB34" s="154"/>
      <c r="CC34" s="154"/>
      <c r="CD34" s="155"/>
      <c r="CE34" s="227"/>
      <c r="CF34" s="155"/>
      <c r="CG34" s="227"/>
      <c r="CH34" s="155"/>
      <c r="CI34" s="227"/>
      <c r="CJ34" s="155"/>
      <c r="CK34" s="227"/>
      <c r="CL34" s="155"/>
      <c r="CM34" s="226" t="s">
        <v>287</v>
      </c>
      <c r="CN34" s="155"/>
      <c r="CO34" s="216"/>
      <c r="CP34" s="155"/>
      <c r="CQ34" s="215" t="s">
        <v>287</v>
      </c>
      <c r="CR34" s="154"/>
      <c r="CS34" s="154"/>
      <c r="CT34" s="155"/>
      <c r="CU34" s="227"/>
      <c r="CV34" s="155"/>
      <c r="CW34" s="215" t="s">
        <v>287</v>
      </c>
      <c r="CX34" s="154"/>
      <c r="CY34" s="154"/>
      <c r="CZ34" s="155"/>
      <c r="DA34" s="227"/>
      <c r="DB34" s="155"/>
      <c r="DC34" s="215" t="s">
        <v>287</v>
      </c>
      <c r="DD34" s="154"/>
      <c r="DE34" s="154"/>
      <c r="DF34" s="155"/>
      <c r="DG34" s="227"/>
      <c r="DH34" s="155"/>
      <c r="DI34" s="227"/>
      <c r="DJ34" s="155"/>
      <c r="DK34" s="226" t="b">
        <v>0</v>
      </c>
      <c r="DL34" s="155"/>
      <c r="DM34" s="228" t="s">
        <v>287</v>
      </c>
      <c r="DN34" s="154"/>
      <c r="DO34" s="154"/>
      <c r="DP34" s="155"/>
      <c r="DQ34" s="227"/>
      <c r="DR34" s="155"/>
      <c r="DS34" s="216"/>
      <c r="DT34" s="154"/>
      <c r="DU34" s="154"/>
      <c r="DV34" s="154"/>
      <c r="DW34" s="155"/>
      <c r="DX34" s="28"/>
      <c r="DY34" s="135"/>
      <c r="DZ34" s="28"/>
      <c r="EA34" s="231" t="str">
        <f t="shared" si="25"/>
        <v/>
      </c>
      <c r="EB34" s="231" t="str">
        <f t="shared" si="26"/>
        <v/>
      </c>
      <c r="EC34" s="231" t="str">
        <f t="shared" si="27"/>
        <v/>
      </c>
      <c r="ED34" s="231" t="str">
        <f t="shared" si="28"/>
        <v>未入力</v>
      </c>
      <c r="EE34" s="231" t="str">
        <f t="shared" si="29"/>
        <v/>
      </c>
      <c r="EF34" s="231" t="str">
        <f t="shared" si="30"/>
        <v>SummonEnemy</v>
      </c>
      <c r="EG34" s="231" t="str">
        <f t="shared" si="31"/>
        <v/>
      </c>
      <c r="EH34" s="231"/>
      <c r="EI34" s="231" t="str">
        <f t="shared" si="32"/>
        <v/>
      </c>
      <c r="EJ34" s="231" t="str">
        <f t="shared" si="33"/>
        <v/>
      </c>
      <c r="EK34" s="231" t="str">
        <f t="shared" si="34"/>
        <v>None</v>
      </c>
      <c r="EL34" s="231" t="str">
        <f t="shared" si="35"/>
        <v/>
      </c>
      <c r="EM34" s="231" t="str">
        <f t="shared" si="36"/>
        <v>None</v>
      </c>
      <c r="EN34" s="231" t="str">
        <f t="shared" si="37"/>
        <v/>
      </c>
      <c r="EO34" s="231" t="str">
        <f t="shared" si="38"/>
        <v>None</v>
      </c>
      <c r="EP34" s="231" t="str">
        <f t="shared" si="39"/>
        <v/>
      </c>
      <c r="EQ34" s="231" t="str">
        <f t="shared" si="40"/>
        <v>None</v>
      </c>
      <c r="ER34" s="231" t="str">
        <f t="shared" si="41"/>
        <v/>
      </c>
      <c r="ES34" s="231" t="str">
        <f t="shared" si="42"/>
        <v/>
      </c>
      <c r="ET34" s="231" t="b">
        <f t="shared" si="43"/>
        <v>0</v>
      </c>
      <c r="EU34" s="231"/>
      <c r="EV34" s="231" t="str">
        <f t="shared" si="44"/>
        <v>Default</v>
      </c>
      <c r="EW34" s="231" t="str">
        <f t="shared" si="45"/>
        <v>Normal</v>
      </c>
      <c r="EX34" s="231">
        <f t="shared" si="46"/>
        <v>1</v>
      </c>
      <c r="EY34" s="231">
        <f t="shared" si="47"/>
        <v>1</v>
      </c>
      <c r="EZ34" s="231" t="str">
        <f t="shared" si="48"/>
        <v>1</v>
      </c>
      <c r="FA34" s="231" t="str">
        <f t="shared" si="49"/>
        <v/>
      </c>
      <c r="FB34" s="231">
        <v>0.0</v>
      </c>
      <c r="FC34" s="231" t="str">
        <f t="shared" si="50"/>
        <v/>
      </c>
      <c r="FD34" s="231" t="str">
        <f t="shared" si="51"/>
        <v>None</v>
      </c>
      <c r="FE34" s="231" t="str">
        <f t="shared" si="52"/>
        <v/>
      </c>
      <c r="FF34" s="28"/>
      <c r="FG34" s="28"/>
    </row>
    <row r="35">
      <c r="A35" s="28"/>
      <c r="B35" s="215"/>
      <c r="C35" s="155"/>
      <c r="D35" s="216"/>
      <c r="E35" s="155"/>
      <c r="F35" s="216"/>
      <c r="G35" s="155"/>
      <c r="H35" s="217"/>
      <c r="I35" s="154"/>
      <c r="J35" s="154"/>
      <c r="K35" s="155"/>
      <c r="L35" s="218" t="str">
        <f t="shared" si="53"/>
        <v>none</v>
      </c>
      <c r="M35" s="154"/>
      <c r="N35" s="154"/>
      <c r="O35" s="155"/>
      <c r="P35" s="218" t="str">
        <f t="shared" si="6"/>
        <v>none</v>
      </c>
      <c r="Q35" s="155"/>
      <c r="R35" s="219" t="str">
        <f t="shared" si="7"/>
        <v>none</v>
      </c>
      <c r="S35" s="155"/>
      <c r="T35" s="218" t="str">
        <f t="shared" si="8"/>
        <v>none</v>
      </c>
      <c r="U35" s="155"/>
      <c r="V35" s="215" t="s">
        <v>284</v>
      </c>
      <c r="W35" s="155"/>
      <c r="X35" s="215" t="s">
        <v>285</v>
      </c>
      <c r="Y35" s="155"/>
      <c r="Z35" s="216"/>
      <c r="AA35" s="155"/>
      <c r="AB35" s="220" t="str">
        <f t="shared" si="9"/>
        <v>none</v>
      </c>
      <c r="AC35" s="155"/>
      <c r="AD35" s="215">
        <v>1.0</v>
      </c>
      <c r="AE35" s="155"/>
      <c r="AF35" s="220" t="str">
        <f t="shared" si="10"/>
        <v>none</v>
      </c>
      <c r="AG35" s="155"/>
      <c r="AH35" s="215">
        <v>1.0</v>
      </c>
      <c r="AI35" s="155"/>
      <c r="AJ35" s="221" t="str">
        <f t="shared" si="11"/>
        <v>none</v>
      </c>
      <c r="AK35" s="155"/>
      <c r="AL35" s="221" t="str">
        <f t="shared" si="12"/>
        <v>none</v>
      </c>
      <c r="AM35" s="155"/>
      <c r="AN35" s="222" t="str">
        <f t="shared" si="13"/>
        <v>攻撃力に数値を入力</v>
      </c>
      <c r="AO35" s="155"/>
      <c r="AP35" s="216"/>
      <c r="AQ35" s="154"/>
      <c r="AR35" s="154"/>
      <c r="AS35" s="155"/>
      <c r="AT35" s="223" t="str">
        <f t="shared" si="14"/>
        <v>none</v>
      </c>
      <c r="AU35" s="154"/>
      <c r="AV35" s="154"/>
      <c r="AW35" s="154"/>
      <c r="AX35" s="155"/>
      <c r="AY35" s="224" t="str">
        <f t="shared" si="15"/>
        <v>none</v>
      </c>
      <c r="AZ35" s="155"/>
      <c r="BA35" s="224" t="str">
        <f t="shared" si="16"/>
        <v>none</v>
      </c>
      <c r="BB35" s="155"/>
      <c r="BC35" s="218" t="str">
        <f t="shared" si="17"/>
        <v>none</v>
      </c>
      <c r="BD35" s="155"/>
      <c r="BE35" s="220" t="str">
        <f t="shared" si="18"/>
        <v>none</v>
      </c>
      <c r="BF35" s="155"/>
      <c r="BG35" s="220" t="str">
        <f t="shared" si="19"/>
        <v>none</v>
      </c>
      <c r="BH35" s="155"/>
      <c r="BI35" s="220" t="str">
        <f t="shared" si="20"/>
        <v>none</v>
      </c>
      <c r="BJ35" s="155"/>
      <c r="BK35" s="220" t="str">
        <f t="shared" si="21"/>
        <v>none</v>
      </c>
      <c r="BL35" s="155"/>
      <c r="BM35" s="225" t="str">
        <f t="shared" si="22"/>
        <v>none</v>
      </c>
      <c r="BN35" s="155"/>
      <c r="BO35" s="220" t="str">
        <f t="shared" si="23"/>
        <v>none</v>
      </c>
      <c r="BP35" s="155"/>
      <c r="BQ35" s="220" t="str">
        <f t="shared" si="24"/>
        <v>none</v>
      </c>
      <c r="BR35" s="155"/>
      <c r="BS35" s="216"/>
      <c r="BT35" s="155"/>
      <c r="BU35" s="216"/>
      <c r="BV35" s="155"/>
      <c r="BW35" s="183"/>
      <c r="BX35" s="155"/>
      <c r="BY35" s="216"/>
      <c r="BZ35" s="155"/>
      <c r="CA35" s="215" t="s">
        <v>286</v>
      </c>
      <c r="CB35" s="154"/>
      <c r="CC35" s="154"/>
      <c r="CD35" s="155"/>
      <c r="CE35" s="227"/>
      <c r="CF35" s="155"/>
      <c r="CG35" s="227"/>
      <c r="CH35" s="155"/>
      <c r="CI35" s="227"/>
      <c r="CJ35" s="155"/>
      <c r="CK35" s="227"/>
      <c r="CL35" s="155"/>
      <c r="CM35" s="226" t="s">
        <v>287</v>
      </c>
      <c r="CN35" s="155"/>
      <c r="CO35" s="216"/>
      <c r="CP35" s="155"/>
      <c r="CQ35" s="215" t="s">
        <v>287</v>
      </c>
      <c r="CR35" s="154"/>
      <c r="CS35" s="154"/>
      <c r="CT35" s="155"/>
      <c r="CU35" s="227"/>
      <c r="CV35" s="155"/>
      <c r="CW35" s="215" t="s">
        <v>287</v>
      </c>
      <c r="CX35" s="154"/>
      <c r="CY35" s="154"/>
      <c r="CZ35" s="155"/>
      <c r="DA35" s="227"/>
      <c r="DB35" s="155"/>
      <c r="DC35" s="215" t="s">
        <v>287</v>
      </c>
      <c r="DD35" s="154"/>
      <c r="DE35" s="154"/>
      <c r="DF35" s="155"/>
      <c r="DG35" s="227"/>
      <c r="DH35" s="155"/>
      <c r="DI35" s="227"/>
      <c r="DJ35" s="155"/>
      <c r="DK35" s="226" t="b">
        <v>0</v>
      </c>
      <c r="DL35" s="155"/>
      <c r="DM35" s="228" t="s">
        <v>287</v>
      </c>
      <c r="DN35" s="154"/>
      <c r="DO35" s="154"/>
      <c r="DP35" s="155"/>
      <c r="DQ35" s="227"/>
      <c r="DR35" s="155"/>
      <c r="DS35" s="216"/>
      <c r="DT35" s="154"/>
      <c r="DU35" s="154"/>
      <c r="DV35" s="154"/>
      <c r="DW35" s="155"/>
      <c r="DX35" s="28"/>
      <c r="DY35" s="135"/>
      <c r="DZ35" s="28"/>
      <c r="EA35" s="229" t="str">
        <f t="shared" si="25"/>
        <v/>
      </c>
      <c r="EB35" s="229" t="str">
        <f t="shared" si="26"/>
        <v/>
      </c>
      <c r="EC35" s="229" t="str">
        <f t="shared" si="27"/>
        <v/>
      </c>
      <c r="ED35" s="229" t="str">
        <f t="shared" si="28"/>
        <v>未入力</v>
      </c>
      <c r="EE35" s="229" t="str">
        <f t="shared" si="29"/>
        <v/>
      </c>
      <c r="EF35" s="229" t="str">
        <f t="shared" si="30"/>
        <v>SummonEnemy</v>
      </c>
      <c r="EG35" s="229" t="str">
        <f t="shared" si="31"/>
        <v/>
      </c>
      <c r="EH35" s="229"/>
      <c r="EI35" s="229" t="str">
        <f t="shared" si="32"/>
        <v/>
      </c>
      <c r="EJ35" s="229" t="str">
        <f t="shared" si="33"/>
        <v/>
      </c>
      <c r="EK35" s="229" t="str">
        <f t="shared" si="34"/>
        <v>None</v>
      </c>
      <c r="EL35" s="229" t="str">
        <f t="shared" si="35"/>
        <v/>
      </c>
      <c r="EM35" s="229" t="str">
        <f t="shared" si="36"/>
        <v>None</v>
      </c>
      <c r="EN35" s="229" t="str">
        <f t="shared" si="37"/>
        <v/>
      </c>
      <c r="EO35" s="229" t="str">
        <f t="shared" si="38"/>
        <v>None</v>
      </c>
      <c r="EP35" s="229" t="str">
        <f t="shared" si="39"/>
        <v/>
      </c>
      <c r="EQ35" s="229" t="str">
        <f t="shared" si="40"/>
        <v>None</v>
      </c>
      <c r="ER35" s="229" t="str">
        <f t="shared" si="41"/>
        <v/>
      </c>
      <c r="ES35" s="229" t="str">
        <f t="shared" si="42"/>
        <v/>
      </c>
      <c r="ET35" s="229" t="b">
        <f t="shared" si="43"/>
        <v>0</v>
      </c>
      <c r="EU35" s="229"/>
      <c r="EV35" s="229" t="str">
        <f t="shared" si="44"/>
        <v>Default</v>
      </c>
      <c r="EW35" s="229" t="str">
        <f t="shared" si="45"/>
        <v>Normal</v>
      </c>
      <c r="EX35" s="229">
        <f t="shared" si="46"/>
        <v>1</v>
      </c>
      <c r="EY35" s="229">
        <f t="shared" si="47"/>
        <v>1</v>
      </c>
      <c r="EZ35" s="229" t="str">
        <f t="shared" si="48"/>
        <v>1</v>
      </c>
      <c r="FA35" s="229" t="str">
        <f t="shared" si="49"/>
        <v/>
      </c>
      <c r="FB35" s="230">
        <v>0.0</v>
      </c>
      <c r="FC35" s="229" t="str">
        <f t="shared" si="50"/>
        <v/>
      </c>
      <c r="FD35" s="229" t="str">
        <f t="shared" si="51"/>
        <v>None</v>
      </c>
      <c r="FE35" s="229" t="str">
        <f t="shared" si="52"/>
        <v/>
      </c>
      <c r="FF35" s="28"/>
      <c r="FG35" s="28"/>
    </row>
    <row r="36">
      <c r="A36" s="28"/>
      <c r="B36" s="215"/>
      <c r="C36" s="155"/>
      <c r="D36" s="216"/>
      <c r="E36" s="155"/>
      <c r="F36" s="216"/>
      <c r="G36" s="155"/>
      <c r="H36" s="217"/>
      <c r="I36" s="154"/>
      <c r="J36" s="154"/>
      <c r="K36" s="155"/>
      <c r="L36" s="218" t="str">
        <f t="shared" si="53"/>
        <v>none</v>
      </c>
      <c r="M36" s="154"/>
      <c r="N36" s="154"/>
      <c r="O36" s="155"/>
      <c r="P36" s="218" t="str">
        <f t="shared" si="6"/>
        <v>none</v>
      </c>
      <c r="Q36" s="155"/>
      <c r="R36" s="219" t="str">
        <f t="shared" si="7"/>
        <v>none</v>
      </c>
      <c r="S36" s="155"/>
      <c r="T36" s="218" t="str">
        <f t="shared" si="8"/>
        <v>none</v>
      </c>
      <c r="U36" s="155"/>
      <c r="V36" s="215" t="s">
        <v>284</v>
      </c>
      <c r="W36" s="155"/>
      <c r="X36" s="215" t="s">
        <v>285</v>
      </c>
      <c r="Y36" s="155"/>
      <c r="Z36" s="216"/>
      <c r="AA36" s="155"/>
      <c r="AB36" s="220" t="str">
        <f t="shared" si="9"/>
        <v>none</v>
      </c>
      <c r="AC36" s="155"/>
      <c r="AD36" s="215">
        <v>1.0</v>
      </c>
      <c r="AE36" s="155"/>
      <c r="AF36" s="220" t="str">
        <f t="shared" si="10"/>
        <v>none</v>
      </c>
      <c r="AG36" s="155"/>
      <c r="AH36" s="215">
        <v>1.0</v>
      </c>
      <c r="AI36" s="155"/>
      <c r="AJ36" s="221" t="str">
        <f t="shared" si="11"/>
        <v>none</v>
      </c>
      <c r="AK36" s="155"/>
      <c r="AL36" s="221" t="str">
        <f t="shared" si="12"/>
        <v>none</v>
      </c>
      <c r="AM36" s="155"/>
      <c r="AN36" s="222" t="str">
        <f t="shared" si="13"/>
        <v>攻撃力に数値を入力</v>
      </c>
      <c r="AO36" s="155"/>
      <c r="AP36" s="216"/>
      <c r="AQ36" s="154"/>
      <c r="AR36" s="154"/>
      <c r="AS36" s="155"/>
      <c r="AT36" s="223" t="str">
        <f t="shared" si="14"/>
        <v>none</v>
      </c>
      <c r="AU36" s="154"/>
      <c r="AV36" s="154"/>
      <c r="AW36" s="154"/>
      <c r="AX36" s="155"/>
      <c r="AY36" s="224" t="str">
        <f t="shared" si="15"/>
        <v>none</v>
      </c>
      <c r="AZ36" s="155"/>
      <c r="BA36" s="224" t="str">
        <f t="shared" si="16"/>
        <v>none</v>
      </c>
      <c r="BB36" s="155"/>
      <c r="BC36" s="218" t="str">
        <f t="shared" si="17"/>
        <v>none</v>
      </c>
      <c r="BD36" s="155"/>
      <c r="BE36" s="220" t="str">
        <f t="shared" si="18"/>
        <v>none</v>
      </c>
      <c r="BF36" s="155"/>
      <c r="BG36" s="220" t="str">
        <f t="shared" si="19"/>
        <v>none</v>
      </c>
      <c r="BH36" s="155"/>
      <c r="BI36" s="220" t="str">
        <f t="shared" si="20"/>
        <v>none</v>
      </c>
      <c r="BJ36" s="155"/>
      <c r="BK36" s="220" t="str">
        <f t="shared" si="21"/>
        <v>none</v>
      </c>
      <c r="BL36" s="155"/>
      <c r="BM36" s="225" t="str">
        <f t="shared" si="22"/>
        <v>none</v>
      </c>
      <c r="BN36" s="155"/>
      <c r="BO36" s="220" t="str">
        <f t="shared" si="23"/>
        <v>none</v>
      </c>
      <c r="BP36" s="155"/>
      <c r="BQ36" s="220" t="str">
        <f t="shared" si="24"/>
        <v>none</v>
      </c>
      <c r="BR36" s="155"/>
      <c r="BS36" s="216"/>
      <c r="BT36" s="155"/>
      <c r="BU36" s="216"/>
      <c r="BV36" s="155"/>
      <c r="BW36" s="183"/>
      <c r="BX36" s="155"/>
      <c r="BY36" s="216"/>
      <c r="BZ36" s="155"/>
      <c r="CA36" s="215" t="s">
        <v>286</v>
      </c>
      <c r="CB36" s="154"/>
      <c r="CC36" s="154"/>
      <c r="CD36" s="155"/>
      <c r="CE36" s="227"/>
      <c r="CF36" s="155"/>
      <c r="CG36" s="227"/>
      <c r="CH36" s="155"/>
      <c r="CI36" s="227"/>
      <c r="CJ36" s="155"/>
      <c r="CK36" s="227"/>
      <c r="CL36" s="155"/>
      <c r="CM36" s="226" t="s">
        <v>287</v>
      </c>
      <c r="CN36" s="155"/>
      <c r="CO36" s="216"/>
      <c r="CP36" s="155"/>
      <c r="CQ36" s="215" t="s">
        <v>287</v>
      </c>
      <c r="CR36" s="154"/>
      <c r="CS36" s="154"/>
      <c r="CT36" s="155"/>
      <c r="CU36" s="227"/>
      <c r="CV36" s="155"/>
      <c r="CW36" s="215" t="s">
        <v>287</v>
      </c>
      <c r="CX36" s="154"/>
      <c r="CY36" s="154"/>
      <c r="CZ36" s="155"/>
      <c r="DA36" s="227"/>
      <c r="DB36" s="155"/>
      <c r="DC36" s="215" t="s">
        <v>287</v>
      </c>
      <c r="DD36" s="154"/>
      <c r="DE36" s="154"/>
      <c r="DF36" s="155"/>
      <c r="DG36" s="227"/>
      <c r="DH36" s="155"/>
      <c r="DI36" s="227"/>
      <c r="DJ36" s="155"/>
      <c r="DK36" s="226" t="b">
        <v>0</v>
      </c>
      <c r="DL36" s="155"/>
      <c r="DM36" s="228" t="s">
        <v>287</v>
      </c>
      <c r="DN36" s="154"/>
      <c r="DO36" s="154"/>
      <c r="DP36" s="155"/>
      <c r="DQ36" s="227"/>
      <c r="DR36" s="155"/>
      <c r="DS36" s="216"/>
      <c r="DT36" s="154"/>
      <c r="DU36" s="154"/>
      <c r="DV36" s="154"/>
      <c r="DW36" s="155"/>
      <c r="DX36" s="28"/>
      <c r="DY36" s="135"/>
      <c r="DZ36" s="28"/>
      <c r="EA36" s="231" t="str">
        <f t="shared" si="25"/>
        <v/>
      </c>
      <c r="EB36" s="231" t="str">
        <f t="shared" si="26"/>
        <v/>
      </c>
      <c r="EC36" s="231" t="str">
        <f t="shared" si="27"/>
        <v/>
      </c>
      <c r="ED36" s="231" t="str">
        <f t="shared" si="28"/>
        <v>未入力</v>
      </c>
      <c r="EE36" s="231" t="str">
        <f t="shared" si="29"/>
        <v/>
      </c>
      <c r="EF36" s="231" t="str">
        <f t="shared" si="30"/>
        <v>SummonEnemy</v>
      </c>
      <c r="EG36" s="231" t="str">
        <f t="shared" si="31"/>
        <v/>
      </c>
      <c r="EH36" s="231"/>
      <c r="EI36" s="231" t="str">
        <f t="shared" si="32"/>
        <v/>
      </c>
      <c r="EJ36" s="231" t="str">
        <f t="shared" si="33"/>
        <v/>
      </c>
      <c r="EK36" s="231" t="str">
        <f t="shared" si="34"/>
        <v>None</v>
      </c>
      <c r="EL36" s="231" t="str">
        <f t="shared" si="35"/>
        <v/>
      </c>
      <c r="EM36" s="231" t="str">
        <f t="shared" si="36"/>
        <v>None</v>
      </c>
      <c r="EN36" s="231" t="str">
        <f t="shared" si="37"/>
        <v/>
      </c>
      <c r="EO36" s="231" t="str">
        <f t="shared" si="38"/>
        <v>None</v>
      </c>
      <c r="EP36" s="231" t="str">
        <f t="shared" si="39"/>
        <v/>
      </c>
      <c r="EQ36" s="231" t="str">
        <f t="shared" si="40"/>
        <v>None</v>
      </c>
      <c r="ER36" s="231" t="str">
        <f t="shared" si="41"/>
        <v/>
      </c>
      <c r="ES36" s="231" t="str">
        <f t="shared" si="42"/>
        <v/>
      </c>
      <c r="ET36" s="231" t="b">
        <f t="shared" si="43"/>
        <v>0</v>
      </c>
      <c r="EU36" s="231"/>
      <c r="EV36" s="231" t="str">
        <f t="shared" si="44"/>
        <v>Default</v>
      </c>
      <c r="EW36" s="231" t="str">
        <f t="shared" si="45"/>
        <v>Normal</v>
      </c>
      <c r="EX36" s="231">
        <f t="shared" si="46"/>
        <v>1</v>
      </c>
      <c r="EY36" s="231">
        <f t="shared" si="47"/>
        <v>1</v>
      </c>
      <c r="EZ36" s="231" t="str">
        <f t="shared" si="48"/>
        <v>1</v>
      </c>
      <c r="FA36" s="231" t="str">
        <f t="shared" si="49"/>
        <v/>
      </c>
      <c r="FB36" s="231">
        <v>0.0</v>
      </c>
      <c r="FC36" s="231" t="str">
        <f t="shared" si="50"/>
        <v/>
      </c>
      <c r="FD36" s="231" t="str">
        <f t="shared" si="51"/>
        <v>None</v>
      </c>
      <c r="FE36" s="231" t="str">
        <f t="shared" si="52"/>
        <v/>
      </c>
      <c r="FF36" s="28"/>
      <c r="FG36" s="28"/>
    </row>
    <row r="37">
      <c r="A37" s="28"/>
      <c r="B37" s="215"/>
      <c r="C37" s="155"/>
      <c r="D37" s="216"/>
      <c r="E37" s="155"/>
      <c r="F37" s="216"/>
      <c r="G37" s="155"/>
      <c r="H37" s="217"/>
      <c r="I37" s="154"/>
      <c r="J37" s="154"/>
      <c r="K37" s="155"/>
      <c r="L37" s="218" t="str">
        <f t="shared" si="53"/>
        <v>none</v>
      </c>
      <c r="M37" s="154"/>
      <c r="N37" s="154"/>
      <c r="O37" s="155"/>
      <c r="P37" s="218" t="str">
        <f t="shared" si="6"/>
        <v>none</v>
      </c>
      <c r="Q37" s="155"/>
      <c r="R37" s="219" t="str">
        <f t="shared" si="7"/>
        <v>none</v>
      </c>
      <c r="S37" s="155"/>
      <c r="T37" s="218" t="str">
        <f t="shared" si="8"/>
        <v>none</v>
      </c>
      <c r="U37" s="155"/>
      <c r="V37" s="215" t="s">
        <v>284</v>
      </c>
      <c r="W37" s="155"/>
      <c r="X37" s="215" t="s">
        <v>285</v>
      </c>
      <c r="Y37" s="155"/>
      <c r="Z37" s="216"/>
      <c r="AA37" s="155"/>
      <c r="AB37" s="220" t="str">
        <f t="shared" si="9"/>
        <v>none</v>
      </c>
      <c r="AC37" s="155"/>
      <c r="AD37" s="215">
        <v>1.0</v>
      </c>
      <c r="AE37" s="155"/>
      <c r="AF37" s="220" t="str">
        <f t="shared" si="10"/>
        <v>none</v>
      </c>
      <c r="AG37" s="155"/>
      <c r="AH37" s="215">
        <v>1.0</v>
      </c>
      <c r="AI37" s="155"/>
      <c r="AJ37" s="221" t="str">
        <f t="shared" si="11"/>
        <v>none</v>
      </c>
      <c r="AK37" s="155"/>
      <c r="AL37" s="221" t="str">
        <f t="shared" si="12"/>
        <v>none</v>
      </c>
      <c r="AM37" s="155"/>
      <c r="AN37" s="222" t="str">
        <f t="shared" si="13"/>
        <v>攻撃力に数値を入力</v>
      </c>
      <c r="AO37" s="155"/>
      <c r="AP37" s="216"/>
      <c r="AQ37" s="154"/>
      <c r="AR37" s="154"/>
      <c r="AS37" s="155"/>
      <c r="AT37" s="223" t="str">
        <f t="shared" si="14"/>
        <v>none</v>
      </c>
      <c r="AU37" s="154"/>
      <c r="AV37" s="154"/>
      <c r="AW37" s="154"/>
      <c r="AX37" s="155"/>
      <c r="AY37" s="224" t="str">
        <f t="shared" si="15"/>
        <v>none</v>
      </c>
      <c r="AZ37" s="155"/>
      <c r="BA37" s="224" t="str">
        <f t="shared" si="16"/>
        <v>none</v>
      </c>
      <c r="BB37" s="155"/>
      <c r="BC37" s="218" t="str">
        <f t="shared" si="17"/>
        <v>none</v>
      </c>
      <c r="BD37" s="155"/>
      <c r="BE37" s="220" t="str">
        <f t="shared" si="18"/>
        <v>none</v>
      </c>
      <c r="BF37" s="155"/>
      <c r="BG37" s="220" t="str">
        <f t="shared" si="19"/>
        <v>none</v>
      </c>
      <c r="BH37" s="155"/>
      <c r="BI37" s="220" t="str">
        <f t="shared" si="20"/>
        <v>none</v>
      </c>
      <c r="BJ37" s="155"/>
      <c r="BK37" s="220" t="str">
        <f t="shared" si="21"/>
        <v>none</v>
      </c>
      <c r="BL37" s="155"/>
      <c r="BM37" s="225" t="str">
        <f t="shared" si="22"/>
        <v>none</v>
      </c>
      <c r="BN37" s="155"/>
      <c r="BO37" s="220" t="str">
        <f t="shared" si="23"/>
        <v>none</v>
      </c>
      <c r="BP37" s="155"/>
      <c r="BQ37" s="220" t="str">
        <f t="shared" si="24"/>
        <v>none</v>
      </c>
      <c r="BR37" s="155"/>
      <c r="BS37" s="216"/>
      <c r="BT37" s="155"/>
      <c r="BU37" s="216"/>
      <c r="BV37" s="155"/>
      <c r="BW37" s="183"/>
      <c r="BX37" s="155"/>
      <c r="BY37" s="216"/>
      <c r="BZ37" s="155"/>
      <c r="CA37" s="215" t="s">
        <v>286</v>
      </c>
      <c r="CB37" s="154"/>
      <c r="CC37" s="154"/>
      <c r="CD37" s="155"/>
      <c r="CE37" s="227"/>
      <c r="CF37" s="155"/>
      <c r="CG37" s="227"/>
      <c r="CH37" s="155"/>
      <c r="CI37" s="227"/>
      <c r="CJ37" s="155"/>
      <c r="CK37" s="227"/>
      <c r="CL37" s="155"/>
      <c r="CM37" s="226" t="s">
        <v>287</v>
      </c>
      <c r="CN37" s="155"/>
      <c r="CO37" s="216"/>
      <c r="CP37" s="155"/>
      <c r="CQ37" s="215" t="s">
        <v>287</v>
      </c>
      <c r="CR37" s="154"/>
      <c r="CS37" s="154"/>
      <c r="CT37" s="155"/>
      <c r="CU37" s="227"/>
      <c r="CV37" s="155"/>
      <c r="CW37" s="215" t="s">
        <v>287</v>
      </c>
      <c r="CX37" s="154"/>
      <c r="CY37" s="154"/>
      <c r="CZ37" s="155"/>
      <c r="DA37" s="227"/>
      <c r="DB37" s="155"/>
      <c r="DC37" s="215" t="s">
        <v>287</v>
      </c>
      <c r="DD37" s="154"/>
      <c r="DE37" s="154"/>
      <c r="DF37" s="155"/>
      <c r="DG37" s="227"/>
      <c r="DH37" s="155"/>
      <c r="DI37" s="227"/>
      <c r="DJ37" s="155"/>
      <c r="DK37" s="226" t="b">
        <v>0</v>
      </c>
      <c r="DL37" s="155"/>
      <c r="DM37" s="228" t="s">
        <v>287</v>
      </c>
      <c r="DN37" s="154"/>
      <c r="DO37" s="154"/>
      <c r="DP37" s="155"/>
      <c r="DQ37" s="227"/>
      <c r="DR37" s="155"/>
      <c r="DS37" s="216"/>
      <c r="DT37" s="154"/>
      <c r="DU37" s="154"/>
      <c r="DV37" s="154"/>
      <c r="DW37" s="155"/>
      <c r="DX37" s="28"/>
      <c r="DY37" s="135"/>
      <c r="DZ37" s="28"/>
      <c r="EA37" s="229" t="str">
        <f t="shared" si="25"/>
        <v/>
      </c>
      <c r="EB37" s="229" t="str">
        <f t="shared" si="26"/>
        <v/>
      </c>
      <c r="EC37" s="229" t="str">
        <f t="shared" si="27"/>
        <v/>
      </c>
      <c r="ED37" s="229" t="str">
        <f t="shared" si="28"/>
        <v>未入力</v>
      </c>
      <c r="EE37" s="229" t="str">
        <f t="shared" si="29"/>
        <v/>
      </c>
      <c r="EF37" s="229" t="str">
        <f t="shared" si="30"/>
        <v>SummonEnemy</v>
      </c>
      <c r="EG37" s="229" t="str">
        <f t="shared" si="31"/>
        <v/>
      </c>
      <c r="EH37" s="229"/>
      <c r="EI37" s="229" t="str">
        <f t="shared" si="32"/>
        <v/>
      </c>
      <c r="EJ37" s="229" t="str">
        <f t="shared" si="33"/>
        <v/>
      </c>
      <c r="EK37" s="229" t="str">
        <f t="shared" si="34"/>
        <v>None</v>
      </c>
      <c r="EL37" s="229" t="str">
        <f t="shared" si="35"/>
        <v/>
      </c>
      <c r="EM37" s="229" t="str">
        <f t="shared" si="36"/>
        <v>None</v>
      </c>
      <c r="EN37" s="229" t="str">
        <f t="shared" si="37"/>
        <v/>
      </c>
      <c r="EO37" s="229" t="str">
        <f t="shared" si="38"/>
        <v>None</v>
      </c>
      <c r="EP37" s="229" t="str">
        <f t="shared" si="39"/>
        <v/>
      </c>
      <c r="EQ37" s="229" t="str">
        <f t="shared" si="40"/>
        <v>None</v>
      </c>
      <c r="ER37" s="229" t="str">
        <f t="shared" si="41"/>
        <v/>
      </c>
      <c r="ES37" s="229" t="str">
        <f t="shared" si="42"/>
        <v/>
      </c>
      <c r="ET37" s="229" t="b">
        <f t="shared" si="43"/>
        <v>0</v>
      </c>
      <c r="EU37" s="229"/>
      <c r="EV37" s="229" t="str">
        <f t="shared" si="44"/>
        <v>Default</v>
      </c>
      <c r="EW37" s="229" t="str">
        <f t="shared" si="45"/>
        <v>Normal</v>
      </c>
      <c r="EX37" s="229">
        <f t="shared" si="46"/>
        <v>1</v>
      </c>
      <c r="EY37" s="229">
        <f t="shared" si="47"/>
        <v>1</v>
      </c>
      <c r="EZ37" s="229" t="str">
        <f t="shared" si="48"/>
        <v>1</v>
      </c>
      <c r="FA37" s="229" t="str">
        <f t="shared" si="49"/>
        <v/>
      </c>
      <c r="FB37" s="230">
        <v>0.0</v>
      </c>
      <c r="FC37" s="229" t="str">
        <f t="shared" si="50"/>
        <v/>
      </c>
      <c r="FD37" s="229" t="str">
        <f t="shared" si="51"/>
        <v>None</v>
      </c>
      <c r="FE37" s="229" t="str">
        <f t="shared" si="52"/>
        <v/>
      </c>
      <c r="FF37" s="28"/>
      <c r="FG37" s="28"/>
    </row>
    <row r="38">
      <c r="A38" s="28"/>
      <c r="B38" s="215"/>
      <c r="C38" s="155"/>
      <c r="D38" s="216"/>
      <c r="E38" s="155"/>
      <c r="F38" s="216"/>
      <c r="G38" s="155"/>
      <c r="H38" s="217"/>
      <c r="I38" s="154"/>
      <c r="J38" s="154"/>
      <c r="K38" s="155"/>
      <c r="L38" s="218" t="str">
        <f t="shared" si="53"/>
        <v>none</v>
      </c>
      <c r="M38" s="154"/>
      <c r="N38" s="154"/>
      <c r="O38" s="155"/>
      <c r="P38" s="218" t="str">
        <f t="shared" si="6"/>
        <v>none</v>
      </c>
      <c r="Q38" s="155"/>
      <c r="R38" s="219" t="str">
        <f t="shared" si="7"/>
        <v>none</v>
      </c>
      <c r="S38" s="155"/>
      <c r="T38" s="218" t="str">
        <f t="shared" si="8"/>
        <v>none</v>
      </c>
      <c r="U38" s="155"/>
      <c r="V38" s="215" t="s">
        <v>284</v>
      </c>
      <c r="W38" s="155"/>
      <c r="X38" s="215" t="s">
        <v>285</v>
      </c>
      <c r="Y38" s="155"/>
      <c r="Z38" s="216"/>
      <c r="AA38" s="155"/>
      <c r="AB38" s="220" t="str">
        <f t="shared" si="9"/>
        <v>none</v>
      </c>
      <c r="AC38" s="155"/>
      <c r="AD38" s="215">
        <v>1.0</v>
      </c>
      <c r="AE38" s="155"/>
      <c r="AF38" s="220" t="str">
        <f t="shared" si="10"/>
        <v>none</v>
      </c>
      <c r="AG38" s="155"/>
      <c r="AH38" s="215">
        <v>1.0</v>
      </c>
      <c r="AI38" s="155"/>
      <c r="AJ38" s="221" t="str">
        <f t="shared" si="11"/>
        <v>none</v>
      </c>
      <c r="AK38" s="155"/>
      <c r="AL38" s="221" t="str">
        <f t="shared" si="12"/>
        <v>none</v>
      </c>
      <c r="AM38" s="155"/>
      <c r="AN38" s="222" t="str">
        <f t="shared" si="13"/>
        <v>攻撃力に数値を入力</v>
      </c>
      <c r="AO38" s="155"/>
      <c r="AP38" s="216"/>
      <c r="AQ38" s="154"/>
      <c r="AR38" s="154"/>
      <c r="AS38" s="155"/>
      <c r="AT38" s="223" t="str">
        <f t="shared" si="14"/>
        <v>none</v>
      </c>
      <c r="AU38" s="154"/>
      <c r="AV38" s="154"/>
      <c r="AW38" s="154"/>
      <c r="AX38" s="155"/>
      <c r="AY38" s="224" t="str">
        <f t="shared" si="15"/>
        <v>none</v>
      </c>
      <c r="AZ38" s="155"/>
      <c r="BA38" s="224" t="str">
        <f t="shared" si="16"/>
        <v>none</v>
      </c>
      <c r="BB38" s="155"/>
      <c r="BC38" s="218" t="str">
        <f t="shared" si="17"/>
        <v>none</v>
      </c>
      <c r="BD38" s="155"/>
      <c r="BE38" s="220" t="str">
        <f t="shared" si="18"/>
        <v>none</v>
      </c>
      <c r="BF38" s="155"/>
      <c r="BG38" s="220" t="str">
        <f t="shared" si="19"/>
        <v>none</v>
      </c>
      <c r="BH38" s="155"/>
      <c r="BI38" s="220" t="str">
        <f t="shared" si="20"/>
        <v>none</v>
      </c>
      <c r="BJ38" s="155"/>
      <c r="BK38" s="220" t="str">
        <f t="shared" si="21"/>
        <v>none</v>
      </c>
      <c r="BL38" s="155"/>
      <c r="BM38" s="225" t="str">
        <f t="shared" si="22"/>
        <v>none</v>
      </c>
      <c r="BN38" s="155"/>
      <c r="BO38" s="220" t="str">
        <f t="shared" si="23"/>
        <v>none</v>
      </c>
      <c r="BP38" s="155"/>
      <c r="BQ38" s="220" t="str">
        <f t="shared" si="24"/>
        <v>none</v>
      </c>
      <c r="BR38" s="155"/>
      <c r="BS38" s="216"/>
      <c r="BT38" s="155"/>
      <c r="BU38" s="216"/>
      <c r="BV38" s="155"/>
      <c r="BW38" s="183"/>
      <c r="BX38" s="155"/>
      <c r="BY38" s="216"/>
      <c r="BZ38" s="155"/>
      <c r="CA38" s="215" t="s">
        <v>286</v>
      </c>
      <c r="CB38" s="154"/>
      <c r="CC38" s="154"/>
      <c r="CD38" s="155"/>
      <c r="CE38" s="227"/>
      <c r="CF38" s="155"/>
      <c r="CG38" s="227"/>
      <c r="CH38" s="155"/>
      <c r="CI38" s="227"/>
      <c r="CJ38" s="155"/>
      <c r="CK38" s="227"/>
      <c r="CL38" s="155"/>
      <c r="CM38" s="226" t="s">
        <v>287</v>
      </c>
      <c r="CN38" s="155"/>
      <c r="CO38" s="216"/>
      <c r="CP38" s="155"/>
      <c r="CQ38" s="215" t="s">
        <v>287</v>
      </c>
      <c r="CR38" s="154"/>
      <c r="CS38" s="154"/>
      <c r="CT38" s="155"/>
      <c r="CU38" s="227"/>
      <c r="CV38" s="155"/>
      <c r="CW38" s="215" t="s">
        <v>287</v>
      </c>
      <c r="CX38" s="154"/>
      <c r="CY38" s="154"/>
      <c r="CZ38" s="155"/>
      <c r="DA38" s="227"/>
      <c r="DB38" s="155"/>
      <c r="DC38" s="215" t="s">
        <v>287</v>
      </c>
      <c r="DD38" s="154"/>
      <c r="DE38" s="154"/>
      <c r="DF38" s="155"/>
      <c r="DG38" s="227"/>
      <c r="DH38" s="155"/>
      <c r="DI38" s="227"/>
      <c r="DJ38" s="155"/>
      <c r="DK38" s="226" t="b">
        <v>0</v>
      </c>
      <c r="DL38" s="155"/>
      <c r="DM38" s="228" t="s">
        <v>287</v>
      </c>
      <c r="DN38" s="154"/>
      <c r="DO38" s="154"/>
      <c r="DP38" s="155"/>
      <c r="DQ38" s="227"/>
      <c r="DR38" s="155"/>
      <c r="DS38" s="216"/>
      <c r="DT38" s="154"/>
      <c r="DU38" s="154"/>
      <c r="DV38" s="154"/>
      <c r="DW38" s="155"/>
      <c r="DX38" s="28"/>
      <c r="DY38" s="135"/>
      <c r="DZ38" s="28"/>
      <c r="EA38" s="231" t="str">
        <f t="shared" si="25"/>
        <v/>
      </c>
      <c r="EB38" s="231" t="str">
        <f t="shared" si="26"/>
        <v/>
      </c>
      <c r="EC38" s="231" t="str">
        <f t="shared" si="27"/>
        <v/>
      </c>
      <c r="ED38" s="231" t="str">
        <f t="shared" si="28"/>
        <v>未入力</v>
      </c>
      <c r="EE38" s="231" t="str">
        <f t="shared" si="29"/>
        <v/>
      </c>
      <c r="EF38" s="231" t="str">
        <f t="shared" si="30"/>
        <v>SummonEnemy</v>
      </c>
      <c r="EG38" s="231" t="str">
        <f t="shared" si="31"/>
        <v/>
      </c>
      <c r="EH38" s="231"/>
      <c r="EI38" s="231" t="str">
        <f t="shared" si="32"/>
        <v/>
      </c>
      <c r="EJ38" s="231" t="str">
        <f t="shared" si="33"/>
        <v/>
      </c>
      <c r="EK38" s="231" t="str">
        <f t="shared" si="34"/>
        <v>None</v>
      </c>
      <c r="EL38" s="231" t="str">
        <f t="shared" si="35"/>
        <v/>
      </c>
      <c r="EM38" s="231" t="str">
        <f t="shared" si="36"/>
        <v>None</v>
      </c>
      <c r="EN38" s="231" t="str">
        <f t="shared" si="37"/>
        <v/>
      </c>
      <c r="EO38" s="231" t="str">
        <f t="shared" si="38"/>
        <v>None</v>
      </c>
      <c r="EP38" s="231" t="str">
        <f t="shared" si="39"/>
        <v/>
      </c>
      <c r="EQ38" s="231" t="str">
        <f t="shared" si="40"/>
        <v>None</v>
      </c>
      <c r="ER38" s="231" t="str">
        <f t="shared" si="41"/>
        <v/>
      </c>
      <c r="ES38" s="231" t="str">
        <f t="shared" si="42"/>
        <v/>
      </c>
      <c r="ET38" s="231" t="b">
        <f t="shared" si="43"/>
        <v>0</v>
      </c>
      <c r="EU38" s="231"/>
      <c r="EV38" s="231" t="str">
        <f t="shared" si="44"/>
        <v>Default</v>
      </c>
      <c r="EW38" s="231" t="str">
        <f t="shared" si="45"/>
        <v>Normal</v>
      </c>
      <c r="EX38" s="231">
        <f t="shared" si="46"/>
        <v>1</v>
      </c>
      <c r="EY38" s="231">
        <f t="shared" si="47"/>
        <v>1</v>
      </c>
      <c r="EZ38" s="231" t="str">
        <f t="shared" si="48"/>
        <v>1</v>
      </c>
      <c r="FA38" s="231" t="str">
        <f t="shared" si="49"/>
        <v/>
      </c>
      <c r="FB38" s="231">
        <v>0.0</v>
      </c>
      <c r="FC38" s="231" t="str">
        <f t="shared" si="50"/>
        <v/>
      </c>
      <c r="FD38" s="231" t="str">
        <f t="shared" si="51"/>
        <v>None</v>
      </c>
      <c r="FE38" s="231" t="str">
        <f t="shared" si="52"/>
        <v/>
      </c>
      <c r="FF38" s="28"/>
      <c r="FG38" s="28"/>
    </row>
    <row r="39">
      <c r="A39" s="28"/>
      <c r="B39" s="215"/>
      <c r="C39" s="155"/>
      <c r="D39" s="216"/>
      <c r="E39" s="155"/>
      <c r="F39" s="216"/>
      <c r="G39" s="155"/>
      <c r="H39" s="217"/>
      <c r="I39" s="154"/>
      <c r="J39" s="154"/>
      <c r="K39" s="155"/>
      <c r="L39" s="218" t="str">
        <f t="shared" si="53"/>
        <v>none</v>
      </c>
      <c r="M39" s="154"/>
      <c r="N39" s="154"/>
      <c r="O39" s="155"/>
      <c r="P39" s="218" t="str">
        <f t="shared" si="6"/>
        <v>none</v>
      </c>
      <c r="Q39" s="155"/>
      <c r="R39" s="219" t="str">
        <f t="shared" si="7"/>
        <v>none</v>
      </c>
      <c r="S39" s="155"/>
      <c r="T39" s="218" t="str">
        <f t="shared" si="8"/>
        <v>none</v>
      </c>
      <c r="U39" s="155"/>
      <c r="V39" s="215" t="s">
        <v>284</v>
      </c>
      <c r="W39" s="155"/>
      <c r="X39" s="215" t="s">
        <v>285</v>
      </c>
      <c r="Y39" s="155"/>
      <c r="Z39" s="216"/>
      <c r="AA39" s="155"/>
      <c r="AB39" s="220" t="str">
        <f t="shared" si="9"/>
        <v>none</v>
      </c>
      <c r="AC39" s="155"/>
      <c r="AD39" s="215">
        <v>1.0</v>
      </c>
      <c r="AE39" s="155"/>
      <c r="AF39" s="220" t="str">
        <f t="shared" si="10"/>
        <v>none</v>
      </c>
      <c r="AG39" s="155"/>
      <c r="AH39" s="215">
        <v>1.0</v>
      </c>
      <c r="AI39" s="155"/>
      <c r="AJ39" s="221" t="str">
        <f t="shared" si="11"/>
        <v>none</v>
      </c>
      <c r="AK39" s="155"/>
      <c r="AL39" s="221" t="str">
        <f t="shared" si="12"/>
        <v>none</v>
      </c>
      <c r="AM39" s="155"/>
      <c r="AN39" s="222" t="str">
        <f t="shared" si="13"/>
        <v>攻撃力に数値を入力</v>
      </c>
      <c r="AO39" s="155"/>
      <c r="AP39" s="216"/>
      <c r="AQ39" s="154"/>
      <c r="AR39" s="154"/>
      <c r="AS39" s="155"/>
      <c r="AT39" s="223" t="str">
        <f t="shared" si="14"/>
        <v>none</v>
      </c>
      <c r="AU39" s="154"/>
      <c r="AV39" s="154"/>
      <c r="AW39" s="154"/>
      <c r="AX39" s="155"/>
      <c r="AY39" s="224" t="str">
        <f t="shared" si="15"/>
        <v>none</v>
      </c>
      <c r="AZ39" s="155"/>
      <c r="BA39" s="224" t="str">
        <f t="shared" si="16"/>
        <v>none</v>
      </c>
      <c r="BB39" s="155"/>
      <c r="BC39" s="218" t="str">
        <f t="shared" si="17"/>
        <v>none</v>
      </c>
      <c r="BD39" s="155"/>
      <c r="BE39" s="220" t="str">
        <f t="shared" si="18"/>
        <v>none</v>
      </c>
      <c r="BF39" s="155"/>
      <c r="BG39" s="220" t="str">
        <f t="shared" si="19"/>
        <v>none</v>
      </c>
      <c r="BH39" s="155"/>
      <c r="BI39" s="220" t="str">
        <f t="shared" si="20"/>
        <v>none</v>
      </c>
      <c r="BJ39" s="155"/>
      <c r="BK39" s="220" t="str">
        <f t="shared" si="21"/>
        <v>none</v>
      </c>
      <c r="BL39" s="155"/>
      <c r="BM39" s="225" t="str">
        <f t="shared" si="22"/>
        <v>none</v>
      </c>
      <c r="BN39" s="155"/>
      <c r="BO39" s="220" t="str">
        <f t="shared" si="23"/>
        <v>none</v>
      </c>
      <c r="BP39" s="155"/>
      <c r="BQ39" s="220" t="str">
        <f t="shared" si="24"/>
        <v>none</v>
      </c>
      <c r="BR39" s="155"/>
      <c r="BS39" s="216"/>
      <c r="BT39" s="155"/>
      <c r="BU39" s="216"/>
      <c r="BV39" s="155"/>
      <c r="BW39" s="183"/>
      <c r="BX39" s="155"/>
      <c r="BY39" s="216"/>
      <c r="BZ39" s="155"/>
      <c r="CA39" s="215" t="s">
        <v>286</v>
      </c>
      <c r="CB39" s="154"/>
      <c r="CC39" s="154"/>
      <c r="CD39" s="155"/>
      <c r="CE39" s="227"/>
      <c r="CF39" s="155"/>
      <c r="CG39" s="227"/>
      <c r="CH39" s="155"/>
      <c r="CI39" s="227"/>
      <c r="CJ39" s="155"/>
      <c r="CK39" s="227"/>
      <c r="CL39" s="155"/>
      <c r="CM39" s="226" t="s">
        <v>287</v>
      </c>
      <c r="CN39" s="155"/>
      <c r="CO39" s="216"/>
      <c r="CP39" s="155"/>
      <c r="CQ39" s="215" t="s">
        <v>287</v>
      </c>
      <c r="CR39" s="154"/>
      <c r="CS39" s="154"/>
      <c r="CT39" s="155"/>
      <c r="CU39" s="227"/>
      <c r="CV39" s="155"/>
      <c r="CW39" s="215" t="s">
        <v>287</v>
      </c>
      <c r="CX39" s="154"/>
      <c r="CY39" s="154"/>
      <c r="CZ39" s="155"/>
      <c r="DA39" s="227"/>
      <c r="DB39" s="155"/>
      <c r="DC39" s="215" t="s">
        <v>287</v>
      </c>
      <c r="DD39" s="154"/>
      <c r="DE39" s="154"/>
      <c r="DF39" s="155"/>
      <c r="DG39" s="227"/>
      <c r="DH39" s="155"/>
      <c r="DI39" s="227"/>
      <c r="DJ39" s="155"/>
      <c r="DK39" s="226" t="b">
        <v>0</v>
      </c>
      <c r="DL39" s="155"/>
      <c r="DM39" s="228" t="s">
        <v>287</v>
      </c>
      <c r="DN39" s="154"/>
      <c r="DO39" s="154"/>
      <c r="DP39" s="155"/>
      <c r="DQ39" s="227"/>
      <c r="DR39" s="155"/>
      <c r="DS39" s="216"/>
      <c r="DT39" s="154"/>
      <c r="DU39" s="154"/>
      <c r="DV39" s="154"/>
      <c r="DW39" s="155"/>
      <c r="DX39" s="28"/>
      <c r="DY39" s="135"/>
      <c r="DZ39" s="28"/>
      <c r="EA39" s="229" t="str">
        <f t="shared" si="25"/>
        <v/>
      </c>
      <c r="EB39" s="229" t="str">
        <f t="shared" si="26"/>
        <v/>
      </c>
      <c r="EC39" s="229" t="str">
        <f t="shared" si="27"/>
        <v/>
      </c>
      <c r="ED39" s="229" t="str">
        <f t="shared" si="28"/>
        <v>未入力</v>
      </c>
      <c r="EE39" s="229" t="str">
        <f t="shared" si="29"/>
        <v/>
      </c>
      <c r="EF39" s="229" t="str">
        <f t="shared" si="30"/>
        <v>SummonEnemy</v>
      </c>
      <c r="EG39" s="229" t="str">
        <f t="shared" si="31"/>
        <v/>
      </c>
      <c r="EH39" s="229"/>
      <c r="EI39" s="229" t="str">
        <f t="shared" si="32"/>
        <v/>
      </c>
      <c r="EJ39" s="229" t="str">
        <f t="shared" si="33"/>
        <v/>
      </c>
      <c r="EK39" s="229" t="str">
        <f t="shared" si="34"/>
        <v>None</v>
      </c>
      <c r="EL39" s="229" t="str">
        <f t="shared" si="35"/>
        <v/>
      </c>
      <c r="EM39" s="229" t="str">
        <f t="shared" si="36"/>
        <v>None</v>
      </c>
      <c r="EN39" s="229" t="str">
        <f t="shared" si="37"/>
        <v/>
      </c>
      <c r="EO39" s="229" t="str">
        <f t="shared" si="38"/>
        <v>None</v>
      </c>
      <c r="EP39" s="229" t="str">
        <f t="shared" si="39"/>
        <v/>
      </c>
      <c r="EQ39" s="229" t="str">
        <f t="shared" si="40"/>
        <v>None</v>
      </c>
      <c r="ER39" s="229" t="str">
        <f t="shared" si="41"/>
        <v/>
      </c>
      <c r="ES39" s="229" t="str">
        <f t="shared" si="42"/>
        <v/>
      </c>
      <c r="ET39" s="229" t="b">
        <f t="shared" si="43"/>
        <v>0</v>
      </c>
      <c r="EU39" s="229"/>
      <c r="EV39" s="229" t="str">
        <f t="shared" si="44"/>
        <v>Default</v>
      </c>
      <c r="EW39" s="229" t="str">
        <f t="shared" si="45"/>
        <v>Normal</v>
      </c>
      <c r="EX39" s="229">
        <f t="shared" si="46"/>
        <v>1</v>
      </c>
      <c r="EY39" s="229">
        <f t="shared" si="47"/>
        <v>1</v>
      </c>
      <c r="EZ39" s="229" t="str">
        <f t="shared" si="48"/>
        <v>1</v>
      </c>
      <c r="FA39" s="229" t="str">
        <f t="shared" si="49"/>
        <v/>
      </c>
      <c r="FB39" s="230">
        <v>0.0</v>
      </c>
      <c r="FC39" s="229" t="str">
        <f t="shared" si="50"/>
        <v/>
      </c>
      <c r="FD39" s="229" t="str">
        <f t="shared" si="51"/>
        <v>None</v>
      </c>
      <c r="FE39" s="229" t="str">
        <f t="shared" si="52"/>
        <v/>
      </c>
      <c r="FF39" s="28"/>
      <c r="FG39" s="28"/>
    </row>
    <row r="40">
      <c r="A40" s="28"/>
      <c r="B40" s="215"/>
      <c r="C40" s="155"/>
      <c r="D40" s="216"/>
      <c r="E40" s="155"/>
      <c r="F40" s="216"/>
      <c r="G40" s="155"/>
      <c r="H40" s="217"/>
      <c r="I40" s="154"/>
      <c r="J40" s="154"/>
      <c r="K40" s="155"/>
      <c r="L40" s="218" t="str">
        <f t="shared" si="53"/>
        <v>none</v>
      </c>
      <c r="M40" s="154"/>
      <c r="N40" s="154"/>
      <c r="O40" s="155"/>
      <c r="P40" s="218" t="str">
        <f t="shared" si="6"/>
        <v>none</v>
      </c>
      <c r="Q40" s="155"/>
      <c r="R40" s="219" t="str">
        <f t="shared" si="7"/>
        <v>none</v>
      </c>
      <c r="S40" s="155"/>
      <c r="T40" s="218" t="str">
        <f t="shared" si="8"/>
        <v>none</v>
      </c>
      <c r="U40" s="155"/>
      <c r="V40" s="215" t="s">
        <v>284</v>
      </c>
      <c r="W40" s="155"/>
      <c r="X40" s="215" t="s">
        <v>285</v>
      </c>
      <c r="Y40" s="155"/>
      <c r="Z40" s="216"/>
      <c r="AA40" s="155"/>
      <c r="AB40" s="220" t="str">
        <f t="shared" si="9"/>
        <v>none</v>
      </c>
      <c r="AC40" s="155"/>
      <c r="AD40" s="215">
        <v>1.0</v>
      </c>
      <c r="AE40" s="155"/>
      <c r="AF40" s="220" t="str">
        <f t="shared" si="10"/>
        <v>none</v>
      </c>
      <c r="AG40" s="155"/>
      <c r="AH40" s="215">
        <v>1.0</v>
      </c>
      <c r="AI40" s="155"/>
      <c r="AJ40" s="221" t="str">
        <f t="shared" si="11"/>
        <v>none</v>
      </c>
      <c r="AK40" s="155"/>
      <c r="AL40" s="221" t="str">
        <f t="shared" si="12"/>
        <v>none</v>
      </c>
      <c r="AM40" s="155"/>
      <c r="AN40" s="222" t="str">
        <f t="shared" si="13"/>
        <v>攻撃力に数値を入力</v>
      </c>
      <c r="AO40" s="155"/>
      <c r="AP40" s="216"/>
      <c r="AQ40" s="154"/>
      <c r="AR40" s="154"/>
      <c r="AS40" s="155"/>
      <c r="AT40" s="223" t="str">
        <f t="shared" si="14"/>
        <v>none</v>
      </c>
      <c r="AU40" s="154"/>
      <c r="AV40" s="154"/>
      <c r="AW40" s="154"/>
      <c r="AX40" s="155"/>
      <c r="AY40" s="224" t="str">
        <f t="shared" si="15"/>
        <v>none</v>
      </c>
      <c r="AZ40" s="155"/>
      <c r="BA40" s="224" t="str">
        <f t="shared" si="16"/>
        <v>none</v>
      </c>
      <c r="BB40" s="155"/>
      <c r="BC40" s="218" t="str">
        <f t="shared" si="17"/>
        <v>none</v>
      </c>
      <c r="BD40" s="155"/>
      <c r="BE40" s="220" t="str">
        <f t="shared" si="18"/>
        <v>none</v>
      </c>
      <c r="BF40" s="155"/>
      <c r="BG40" s="220" t="str">
        <f t="shared" si="19"/>
        <v>none</v>
      </c>
      <c r="BH40" s="155"/>
      <c r="BI40" s="220" t="str">
        <f t="shared" si="20"/>
        <v>none</v>
      </c>
      <c r="BJ40" s="155"/>
      <c r="BK40" s="220" t="str">
        <f t="shared" si="21"/>
        <v>none</v>
      </c>
      <c r="BL40" s="155"/>
      <c r="BM40" s="225" t="str">
        <f t="shared" si="22"/>
        <v>none</v>
      </c>
      <c r="BN40" s="155"/>
      <c r="BO40" s="220" t="str">
        <f t="shared" si="23"/>
        <v>none</v>
      </c>
      <c r="BP40" s="155"/>
      <c r="BQ40" s="220" t="str">
        <f t="shared" si="24"/>
        <v>none</v>
      </c>
      <c r="BR40" s="155"/>
      <c r="BS40" s="216"/>
      <c r="BT40" s="155"/>
      <c r="BU40" s="216"/>
      <c r="BV40" s="155"/>
      <c r="BW40" s="183"/>
      <c r="BX40" s="155"/>
      <c r="BY40" s="216"/>
      <c r="BZ40" s="155"/>
      <c r="CA40" s="215" t="s">
        <v>286</v>
      </c>
      <c r="CB40" s="154"/>
      <c r="CC40" s="154"/>
      <c r="CD40" s="155"/>
      <c r="CE40" s="227"/>
      <c r="CF40" s="155"/>
      <c r="CG40" s="227"/>
      <c r="CH40" s="155"/>
      <c r="CI40" s="227"/>
      <c r="CJ40" s="155"/>
      <c r="CK40" s="227"/>
      <c r="CL40" s="155"/>
      <c r="CM40" s="226" t="s">
        <v>287</v>
      </c>
      <c r="CN40" s="155"/>
      <c r="CO40" s="216"/>
      <c r="CP40" s="155"/>
      <c r="CQ40" s="215" t="s">
        <v>287</v>
      </c>
      <c r="CR40" s="154"/>
      <c r="CS40" s="154"/>
      <c r="CT40" s="155"/>
      <c r="CU40" s="227"/>
      <c r="CV40" s="155"/>
      <c r="CW40" s="215" t="s">
        <v>287</v>
      </c>
      <c r="CX40" s="154"/>
      <c r="CY40" s="154"/>
      <c r="CZ40" s="155"/>
      <c r="DA40" s="227"/>
      <c r="DB40" s="155"/>
      <c r="DC40" s="215" t="s">
        <v>287</v>
      </c>
      <c r="DD40" s="154"/>
      <c r="DE40" s="154"/>
      <c r="DF40" s="155"/>
      <c r="DG40" s="227"/>
      <c r="DH40" s="155"/>
      <c r="DI40" s="227"/>
      <c r="DJ40" s="155"/>
      <c r="DK40" s="226" t="b">
        <v>0</v>
      </c>
      <c r="DL40" s="155"/>
      <c r="DM40" s="228" t="s">
        <v>287</v>
      </c>
      <c r="DN40" s="154"/>
      <c r="DO40" s="154"/>
      <c r="DP40" s="155"/>
      <c r="DQ40" s="227"/>
      <c r="DR40" s="155"/>
      <c r="DS40" s="216"/>
      <c r="DT40" s="154"/>
      <c r="DU40" s="154"/>
      <c r="DV40" s="154"/>
      <c r="DW40" s="155"/>
      <c r="DX40" s="28"/>
      <c r="DY40" s="135"/>
      <c r="DZ40" s="28"/>
      <c r="EA40" s="231" t="str">
        <f t="shared" si="25"/>
        <v/>
      </c>
      <c r="EB40" s="231" t="str">
        <f t="shared" si="26"/>
        <v/>
      </c>
      <c r="EC40" s="231" t="str">
        <f t="shared" si="27"/>
        <v/>
      </c>
      <c r="ED40" s="231" t="str">
        <f t="shared" si="28"/>
        <v>未入力</v>
      </c>
      <c r="EE40" s="231" t="str">
        <f t="shared" si="29"/>
        <v/>
      </c>
      <c r="EF40" s="231" t="str">
        <f t="shared" si="30"/>
        <v>SummonEnemy</v>
      </c>
      <c r="EG40" s="231" t="str">
        <f t="shared" si="31"/>
        <v/>
      </c>
      <c r="EH40" s="231"/>
      <c r="EI40" s="231" t="str">
        <f t="shared" si="32"/>
        <v/>
      </c>
      <c r="EJ40" s="231" t="str">
        <f t="shared" si="33"/>
        <v/>
      </c>
      <c r="EK40" s="231" t="str">
        <f t="shared" si="34"/>
        <v>None</v>
      </c>
      <c r="EL40" s="231" t="str">
        <f t="shared" si="35"/>
        <v/>
      </c>
      <c r="EM40" s="231" t="str">
        <f t="shared" si="36"/>
        <v>None</v>
      </c>
      <c r="EN40" s="231" t="str">
        <f t="shared" si="37"/>
        <v/>
      </c>
      <c r="EO40" s="231" t="str">
        <f t="shared" si="38"/>
        <v>None</v>
      </c>
      <c r="EP40" s="231" t="str">
        <f t="shared" si="39"/>
        <v/>
      </c>
      <c r="EQ40" s="231" t="str">
        <f t="shared" si="40"/>
        <v>None</v>
      </c>
      <c r="ER40" s="231" t="str">
        <f t="shared" si="41"/>
        <v/>
      </c>
      <c r="ES40" s="231" t="str">
        <f t="shared" si="42"/>
        <v/>
      </c>
      <c r="ET40" s="231" t="b">
        <f t="shared" si="43"/>
        <v>0</v>
      </c>
      <c r="EU40" s="231"/>
      <c r="EV40" s="231" t="str">
        <f t="shared" si="44"/>
        <v>Default</v>
      </c>
      <c r="EW40" s="231" t="str">
        <f t="shared" si="45"/>
        <v>Normal</v>
      </c>
      <c r="EX40" s="231">
        <f t="shared" si="46"/>
        <v>1</v>
      </c>
      <c r="EY40" s="231">
        <f t="shared" si="47"/>
        <v>1</v>
      </c>
      <c r="EZ40" s="231" t="str">
        <f t="shared" si="48"/>
        <v>1</v>
      </c>
      <c r="FA40" s="231" t="str">
        <f t="shared" si="49"/>
        <v/>
      </c>
      <c r="FB40" s="231">
        <v>0.0</v>
      </c>
      <c r="FC40" s="231" t="str">
        <f t="shared" si="50"/>
        <v/>
      </c>
      <c r="FD40" s="231" t="str">
        <f t="shared" si="51"/>
        <v>None</v>
      </c>
      <c r="FE40" s="231" t="str">
        <f t="shared" si="52"/>
        <v/>
      </c>
      <c r="FF40" s="28"/>
      <c r="FG40" s="28"/>
    </row>
    <row r="41">
      <c r="A41" s="28"/>
      <c r="B41" s="215"/>
      <c r="C41" s="155"/>
      <c r="D41" s="216"/>
      <c r="E41" s="155"/>
      <c r="F41" s="216"/>
      <c r="G41" s="155"/>
      <c r="H41" s="217"/>
      <c r="I41" s="154"/>
      <c r="J41" s="154"/>
      <c r="K41" s="155"/>
      <c r="L41" s="218" t="str">
        <f t="shared" si="53"/>
        <v>none</v>
      </c>
      <c r="M41" s="154"/>
      <c r="N41" s="154"/>
      <c r="O41" s="155"/>
      <c r="P41" s="218" t="str">
        <f t="shared" si="6"/>
        <v>none</v>
      </c>
      <c r="Q41" s="155"/>
      <c r="R41" s="219" t="str">
        <f t="shared" si="7"/>
        <v>none</v>
      </c>
      <c r="S41" s="155"/>
      <c r="T41" s="218" t="str">
        <f t="shared" si="8"/>
        <v>none</v>
      </c>
      <c r="U41" s="155"/>
      <c r="V41" s="215" t="s">
        <v>284</v>
      </c>
      <c r="W41" s="155"/>
      <c r="X41" s="215" t="s">
        <v>285</v>
      </c>
      <c r="Y41" s="155"/>
      <c r="Z41" s="216"/>
      <c r="AA41" s="155"/>
      <c r="AB41" s="220" t="str">
        <f t="shared" si="9"/>
        <v>none</v>
      </c>
      <c r="AC41" s="155"/>
      <c r="AD41" s="215">
        <v>1.0</v>
      </c>
      <c r="AE41" s="155"/>
      <c r="AF41" s="220" t="str">
        <f t="shared" si="10"/>
        <v>none</v>
      </c>
      <c r="AG41" s="155"/>
      <c r="AH41" s="215">
        <v>1.0</v>
      </c>
      <c r="AI41" s="155"/>
      <c r="AJ41" s="221" t="str">
        <f t="shared" si="11"/>
        <v>none</v>
      </c>
      <c r="AK41" s="155"/>
      <c r="AL41" s="221" t="str">
        <f t="shared" si="12"/>
        <v>none</v>
      </c>
      <c r="AM41" s="155"/>
      <c r="AN41" s="222" t="str">
        <f t="shared" si="13"/>
        <v>攻撃力に数値を入力</v>
      </c>
      <c r="AO41" s="155"/>
      <c r="AP41" s="216"/>
      <c r="AQ41" s="154"/>
      <c r="AR41" s="154"/>
      <c r="AS41" s="155"/>
      <c r="AT41" s="223" t="str">
        <f t="shared" si="14"/>
        <v>none</v>
      </c>
      <c r="AU41" s="154"/>
      <c r="AV41" s="154"/>
      <c r="AW41" s="154"/>
      <c r="AX41" s="155"/>
      <c r="AY41" s="224" t="str">
        <f t="shared" si="15"/>
        <v>none</v>
      </c>
      <c r="AZ41" s="155"/>
      <c r="BA41" s="224" t="str">
        <f t="shared" si="16"/>
        <v>none</v>
      </c>
      <c r="BB41" s="155"/>
      <c r="BC41" s="218" t="str">
        <f t="shared" si="17"/>
        <v>none</v>
      </c>
      <c r="BD41" s="155"/>
      <c r="BE41" s="220" t="str">
        <f t="shared" si="18"/>
        <v>none</v>
      </c>
      <c r="BF41" s="155"/>
      <c r="BG41" s="220" t="str">
        <f t="shared" si="19"/>
        <v>none</v>
      </c>
      <c r="BH41" s="155"/>
      <c r="BI41" s="220" t="str">
        <f t="shared" si="20"/>
        <v>none</v>
      </c>
      <c r="BJ41" s="155"/>
      <c r="BK41" s="220" t="str">
        <f t="shared" si="21"/>
        <v>none</v>
      </c>
      <c r="BL41" s="155"/>
      <c r="BM41" s="225" t="str">
        <f t="shared" si="22"/>
        <v>none</v>
      </c>
      <c r="BN41" s="155"/>
      <c r="BO41" s="220" t="str">
        <f t="shared" si="23"/>
        <v>none</v>
      </c>
      <c r="BP41" s="155"/>
      <c r="BQ41" s="220" t="str">
        <f t="shared" si="24"/>
        <v>none</v>
      </c>
      <c r="BR41" s="155"/>
      <c r="BS41" s="216"/>
      <c r="BT41" s="155"/>
      <c r="BU41" s="216"/>
      <c r="BV41" s="155"/>
      <c r="BW41" s="183"/>
      <c r="BX41" s="155"/>
      <c r="BY41" s="216"/>
      <c r="BZ41" s="155"/>
      <c r="CA41" s="215" t="s">
        <v>286</v>
      </c>
      <c r="CB41" s="154"/>
      <c r="CC41" s="154"/>
      <c r="CD41" s="155"/>
      <c r="CE41" s="227"/>
      <c r="CF41" s="155"/>
      <c r="CG41" s="227"/>
      <c r="CH41" s="155"/>
      <c r="CI41" s="227"/>
      <c r="CJ41" s="155"/>
      <c r="CK41" s="227"/>
      <c r="CL41" s="155"/>
      <c r="CM41" s="226" t="s">
        <v>287</v>
      </c>
      <c r="CN41" s="155"/>
      <c r="CO41" s="216"/>
      <c r="CP41" s="155"/>
      <c r="CQ41" s="215" t="s">
        <v>287</v>
      </c>
      <c r="CR41" s="154"/>
      <c r="CS41" s="154"/>
      <c r="CT41" s="155"/>
      <c r="CU41" s="227"/>
      <c r="CV41" s="155"/>
      <c r="CW41" s="215" t="s">
        <v>287</v>
      </c>
      <c r="CX41" s="154"/>
      <c r="CY41" s="154"/>
      <c r="CZ41" s="155"/>
      <c r="DA41" s="227"/>
      <c r="DB41" s="155"/>
      <c r="DC41" s="215" t="s">
        <v>287</v>
      </c>
      <c r="DD41" s="154"/>
      <c r="DE41" s="154"/>
      <c r="DF41" s="155"/>
      <c r="DG41" s="227"/>
      <c r="DH41" s="155"/>
      <c r="DI41" s="227"/>
      <c r="DJ41" s="155"/>
      <c r="DK41" s="226" t="b">
        <v>0</v>
      </c>
      <c r="DL41" s="155"/>
      <c r="DM41" s="228" t="s">
        <v>287</v>
      </c>
      <c r="DN41" s="154"/>
      <c r="DO41" s="154"/>
      <c r="DP41" s="155"/>
      <c r="DQ41" s="227"/>
      <c r="DR41" s="155"/>
      <c r="DS41" s="216"/>
      <c r="DT41" s="154"/>
      <c r="DU41" s="154"/>
      <c r="DV41" s="154"/>
      <c r="DW41" s="155"/>
      <c r="DX41" s="28"/>
      <c r="DY41" s="135"/>
      <c r="DZ41" s="28"/>
      <c r="EA41" s="229" t="str">
        <f t="shared" si="25"/>
        <v/>
      </c>
      <c r="EB41" s="229" t="str">
        <f t="shared" si="26"/>
        <v/>
      </c>
      <c r="EC41" s="229" t="str">
        <f t="shared" si="27"/>
        <v/>
      </c>
      <c r="ED41" s="229" t="str">
        <f t="shared" si="28"/>
        <v>未入力</v>
      </c>
      <c r="EE41" s="229" t="str">
        <f t="shared" si="29"/>
        <v/>
      </c>
      <c r="EF41" s="229" t="str">
        <f t="shared" si="30"/>
        <v>SummonEnemy</v>
      </c>
      <c r="EG41" s="229" t="str">
        <f t="shared" si="31"/>
        <v/>
      </c>
      <c r="EH41" s="229"/>
      <c r="EI41" s="229" t="str">
        <f t="shared" si="32"/>
        <v/>
      </c>
      <c r="EJ41" s="229" t="str">
        <f t="shared" si="33"/>
        <v/>
      </c>
      <c r="EK41" s="229" t="str">
        <f t="shared" si="34"/>
        <v>None</v>
      </c>
      <c r="EL41" s="229" t="str">
        <f t="shared" si="35"/>
        <v/>
      </c>
      <c r="EM41" s="229" t="str">
        <f t="shared" si="36"/>
        <v>None</v>
      </c>
      <c r="EN41" s="229" t="str">
        <f t="shared" si="37"/>
        <v/>
      </c>
      <c r="EO41" s="229" t="str">
        <f t="shared" si="38"/>
        <v>None</v>
      </c>
      <c r="EP41" s="229" t="str">
        <f t="shared" si="39"/>
        <v/>
      </c>
      <c r="EQ41" s="229" t="str">
        <f t="shared" si="40"/>
        <v>None</v>
      </c>
      <c r="ER41" s="229" t="str">
        <f t="shared" si="41"/>
        <v/>
      </c>
      <c r="ES41" s="229" t="str">
        <f t="shared" si="42"/>
        <v/>
      </c>
      <c r="ET41" s="229" t="b">
        <f t="shared" si="43"/>
        <v>0</v>
      </c>
      <c r="EU41" s="229"/>
      <c r="EV41" s="229" t="str">
        <f t="shared" si="44"/>
        <v>Default</v>
      </c>
      <c r="EW41" s="229" t="str">
        <f t="shared" si="45"/>
        <v>Normal</v>
      </c>
      <c r="EX41" s="229">
        <f t="shared" si="46"/>
        <v>1</v>
      </c>
      <c r="EY41" s="229">
        <f t="shared" si="47"/>
        <v>1</v>
      </c>
      <c r="EZ41" s="229" t="str">
        <f t="shared" si="48"/>
        <v>1</v>
      </c>
      <c r="FA41" s="229" t="str">
        <f t="shared" si="49"/>
        <v/>
      </c>
      <c r="FB41" s="230">
        <v>0.0</v>
      </c>
      <c r="FC41" s="229" t="str">
        <f t="shared" si="50"/>
        <v/>
      </c>
      <c r="FD41" s="229" t="str">
        <f t="shared" si="51"/>
        <v>None</v>
      </c>
      <c r="FE41" s="229" t="str">
        <f t="shared" si="52"/>
        <v/>
      </c>
      <c r="FF41" s="28"/>
      <c r="FG41" s="28"/>
    </row>
    <row r="42">
      <c r="A42" s="28"/>
      <c r="B42" s="215"/>
      <c r="C42" s="155"/>
      <c r="D42" s="216"/>
      <c r="E42" s="155"/>
      <c r="F42" s="216"/>
      <c r="G42" s="155"/>
      <c r="H42" s="217"/>
      <c r="I42" s="154"/>
      <c r="J42" s="154"/>
      <c r="K42" s="155"/>
      <c r="L42" s="218" t="str">
        <f t="shared" si="53"/>
        <v>none</v>
      </c>
      <c r="M42" s="154"/>
      <c r="N42" s="154"/>
      <c r="O42" s="155"/>
      <c r="P42" s="218" t="str">
        <f t="shared" si="6"/>
        <v>none</v>
      </c>
      <c r="Q42" s="155"/>
      <c r="R42" s="219" t="str">
        <f t="shared" si="7"/>
        <v>none</v>
      </c>
      <c r="S42" s="155"/>
      <c r="T42" s="218" t="str">
        <f t="shared" si="8"/>
        <v>none</v>
      </c>
      <c r="U42" s="155"/>
      <c r="V42" s="215" t="s">
        <v>284</v>
      </c>
      <c r="W42" s="155"/>
      <c r="X42" s="215" t="s">
        <v>285</v>
      </c>
      <c r="Y42" s="155"/>
      <c r="Z42" s="216"/>
      <c r="AA42" s="155"/>
      <c r="AB42" s="220" t="str">
        <f t="shared" si="9"/>
        <v>none</v>
      </c>
      <c r="AC42" s="155"/>
      <c r="AD42" s="215">
        <v>1.0</v>
      </c>
      <c r="AE42" s="155"/>
      <c r="AF42" s="220" t="str">
        <f t="shared" si="10"/>
        <v>none</v>
      </c>
      <c r="AG42" s="155"/>
      <c r="AH42" s="215">
        <v>1.0</v>
      </c>
      <c r="AI42" s="155"/>
      <c r="AJ42" s="221" t="str">
        <f t="shared" si="11"/>
        <v>none</v>
      </c>
      <c r="AK42" s="155"/>
      <c r="AL42" s="221" t="str">
        <f t="shared" si="12"/>
        <v>none</v>
      </c>
      <c r="AM42" s="155"/>
      <c r="AN42" s="222" t="str">
        <f t="shared" si="13"/>
        <v>攻撃力に数値を入力</v>
      </c>
      <c r="AO42" s="155"/>
      <c r="AP42" s="216"/>
      <c r="AQ42" s="154"/>
      <c r="AR42" s="154"/>
      <c r="AS42" s="155"/>
      <c r="AT42" s="223" t="str">
        <f t="shared" si="14"/>
        <v>none</v>
      </c>
      <c r="AU42" s="154"/>
      <c r="AV42" s="154"/>
      <c r="AW42" s="154"/>
      <c r="AX42" s="155"/>
      <c r="AY42" s="224" t="str">
        <f t="shared" si="15"/>
        <v>none</v>
      </c>
      <c r="AZ42" s="155"/>
      <c r="BA42" s="224" t="str">
        <f t="shared" si="16"/>
        <v>none</v>
      </c>
      <c r="BB42" s="155"/>
      <c r="BC42" s="218" t="str">
        <f t="shared" si="17"/>
        <v>none</v>
      </c>
      <c r="BD42" s="155"/>
      <c r="BE42" s="220" t="str">
        <f t="shared" si="18"/>
        <v>none</v>
      </c>
      <c r="BF42" s="155"/>
      <c r="BG42" s="220" t="str">
        <f t="shared" si="19"/>
        <v>none</v>
      </c>
      <c r="BH42" s="155"/>
      <c r="BI42" s="220" t="str">
        <f t="shared" si="20"/>
        <v>none</v>
      </c>
      <c r="BJ42" s="155"/>
      <c r="BK42" s="220" t="str">
        <f t="shared" si="21"/>
        <v>none</v>
      </c>
      <c r="BL42" s="155"/>
      <c r="BM42" s="225" t="str">
        <f t="shared" si="22"/>
        <v>none</v>
      </c>
      <c r="BN42" s="155"/>
      <c r="BO42" s="220" t="str">
        <f t="shared" si="23"/>
        <v>none</v>
      </c>
      <c r="BP42" s="155"/>
      <c r="BQ42" s="220" t="str">
        <f t="shared" si="24"/>
        <v>none</v>
      </c>
      <c r="BR42" s="155"/>
      <c r="BS42" s="216"/>
      <c r="BT42" s="155"/>
      <c r="BU42" s="216"/>
      <c r="BV42" s="155"/>
      <c r="BW42" s="183"/>
      <c r="BX42" s="155"/>
      <c r="BY42" s="216"/>
      <c r="BZ42" s="155"/>
      <c r="CA42" s="215" t="s">
        <v>286</v>
      </c>
      <c r="CB42" s="154"/>
      <c r="CC42" s="154"/>
      <c r="CD42" s="155"/>
      <c r="CE42" s="227"/>
      <c r="CF42" s="155"/>
      <c r="CG42" s="227"/>
      <c r="CH42" s="155"/>
      <c r="CI42" s="227"/>
      <c r="CJ42" s="155"/>
      <c r="CK42" s="227"/>
      <c r="CL42" s="155"/>
      <c r="CM42" s="226" t="s">
        <v>287</v>
      </c>
      <c r="CN42" s="155"/>
      <c r="CO42" s="216"/>
      <c r="CP42" s="155"/>
      <c r="CQ42" s="215" t="s">
        <v>287</v>
      </c>
      <c r="CR42" s="154"/>
      <c r="CS42" s="154"/>
      <c r="CT42" s="155"/>
      <c r="CU42" s="227"/>
      <c r="CV42" s="155"/>
      <c r="CW42" s="215" t="s">
        <v>287</v>
      </c>
      <c r="CX42" s="154"/>
      <c r="CY42" s="154"/>
      <c r="CZ42" s="155"/>
      <c r="DA42" s="227"/>
      <c r="DB42" s="155"/>
      <c r="DC42" s="215" t="s">
        <v>287</v>
      </c>
      <c r="DD42" s="154"/>
      <c r="DE42" s="154"/>
      <c r="DF42" s="155"/>
      <c r="DG42" s="227"/>
      <c r="DH42" s="155"/>
      <c r="DI42" s="227"/>
      <c r="DJ42" s="155"/>
      <c r="DK42" s="226" t="b">
        <v>0</v>
      </c>
      <c r="DL42" s="155"/>
      <c r="DM42" s="228" t="s">
        <v>287</v>
      </c>
      <c r="DN42" s="154"/>
      <c r="DO42" s="154"/>
      <c r="DP42" s="155"/>
      <c r="DQ42" s="227"/>
      <c r="DR42" s="155"/>
      <c r="DS42" s="216"/>
      <c r="DT42" s="154"/>
      <c r="DU42" s="154"/>
      <c r="DV42" s="154"/>
      <c r="DW42" s="155"/>
      <c r="DX42" s="28"/>
      <c r="DY42" s="135"/>
      <c r="DZ42" s="28"/>
      <c r="EA42" s="231" t="str">
        <f t="shared" si="25"/>
        <v/>
      </c>
      <c r="EB42" s="231" t="str">
        <f t="shared" si="26"/>
        <v/>
      </c>
      <c r="EC42" s="231" t="str">
        <f t="shared" si="27"/>
        <v/>
      </c>
      <c r="ED42" s="231" t="str">
        <f t="shared" si="28"/>
        <v>未入力</v>
      </c>
      <c r="EE42" s="231" t="str">
        <f t="shared" si="29"/>
        <v/>
      </c>
      <c r="EF42" s="231" t="str">
        <f t="shared" si="30"/>
        <v>SummonEnemy</v>
      </c>
      <c r="EG42" s="231" t="str">
        <f t="shared" si="31"/>
        <v/>
      </c>
      <c r="EH42" s="231"/>
      <c r="EI42" s="231" t="str">
        <f t="shared" si="32"/>
        <v/>
      </c>
      <c r="EJ42" s="231" t="str">
        <f t="shared" si="33"/>
        <v/>
      </c>
      <c r="EK42" s="231" t="str">
        <f t="shared" si="34"/>
        <v>None</v>
      </c>
      <c r="EL42" s="231" t="str">
        <f t="shared" si="35"/>
        <v/>
      </c>
      <c r="EM42" s="231" t="str">
        <f t="shared" si="36"/>
        <v>None</v>
      </c>
      <c r="EN42" s="231" t="str">
        <f t="shared" si="37"/>
        <v/>
      </c>
      <c r="EO42" s="231" t="str">
        <f t="shared" si="38"/>
        <v>None</v>
      </c>
      <c r="EP42" s="231" t="str">
        <f t="shared" si="39"/>
        <v/>
      </c>
      <c r="EQ42" s="231" t="str">
        <f t="shared" si="40"/>
        <v>None</v>
      </c>
      <c r="ER42" s="231" t="str">
        <f t="shared" si="41"/>
        <v/>
      </c>
      <c r="ES42" s="231" t="str">
        <f t="shared" si="42"/>
        <v/>
      </c>
      <c r="ET42" s="231" t="b">
        <f t="shared" si="43"/>
        <v>0</v>
      </c>
      <c r="EU42" s="231"/>
      <c r="EV42" s="231" t="str">
        <f t="shared" si="44"/>
        <v>Default</v>
      </c>
      <c r="EW42" s="231" t="str">
        <f t="shared" si="45"/>
        <v>Normal</v>
      </c>
      <c r="EX42" s="231">
        <f t="shared" si="46"/>
        <v>1</v>
      </c>
      <c r="EY42" s="231">
        <f t="shared" si="47"/>
        <v>1</v>
      </c>
      <c r="EZ42" s="231" t="str">
        <f t="shared" si="48"/>
        <v>1</v>
      </c>
      <c r="FA42" s="231" t="str">
        <f t="shared" si="49"/>
        <v/>
      </c>
      <c r="FB42" s="231">
        <v>0.0</v>
      </c>
      <c r="FC42" s="231" t="str">
        <f t="shared" si="50"/>
        <v/>
      </c>
      <c r="FD42" s="231" t="str">
        <f t="shared" si="51"/>
        <v>None</v>
      </c>
      <c r="FE42" s="231" t="str">
        <f t="shared" si="52"/>
        <v/>
      </c>
      <c r="FF42" s="28"/>
      <c r="FG42" s="28"/>
    </row>
    <row r="43">
      <c r="A43" s="28"/>
      <c r="B43" s="215"/>
      <c r="C43" s="155"/>
      <c r="D43" s="216"/>
      <c r="E43" s="155"/>
      <c r="F43" s="216"/>
      <c r="G43" s="155"/>
      <c r="H43" s="217"/>
      <c r="I43" s="154"/>
      <c r="J43" s="154"/>
      <c r="K43" s="155"/>
      <c r="L43" s="218" t="str">
        <f t="shared" si="53"/>
        <v>none</v>
      </c>
      <c r="M43" s="154"/>
      <c r="N43" s="154"/>
      <c r="O43" s="155"/>
      <c r="P43" s="218" t="str">
        <f t="shared" si="6"/>
        <v>none</v>
      </c>
      <c r="Q43" s="155"/>
      <c r="R43" s="219" t="str">
        <f t="shared" si="7"/>
        <v>none</v>
      </c>
      <c r="S43" s="155"/>
      <c r="T43" s="218" t="str">
        <f t="shared" si="8"/>
        <v>none</v>
      </c>
      <c r="U43" s="155"/>
      <c r="V43" s="215" t="s">
        <v>284</v>
      </c>
      <c r="W43" s="155"/>
      <c r="X43" s="215" t="s">
        <v>285</v>
      </c>
      <c r="Y43" s="155"/>
      <c r="Z43" s="216"/>
      <c r="AA43" s="155"/>
      <c r="AB43" s="220" t="str">
        <f t="shared" si="9"/>
        <v>none</v>
      </c>
      <c r="AC43" s="155"/>
      <c r="AD43" s="215">
        <v>1.0</v>
      </c>
      <c r="AE43" s="155"/>
      <c r="AF43" s="220" t="str">
        <f t="shared" si="10"/>
        <v>none</v>
      </c>
      <c r="AG43" s="155"/>
      <c r="AH43" s="215">
        <v>1.0</v>
      </c>
      <c r="AI43" s="155"/>
      <c r="AJ43" s="221" t="str">
        <f t="shared" si="11"/>
        <v>none</v>
      </c>
      <c r="AK43" s="155"/>
      <c r="AL43" s="221" t="str">
        <f t="shared" si="12"/>
        <v>none</v>
      </c>
      <c r="AM43" s="155"/>
      <c r="AN43" s="222" t="str">
        <f t="shared" si="13"/>
        <v>攻撃力に数値を入力</v>
      </c>
      <c r="AO43" s="155"/>
      <c r="AP43" s="216"/>
      <c r="AQ43" s="154"/>
      <c r="AR43" s="154"/>
      <c r="AS43" s="155"/>
      <c r="AT43" s="223" t="str">
        <f t="shared" si="14"/>
        <v>none</v>
      </c>
      <c r="AU43" s="154"/>
      <c r="AV43" s="154"/>
      <c r="AW43" s="154"/>
      <c r="AX43" s="155"/>
      <c r="AY43" s="224" t="str">
        <f t="shared" si="15"/>
        <v>none</v>
      </c>
      <c r="AZ43" s="155"/>
      <c r="BA43" s="224" t="str">
        <f t="shared" si="16"/>
        <v>none</v>
      </c>
      <c r="BB43" s="155"/>
      <c r="BC43" s="218" t="str">
        <f t="shared" si="17"/>
        <v>none</v>
      </c>
      <c r="BD43" s="155"/>
      <c r="BE43" s="220" t="str">
        <f t="shared" si="18"/>
        <v>none</v>
      </c>
      <c r="BF43" s="155"/>
      <c r="BG43" s="220" t="str">
        <f t="shared" si="19"/>
        <v>none</v>
      </c>
      <c r="BH43" s="155"/>
      <c r="BI43" s="220" t="str">
        <f t="shared" si="20"/>
        <v>none</v>
      </c>
      <c r="BJ43" s="155"/>
      <c r="BK43" s="220" t="str">
        <f t="shared" si="21"/>
        <v>none</v>
      </c>
      <c r="BL43" s="155"/>
      <c r="BM43" s="225" t="str">
        <f t="shared" si="22"/>
        <v>none</v>
      </c>
      <c r="BN43" s="155"/>
      <c r="BO43" s="220" t="str">
        <f t="shared" si="23"/>
        <v>none</v>
      </c>
      <c r="BP43" s="155"/>
      <c r="BQ43" s="220" t="str">
        <f t="shared" si="24"/>
        <v>none</v>
      </c>
      <c r="BR43" s="155"/>
      <c r="BS43" s="216"/>
      <c r="BT43" s="155"/>
      <c r="BU43" s="216"/>
      <c r="BV43" s="155"/>
      <c r="BW43" s="183"/>
      <c r="BX43" s="155"/>
      <c r="BY43" s="216"/>
      <c r="BZ43" s="155"/>
      <c r="CA43" s="215" t="s">
        <v>286</v>
      </c>
      <c r="CB43" s="154"/>
      <c r="CC43" s="154"/>
      <c r="CD43" s="155"/>
      <c r="CE43" s="227"/>
      <c r="CF43" s="155"/>
      <c r="CG43" s="227"/>
      <c r="CH43" s="155"/>
      <c r="CI43" s="227"/>
      <c r="CJ43" s="155"/>
      <c r="CK43" s="227"/>
      <c r="CL43" s="155"/>
      <c r="CM43" s="226" t="s">
        <v>287</v>
      </c>
      <c r="CN43" s="155"/>
      <c r="CO43" s="216"/>
      <c r="CP43" s="155"/>
      <c r="CQ43" s="215" t="s">
        <v>287</v>
      </c>
      <c r="CR43" s="154"/>
      <c r="CS43" s="154"/>
      <c r="CT43" s="155"/>
      <c r="CU43" s="227"/>
      <c r="CV43" s="155"/>
      <c r="CW43" s="215" t="s">
        <v>287</v>
      </c>
      <c r="CX43" s="154"/>
      <c r="CY43" s="154"/>
      <c r="CZ43" s="155"/>
      <c r="DA43" s="227"/>
      <c r="DB43" s="155"/>
      <c r="DC43" s="215" t="s">
        <v>287</v>
      </c>
      <c r="DD43" s="154"/>
      <c r="DE43" s="154"/>
      <c r="DF43" s="155"/>
      <c r="DG43" s="227"/>
      <c r="DH43" s="155"/>
      <c r="DI43" s="227"/>
      <c r="DJ43" s="155"/>
      <c r="DK43" s="226" t="b">
        <v>0</v>
      </c>
      <c r="DL43" s="155"/>
      <c r="DM43" s="228" t="s">
        <v>287</v>
      </c>
      <c r="DN43" s="154"/>
      <c r="DO43" s="154"/>
      <c r="DP43" s="155"/>
      <c r="DQ43" s="227"/>
      <c r="DR43" s="155"/>
      <c r="DS43" s="216"/>
      <c r="DT43" s="154"/>
      <c r="DU43" s="154"/>
      <c r="DV43" s="154"/>
      <c r="DW43" s="155"/>
      <c r="DX43" s="28"/>
      <c r="DY43" s="135"/>
      <c r="DZ43" s="28"/>
      <c r="EA43" s="229" t="str">
        <f t="shared" si="25"/>
        <v/>
      </c>
      <c r="EB43" s="229" t="str">
        <f t="shared" si="26"/>
        <v/>
      </c>
      <c r="EC43" s="229" t="str">
        <f t="shared" si="27"/>
        <v/>
      </c>
      <c r="ED43" s="229" t="str">
        <f t="shared" si="28"/>
        <v>未入力</v>
      </c>
      <c r="EE43" s="229" t="str">
        <f t="shared" si="29"/>
        <v/>
      </c>
      <c r="EF43" s="229" t="str">
        <f t="shared" si="30"/>
        <v>SummonEnemy</v>
      </c>
      <c r="EG43" s="229" t="str">
        <f t="shared" si="31"/>
        <v/>
      </c>
      <c r="EH43" s="229"/>
      <c r="EI43" s="229" t="str">
        <f t="shared" si="32"/>
        <v/>
      </c>
      <c r="EJ43" s="229" t="str">
        <f t="shared" si="33"/>
        <v/>
      </c>
      <c r="EK43" s="229" t="str">
        <f t="shared" si="34"/>
        <v>None</v>
      </c>
      <c r="EL43" s="229" t="str">
        <f t="shared" si="35"/>
        <v/>
      </c>
      <c r="EM43" s="229" t="str">
        <f t="shared" si="36"/>
        <v>None</v>
      </c>
      <c r="EN43" s="229" t="str">
        <f t="shared" si="37"/>
        <v/>
      </c>
      <c r="EO43" s="229" t="str">
        <f t="shared" si="38"/>
        <v>None</v>
      </c>
      <c r="EP43" s="229" t="str">
        <f t="shared" si="39"/>
        <v/>
      </c>
      <c r="EQ43" s="229" t="str">
        <f t="shared" si="40"/>
        <v>None</v>
      </c>
      <c r="ER43" s="229" t="str">
        <f t="shared" si="41"/>
        <v/>
      </c>
      <c r="ES43" s="229" t="str">
        <f t="shared" si="42"/>
        <v/>
      </c>
      <c r="ET43" s="229" t="b">
        <f t="shared" si="43"/>
        <v>0</v>
      </c>
      <c r="EU43" s="229"/>
      <c r="EV43" s="229" t="str">
        <f t="shared" si="44"/>
        <v>Default</v>
      </c>
      <c r="EW43" s="229" t="str">
        <f t="shared" si="45"/>
        <v>Normal</v>
      </c>
      <c r="EX43" s="229">
        <f t="shared" si="46"/>
        <v>1</v>
      </c>
      <c r="EY43" s="229">
        <f t="shared" si="47"/>
        <v>1</v>
      </c>
      <c r="EZ43" s="229" t="str">
        <f t="shared" si="48"/>
        <v>1</v>
      </c>
      <c r="FA43" s="229" t="str">
        <f t="shared" si="49"/>
        <v/>
      </c>
      <c r="FB43" s="230">
        <v>0.0</v>
      </c>
      <c r="FC43" s="229" t="str">
        <f t="shared" si="50"/>
        <v/>
      </c>
      <c r="FD43" s="229" t="str">
        <f t="shared" si="51"/>
        <v>None</v>
      </c>
      <c r="FE43" s="229" t="str">
        <f t="shared" si="52"/>
        <v/>
      </c>
      <c r="FF43" s="28"/>
      <c r="FG43" s="28"/>
    </row>
    <row r="44">
      <c r="A44" s="28"/>
      <c r="B44" s="215"/>
      <c r="C44" s="155"/>
      <c r="D44" s="216"/>
      <c r="E44" s="155"/>
      <c r="F44" s="216"/>
      <c r="G44" s="155"/>
      <c r="H44" s="217"/>
      <c r="I44" s="154"/>
      <c r="J44" s="154"/>
      <c r="K44" s="155"/>
      <c r="L44" s="218" t="str">
        <f t="shared" si="53"/>
        <v>none</v>
      </c>
      <c r="M44" s="154"/>
      <c r="N44" s="154"/>
      <c r="O44" s="155"/>
      <c r="P44" s="218" t="str">
        <f t="shared" si="6"/>
        <v>none</v>
      </c>
      <c r="Q44" s="155"/>
      <c r="R44" s="219" t="str">
        <f t="shared" si="7"/>
        <v>none</v>
      </c>
      <c r="S44" s="155"/>
      <c r="T44" s="218" t="str">
        <f t="shared" si="8"/>
        <v>none</v>
      </c>
      <c r="U44" s="155"/>
      <c r="V44" s="215" t="s">
        <v>284</v>
      </c>
      <c r="W44" s="155"/>
      <c r="X44" s="215" t="s">
        <v>285</v>
      </c>
      <c r="Y44" s="155"/>
      <c r="Z44" s="216"/>
      <c r="AA44" s="155"/>
      <c r="AB44" s="220" t="str">
        <f t="shared" si="9"/>
        <v>none</v>
      </c>
      <c r="AC44" s="155"/>
      <c r="AD44" s="215">
        <v>1.0</v>
      </c>
      <c r="AE44" s="155"/>
      <c r="AF44" s="220" t="str">
        <f t="shared" si="10"/>
        <v>none</v>
      </c>
      <c r="AG44" s="155"/>
      <c r="AH44" s="215">
        <v>1.0</v>
      </c>
      <c r="AI44" s="155"/>
      <c r="AJ44" s="221" t="str">
        <f t="shared" si="11"/>
        <v>none</v>
      </c>
      <c r="AK44" s="155"/>
      <c r="AL44" s="221" t="str">
        <f t="shared" si="12"/>
        <v>none</v>
      </c>
      <c r="AM44" s="155"/>
      <c r="AN44" s="222" t="str">
        <f t="shared" si="13"/>
        <v>攻撃力に数値を入力</v>
      </c>
      <c r="AO44" s="155"/>
      <c r="AP44" s="216"/>
      <c r="AQ44" s="154"/>
      <c r="AR44" s="154"/>
      <c r="AS44" s="155"/>
      <c r="AT44" s="223" t="str">
        <f t="shared" si="14"/>
        <v>none</v>
      </c>
      <c r="AU44" s="154"/>
      <c r="AV44" s="154"/>
      <c r="AW44" s="154"/>
      <c r="AX44" s="155"/>
      <c r="AY44" s="224" t="str">
        <f t="shared" si="15"/>
        <v>none</v>
      </c>
      <c r="AZ44" s="155"/>
      <c r="BA44" s="224" t="str">
        <f t="shared" si="16"/>
        <v>none</v>
      </c>
      <c r="BB44" s="155"/>
      <c r="BC44" s="218" t="str">
        <f t="shared" si="17"/>
        <v>none</v>
      </c>
      <c r="BD44" s="155"/>
      <c r="BE44" s="220" t="str">
        <f t="shared" si="18"/>
        <v>none</v>
      </c>
      <c r="BF44" s="155"/>
      <c r="BG44" s="220" t="str">
        <f t="shared" si="19"/>
        <v>none</v>
      </c>
      <c r="BH44" s="155"/>
      <c r="BI44" s="220" t="str">
        <f t="shared" si="20"/>
        <v>none</v>
      </c>
      <c r="BJ44" s="155"/>
      <c r="BK44" s="220" t="str">
        <f t="shared" si="21"/>
        <v>none</v>
      </c>
      <c r="BL44" s="155"/>
      <c r="BM44" s="225" t="str">
        <f t="shared" si="22"/>
        <v>none</v>
      </c>
      <c r="BN44" s="155"/>
      <c r="BO44" s="220" t="str">
        <f t="shared" si="23"/>
        <v>none</v>
      </c>
      <c r="BP44" s="155"/>
      <c r="BQ44" s="220" t="str">
        <f t="shared" si="24"/>
        <v>none</v>
      </c>
      <c r="BR44" s="155"/>
      <c r="BS44" s="216"/>
      <c r="BT44" s="155"/>
      <c r="BU44" s="216"/>
      <c r="BV44" s="155"/>
      <c r="BW44" s="183"/>
      <c r="BX44" s="155"/>
      <c r="BY44" s="216"/>
      <c r="BZ44" s="155"/>
      <c r="CA44" s="215" t="s">
        <v>286</v>
      </c>
      <c r="CB44" s="154"/>
      <c r="CC44" s="154"/>
      <c r="CD44" s="155"/>
      <c r="CE44" s="227"/>
      <c r="CF44" s="155"/>
      <c r="CG44" s="227"/>
      <c r="CH44" s="155"/>
      <c r="CI44" s="227"/>
      <c r="CJ44" s="155"/>
      <c r="CK44" s="227"/>
      <c r="CL44" s="155"/>
      <c r="CM44" s="226" t="s">
        <v>287</v>
      </c>
      <c r="CN44" s="155"/>
      <c r="CO44" s="216"/>
      <c r="CP44" s="155"/>
      <c r="CQ44" s="215" t="s">
        <v>287</v>
      </c>
      <c r="CR44" s="154"/>
      <c r="CS44" s="154"/>
      <c r="CT44" s="155"/>
      <c r="CU44" s="227"/>
      <c r="CV44" s="155"/>
      <c r="CW44" s="215" t="s">
        <v>287</v>
      </c>
      <c r="CX44" s="154"/>
      <c r="CY44" s="154"/>
      <c r="CZ44" s="155"/>
      <c r="DA44" s="227"/>
      <c r="DB44" s="155"/>
      <c r="DC44" s="215" t="s">
        <v>287</v>
      </c>
      <c r="DD44" s="154"/>
      <c r="DE44" s="154"/>
      <c r="DF44" s="155"/>
      <c r="DG44" s="227"/>
      <c r="DH44" s="155"/>
      <c r="DI44" s="227"/>
      <c r="DJ44" s="155"/>
      <c r="DK44" s="226" t="b">
        <v>0</v>
      </c>
      <c r="DL44" s="155"/>
      <c r="DM44" s="228" t="s">
        <v>287</v>
      </c>
      <c r="DN44" s="154"/>
      <c r="DO44" s="154"/>
      <c r="DP44" s="155"/>
      <c r="DQ44" s="227"/>
      <c r="DR44" s="155"/>
      <c r="DS44" s="216"/>
      <c r="DT44" s="154"/>
      <c r="DU44" s="154"/>
      <c r="DV44" s="154"/>
      <c r="DW44" s="155"/>
      <c r="DX44" s="28"/>
      <c r="DY44" s="135"/>
      <c r="DZ44" s="28"/>
      <c r="EA44" s="231" t="str">
        <f t="shared" si="25"/>
        <v/>
      </c>
      <c r="EB44" s="231" t="str">
        <f t="shared" si="26"/>
        <v/>
      </c>
      <c r="EC44" s="231" t="str">
        <f t="shared" si="27"/>
        <v/>
      </c>
      <c r="ED44" s="231" t="str">
        <f t="shared" si="28"/>
        <v>未入力</v>
      </c>
      <c r="EE44" s="231" t="str">
        <f t="shared" si="29"/>
        <v/>
      </c>
      <c r="EF44" s="231" t="str">
        <f t="shared" si="30"/>
        <v>SummonEnemy</v>
      </c>
      <c r="EG44" s="231" t="str">
        <f t="shared" si="31"/>
        <v/>
      </c>
      <c r="EH44" s="231"/>
      <c r="EI44" s="231" t="str">
        <f t="shared" si="32"/>
        <v/>
      </c>
      <c r="EJ44" s="231" t="str">
        <f t="shared" si="33"/>
        <v/>
      </c>
      <c r="EK44" s="231" t="str">
        <f t="shared" si="34"/>
        <v>None</v>
      </c>
      <c r="EL44" s="231" t="str">
        <f t="shared" si="35"/>
        <v/>
      </c>
      <c r="EM44" s="231" t="str">
        <f t="shared" si="36"/>
        <v>None</v>
      </c>
      <c r="EN44" s="231" t="str">
        <f t="shared" si="37"/>
        <v/>
      </c>
      <c r="EO44" s="231" t="str">
        <f t="shared" si="38"/>
        <v>None</v>
      </c>
      <c r="EP44" s="231" t="str">
        <f t="shared" si="39"/>
        <v/>
      </c>
      <c r="EQ44" s="231" t="str">
        <f t="shared" si="40"/>
        <v>None</v>
      </c>
      <c r="ER44" s="231" t="str">
        <f t="shared" si="41"/>
        <v/>
      </c>
      <c r="ES44" s="231" t="str">
        <f t="shared" si="42"/>
        <v/>
      </c>
      <c r="ET44" s="231" t="b">
        <f t="shared" si="43"/>
        <v>0</v>
      </c>
      <c r="EU44" s="231"/>
      <c r="EV44" s="231" t="str">
        <f t="shared" si="44"/>
        <v>Default</v>
      </c>
      <c r="EW44" s="231" t="str">
        <f t="shared" si="45"/>
        <v>Normal</v>
      </c>
      <c r="EX44" s="231">
        <f t="shared" si="46"/>
        <v>1</v>
      </c>
      <c r="EY44" s="231">
        <f t="shared" si="47"/>
        <v>1</v>
      </c>
      <c r="EZ44" s="231" t="str">
        <f t="shared" si="48"/>
        <v>1</v>
      </c>
      <c r="FA44" s="231" t="str">
        <f t="shared" si="49"/>
        <v/>
      </c>
      <c r="FB44" s="231">
        <v>0.0</v>
      </c>
      <c r="FC44" s="231" t="str">
        <f t="shared" si="50"/>
        <v/>
      </c>
      <c r="FD44" s="231" t="str">
        <f t="shared" si="51"/>
        <v>None</v>
      </c>
      <c r="FE44" s="231" t="str">
        <f t="shared" si="52"/>
        <v/>
      </c>
      <c r="FF44" s="28"/>
      <c r="FG44" s="28"/>
    </row>
    <row r="45">
      <c r="A45" s="28"/>
      <c r="B45" s="215"/>
      <c r="C45" s="155"/>
      <c r="D45" s="216"/>
      <c r="E45" s="155"/>
      <c r="F45" s="216"/>
      <c r="G45" s="155"/>
      <c r="H45" s="217"/>
      <c r="I45" s="154"/>
      <c r="J45" s="154"/>
      <c r="K45" s="155"/>
      <c r="L45" s="218" t="str">
        <f t="shared" si="53"/>
        <v>none</v>
      </c>
      <c r="M45" s="154"/>
      <c r="N45" s="154"/>
      <c r="O45" s="155"/>
      <c r="P45" s="218" t="str">
        <f t="shared" si="6"/>
        <v>none</v>
      </c>
      <c r="Q45" s="155"/>
      <c r="R45" s="219" t="str">
        <f t="shared" si="7"/>
        <v>none</v>
      </c>
      <c r="S45" s="155"/>
      <c r="T45" s="218" t="str">
        <f t="shared" si="8"/>
        <v>none</v>
      </c>
      <c r="U45" s="155"/>
      <c r="V45" s="215" t="s">
        <v>284</v>
      </c>
      <c r="W45" s="155"/>
      <c r="X45" s="215" t="s">
        <v>285</v>
      </c>
      <c r="Y45" s="155"/>
      <c r="Z45" s="216"/>
      <c r="AA45" s="155"/>
      <c r="AB45" s="220" t="str">
        <f t="shared" si="9"/>
        <v>none</v>
      </c>
      <c r="AC45" s="155"/>
      <c r="AD45" s="215">
        <v>1.0</v>
      </c>
      <c r="AE45" s="155"/>
      <c r="AF45" s="220" t="str">
        <f t="shared" si="10"/>
        <v>none</v>
      </c>
      <c r="AG45" s="155"/>
      <c r="AH45" s="215">
        <v>1.0</v>
      </c>
      <c r="AI45" s="155"/>
      <c r="AJ45" s="221" t="str">
        <f t="shared" si="11"/>
        <v>none</v>
      </c>
      <c r="AK45" s="155"/>
      <c r="AL45" s="221" t="str">
        <f t="shared" si="12"/>
        <v>none</v>
      </c>
      <c r="AM45" s="155"/>
      <c r="AN45" s="222" t="str">
        <f t="shared" si="13"/>
        <v>攻撃力に数値を入力</v>
      </c>
      <c r="AO45" s="155"/>
      <c r="AP45" s="216"/>
      <c r="AQ45" s="154"/>
      <c r="AR45" s="154"/>
      <c r="AS45" s="155"/>
      <c r="AT45" s="223" t="str">
        <f t="shared" si="14"/>
        <v>none</v>
      </c>
      <c r="AU45" s="154"/>
      <c r="AV45" s="154"/>
      <c r="AW45" s="154"/>
      <c r="AX45" s="155"/>
      <c r="AY45" s="224" t="str">
        <f t="shared" si="15"/>
        <v>none</v>
      </c>
      <c r="AZ45" s="155"/>
      <c r="BA45" s="224" t="str">
        <f t="shared" si="16"/>
        <v>none</v>
      </c>
      <c r="BB45" s="155"/>
      <c r="BC45" s="218" t="str">
        <f t="shared" si="17"/>
        <v>none</v>
      </c>
      <c r="BD45" s="155"/>
      <c r="BE45" s="220" t="str">
        <f t="shared" si="18"/>
        <v>none</v>
      </c>
      <c r="BF45" s="155"/>
      <c r="BG45" s="220" t="str">
        <f t="shared" si="19"/>
        <v>none</v>
      </c>
      <c r="BH45" s="155"/>
      <c r="BI45" s="220" t="str">
        <f t="shared" si="20"/>
        <v>none</v>
      </c>
      <c r="BJ45" s="155"/>
      <c r="BK45" s="220" t="str">
        <f t="shared" si="21"/>
        <v>none</v>
      </c>
      <c r="BL45" s="155"/>
      <c r="BM45" s="225" t="str">
        <f t="shared" si="22"/>
        <v>none</v>
      </c>
      <c r="BN45" s="155"/>
      <c r="BO45" s="220" t="str">
        <f t="shared" si="23"/>
        <v>none</v>
      </c>
      <c r="BP45" s="155"/>
      <c r="BQ45" s="220" t="str">
        <f t="shared" si="24"/>
        <v>none</v>
      </c>
      <c r="BR45" s="155"/>
      <c r="BS45" s="216"/>
      <c r="BT45" s="155"/>
      <c r="BU45" s="216"/>
      <c r="BV45" s="155"/>
      <c r="BW45" s="183"/>
      <c r="BX45" s="155"/>
      <c r="BY45" s="216"/>
      <c r="BZ45" s="155"/>
      <c r="CA45" s="215" t="s">
        <v>286</v>
      </c>
      <c r="CB45" s="154"/>
      <c r="CC45" s="154"/>
      <c r="CD45" s="155"/>
      <c r="CE45" s="227"/>
      <c r="CF45" s="155"/>
      <c r="CG45" s="227"/>
      <c r="CH45" s="155"/>
      <c r="CI45" s="227"/>
      <c r="CJ45" s="155"/>
      <c r="CK45" s="227"/>
      <c r="CL45" s="155"/>
      <c r="CM45" s="226" t="s">
        <v>287</v>
      </c>
      <c r="CN45" s="155"/>
      <c r="CO45" s="216"/>
      <c r="CP45" s="155"/>
      <c r="CQ45" s="215" t="s">
        <v>287</v>
      </c>
      <c r="CR45" s="154"/>
      <c r="CS45" s="154"/>
      <c r="CT45" s="155"/>
      <c r="CU45" s="227"/>
      <c r="CV45" s="155"/>
      <c r="CW45" s="215" t="s">
        <v>287</v>
      </c>
      <c r="CX45" s="154"/>
      <c r="CY45" s="154"/>
      <c r="CZ45" s="155"/>
      <c r="DA45" s="227"/>
      <c r="DB45" s="155"/>
      <c r="DC45" s="215" t="s">
        <v>287</v>
      </c>
      <c r="DD45" s="154"/>
      <c r="DE45" s="154"/>
      <c r="DF45" s="155"/>
      <c r="DG45" s="227"/>
      <c r="DH45" s="155"/>
      <c r="DI45" s="227"/>
      <c r="DJ45" s="155"/>
      <c r="DK45" s="226" t="b">
        <v>0</v>
      </c>
      <c r="DL45" s="155"/>
      <c r="DM45" s="228" t="s">
        <v>287</v>
      </c>
      <c r="DN45" s="154"/>
      <c r="DO45" s="154"/>
      <c r="DP45" s="155"/>
      <c r="DQ45" s="227"/>
      <c r="DR45" s="155"/>
      <c r="DS45" s="216"/>
      <c r="DT45" s="154"/>
      <c r="DU45" s="154"/>
      <c r="DV45" s="154"/>
      <c r="DW45" s="155"/>
      <c r="DX45" s="28"/>
      <c r="DY45" s="135"/>
      <c r="DZ45" s="28"/>
      <c r="EA45" s="229" t="str">
        <f t="shared" si="25"/>
        <v/>
      </c>
      <c r="EB45" s="229" t="str">
        <f t="shared" si="26"/>
        <v/>
      </c>
      <c r="EC45" s="229" t="str">
        <f t="shared" si="27"/>
        <v/>
      </c>
      <c r="ED45" s="229" t="str">
        <f t="shared" si="28"/>
        <v>未入力</v>
      </c>
      <c r="EE45" s="229" t="str">
        <f t="shared" si="29"/>
        <v/>
      </c>
      <c r="EF45" s="229" t="str">
        <f t="shared" si="30"/>
        <v>SummonEnemy</v>
      </c>
      <c r="EG45" s="229" t="str">
        <f t="shared" si="31"/>
        <v/>
      </c>
      <c r="EH45" s="229"/>
      <c r="EI45" s="229" t="str">
        <f t="shared" si="32"/>
        <v/>
      </c>
      <c r="EJ45" s="229" t="str">
        <f t="shared" si="33"/>
        <v/>
      </c>
      <c r="EK45" s="229" t="str">
        <f t="shared" si="34"/>
        <v>None</v>
      </c>
      <c r="EL45" s="229" t="str">
        <f t="shared" si="35"/>
        <v/>
      </c>
      <c r="EM45" s="229" t="str">
        <f t="shared" si="36"/>
        <v>None</v>
      </c>
      <c r="EN45" s="229" t="str">
        <f t="shared" si="37"/>
        <v/>
      </c>
      <c r="EO45" s="229" t="str">
        <f t="shared" si="38"/>
        <v>None</v>
      </c>
      <c r="EP45" s="229" t="str">
        <f t="shared" si="39"/>
        <v/>
      </c>
      <c r="EQ45" s="229" t="str">
        <f t="shared" si="40"/>
        <v>None</v>
      </c>
      <c r="ER45" s="229" t="str">
        <f t="shared" si="41"/>
        <v/>
      </c>
      <c r="ES45" s="229" t="str">
        <f t="shared" si="42"/>
        <v/>
      </c>
      <c r="ET45" s="229" t="b">
        <f t="shared" si="43"/>
        <v>0</v>
      </c>
      <c r="EU45" s="229"/>
      <c r="EV45" s="229" t="str">
        <f t="shared" si="44"/>
        <v>Default</v>
      </c>
      <c r="EW45" s="229" t="str">
        <f t="shared" si="45"/>
        <v>Normal</v>
      </c>
      <c r="EX45" s="229">
        <f t="shared" si="46"/>
        <v>1</v>
      </c>
      <c r="EY45" s="229">
        <f t="shared" si="47"/>
        <v>1</v>
      </c>
      <c r="EZ45" s="229" t="str">
        <f t="shared" si="48"/>
        <v>1</v>
      </c>
      <c r="FA45" s="229" t="str">
        <f t="shared" si="49"/>
        <v/>
      </c>
      <c r="FB45" s="230">
        <v>0.0</v>
      </c>
      <c r="FC45" s="229" t="str">
        <f t="shared" si="50"/>
        <v/>
      </c>
      <c r="FD45" s="229" t="str">
        <f t="shared" si="51"/>
        <v>None</v>
      </c>
      <c r="FE45" s="229" t="str">
        <f t="shared" si="52"/>
        <v/>
      </c>
      <c r="FF45" s="28"/>
      <c r="FG45" s="28"/>
    </row>
    <row r="46">
      <c r="A46" s="28"/>
      <c r="B46" s="215"/>
      <c r="C46" s="155"/>
      <c r="D46" s="216"/>
      <c r="E46" s="155"/>
      <c r="F46" s="216"/>
      <c r="G46" s="155"/>
      <c r="H46" s="217"/>
      <c r="I46" s="154"/>
      <c r="J46" s="154"/>
      <c r="K46" s="155"/>
      <c r="L46" s="218" t="str">
        <f t="shared" si="53"/>
        <v>none</v>
      </c>
      <c r="M46" s="154"/>
      <c r="N46" s="154"/>
      <c r="O46" s="155"/>
      <c r="P46" s="218" t="str">
        <f t="shared" si="6"/>
        <v>none</v>
      </c>
      <c r="Q46" s="155"/>
      <c r="R46" s="219" t="str">
        <f t="shared" si="7"/>
        <v>none</v>
      </c>
      <c r="S46" s="155"/>
      <c r="T46" s="218" t="str">
        <f t="shared" si="8"/>
        <v>none</v>
      </c>
      <c r="U46" s="155"/>
      <c r="V46" s="215" t="s">
        <v>284</v>
      </c>
      <c r="W46" s="155"/>
      <c r="X46" s="215" t="s">
        <v>285</v>
      </c>
      <c r="Y46" s="155"/>
      <c r="Z46" s="216"/>
      <c r="AA46" s="155"/>
      <c r="AB46" s="220" t="str">
        <f t="shared" si="9"/>
        <v>none</v>
      </c>
      <c r="AC46" s="155"/>
      <c r="AD46" s="215">
        <v>1.0</v>
      </c>
      <c r="AE46" s="155"/>
      <c r="AF46" s="220" t="str">
        <f t="shared" si="10"/>
        <v>none</v>
      </c>
      <c r="AG46" s="155"/>
      <c r="AH46" s="215">
        <v>1.0</v>
      </c>
      <c r="AI46" s="155"/>
      <c r="AJ46" s="221" t="str">
        <f t="shared" si="11"/>
        <v>none</v>
      </c>
      <c r="AK46" s="155"/>
      <c r="AL46" s="221" t="str">
        <f t="shared" si="12"/>
        <v>none</v>
      </c>
      <c r="AM46" s="155"/>
      <c r="AN46" s="222" t="str">
        <f t="shared" si="13"/>
        <v>攻撃力に数値を入力</v>
      </c>
      <c r="AO46" s="155"/>
      <c r="AP46" s="216"/>
      <c r="AQ46" s="154"/>
      <c r="AR46" s="154"/>
      <c r="AS46" s="155"/>
      <c r="AT46" s="223" t="str">
        <f t="shared" si="14"/>
        <v>none</v>
      </c>
      <c r="AU46" s="154"/>
      <c r="AV46" s="154"/>
      <c r="AW46" s="154"/>
      <c r="AX46" s="155"/>
      <c r="AY46" s="224" t="str">
        <f t="shared" si="15"/>
        <v>none</v>
      </c>
      <c r="AZ46" s="155"/>
      <c r="BA46" s="224" t="str">
        <f t="shared" si="16"/>
        <v>none</v>
      </c>
      <c r="BB46" s="155"/>
      <c r="BC46" s="218" t="str">
        <f t="shared" si="17"/>
        <v>none</v>
      </c>
      <c r="BD46" s="155"/>
      <c r="BE46" s="220" t="str">
        <f t="shared" si="18"/>
        <v>none</v>
      </c>
      <c r="BF46" s="155"/>
      <c r="BG46" s="220" t="str">
        <f t="shared" si="19"/>
        <v>none</v>
      </c>
      <c r="BH46" s="155"/>
      <c r="BI46" s="220" t="str">
        <f t="shared" si="20"/>
        <v>none</v>
      </c>
      <c r="BJ46" s="155"/>
      <c r="BK46" s="220" t="str">
        <f t="shared" si="21"/>
        <v>none</v>
      </c>
      <c r="BL46" s="155"/>
      <c r="BM46" s="225" t="str">
        <f t="shared" si="22"/>
        <v>none</v>
      </c>
      <c r="BN46" s="155"/>
      <c r="BO46" s="220" t="str">
        <f t="shared" si="23"/>
        <v>none</v>
      </c>
      <c r="BP46" s="155"/>
      <c r="BQ46" s="220" t="str">
        <f t="shared" si="24"/>
        <v>none</v>
      </c>
      <c r="BR46" s="155"/>
      <c r="BS46" s="216"/>
      <c r="BT46" s="155"/>
      <c r="BU46" s="216"/>
      <c r="BV46" s="155"/>
      <c r="BW46" s="183"/>
      <c r="BX46" s="155"/>
      <c r="BY46" s="216"/>
      <c r="BZ46" s="155"/>
      <c r="CA46" s="215" t="s">
        <v>286</v>
      </c>
      <c r="CB46" s="154"/>
      <c r="CC46" s="154"/>
      <c r="CD46" s="155"/>
      <c r="CE46" s="227"/>
      <c r="CF46" s="155"/>
      <c r="CG46" s="227"/>
      <c r="CH46" s="155"/>
      <c r="CI46" s="227"/>
      <c r="CJ46" s="155"/>
      <c r="CK46" s="227"/>
      <c r="CL46" s="155"/>
      <c r="CM46" s="226" t="s">
        <v>287</v>
      </c>
      <c r="CN46" s="155"/>
      <c r="CO46" s="216"/>
      <c r="CP46" s="155"/>
      <c r="CQ46" s="215" t="s">
        <v>287</v>
      </c>
      <c r="CR46" s="154"/>
      <c r="CS46" s="154"/>
      <c r="CT46" s="155"/>
      <c r="CU46" s="227"/>
      <c r="CV46" s="155"/>
      <c r="CW46" s="215" t="s">
        <v>287</v>
      </c>
      <c r="CX46" s="154"/>
      <c r="CY46" s="154"/>
      <c r="CZ46" s="155"/>
      <c r="DA46" s="227"/>
      <c r="DB46" s="155"/>
      <c r="DC46" s="215" t="s">
        <v>287</v>
      </c>
      <c r="DD46" s="154"/>
      <c r="DE46" s="154"/>
      <c r="DF46" s="155"/>
      <c r="DG46" s="227"/>
      <c r="DH46" s="155"/>
      <c r="DI46" s="227"/>
      <c r="DJ46" s="155"/>
      <c r="DK46" s="226" t="b">
        <v>0</v>
      </c>
      <c r="DL46" s="155"/>
      <c r="DM46" s="228" t="s">
        <v>287</v>
      </c>
      <c r="DN46" s="154"/>
      <c r="DO46" s="154"/>
      <c r="DP46" s="155"/>
      <c r="DQ46" s="227"/>
      <c r="DR46" s="155"/>
      <c r="DS46" s="216"/>
      <c r="DT46" s="154"/>
      <c r="DU46" s="154"/>
      <c r="DV46" s="154"/>
      <c r="DW46" s="155"/>
      <c r="DX46" s="28"/>
      <c r="DY46" s="135"/>
      <c r="DZ46" s="28"/>
      <c r="EA46" s="231" t="str">
        <f t="shared" si="25"/>
        <v/>
      </c>
      <c r="EB46" s="231" t="str">
        <f t="shared" si="26"/>
        <v/>
      </c>
      <c r="EC46" s="231" t="str">
        <f t="shared" si="27"/>
        <v/>
      </c>
      <c r="ED46" s="231" t="str">
        <f t="shared" si="28"/>
        <v>未入力</v>
      </c>
      <c r="EE46" s="231" t="str">
        <f t="shared" si="29"/>
        <v/>
      </c>
      <c r="EF46" s="231" t="str">
        <f t="shared" si="30"/>
        <v>SummonEnemy</v>
      </c>
      <c r="EG46" s="231" t="str">
        <f t="shared" si="31"/>
        <v/>
      </c>
      <c r="EH46" s="231"/>
      <c r="EI46" s="231" t="str">
        <f t="shared" si="32"/>
        <v/>
      </c>
      <c r="EJ46" s="231" t="str">
        <f t="shared" si="33"/>
        <v/>
      </c>
      <c r="EK46" s="231" t="str">
        <f t="shared" si="34"/>
        <v>None</v>
      </c>
      <c r="EL46" s="231" t="str">
        <f t="shared" si="35"/>
        <v/>
      </c>
      <c r="EM46" s="231" t="str">
        <f t="shared" si="36"/>
        <v>None</v>
      </c>
      <c r="EN46" s="231" t="str">
        <f t="shared" si="37"/>
        <v/>
      </c>
      <c r="EO46" s="231" t="str">
        <f t="shared" si="38"/>
        <v>None</v>
      </c>
      <c r="EP46" s="231" t="str">
        <f t="shared" si="39"/>
        <v/>
      </c>
      <c r="EQ46" s="231" t="str">
        <f t="shared" si="40"/>
        <v>None</v>
      </c>
      <c r="ER46" s="231" t="str">
        <f t="shared" si="41"/>
        <v/>
      </c>
      <c r="ES46" s="231" t="str">
        <f t="shared" si="42"/>
        <v/>
      </c>
      <c r="ET46" s="231" t="b">
        <f t="shared" si="43"/>
        <v>0</v>
      </c>
      <c r="EU46" s="231"/>
      <c r="EV46" s="231" t="str">
        <f t="shared" si="44"/>
        <v>Default</v>
      </c>
      <c r="EW46" s="231" t="str">
        <f t="shared" si="45"/>
        <v>Normal</v>
      </c>
      <c r="EX46" s="231">
        <f t="shared" si="46"/>
        <v>1</v>
      </c>
      <c r="EY46" s="231">
        <f t="shared" si="47"/>
        <v>1</v>
      </c>
      <c r="EZ46" s="231" t="str">
        <f t="shared" si="48"/>
        <v>1</v>
      </c>
      <c r="FA46" s="231" t="str">
        <f t="shared" si="49"/>
        <v/>
      </c>
      <c r="FB46" s="231">
        <v>0.0</v>
      </c>
      <c r="FC46" s="231" t="str">
        <f t="shared" si="50"/>
        <v/>
      </c>
      <c r="FD46" s="231" t="str">
        <f t="shared" si="51"/>
        <v>None</v>
      </c>
      <c r="FE46" s="231" t="str">
        <f t="shared" si="52"/>
        <v/>
      </c>
      <c r="FF46" s="28"/>
      <c r="FG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X47" s="28"/>
      <c r="DY47" s="135"/>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X48" s="28"/>
      <c r="DY48" s="135"/>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row>
  </sheetData>
  <mergeCells count="117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AH38:AI38"/>
    <mergeCell ref="AJ38:AK38"/>
    <mergeCell ref="T38:U38"/>
    <mergeCell ref="V38:W38"/>
    <mergeCell ref="X38:Y38"/>
    <mergeCell ref="Z38:AA38"/>
    <mergeCell ref="AB38:AC38"/>
    <mergeCell ref="AD38:AE38"/>
    <mergeCell ref="AF38:AG38"/>
    <mergeCell ref="T39:U39"/>
    <mergeCell ref="V39:W39"/>
    <mergeCell ref="X39:Y39"/>
    <mergeCell ref="Z39:AA39"/>
    <mergeCell ref="AB39:AC39"/>
    <mergeCell ref="AD39:AE39"/>
    <mergeCell ref="AF39:AG39"/>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B39:C39"/>
    <mergeCell ref="D39:E39"/>
    <mergeCell ref="F39:G39"/>
    <mergeCell ref="H39:K39"/>
    <mergeCell ref="L39:O39"/>
    <mergeCell ref="P39:Q39"/>
    <mergeCell ref="R39:S39"/>
    <mergeCell ref="T40:U40"/>
    <mergeCell ref="V40:W40"/>
    <mergeCell ref="X40:Y40"/>
    <mergeCell ref="Z40:AA40"/>
    <mergeCell ref="AB40:AC40"/>
    <mergeCell ref="AD40:AE40"/>
    <mergeCell ref="AF40:AG40"/>
    <mergeCell ref="B40:C40"/>
    <mergeCell ref="D40:E40"/>
    <mergeCell ref="F40:G40"/>
    <mergeCell ref="H40:K40"/>
    <mergeCell ref="L40:O40"/>
    <mergeCell ref="P40:Q40"/>
    <mergeCell ref="R40:S40"/>
    <mergeCell ref="BE41:BF41"/>
    <mergeCell ref="BG41:BH41"/>
    <mergeCell ref="AL41:AM41"/>
    <mergeCell ref="AN41:AO41"/>
    <mergeCell ref="AP41:AS41"/>
    <mergeCell ref="AT41:AX41"/>
    <mergeCell ref="AY41:AZ41"/>
    <mergeCell ref="BA41:BB41"/>
    <mergeCell ref="BC41:BD41"/>
    <mergeCell ref="BW41:BX41"/>
    <mergeCell ref="BY41:BZ41"/>
    <mergeCell ref="BI41:BJ41"/>
    <mergeCell ref="BK41:BL41"/>
    <mergeCell ref="BM41:BN41"/>
    <mergeCell ref="BO41:BP41"/>
    <mergeCell ref="BQ41:BR41"/>
    <mergeCell ref="BS41:BT41"/>
    <mergeCell ref="BU41:BV41"/>
    <mergeCell ref="CQ41:CT41"/>
    <mergeCell ref="CU41:CV41"/>
    <mergeCell ref="CA41:CD41"/>
    <mergeCell ref="CE41:CF41"/>
    <mergeCell ref="CG41:CH41"/>
    <mergeCell ref="CI41:CJ41"/>
    <mergeCell ref="CK41:CL41"/>
    <mergeCell ref="CM41:CN41"/>
    <mergeCell ref="CO41:CP41"/>
    <mergeCell ref="DQ41:DR41"/>
    <mergeCell ref="DS41:DW41"/>
    <mergeCell ref="CW41:CZ41"/>
    <mergeCell ref="DA41:DB41"/>
    <mergeCell ref="DC41:DF41"/>
    <mergeCell ref="DG41:DH41"/>
    <mergeCell ref="DI41:DJ41"/>
    <mergeCell ref="DK41:DL41"/>
    <mergeCell ref="DM41:DP41"/>
    <mergeCell ref="CE40:CF40"/>
    <mergeCell ref="CG40:CH40"/>
    <mergeCell ref="CI40:CJ40"/>
    <mergeCell ref="CK40:CL40"/>
    <mergeCell ref="CM40:CN40"/>
    <mergeCell ref="CO40:CP40"/>
    <mergeCell ref="CQ40:CT40"/>
    <mergeCell ref="DM40:DP40"/>
    <mergeCell ref="DQ40:DR40"/>
    <mergeCell ref="DS40:DW40"/>
    <mergeCell ref="B41:C41"/>
    <mergeCell ref="D41:E41"/>
    <mergeCell ref="F41:G41"/>
    <mergeCell ref="H41:K41"/>
    <mergeCell ref="L41:O41"/>
    <mergeCell ref="P41:Q41"/>
    <mergeCell ref="R41:S41"/>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U40:CV40"/>
    <mergeCell ref="CW40:CZ40"/>
    <mergeCell ref="DA40:DB40"/>
    <mergeCell ref="DC40:DF40"/>
    <mergeCell ref="DG40:DH40"/>
    <mergeCell ref="DI40:DJ40"/>
    <mergeCell ref="DK40:DL40"/>
    <mergeCell ref="CE42:CF42"/>
    <mergeCell ref="CG42:CH42"/>
    <mergeCell ref="CI42:CJ42"/>
    <mergeCell ref="CK42:CL42"/>
    <mergeCell ref="CM42:CN42"/>
    <mergeCell ref="CO42:CP42"/>
    <mergeCell ref="CQ42:CT42"/>
    <mergeCell ref="DM42:DP42"/>
    <mergeCell ref="DQ42:DR42"/>
    <mergeCell ref="DS42:DW42"/>
    <mergeCell ref="CU42:CV42"/>
    <mergeCell ref="CW42:CZ42"/>
    <mergeCell ref="DA42:DB42"/>
    <mergeCell ref="DC42:DF42"/>
    <mergeCell ref="DG42:DH42"/>
    <mergeCell ref="DI42:DJ42"/>
    <mergeCell ref="DK42:DL42"/>
    <mergeCell ref="AH41:AI41"/>
    <mergeCell ref="AJ41:AK41"/>
    <mergeCell ref="T41:U41"/>
    <mergeCell ref="V41:W41"/>
    <mergeCell ref="X41:Y41"/>
    <mergeCell ref="Z41:AA41"/>
    <mergeCell ref="AB41:AC41"/>
    <mergeCell ref="AD41:AE41"/>
    <mergeCell ref="AF41:AG41"/>
    <mergeCell ref="T42:U42"/>
    <mergeCell ref="V42:W42"/>
    <mergeCell ref="X42:Y42"/>
    <mergeCell ref="Z42:AA42"/>
    <mergeCell ref="AB42:AC42"/>
    <mergeCell ref="AD42:AE42"/>
    <mergeCell ref="AF42:AG42"/>
    <mergeCell ref="AH42:AI42"/>
    <mergeCell ref="AJ42:AK42"/>
    <mergeCell ref="AL42:AM42"/>
    <mergeCell ref="AN42:AO42"/>
    <mergeCell ref="AP42:AS42"/>
    <mergeCell ref="AT42:AX42"/>
    <mergeCell ref="AY42:AZ42"/>
    <mergeCell ref="BA42:BB42"/>
    <mergeCell ref="BC42:BD42"/>
    <mergeCell ref="BE42:BF42"/>
    <mergeCell ref="BG42:BH42"/>
    <mergeCell ref="BI42:BJ42"/>
    <mergeCell ref="BK42:BL42"/>
    <mergeCell ref="BM42:BN42"/>
    <mergeCell ref="BO42:BP42"/>
    <mergeCell ref="BQ42:BR42"/>
    <mergeCell ref="BS42:BT42"/>
    <mergeCell ref="BU42:BV42"/>
    <mergeCell ref="BW42:BX42"/>
    <mergeCell ref="BY42:BZ42"/>
    <mergeCell ref="CA42:CD42"/>
    <mergeCell ref="B42:C42"/>
    <mergeCell ref="D42:E42"/>
    <mergeCell ref="F42:G42"/>
    <mergeCell ref="H42:K42"/>
    <mergeCell ref="L42:O42"/>
    <mergeCell ref="P42:Q42"/>
    <mergeCell ref="R42:S42"/>
    <mergeCell ref="T43:U43"/>
    <mergeCell ref="V43:W43"/>
    <mergeCell ref="X43:Y43"/>
    <mergeCell ref="Z43:AA43"/>
    <mergeCell ref="AB43:AC43"/>
    <mergeCell ref="AD43:AE43"/>
    <mergeCell ref="AF43:AG43"/>
    <mergeCell ref="B43:C43"/>
    <mergeCell ref="D43:E43"/>
    <mergeCell ref="F43:G43"/>
    <mergeCell ref="H43:K43"/>
    <mergeCell ref="L43:O43"/>
    <mergeCell ref="P43:Q43"/>
    <mergeCell ref="R43:S43"/>
    <mergeCell ref="BE44:BF44"/>
    <mergeCell ref="BG44:BH44"/>
    <mergeCell ref="AL44:AM44"/>
    <mergeCell ref="AN44:AO44"/>
    <mergeCell ref="AP44:AS44"/>
    <mergeCell ref="AT44:AX44"/>
    <mergeCell ref="AY44:AZ44"/>
    <mergeCell ref="BA44:BB44"/>
    <mergeCell ref="BC44:BD44"/>
    <mergeCell ref="BW44:BX44"/>
    <mergeCell ref="BY44:BZ44"/>
    <mergeCell ref="BI44:BJ44"/>
    <mergeCell ref="BK44:BL44"/>
    <mergeCell ref="BM44:BN44"/>
    <mergeCell ref="BO44:BP44"/>
    <mergeCell ref="BQ44:BR44"/>
    <mergeCell ref="BS44:BT44"/>
    <mergeCell ref="BU44:BV44"/>
    <mergeCell ref="CQ44:CT44"/>
    <mergeCell ref="CU44:CV44"/>
    <mergeCell ref="CA44:CD44"/>
    <mergeCell ref="CE44:CF44"/>
    <mergeCell ref="CG44:CH44"/>
    <mergeCell ref="CI44:CJ44"/>
    <mergeCell ref="CK44:CL44"/>
    <mergeCell ref="CM44:CN44"/>
    <mergeCell ref="CO44:CP44"/>
    <mergeCell ref="DQ44:DR44"/>
    <mergeCell ref="DS44:DW44"/>
    <mergeCell ref="CW44:CZ44"/>
    <mergeCell ref="DA44:DB44"/>
    <mergeCell ref="DC44:DF44"/>
    <mergeCell ref="DG44:DH44"/>
    <mergeCell ref="DI44:DJ44"/>
    <mergeCell ref="DK44:DL44"/>
    <mergeCell ref="DM44:DP44"/>
    <mergeCell ref="CE43:CF43"/>
    <mergeCell ref="CG43:CH43"/>
    <mergeCell ref="CI43:CJ43"/>
    <mergeCell ref="CK43:CL43"/>
    <mergeCell ref="CM43:CN43"/>
    <mergeCell ref="CO43:CP43"/>
    <mergeCell ref="CQ43:CT43"/>
    <mergeCell ref="DM43:DP43"/>
    <mergeCell ref="DQ43:DR43"/>
    <mergeCell ref="DS43:DW43"/>
    <mergeCell ref="B44:C44"/>
    <mergeCell ref="D44:E44"/>
    <mergeCell ref="F44:G44"/>
    <mergeCell ref="H44:K44"/>
    <mergeCell ref="L44:O44"/>
    <mergeCell ref="P44:Q44"/>
    <mergeCell ref="R44:S44"/>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CU43:CV43"/>
    <mergeCell ref="CW43:CZ43"/>
    <mergeCell ref="DA43:DB43"/>
    <mergeCell ref="DC43:DF43"/>
    <mergeCell ref="DG43:DH43"/>
    <mergeCell ref="DI43:DJ43"/>
    <mergeCell ref="DK43:DL43"/>
    <mergeCell ref="CE45:CF45"/>
    <mergeCell ref="CG45:CH45"/>
    <mergeCell ref="CI45:CJ45"/>
    <mergeCell ref="CK45:CL45"/>
    <mergeCell ref="CM45:CN45"/>
    <mergeCell ref="CO45:CP45"/>
    <mergeCell ref="CQ45:CT45"/>
    <mergeCell ref="DM45:DP45"/>
    <mergeCell ref="DQ45:DR45"/>
    <mergeCell ref="DS45:DW45"/>
    <mergeCell ref="CU45:CV45"/>
    <mergeCell ref="CW45:CZ45"/>
    <mergeCell ref="DA45:DB45"/>
    <mergeCell ref="DC45:DF45"/>
    <mergeCell ref="DG45:DH45"/>
    <mergeCell ref="DI45:DJ45"/>
    <mergeCell ref="DK45:DL45"/>
    <mergeCell ref="AH44:AI44"/>
    <mergeCell ref="AJ44:AK44"/>
    <mergeCell ref="T44:U44"/>
    <mergeCell ref="V44:W44"/>
    <mergeCell ref="X44:Y44"/>
    <mergeCell ref="Z44:AA44"/>
    <mergeCell ref="AB44:AC44"/>
    <mergeCell ref="AD44:AE44"/>
    <mergeCell ref="AF44:AG44"/>
    <mergeCell ref="T45:U45"/>
    <mergeCell ref="V45:W45"/>
    <mergeCell ref="X45:Y45"/>
    <mergeCell ref="Z45:AA45"/>
    <mergeCell ref="AB45:AC45"/>
    <mergeCell ref="AD45:AE45"/>
    <mergeCell ref="AF45:AG45"/>
    <mergeCell ref="AH45:AI45"/>
    <mergeCell ref="AJ45:AK45"/>
    <mergeCell ref="AL45:AM45"/>
    <mergeCell ref="AN45:AO45"/>
    <mergeCell ref="AP45:AS45"/>
    <mergeCell ref="AT45:AX45"/>
    <mergeCell ref="AY45:AZ45"/>
    <mergeCell ref="BA45:BB45"/>
    <mergeCell ref="BC45:BD45"/>
    <mergeCell ref="BE45:BF45"/>
    <mergeCell ref="BG45:BH45"/>
    <mergeCell ref="BI45:BJ45"/>
    <mergeCell ref="BK45:BL45"/>
    <mergeCell ref="BM45:BN45"/>
    <mergeCell ref="BO45:BP45"/>
    <mergeCell ref="BQ45:BR45"/>
    <mergeCell ref="BS45:BT45"/>
    <mergeCell ref="BU45:BV45"/>
    <mergeCell ref="BW45:BX45"/>
    <mergeCell ref="BY45:BZ45"/>
    <mergeCell ref="CA45:CD45"/>
    <mergeCell ref="B45:C45"/>
    <mergeCell ref="D45:E45"/>
    <mergeCell ref="F45:G45"/>
    <mergeCell ref="H45:K45"/>
    <mergeCell ref="L45:O45"/>
    <mergeCell ref="P45:Q45"/>
    <mergeCell ref="R45:S45"/>
    <mergeCell ref="BA20:BB20"/>
    <mergeCell ref="BC20:BD20"/>
    <mergeCell ref="AD20:AH20"/>
    <mergeCell ref="AI20:AJ20"/>
    <mergeCell ref="AK20:AL20"/>
    <mergeCell ref="AM20:AQ20"/>
    <mergeCell ref="AR20:AS20"/>
    <mergeCell ref="AT20:AU20"/>
    <mergeCell ref="AV20:AZ20"/>
    <mergeCell ref="B6:Q8"/>
    <mergeCell ref="B10:F10"/>
    <mergeCell ref="B11:F11"/>
    <mergeCell ref="E13:G13"/>
    <mergeCell ref="N13:P13"/>
    <mergeCell ref="B18:C18"/>
    <mergeCell ref="D18:E18"/>
    <mergeCell ref="AK18:AL18"/>
    <mergeCell ref="AM18:AQ18"/>
    <mergeCell ref="AR18:AS18"/>
    <mergeCell ref="AT18:AU18"/>
    <mergeCell ref="AV18:AZ18"/>
    <mergeCell ref="BA18:BB18"/>
    <mergeCell ref="BC18:BD18"/>
    <mergeCell ref="N18:O18"/>
    <mergeCell ref="P18:Q18"/>
    <mergeCell ref="U18:Y18"/>
    <mergeCell ref="Z18:AA18"/>
    <mergeCell ref="AB18:AC18"/>
    <mergeCell ref="AD18:AH18"/>
    <mergeCell ref="AI18:AJ18"/>
    <mergeCell ref="J18:K18"/>
    <mergeCell ref="L18:M18"/>
    <mergeCell ref="J19:K19"/>
    <mergeCell ref="L19:M19"/>
    <mergeCell ref="N19:O19"/>
    <mergeCell ref="P19:Q19"/>
    <mergeCell ref="U19:Y19"/>
    <mergeCell ref="AT19:AU19"/>
    <mergeCell ref="AV19:AZ19"/>
    <mergeCell ref="BA19:BB19"/>
    <mergeCell ref="BC19:BD19"/>
    <mergeCell ref="F18:G18"/>
    <mergeCell ref="H18:I18"/>
    <mergeCell ref="B19:C19"/>
    <mergeCell ref="D19:E19"/>
    <mergeCell ref="F19:G19"/>
    <mergeCell ref="H19:I19"/>
    <mergeCell ref="B20:C20"/>
    <mergeCell ref="H20:I20"/>
    <mergeCell ref="Z19:AA19"/>
    <mergeCell ref="AB19:AC19"/>
    <mergeCell ref="AD19:AH19"/>
    <mergeCell ref="AI19:AJ19"/>
    <mergeCell ref="AK19:AL19"/>
    <mergeCell ref="AM19:AQ19"/>
    <mergeCell ref="AR19:AS19"/>
    <mergeCell ref="AH26:AI26"/>
    <mergeCell ref="AJ26:AK26"/>
    <mergeCell ref="AL26:AM26"/>
    <mergeCell ref="AN26:AO26"/>
    <mergeCell ref="AP26:AS26"/>
    <mergeCell ref="AT26:AX26"/>
    <mergeCell ref="AY26:AZ26"/>
    <mergeCell ref="BA26:BB26"/>
    <mergeCell ref="BC26:BD26"/>
    <mergeCell ref="BE26:BF26"/>
    <mergeCell ref="BG26:BH26"/>
    <mergeCell ref="BI26:BJ26"/>
    <mergeCell ref="BK26:BL26"/>
    <mergeCell ref="BM26:BN26"/>
    <mergeCell ref="BO26:BP26"/>
    <mergeCell ref="BQ26:BR26"/>
    <mergeCell ref="BS26:BT26"/>
    <mergeCell ref="BU26:BV26"/>
    <mergeCell ref="BW26:BX26"/>
    <mergeCell ref="BY26:BZ26"/>
    <mergeCell ref="CA26:CD26"/>
    <mergeCell ref="CE26:CF26"/>
    <mergeCell ref="CG26:CH26"/>
    <mergeCell ref="CI26:CJ26"/>
    <mergeCell ref="CK26:CL26"/>
    <mergeCell ref="CM26:CN26"/>
    <mergeCell ref="CO26:CP26"/>
    <mergeCell ref="CQ26:CT26"/>
    <mergeCell ref="DM26:DP26"/>
    <mergeCell ref="DQ26:DR26"/>
    <mergeCell ref="DS26:DW26"/>
    <mergeCell ref="CU26:CV26"/>
    <mergeCell ref="CW26:CZ26"/>
    <mergeCell ref="DA26:DB26"/>
    <mergeCell ref="DC26:DF26"/>
    <mergeCell ref="DG26:DH26"/>
    <mergeCell ref="DI26:DJ26"/>
    <mergeCell ref="DK26:DL26"/>
    <mergeCell ref="B27:C27"/>
    <mergeCell ref="D27:E27"/>
    <mergeCell ref="F27:G27"/>
    <mergeCell ref="H27:K27"/>
    <mergeCell ref="L27:O27"/>
    <mergeCell ref="P27:Q27"/>
    <mergeCell ref="R27:S27"/>
    <mergeCell ref="T27:U27"/>
    <mergeCell ref="V27:W27"/>
    <mergeCell ref="X27:Y27"/>
    <mergeCell ref="Z27:AA27"/>
    <mergeCell ref="AB27:AC27"/>
    <mergeCell ref="AD27:AE27"/>
    <mergeCell ref="AF27:AG27"/>
    <mergeCell ref="AH27:AI27"/>
    <mergeCell ref="AJ27:AK27"/>
    <mergeCell ref="AL27:AM27"/>
    <mergeCell ref="AN27:AO27"/>
    <mergeCell ref="AP27:AS27"/>
    <mergeCell ref="AT27:AX27"/>
    <mergeCell ref="AY27:AZ27"/>
    <mergeCell ref="BA27:BB27"/>
    <mergeCell ref="BC27:BD27"/>
    <mergeCell ref="BE27:BF27"/>
    <mergeCell ref="BG27:BH27"/>
    <mergeCell ref="BI27:BJ27"/>
    <mergeCell ref="BK27:BL27"/>
    <mergeCell ref="BM27:BN27"/>
    <mergeCell ref="BO27:BP27"/>
    <mergeCell ref="BQ27:BR27"/>
    <mergeCell ref="BS27:BT27"/>
    <mergeCell ref="BU27:BV27"/>
    <mergeCell ref="BW27:BX27"/>
    <mergeCell ref="BY27:BZ27"/>
    <mergeCell ref="CA27:CD27"/>
    <mergeCell ref="CE27:CF27"/>
    <mergeCell ref="CG27:CH27"/>
    <mergeCell ref="CI27:CJ27"/>
    <mergeCell ref="CK27:CL27"/>
    <mergeCell ref="CM27:CN27"/>
    <mergeCell ref="CO27:CP27"/>
    <mergeCell ref="CQ27:CT27"/>
    <mergeCell ref="DM27:DP27"/>
    <mergeCell ref="DQ27:DR27"/>
    <mergeCell ref="DS27:DW27"/>
    <mergeCell ref="CU27:CV27"/>
    <mergeCell ref="CW27:CZ27"/>
    <mergeCell ref="DA27:DB27"/>
    <mergeCell ref="DC27:DF27"/>
    <mergeCell ref="DG27:DH27"/>
    <mergeCell ref="DI27:DJ27"/>
    <mergeCell ref="DK27:DL27"/>
    <mergeCell ref="Z20:AA20"/>
    <mergeCell ref="AB20:AC20"/>
    <mergeCell ref="D20:E20"/>
    <mergeCell ref="F20:G20"/>
    <mergeCell ref="J20:K20"/>
    <mergeCell ref="L20:M20"/>
    <mergeCell ref="N20:O20"/>
    <mergeCell ref="P20:Q20"/>
    <mergeCell ref="U20:Y20"/>
    <mergeCell ref="AM21:AQ21"/>
    <mergeCell ref="AR21:AS21"/>
    <mergeCell ref="AT21:AU21"/>
    <mergeCell ref="AV21:AZ21"/>
    <mergeCell ref="BA21:BB21"/>
    <mergeCell ref="BC21:BD21"/>
    <mergeCell ref="P21:Q21"/>
    <mergeCell ref="U21:Y21"/>
    <mergeCell ref="Z21:AA21"/>
    <mergeCell ref="AB21:AC21"/>
    <mergeCell ref="AD21:AH21"/>
    <mergeCell ref="AI21:AJ21"/>
    <mergeCell ref="AK21:AL21"/>
    <mergeCell ref="B21:C21"/>
    <mergeCell ref="D21:E21"/>
    <mergeCell ref="F21:G21"/>
    <mergeCell ref="H21:I21"/>
    <mergeCell ref="J21:K21"/>
    <mergeCell ref="L21:M21"/>
    <mergeCell ref="N21:O21"/>
    <mergeCell ref="T26:U26"/>
    <mergeCell ref="V26:W26"/>
    <mergeCell ref="X26:Y26"/>
    <mergeCell ref="Z26:AA26"/>
    <mergeCell ref="AB26:AC26"/>
    <mergeCell ref="AD26:AE26"/>
    <mergeCell ref="AF26:AG26"/>
    <mergeCell ref="B26:C26"/>
    <mergeCell ref="D26:E26"/>
    <mergeCell ref="F26:G26"/>
    <mergeCell ref="H26:K26"/>
    <mergeCell ref="L26:O26"/>
    <mergeCell ref="P26:Q26"/>
    <mergeCell ref="R26:S26"/>
    <mergeCell ref="CE30:CF30"/>
    <mergeCell ref="CG30:CH30"/>
    <mergeCell ref="CI30:CJ30"/>
    <mergeCell ref="CK30:CL30"/>
    <mergeCell ref="CM30:CN30"/>
    <mergeCell ref="CO30:CP30"/>
    <mergeCell ref="CQ30:CT30"/>
    <mergeCell ref="DM30:DP30"/>
    <mergeCell ref="DQ30:DR30"/>
    <mergeCell ref="DS30:DW30"/>
    <mergeCell ref="CU30:CV30"/>
    <mergeCell ref="CW30:CZ30"/>
    <mergeCell ref="DA30:DB30"/>
    <mergeCell ref="DC30:DF30"/>
    <mergeCell ref="DG30:DH30"/>
    <mergeCell ref="DI30:DJ30"/>
    <mergeCell ref="DK30:DL30"/>
    <mergeCell ref="B46:C46"/>
    <mergeCell ref="D46:E46"/>
    <mergeCell ref="F46:G46"/>
    <mergeCell ref="H46:K46"/>
    <mergeCell ref="L46:O46"/>
    <mergeCell ref="P46:Q46"/>
    <mergeCell ref="R46:S46"/>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CE46:CF46"/>
    <mergeCell ref="CG46:CH46"/>
    <mergeCell ref="CI46:CJ46"/>
    <mergeCell ref="CK46:CL46"/>
    <mergeCell ref="CM46:CN46"/>
    <mergeCell ref="CO46:CP46"/>
    <mergeCell ref="CQ46:CT46"/>
    <mergeCell ref="DM46:DP46"/>
    <mergeCell ref="DQ46:DR46"/>
    <mergeCell ref="DS46:DW46"/>
    <mergeCell ref="DS47:DW47"/>
    <mergeCell ref="DS48:DW48"/>
    <mergeCell ref="CU46:CV46"/>
    <mergeCell ref="CW46:CZ46"/>
    <mergeCell ref="DA46:DB46"/>
    <mergeCell ref="DC46:DF46"/>
    <mergeCell ref="DG46:DH46"/>
    <mergeCell ref="DI46:DJ46"/>
    <mergeCell ref="DK46:DL46"/>
    <mergeCell ref="T28:U28"/>
    <mergeCell ref="V28:W28"/>
    <mergeCell ref="X28:Y28"/>
    <mergeCell ref="Z28:AA28"/>
    <mergeCell ref="AB28:AC28"/>
    <mergeCell ref="AD28:AE28"/>
    <mergeCell ref="AF28:AG28"/>
    <mergeCell ref="B28:C28"/>
    <mergeCell ref="D28:E28"/>
    <mergeCell ref="F28:G28"/>
    <mergeCell ref="H28:K28"/>
    <mergeCell ref="L28:O28"/>
    <mergeCell ref="P28:Q28"/>
    <mergeCell ref="R28:S28"/>
    <mergeCell ref="BW29:BX29"/>
    <mergeCell ref="BY29:BZ29"/>
    <mergeCell ref="BI29:BJ29"/>
    <mergeCell ref="BK29:BL29"/>
    <mergeCell ref="BM29:BN29"/>
    <mergeCell ref="BO29:BP29"/>
    <mergeCell ref="BQ29:BR29"/>
    <mergeCell ref="BS29:BT29"/>
    <mergeCell ref="BU29:BV29"/>
    <mergeCell ref="CQ29:CT29"/>
    <mergeCell ref="CU29:CV29"/>
    <mergeCell ref="CA29:CD29"/>
    <mergeCell ref="CE29:CF29"/>
    <mergeCell ref="CG29:CH29"/>
    <mergeCell ref="CI29:CJ29"/>
    <mergeCell ref="CK29:CL29"/>
    <mergeCell ref="CM29:CN29"/>
    <mergeCell ref="CO29:CP29"/>
    <mergeCell ref="DQ29:DR29"/>
    <mergeCell ref="DS29:DW29"/>
    <mergeCell ref="CW29:CZ29"/>
    <mergeCell ref="DA29:DB29"/>
    <mergeCell ref="DC29:DF29"/>
    <mergeCell ref="DG29:DH29"/>
    <mergeCell ref="DI29:DJ29"/>
    <mergeCell ref="DK29:DL29"/>
    <mergeCell ref="DM29:DP29"/>
    <mergeCell ref="CE28:CF28"/>
    <mergeCell ref="CG28:CH28"/>
    <mergeCell ref="CI28:CJ28"/>
    <mergeCell ref="CK28:CL28"/>
    <mergeCell ref="CM28:CN28"/>
    <mergeCell ref="CO28:CP28"/>
    <mergeCell ref="CQ28:CT28"/>
    <mergeCell ref="DM28:DP28"/>
    <mergeCell ref="DQ28:DR28"/>
    <mergeCell ref="DS28:DW28"/>
    <mergeCell ref="B29:C29"/>
    <mergeCell ref="D29:E29"/>
    <mergeCell ref="F29:G29"/>
    <mergeCell ref="H29:K29"/>
    <mergeCell ref="L29:O29"/>
    <mergeCell ref="P29:Q29"/>
    <mergeCell ref="R29:S29"/>
    <mergeCell ref="AH28:AI28"/>
    <mergeCell ref="AJ28:AK28"/>
    <mergeCell ref="AL28:AM28"/>
    <mergeCell ref="AN28:AO28"/>
    <mergeCell ref="AP28:AS28"/>
    <mergeCell ref="AT28:AX28"/>
    <mergeCell ref="AY28:AZ28"/>
    <mergeCell ref="BA28:BB28"/>
    <mergeCell ref="BC28:BD28"/>
    <mergeCell ref="BE28:BF28"/>
    <mergeCell ref="BG28:BH28"/>
    <mergeCell ref="BI28:BJ28"/>
    <mergeCell ref="BK28:BL28"/>
    <mergeCell ref="BM28:BN28"/>
    <mergeCell ref="BO28:BP28"/>
    <mergeCell ref="BQ28:BR28"/>
    <mergeCell ref="BS28:BT28"/>
    <mergeCell ref="BU28:BV28"/>
    <mergeCell ref="BW28:BX28"/>
    <mergeCell ref="BY28:BZ28"/>
    <mergeCell ref="CA28:CD28"/>
    <mergeCell ref="CU28:CV28"/>
    <mergeCell ref="CW28:CZ28"/>
    <mergeCell ref="DA28:DB28"/>
    <mergeCell ref="DC28:DF28"/>
    <mergeCell ref="DG28:DH28"/>
    <mergeCell ref="DI28:DJ28"/>
    <mergeCell ref="DK28:DL28"/>
    <mergeCell ref="BE29:BF29"/>
    <mergeCell ref="BG29:BH29"/>
    <mergeCell ref="AL29:AM29"/>
    <mergeCell ref="AN29:AO29"/>
    <mergeCell ref="AP29:AS29"/>
    <mergeCell ref="AT29:AX29"/>
    <mergeCell ref="AY29:AZ29"/>
    <mergeCell ref="BA29:BB29"/>
    <mergeCell ref="BC29:BD29"/>
    <mergeCell ref="AH29:AI29"/>
    <mergeCell ref="AJ29:AK29"/>
    <mergeCell ref="T29:U29"/>
    <mergeCell ref="V29:W29"/>
    <mergeCell ref="X29:Y29"/>
    <mergeCell ref="Z29:AA29"/>
    <mergeCell ref="AB29:AC29"/>
    <mergeCell ref="AD29:AE29"/>
    <mergeCell ref="AF29:AG29"/>
    <mergeCell ref="T30:U30"/>
    <mergeCell ref="V30:W30"/>
    <mergeCell ref="X30:Y30"/>
    <mergeCell ref="Z30:AA30"/>
    <mergeCell ref="AB30:AC30"/>
    <mergeCell ref="AD30:AE30"/>
    <mergeCell ref="AF30:AG30"/>
    <mergeCell ref="AH30:AI30"/>
    <mergeCell ref="AJ30:AK30"/>
    <mergeCell ref="AL30:AM30"/>
    <mergeCell ref="AN30:AO30"/>
    <mergeCell ref="AP30:AS30"/>
    <mergeCell ref="AT30:AX30"/>
    <mergeCell ref="AY30:AZ30"/>
    <mergeCell ref="BA30:BB30"/>
    <mergeCell ref="BC30:BD30"/>
    <mergeCell ref="BE30:BF30"/>
    <mergeCell ref="BG30:BH30"/>
    <mergeCell ref="BI30:BJ30"/>
    <mergeCell ref="BK30:BL30"/>
    <mergeCell ref="BM30:BN30"/>
    <mergeCell ref="BO30:BP30"/>
    <mergeCell ref="BQ30:BR30"/>
    <mergeCell ref="BS30:BT30"/>
    <mergeCell ref="BU30:BV30"/>
    <mergeCell ref="BW30:BX30"/>
    <mergeCell ref="BY30:BZ30"/>
    <mergeCell ref="CA30:CD30"/>
    <mergeCell ref="B30:C30"/>
    <mergeCell ref="D30:E30"/>
    <mergeCell ref="F30:G30"/>
    <mergeCell ref="H30:K30"/>
    <mergeCell ref="L30:O30"/>
    <mergeCell ref="P30:Q30"/>
    <mergeCell ref="R30:S30"/>
    <mergeCell ref="T31:U31"/>
    <mergeCell ref="V31:W31"/>
    <mergeCell ref="X31:Y31"/>
    <mergeCell ref="Z31:AA31"/>
    <mergeCell ref="AB31:AC31"/>
    <mergeCell ref="AD31:AE31"/>
    <mergeCell ref="AF31:AG31"/>
    <mergeCell ref="B31:C31"/>
    <mergeCell ref="D31:E31"/>
    <mergeCell ref="F31:G31"/>
    <mergeCell ref="H31:K31"/>
    <mergeCell ref="L31:O31"/>
    <mergeCell ref="P31:Q31"/>
    <mergeCell ref="R31:S31"/>
    <mergeCell ref="BE32:BF32"/>
    <mergeCell ref="BG32:BH32"/>
    <mergeCell ref="AL32:AM32"/>
    <mergeCell ref="AN32:AO32"/>
    <mergeCell ref="AP32:AS32"/>
    <mergeCell ref="AT32:AX32"/>
    <mergeCell ref="AY32:AZ32"/>
    <mergeCell ref="BA32:BB32"/>
    <mergeCell ref="BC32:BD32"/>
    <mergeCell ref="BW32:BX32"/>
    <mergeCell ref="BY32:BZ32"/>
    <mergeCell ref="BI32:BJ32"/>
    <mergeCell ref="BK32:BL32"/>
    <mergeCell ref="BM32:BN32"/>
    <mergeCell ref="BO32:BP32"/>
    <mergeCell ref="BQ32:BR32"/>
    <mergeCell ref="BS32:BT32"/>
    <mergeCell ref="BU32:BV32"/>
    <mergeCell ref="CQ32:CT32"/>
    <mergeCell ref="CU32:CV32"/>
    <mergeCell ref="CA32:CD32"/>
    <mergeCell ref="CE32:CF32"/>
    <mergeCell ref="CG32:CH32"/>
    <mergeCell ref="CI32:CJ32"/>
    <mergeCell ref="CK32:CL32"/>
    <mergeCell ref="CM32:CN32"/>
    <mergeCell ref="CO32:CP32"/>
    <mergeCell ref="DQ32:DR32"/>
    <mergeCell ref="DS32:DW32"/>
    <mergeCell ref="CW32:CZ32"/>
    <mergeCell ref="DA32:DB32"/>
    <mergeCell ref="DC32:DF32"/>
    <mergeCell ref="DG32:DH32"/>
    <mergeCell ref="DI32:DJ32"/>
    <mergeCell ref="DK32:DL32"/>
    <mergeCell ref="DM32:DP32"/>
    <mergeCell ref="CE31:CF31"/>
    <mergeCell ref="CG31:CH31"/>
    <mergeCell ref="CI31:CJ31"/>
    <mergeCell ref="CK31:CL31"/>
    <mergeCell ref="CM31:CN31"/>
    <mergeCell ref="CO31:CP31"/>
    <mergeCell ref="CQ31:CT31"/>
    <mergeCell ref="DM31:DP31"/>
    <mergeCell ref="DQ31:DR31"/>
    <mergeCell ref="DS31:DW31"/>
    <mergeCell ref="B32:C32"/>
    <mergeCell ref="D32:E32"/>
    <mergeCell ref="F32:G32"/>
    <mergeCell ref="H32:K32"/>
    <mergeCell ref="L32:O32"/>
    <mergeCell ref="P32:Q32"/>
    <mergeCell ref="R32:S32"/>
    <mergeCell ref="AH31:AI31"/>
    <mergeCell ref="AJ31:AK31"/>
    <mergeCell ref="AL31:AM31"/>
    <mergeCell ref="AN31:AO31"/>
    <mergeCell ref="AP31:AS31"/>
    <mergeCell ref="AT31:AX31"/>
    <mergeCell ref="AY31:AZ31"/>
    <mergeCell ref="BA31:BB31"/>
    <mergeCell ref="BC31:BD31"/>
    <mergeCell ref="BE31:BF31"/>
    <mergeCell ref="BG31:BH31"/>
    <mergeCell ref="BI31:BJ31"/>
    <mergeCell ref="BK31:BL31"/>
    <mergeCell ref="BM31:BN31"/>
    <mergeCell ref="BO31:BP31"/>
    <mergeCell ref="BQ31:BR31"/>
    <mergeCell ref="BS31:BT31"/>
    <mergeCell ref="BU31:BV31"/>
    <mergeCell ref="BW31:BX31"/>
    <mergeCell ref="BY31:BZ31"/>
    <mergeCell ref="CA31:CD31"/>
    <mergeCell ref="CU31:CV31"/>
    <mergeCell ref="CW31:CZ31"/>
    <mergeCell ref="DA31:DB31"/>
    <mergeCell ref="DC31:DF31"/>
    <mergeCell ref="DG31:DH31"/>
    <mergeCell ref="DI31:DJ31"/>
    <mergeCell ref="DK31:DL31"/>
    <mergeCell ref="CE33:CF33"/>
    <mergeCell ref="CG33:CH33"/>
    <mergeCell ref="CI33:CJ33"/>
    <mergeCell ref="CK33:CL33"/>
    <mergeCell ref="CM33:CN33"/>
    <mergeCell ref="CO33:CP33"/>
    <mergeCell ref="CQ33:CT33"/>
    <mergeCell ref="DM33:DP33"/>
    <mergeCell ref="DQ33:DR33"/>
    <mergeCell ref="DS33:DW33"/>
    <mergeCell ref="CU33:CV33"/>
    <mergeCell ref="CW33:CZ33"/>
    <mergeCell ref="DA33:DB33"/>
    <mergeCell ref="DC33:DF33"/>
    <mergeCell ref="DG33:DH33"/>
    <mergeCell ref="DI33:DJ33"/>
    <mergeCell ref="DK33:DL33"/>
    <mergeCell ref="AH32:AI32"/>
    <mergeCell ref="AJ32:AK32"/>
    <mergeCell ref="T32:U32"/>
    <mergeCell ref="V32:W32"/>
    <mergeCell ref="X32:Y32"/>
    <mergeCell ref="Z32:AA32"/>
    <mergeCell ref="AB32:AC32"/>
    <mergeCell ref="AD32:AE32"/>
    <mergeCell ref="AF32:AG32"/>
    <mergeCell ref="T33:U33"/>
    <mergeCell ref="V33:W33"/>
    <mergeCell ref="X33:Y33"/>
    <mergeCell ref="Z33:AA33"/>
    <mergeCell ref="AB33:AC33"/>
    <mergeCell ref="AD33:AE33"/>
    <mergeCell ref="AF33:AG33"/>
    <mergeCell ref="AH33:AI33"/>
    <mergeCell ref="AJ33:AK33"/>
    <mergeCell ref="AL33:AM33"/>
    <mergeCell ref="AN33:AO33"/>
    <mergeCell ref="AP33:AS33"/>
    <mergeCell ref="AT33:AX33"/>
    <mergeCell ref="AY33:AZ33"/>
    <mergeCell ref="BA33:BB33"/>
    <mergeCell ref="BC33:BD33"/>
    <mergeCell ref="BE33:BF33"/>
    <mergeCell ref="BG33:BH33"/>
    <mergeCell ref="BI33:BJ33"/>
    <mergeCell ref="BK33:BL33"/>
    <mergeCell ref="BM33:BN33"/>
    <mergeCell ref="BO33:BP33"/>
    <mergeCell ref="BQ33:BR33"/>
    <mergeCell ref="BS33:BT33"/>
    <mergeCell ref="BU33:BV33"/>
    <mergeCell ref="BW33:BX33"/>
    <mergeCell ref="BY33:BZ33"/>
    <mergeCell ref="CA33:CD33"/>
    <mergeCell ref="B33:C33"/>
    <mergeCell ref="D33:E33"/>
    <mergeCell ref="F33:G33"/>
    <mergeCell ref="H33:K33"/>
    <mergeCell ref="L33:O33"/>
    <mergeCell ref="P33:Q33"/>
    <mergeCell ref="R33:S33"/>
    <mergeCell ref="T34:U34"/>
    <mergeCell ref="V34:W34"/>
    <mergeCell ref="X34:Y34"/>
    <mergeCell ref="Z34:AA34"/>
    <mergeCell ref="AB34:AC34"/>
    <mergeCell ref="AD34:AE34"/>
    <mergeCell ref="AF34:AG34"/>
    <mergeCell ref="B34:C34"/>
    <mergeCell ref="D34:E34"/>
    <mergeCell ref="F34:G34"/>
    <mergeCell ref="H34:K34"/>
    <mergeCell ref="L34:O34"/>
    <mergeCell ref="P34:Q34"/>
    <mergeCell ref="R34:S34"/>
    <mergeCell ref="BE35:BF35"/>
    <mergeCell ref="BG35:BH35"/>
    <mergeCell ref="AL35:AM35"/>
    <mergeCell ref="AN35:AO35"/>
    <mergeCell ref="AP35:AS35"/>
    <mergeCell ref="AT35:AX35"/>
    <mergeCell ref="AY35:AZ35"/>
    <mergeCell ref="BA35:BB35"/>
    <mergeCell ref="BC35:BD35"/>
    <mergeCell ref="BW35:BX35"/>
    <mergeCell ref="BY35:BZ35"/>
    <mergeCell ref="BI35:BJ35"/>
    <mergeCell ref="BK35:BL35"/>
    <mergeCell ref="BM35:BN35"/>
    <mergeCell ref="BO35:BP35"/>
    <mergeCell ref="BQ35:BR35"/>
    <mergeCell ref="BS35:BT35"/>
    <mergeCell ref="BU35:BV35"/>
    <mergeCell ref="CQ35:CT35"/>
    <mergeCell ref="CU35:CV35"/>
    <mergeCell ref="CA35:CD35"/>
    <mergeCell ref="CE35:CF35"/>
    <mergeCell ref="CG35:CH35"/>
    <mergeCell ref="CI35:CJ35"/>
    <mergeCell ref="CK35:CL35"/>
    <mergeCell ref="CM35:CN35"/>
    <mergeCell ref="CO35:CP35"/>
    <mergeCell ref="DQ35:DR35"/>
    <mergeCell ref="DS35:DW35"/>
    <mergeCell ref="CW35:CZ35"/>
    <mergeCell ref="DA35:DB35"/>
    <mergeCell ref="DC35:DF35"/>
    <mergeCell ref="DG35:DH35"/>
    <mergeCell ref="DI35:DJ35"/>
    <mergeCell ref="DK35:DL35"/>
    <mergeCell ref="DM35:DP35"/>
    <mergeCell ref="CE34:CF34"/>
    <mergeCell ref="CG34:CH34"/>
    <mergeCell ref="CI34:CJ34"/>
    <mergeCell ref="CK34:CL34"/>
    <mergeCell ref="CM34:CN34"/>
    <mergeCell ref="CO34:CP34"/>
    <mergeCell ref="CQ34:CT34"/>
    <mergeCell ref="DM34:DP34"/>
    <mergeCell ref="DQ34:DR34"/>
    <mergeCell ref="DS34:DW34"/>
    <mergeCell ref="B35:C35"/>
    <mergeCell ref="D35:E35"/>
    <mergeCell ref="F35:G35"/>
    <mergeCell ref="H35:K35"/>
    <mergeCell ref="L35:O35"/>
    <mergeCell ref="P35:Q35"/>
    <mergeCell ref="R35:S35"/>
    <mergeCell ref="AH34:AI34"/>
    <mergeCell ref="AJ34:AK34"/>
    <mergeCell ref="AL34:AM34"/>
    <mergeCell ref="AN34:AO34"/>
    <mergeCell ref="AP34:AS34"/>
    <mergeCell ref="AT34:AX34"/>
    <mergeCell ref="AY34:AZ34"/>
    <mergeCell ref="BA34:BB34"/>
    <mergeCell ref="BC34:BD34"/>
    <mergeCell ref="BE34:BF34"/>
    <mergeCell ref="BG34:BH34"/>
    <mergeCell ref="BI34:BJ34"/>
    <mergeCell ref="BK34:BL34"/>
    <mergeCell ref="BM34:BN34"/>
    <mergeCell ref="BO34:BP34"/>
    <mergeCell ref="BQ34:BR34"/>
    <mergeCell ref="BS34:BT34"/>
    <mergeCell ref="BU34:BV34"/>
    <mergeCell ref="BW34:BX34"/>
    <mergeCell ref="BY34:BZ34"/>
    <mergeCell ref="CA34:CD34"/>
    <mergeCell ref="CU34:CV34"/>
    <mergeCell ref="CW34:CZ34"/>
    <mergeCell ref="DA34:DB34"/>
    <mergeCell ref="DC34:DF34"/>
    <mergeCell ref="DG34:DH34"/>
    <mergeCell ref="DI34:DJ34"/>
    <mergeCell ref="DK34:DL34"/>
    <mergeCell ref="CE36:CF36"/>
    <mergeCell ref="CG36:CH36"/>
    <mergeCell ref="CI36:CJ36"/>
    <mergeCell ref="CK36:CL36"/>
    <mergeCell ref="CM36:CN36"/>
    <mergeCell ref="CO36:CP36"/>
    <mergeCell ref="CQ36:CT36"/>
    <mergeCell ref="DM36:DP36"/>
    <mergeCell ref="DQ36:DR36"/>
    <mergeCell ref="DS36:DW36"/>
    <mergeCell ref="CU36:CV36"/>
    <mergeCell ref="CW36:CZ36"/>
    <mergeCell ref="DA36:DB36"/>
    <mergeCell ref="DC36:DF36"/>
    <mergeCell ref="DG36:DH36"/>
    <mergeCell ref="DI36:DJ36"/>
    <mergeCell ref="DK36:DL36"/>
    <mergeCell ref="AH35:AI35"/>
    <mergeCell ref="AJ35:AK35"/>
    <mergeCell ref="T35:U35"/>
    <mergeCell ref="V35:W35"/>
    <mergeCell ref="X35:Y35"/>
    <mergeCell ref="Z35:AA35"/>
    <mergeCell ref="AB35:AC35"/>
    <mergeCell ref="AD35:AE35"/>
    <mergeCell ref="AF35:AG35"/>
    <mergeCell ref="T36:U36"/>
    <mergeCell ref="V36:W36"/>
    <mergeCell ref="X36:Y36"/>
    <mergeCell ref="Z36:AA36"/>
    <mergeCell ref="AB36:AC36"/>
    <mergeCell ref="AD36:AE36"/>
    <mergeCell ref="AF36:AG36"/>
    <mergeCell ref="AH36:AI36"/>
    <mergeCell ref="AJ36:AK36"/>
    <mergeCell ref="AL36:AM36"/>
    <mergeCell ref="AN36:AO36"/>
    <mergeCell ref="AP36:AS36"/>
    <mergeCell ref="AT36:AX36"/>
    <mergeCell ref="AY36:AZ36"/>
    <mergeCell ref="BA36:BB36"/>
    <mergeCell ref="BC36:BD36"/>
    <mergeCell ref="BE36:BF36"/>
    <mergeCell ref="BG36:BH36"/>
    <mergeCell ref="BI36:BJ36"/>
    <mergeCell ref="BK36:BL36"/>
    <mergeCell ref="BM36:BN36"/>
    <mergeCell ref="BO36:BP36"/>
    <mergeCell ref="BQ36:BR36"/>
    <mergeCell ref="BS36:BT36"/>
    <mergeCell ref="BU36:BV36"/>
    <mergeCell ref="BW36:BX36"/>
    <mergeCell ref="BY36:BZ36"/>
    <mergeCell ref="CA36:CD36"/>
    <mergeCell ref="B36:C36"/>
    <mergeCell ref="D36:E36"/>
    <mergeCell ref="F36:G36"/>
    <mergeCell ref="H36:K36"/>
    <mergeCell ref="L36:O36"/>
    <mergeCell ref="P36:Q36"/>
    <mergeCell ref="R36:S36"/>
    <mergeCell ref="T37:U37"/>
    <mergeCell ref="V37:W37"/>
    <mergeCell ref="X37:Y37"/>
    <mergeCell ref="Z37:AA37"/>
    <mergeCell ref="AB37:AC37"/>
    <mergeCell ref="AD37:AE37"/>
    <mergeCell ref="AF37:AG37"/>
    <mergeCell ref="B37:C37"/>
    <mergeCell ref="D37:E37"/>
    <mergeCell ref="F37:G37"/>
    <mergeCell ref="H37:K37"/>
    <mergeCell ref="L37:O37"/>
    <mergeCell ref="P37:Q37"/>
    <mergeCell ref="R37:S37"/>
    <mergeCell ref="BE38:BF38"/>
    <mergeCell ref="BG38:BH38"/>
    <mergeCell ref="AL38:AM38"/>
    <mergeCell ref="AN38:AO38"/>
    <mergeCell ref="AP38:AS38"/>
    <mergeCell ref="AT38:AX38"/>
    <mergeCell ref="AY38:AZ38"/>
    <mergeCell ref="BA38:BB38"/>
    <mergeCell ref="BC38:BD38"/>
    <mergeCell ref="BW38:BX38"/>
    <mergeCell ref="BY38:BZ38"/>
    <mergeCell ref="BI38:BJ38"/>
    <mergeCell ref="BK38:BL38"/>
    <mergeCell ref="BM38:BN38"/>
    <mergeCell ref="BO38:BP38"/>
    <mergeCell ref="BQ38:BR38"/>
    <mergeCell ref="BS38:BT38"/>
    <mergeCell ref="BU38:BV38"/>
    <mergeCell ref="CQ38:CT38"/>
    <mergeCell ref="CU38:CV38"/>
    <mergeCell ref="CA38:CD38"/>
    <mergeCell ref="CE38:CF38"/>
    <mergeCell ref="CG38:CH38"/>
    <mergeCell ref="CI38:CJ38"/>
    <mergeCell ref="CK38:CL38"/>
    <mergeCell ref="CM38:CN38"/>
    <mergeCell ref="CO38:CP38"/>
    <mergeCell ref="DQ38:DR38"/>
    <mergeCell ref="DS38:DW38"/>
    <mergeCell ref="CW38:CZ38"/>
    <mergeCell ref="DA38:DB38"/>
    <mergeCell ref="DC38:DF38"/>
    <mergeCell ref="DG38:DH38"/>
    <mergeCell ref="DI38:DJ38"/>
    <mergeCell ref="DK38:DL38"/>
    <mergeCell ref="DM38:DP38"/>
    <mergeCell ref="CE37:CF37"/>
    <mergeCell ref="CG37:CH37"/>
    <mergeCell ref="CI37:CJ37"/>
    <mergeCell ref="CK37:CL37"/>
    <mergeCell ref="CM37:CN37"/>
    <mergeCell ref="CO37:CP37"/>
    <mergeCell ref="CQ37:CT37"/>
    <mergeCell ref="DM37:DP37"/>
    <mergeCell ref="DQ37:DR37"/>
    <mergeCell ref="DS37:DW37"/>
    <mergeCell ref="B38:C38"/>
    <mergeCell ref="D38:E38"/>
    <mergeCell ref="F38:G38"/>
    <mergeCell ref="H38:K38"/>
    <mergeCell ref="L38:O38"/>
    <mergeCell ref="P38:Q38"/>
    <mergeCell ref="R38:S38"/>
    <mergeCell ref="AH37:AI37"/>
    <mergeCell ref="AJ37:AK37"/>
    <mergeCell ref="AL37:AM37"/>
    <mergeCell ref="AN37:AO37"/>
    <mergeCell ref="AP37:AS37"/>
    <mergeCell ref="AT37:AX37"/>
    <mergeCell ref="AY37:AZ37"/>
    <mergeCell ref="BA37:BB37"/>
    <mergeCell ref="BC37:BD37"/>
    <mergeCell ref="BE37:BF37"/>
    <mergeCell ref="BG37:BH37"/>
    <mergeCell ref="BI37:BJ37"/>
    <mergeCell ref="BK37:BL37"/>
    <mergeCell ref="BM37:BN37"/>
    <mergeCell ref="BO37:BP37"/>
    <mergeCell ref="BQ37:BR37"/>
    <mergeCell ref="BS37:BT37"/>
    <mergeCell ref="BU37:BV37"/>
    <mergeCell ref="BW37:BX37"/>
    <mergeCell ref="BY37:BZ37"/>
    <mergeCell ref="CA37:CD37"/>
    <mergeCell ref="CU37:CV37"/>
    <mergeCell ref="CW37:CZ37"/>
    <mergeCell ref="DA37:DB37"/>
    <mergeCell ref="DC37:DF37"/>
    <mergeCell ref="DG37:DH37"/>
    <mergeCell ref="DI37:DJ37"/>
    <mergeCell ref="DK37:DL37"/>
  </mergeCells>
  <conditionalFormatting sqref="H19:O21">
    <cfRule type="cellIs" dxfId="1" priority="1" operator="equal">
      <formula>"none"</formula>
    </cfRule>
  </conditionalFormatting>
  <conditionalFormatting sqref="CA26">
    <cfRule type="containsText" dxfId="1" priority="2" operator="containsText" text="normal">
      <formula>NOT(ISERROR(SEARCH(("normal"),(CA26))))</formula>
    </cfRule>
  </conditionalFormatting>
  <conditionalFormatting sqref="CA26">
    <cfRule type="containsText" dxfId="2" priority="3" operator="containsText" text="boss">
      <formula>NOT(ISERROR(SEARCH(("boss"),(CA26))))</formula>
    </cfRule>
  </conditionalFormatting>
  <conditionalFormatting sqref="R27:S46">
    <cfRule type="cellIs" dxfId="2" priority="4" operator="equal">
      <formula>"Yellow"</formula>
    </cfRule>
  </conditionalFormatting>
  <conditionalFormatting sqref="R27:S46">
    <cfRule type="cellIs" dxfId="3" priority="5" operator="equal">
      <formula>"Blue"</formula>
    </cfRule>
  </conditionalFormatting>
  <conditionalFormatting sqref="R27:S46">
    <cfRule type="cellIs" dxfId="4" priority="6" operator="equal">
      <formula>"Red"</formula>
    </cfRule>
  </conditionalFormatting>
  <conditionalFormatting sqref="R27:S46">
    <cfRule type="cellIs" dxfId="5" priority="7" operator="equal">
      <formula>"Green"</formula>
    </cfRule>
  </conditionalFormatting>
  <conditionalFormatting sqref="R27:S46">
    <cfRule type="cellIs" dxfId="6" priority="8" operator="equal">
      <formula>"Colorless"</formula>
    </cfRule>
  </conditionalFormatting>
  <conditionalFormatting sqref="P20:Q20">
    <cfRule type="cellIs" dxfId="1" priority="9" operator="equal">
      <formula>"none"</formula>
    </cfRule>
  </conditionalFormatting>
  <conditionalFormatting sqref="J19:Q21">
    <cfRule type="cellIs" dxfId="1" priority="10" operator="equal">
      <formula>"none"</formula>
    </cfRule>
  </conditionalFormatting>
  <dataValidations>
    <dataValidation type="list" allowBlank="1" showErrorMessage="1" sqref="X27:X46">
      <formula1>'エネミー出現'!$S$2:$S48</formula1>
    </dataValidation>
    <dataValidation type="list" allowBlank="1" showErrorMessage="1" sqref="V27:V46">
      <formula1>'エネミー出現'!$P$2:$P48</formula1>
    </dataValidation>
    <dataValidation type="list" allowBlank="1" showErrorMessage="1" sqref="U19:U21 AD19:AD21 AM19:AM21 AV19:AV21">
      <formula1>'コマ効果'!$B$2:$B48</formula1>
    </dataValidation>
    <dataValidation type="list" allowBlank="1" showErrorMessage="1" sqref="CQ27:CQ46 DC27:DC46">
      <formula1>'エネミー出現'!$G$2:$G48</formula1>
    </dataValidation>
    <dataValidation type="list" allowBlank="1" showErrorMessage="1" sqref="DK27:DK46">
      <formula1>"FALSE,TRUE"</formula1>
    </dataValidation>
    <dataValidation type="list" allowBlank="1" showErrorMessage="1" sqref="D19:D21">
      <formula1>'行パターン'!$A$2:$A48</formula1>
    </dataValidation>
    <dataValidation type="list" allowBlank="1" showErrorMessage="1" sqref="DM27:DM46">
      <formula1>'エネミー出現'!$A$2:A48</formula1>
    </dataValidation>
    <dataValidation type="list" allowBlank="1" showErrorMessage="1" sqref="Z27:Z46">
      <formula1>"あり,なし"</formula1>
    </dataValidation>
    <dataValidation type="list" allowBlank="1" showErrorMessage="1" sqref="CA27:CA46">
      <formula1>'エネミー出現'!$A$2:A48</formula1>
    </dataValidation>
    <dataValidation type="list" allowBlank="1" showErrorMessage="1" sqref="CW27:CW46">
      <formula1>'エネミー出現'!$J$2:$J48</formula1>
    </dataValidation>
    <dataValidation type="list" allowBlank="1" showErrorMessage="1" sqref="BW27:BW46">
      <formula1>'エネミー出現'!$M$2:$M48</formula1>
    </dataValidation>
    <dataValidation type="list" allowBlank="1" showErrorMessage="1" sqref="B11">
      <formula1>'BGM_管理'!$A:$A</formula1>
    </dataValidation>
    <dataValidation type="list" allowBlank="1" showErrorMessage="1" sqref="CM27:CM46">
      <formula1>'エネミー出現'!$D$2:$D$5</formula1>
    </dataValidation>
  </dataValidations>
  <hyperlinks>
    <hyperlink r:id="rId1" ref="F26"/>
    <hyperlink r:id="rId2" ref="EH26"/>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1" width="12.63"/>
    <col customWidth="1" min="152"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28"/>
      <c r="B1" s="132" t="s">
        <v>288</v>
      </c>
      <c r="C1" s="133"/>
      <c r="D1" s="133"/>
      <c r="E1" s="133"/>
      <c r="F1" s="133"/>
      <c r="G1" s="133"/>
      <c r="H1" s="133"/>
      <c r="I1" s="133"/>
      <c r="J1" s="133"/>
      <c r="K1" s="133"/>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3"/>
      <c r="CH1" s="133"/>
      <c r="CI1" s="133"/>
      <c r="CJ1" s="133"/>
      <c r="CK1" s="133"/>
      <c r="CL1" s="133"/>
      <c r="CM1" s="133"/>
      <c r="CN1" s="133"/>
      <c r="CO1" s="133"/>
      <c r="CP1" s="133"/>
      <c r="CQ1" s="133"/>
      <c r="CR1" s="133"/>
      <c r="CS1" s="133"/>
      <c r="CT1" s="133"/>
      <c r="CU1" s="133"/>
      <c r="CV1" s="133"/>
      <c r="CW1" s="133"/>
      <c r="CX1" s="133"/>
      <c r="CY1" s="133"/>
      <c r="CZ1" s="133"/>
      <c r="DA1" s="133"/>
      <c r="DB1" s="133"/>
      <c r="DC1" s="133"/>
      <c r="DD1" s="133"/>
      <c r="DE1" s="133"/>
      <c r="DF1" s="133"/>
      <c r="DG1" s="133"/>
      <c r="DH1" s="133"/>
      <c r="DI1" s="133"/>
      <c r="DJ1" s="133"/>
      <c r="DK1" s="133"/>
      <c r="DL1" s="133"/>
      <c r="DM1" s="133"/>
      <c r="DN1" s="133"/>
      <c r="DO1" s="133"/>
      <c r="DP1" s="133"/>
      <c r="DQ1" s="133"/>
      <c r="DR1" s="133"/>
      <c r="DS1" s="133"/>
      <c r="DT1" s="133"/>
      <c r="DU1" s="133"/>
      <c r="DV1" s="133"/>
      <c r="DW1" s="133"/>
      <c r="DX1" s="133"/>
      <c r="DY1" s="133"/>
      <c r="DZ1" s="133"/>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3"/>
      <c r="FG1" s="133"/>
    </row>
    <row r="2">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135"/>
      <c r="DZ2" s="28"/>
      <c r="EA2" s="136"/>
      <c r="EB2" s="136"/>
      <c r="EC2" s="136"/>
      <c r="ED2" s="136"/>
      <c r="EE2" s="136"/>
      <c r="EF2" s="136"/>
      <c r="EG2" s="136"/>
      <c r="EH2" s="136"/>
      <c r="EI2" s="136"/>
      <c r="EJ2" s="136"/>
      <c r="EK2" s="136"/>
      <c r="EL2" s="136"/>
      <c r="EM2" s="136"/>
      <c r="EN2" s="136"/>
      <c r="EO2" s="136"/>
      <c r="EP2" s="136"/>
      <c r="EQ2" s="136"/>
      <c r="ER2" s="136"/>
      <c r="ES2" s="136"/>
      <c r="ET2" s="136"/>
      <c r="EU2" s="136"/>
      <c r="EV2" s="136"/>
      <c r="EW2" s="136"/>
      <c r="EX2" s="136"/>
      <c r="EY2" s="136"/>
      <c r="EZ2" s="136"/>
      <c r="FA2" s="136"/>
      <c r="FB2" s="136"/>
      <c r="FC2" s="136"/>
      <c r="FD2" s="136"/>
      <c r="FE2" s="136"/>
      <c r="FF2" s="28"/>
      <c r="FG2" s="28"/>
    </row>
    <row r="3">
      <c r="A3" s="137"/>
      <c r="B3" s="138" t="s">
        <v>168</v>
      </c>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c r="AZ3" s="135"/>
      <c r="BA3" s="135"/>
      <c r="BB3" s="135"/>
      <c r="BC3" s="135"/>
      <c r="BD3" s="135"/>
      <c r="BE3" s="135"/>
      <c r="BF3" s="135"/>
      <c r="BG3" s="135"/>
      <c r="BH3" s="135"/>
      <c r="BI3" s="135"/>
      <c r="BJ3" s="135"/>
      <c r="BK3" s="135"/>
      <c r="BL3" s="135"/>
      <c r="BM3" s="135"/>
      <c r="BN3" s="135"/>
      <c r="BO3" s="135"/>
      <c r="BP3" s="135"/>
      <c r="BQ3" s="135"/>
      <c r="BR3" s="135"/>
      <c r="BS3" s="135"/>
      <c r="BT3" s="135"/>
      <c r="BU3" s="135"/>
      <c r="BV3" s="135"/>
      <c r="BW3" s="135"/>
      <c r="BX3" s="135"/>
      <c r="BY3" s="135"/>
      <c r="BZ3" s="135"/>
      <c r="CA3" s="135"/>
      <c r="CB3" s="135"/>
      <c r="CC3" s="135"/>
      <c r="CD3" s="135"/>
      <c r="CE3" s="135"/>
      <c r="CF3" s="135"/>
      <c r="CG3" s="135"/>
      <c r="CH3" s="135"/>
      <c r="CI3" s="135"/>
      <c r="CJ3" s="135"/>
      <c r="CK3" s="135"/>
      <c r="CL3" s="135"/>
      <c r="CM3" s="135"/>
      <c r="CN3" s="135"/>
      <c r="CO3" s="135"/>
      <c r="CP3" s="135"/>
      <c r="CQ3" s="135"/>
      <c r="CR3" s="135"/>
      <c r="CS3" s="135"/>
      <c r="CT3" s="135"/>
      <c r="CU3" s="135"/>
      <c r="CV3" s="135"/>
      <c r="CW3" s="135"/>
      <c r="CX3" s="135"/>
      <c r="CY3" s="135"/>
      <c r="CZ3" s="135"/>
      <c r="DA3" s="135"/>
      <c r="DB3" s="135"/>
      <c r="DC3" s="135"/>
      <c r="DD3" s="135"/>
      <c r="DE3" s="135"/>
      <c r="DF3" s="135"/>
      <c r="DG3" s="135"/>
      <c r="DH3" s="135"/>
      <c r="DI3" s="135"/>
      <c r="DJ3" s="135"/>
      <c r="DK3" s="135"/>
      <c r="DL3" s="135"/>
      <c r="DM3" s="135"/>
      <c r="DN3" s="135"/>
      <c r="DO3" s="135"/>
      <c r="DP3" s="135"/>
      <c r="DQ3" s="135"/>
      <c r="DR3" s="135"/>
      <c r="DS3" s="135"/>
      <c r="DT3" s="135"/>
      <c r="DU3" s="135"/>
      <c r="DV3" s="135"/>
      <c r="DW3" s="135"/>
      <c r="DX3" s="135"/>
      <c r="DY3" s="135"/>
      <c r="DZ3" s="135"/>
      <c r="EA3" s="139"/>
      <c r="EB3" s="139"/>
      <c r="EC3" s="139"/>
      <c r="ED3" s="139"/>
      <c r="EE3" s="139"/>
      <c r="EF3" s="139"/>
      <c r="EG3" s="139"/>
      <c r="EH3" s="139"/>
      <c r="EI3" s="139"/>
      <c r="EJ3" s="139"/>
      <c r="EK3" s="139"/>
      <c r="EL3" s="139"/>
      <c r="EM3" s="139"/>
      <c r="EN3" s="139"/>
      <c r="EO3" s="139"/>
      <c r="EP3" s="139"/>
      <c r="EQ3" s="139"/>
      <c r="ER3" s="139"/>
      <c r="ES3" s="139"/>
      <c r="ET3" s="139"/>
      <c r="EU3" s="139"/>
      <c r="EV3" s="139"/>
      <c r="EW3" s="139"/>
      <c r="EX3" s="139"/>
      <c r="EY3" s="139"/>
      <c r="EZ3" s="139"/>
      <c r="FA3" s="139"/>
      <c r="FB3" s="139"/>
      <c r="FC3" s="139"/>
      <c r="FD3" s="139"/>
      <c r="FE3" s="139"/>
      <c r="FF3" s="135"/>
      <c r="FG3" s="135"/>
    </row>
    <row r="4">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135"/>
      <c r="DZ4" s="140"/>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c r="FC4" s="141"/>
      <c r="FD4" s="141"/>
      <c r="FE4" s="141"/>
      <c r="FF4" s="140"/>
      <c r="FG4" s="140"/>
    </row>
    <row r="5">
      <c r="A5" s="28"/>
      <c r="B5" s="142" t="s">
        <v>169</v>
      </c>
      <c r="C5" s="143"/>
      <c r="D5" s="144"/>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135"/>
      <c r="DZ5" s="140"/>
      <c r="EA5" s="141"/>
      <c r="EB5" s="141"/>
      <c r="EC5" s="141"/>
      <c r="ED5" s="141"/>
      <c r="EE5" s="141"/>
      <c r="EF5" s="141"/>
      <c r="EG5" s="141"/>
      <c r="EH5" s="141"/>
      <c r="EI5" s="141"/>
      <c r="EJ5" s="141"/>
      <c r="EK5" s="141"/>
      <c r="EL5" s="141"/>
      <c r="EM5" s="141"/>
      <c r="EN5" s="141"/>
      <c r="EO5" s="141"/>
      <c r="EP5" s="141"/>
      <c r="EQ5" s="141"/>
      <c r="ER5" s="141"/>
      <c r="ES5" s="141"/>
      <c r="ET5" s="141"/>
      <c r="EU5" s="141"/>
      <c r="EV5" s="141"/>
      <c r="EW5" s="141"/>
      <c r="EX5" s="141"/>
      <c r="EY5" s="141"/>
      <c r="EZ5" s="141"/>
      <c r="FA5" s="141"/>
      <c r="FB5" s="141"/>
      <c r="FC5" s="141"/>
      <c r="FD5" s="141"/>
      <c r="FE5" s="141"/>
      <c r="FF5" s="140"/>
      <c r="FG5" s="140"/>
    </row>
    <row r="6">
      <c r="A6" s="28"/>
      <c r="B6" s="145" t="s">
        <v>289</v>
      </c>
      <c r="C6" s="146"/>
      <c r="D6" s="146"/>
      <c r="E6" s="146"/>
      <c r="F6" s="146"/>
      <c r="G6" s="146"/>
      <c r="H6" s="146"/>
      <c r="I6" s="146"/>
      <c r="J6" s="146"/>
      <c r="K6" s="146"/>
      <c r="L6" s="146"/>
      <c r="M6" s="146"/>
      <c r="N6" s="146"/>
      <c r="O6" s="146"/>
      <c r="P6" s="146"/>
      <c r="Q6" s="147"/>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135"/>
      <c r="DZ6" s="140"/>
      <c r="EA6" s="141"/>
      <c r="EB6" s="141"/>
      <c r="EC6" s="141"/>
      <c r="ED6" s="141"/>
      <c r="EE6" s="141"/>
      <c r="EF6" s="141"/>
      <c r="EG6" s="141"/>
      <c r="EH6" s="141"/>
      <c r="EI6" s="141"/>
      <c r="EJ6" s="141"/>
      <c r="EK6" s="141"/>
      <c r="EL6" s="141"/>
      <c r="EM6" s="141"/>
      <c r="EN6" s="141"/>
      <c r="EO6" s="141"/>
      <c r="EP6" s="141"/>
      <c r="EQ6" s="141"/>
      <c r="ER6" s="141"/>
      <c r="ES6" s="141"/>
      <c r="ET6" s="141"/>
      <c r="EU6" s="141"/>
      <c r="EV6" s="141"/>
      <c r="EW6" s="141"/>
      <c r="EX6" s="141"/>
      <c r="EY6" s="141"/>
      <c r="EZ6" s="141"/>
      <c r="FA6" s="141"/>
      <c r="FB6" s="141"/>
      <c r="FC6" s="141"/>
      <c r="FD6" s="141"/>
      <c r="FE6" s="141"/>
      <c r="FF6" s="140"/>
      <c r="FG6" s="140"/>
    </row>
    <row r="7">
      <c r="A7" s="28"/>
      <c r="B7" s="148"/>
      <c r="Q7" s="149"/>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135"/>
      <c r="DZ7" s="140"/>
      <c r="EA7" s="141"/>
      <c r="EB7" s="141"/>
      <c r="EC7" s="141"/>
      <c r="ED7" s="141"/>
      <c r="EE7" s="141"/>
      <c r="EF7" s="141"/>
      <c r="EG7" s="141"/>
      <c r="EH7" s="141"/>
      <c r="EI7" s="141"/>
      <c r="EJ7" s="141"/>
      <c r="EK7" s="141"/>
      <c r="EL7" s="141"/>
      <c r="EM7" s="141"/>
      <c r="EN7" s="141"/>
      <c r="EO7" s="141"/>
      <c r="EP7" s="141"/>
      <c r="EQ7" s="141"/>
      <c r="ER7" s="141"/>
      <c r="ES7" s="141"/>
      <c r="ET7" s="141"/>
      <c r="EU7" s="141"/>
      <c r="EV7" s="141"/>
      <c r="EW7" s="141"/>
      <c r="EX7" s="141"/>
      <c r="EY7" s="141"/>
      <c r="EZ7" s="141"/>
      <c r="FA7" s="141"/>
      <c r="FB7" s="141"/>
      <c r="FC7" s="141"/>
      <c r="FD7" s="141"/>
      <c r="FE7" s="141"/>
      <c r="FF7" s="140"/>
      <c r="FG7" s="140"/>
    </row>
    <row r="8">
      <c r="A8" s="28"/>
      <c r="B8" s="150"/>
      <c r="C8" s="151"/>
      <c r="D8" s="151"/>
      <c r="E8" s="151"/>
      <c r="F8" s="151"/>
      <c r="G8" s="151"/>
      <c r="H8" s="151"/>
      <c r="I8" s="151"/>
      <c r="J8" s="151"/>
      <c r="K8" s="151"/>
      <c r="L8" s="151"/>
      <c r="M8" s="151"/>
      <c r="N8" s="151"/>
      <c r="O8" s="151"/>
      <c r="P8" s="151"/>
      <c r="Q8" s="152"/>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135"/>
      <c r="DZ8" s="140"/>
      <c r="EA8" s="141"/>
      <c r="EB8" s="141"/>
      <c r="EC8" s="141"/>
      <c r="ED8" s="141"/>
      <c r="EE8" s="141"/>
      <c r="EF8" s="141"/>
      <c r="EG8" s="141"/>
      <c r="EH8" s="141"/>
      <c r="EI8" s="141"/>
      <c r="EJ8" s="141"/>
      <c r="EK8" s="141"/>
      <c r="EL8" s="141"/>
      <c r="EM8" s="141"/>
      <c r="EN8" s="141"/>
      <c r="EO8" s="141"/>
      <c r="EP8" s="141"/>
      <c r="EQ8" s="141"/>
      <c r="ER8" s="141"/>
      <c r="ES8" s="141"/>
      <c r="ET8" s="141"/>
      <c r="EU8" s="141"/>
      <c r="EV8" s="141"/>
      <c r="EW8" s="141"/>
      <c r="EX8" s="141"/>
      <c r="EY8" s="141"/>
      <c r="EZ8" s="141"/>
      <c r="FA8" s="141"/>
      <c r="FB8" s="141"/>
      <c r="FC8" s="141"/>
      <c r="FD8" s="141"/>
      <c r="FE8" s="141"/>
      <c r="FF8" s="140"/>
      <c r="FG8" s="140"/>
    </row>
    <row r="9">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135"/>
      <c r="DZ9" s="140"/>
      <c r="EA9" s="141"/>
      <c r="EB9" s="141"/>
      <c r="EC9" s="141"/>
      <c r="ED9" s="141"/>
      <c r="EE9" s="141"/>
      <c r="EF9" s="141"/>
      <c r="EG9" s="141"/>
      <c r="EH9" s="141"/>
      <c r="EI9" s="141"/>
      <c r="EJ9" s="141"/>
      <c r="EK9" s="141"/>
      <c r="EL9" s="141"/>
      <c r="EM9" s="141"/>
      <c r="EN9" s="141"/>
      <c r="EO9" s="141"/>
      <c r="EP9" s="141"/>
      <c r="EQ9" s="141"/>
      <c r="ER9" s="141"/>
      <c r="ES9" s="141"/>
      <c r="ET9" s="141"/>
      <c r="EU9" s="141"/>
      <c r="EV9" s="141"/>
      <c r="EW9" s="141"/>
      <c r="EX9" s="141"/>
      <c r="EY9" s="141"/>
      <c r="EZ9" s="141"/>
      <c r="FA9" s="141"/>
      <c r="FB9" s="141"/>
      <c r="FC9" s="141"/>
      <c r="FD9" s="141"/>
      <c r="FE9" s="141"/>
      <c r="FF9" s="140"/>
      <c r="FG9" s="140"/>
    </row>
    <row r="10">
      <c r="A10" s="28"/>
      <c r="B10" s="153" t="s">
        <v>171</v>
      </c>
      <c r="C10" s="154"/>
      <c r="D10" s="154"/>
      <c r="E10" s="154"/>
      <c r="F10" s="155"/>
      <c r="G10" s="28"/>
      <c r="H10" s="28"/>
      <c r="I10" s="28"/>
      <c r="J10" s="28"/>
      <c r="K10" s="28"/>
      <c r="L10" s="28"/>
      <c r="M10" s="28"/>
      <c r="N10" s="28"/>
      <c r="O10" s="28"/>
      <c r="P10" s="28"/>
      <c r="Q10" s="28"/>
      <c r="R10" s="28"/>
      <c r="S10" s="28"/>
      <c r="T10" s="28"/>
      <c r="U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135"/>
      <c r="DZ10" s="140"/>
      <c r="EA10" s="141"/>
      <c r="EB10" s="141"/>
      <c r="EC10" s="141"/>
      <c r="ED10" s="141"/>
      <c r="EE10" s="141"/>
      <c r="EF10" s="141"/>
      <c r="EG10" s="141"/>
      <c r="EH10" s="141"/>
      <c r="EI10" s="141"/>
      <c r="EJ10" s="141"/>
      <c r="EK10" s="141"/>
      <c r="EL10" s="141"/>
      <c r="EM10" s="141"/>
      <c r="EN10" s="141"/>
      <c r="EO10" s="141"/>
      <c r="EP10" s="141"/>
      <c r="EQ10" s="141"/>
      <c r="ER10" s="141"/>
      <c r="ES10" s="141"/>
      <c r="ET10" s="141"/>
      <c r="EU10" s="141"/>
      <c r="EV10" s="141"/>
      <c r="EW10" s="141"/>
      <c r="EX10" s="141"/>
      <c r="EY10" s="141"/>
      <c r="EZ10" s="141"/>
      <c r="FA10" s="141"/>
      <c r="FB10" s="141"/>
      <c r="FC10" s="141"/>
      <c r="FD10" s="141"/>
      <c r="FE10" s="141"/>
      <c r="FF10" s="140"/>
      <c r="FG10" s="140"/>
    </row>
    <row r="11">
      <c r="A11" s="28"/>
      <c r="B11" s="156" t="s">
        <v>172</v>
      </c>
      <c r="C11" s="154"/>
      <c r="D11" s="154"/>
      <c r="E11" s="154"/>
      <c r="F11" s="155"/>
      <c r="G11" s="28"/>
      <c r="H11" s="28"/>
      <c r="I11" s="28"/>
      <c r="J11" s="28"/>
      <c r="K11" s="28"/>
      <c r="L11" s="28"/>
      <c r="M11" s="28"/>
      <c r="N11" s="28"/>
      <c r="O11" s="28"/>
      <c r="P11" s="28"/>
      <c r="Q11" s="28"/>
      <c r="R11" s="28"/>
      <c r="S11" s="28"/>
      <c r="T11" s="28"/>
      <c r="U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135"/>
      <c r="DZ11" s="140"/>
      <c r="EA11" s="141"/>
      <c r="EB11" s="141"/>
      <c r="EC11" s="141"/>
      <c r="ED11" s="141"/>
      <c r="EE11" s="141"/>
      <c r="EF11" s="141"/>
      <c r="EG11" s="141"/>
      <c r="EH11" s="141"/>
      <c r="EI11" s="141"/>
      <c r="EJ11" s="141"/>
      <c r="EK11" s="141"/>
      <c r="EL11" s="141"/>
      <c r="EM11" s="141"/>
      <c r="EN11" s="141"/>
      <c r="EO11" s="141"/>
      <c r="EP11" s="141"/>
      <c r="EQ11" s="141"/>
      <c r="ER11" s="141"/>
      <c r="ES11" s="141"/>
      <c r="ET11" s="141"/>
      <c r="EU11" s="141"/>
      <c r="EV11" s="141"/>
      <c r="EW11" s="141"/>
      <c r="EX11" s="141"/>
      <c r="EY11" s="141"/>
      <c r="EZ11" s="141"/>
      <c r="FA11" s="141"/>
      <c r="FB11" s="141"/>
      <c r="FC11" s="141"/>
      <c r="FD11" s="141"/>
      <c r="FE11" s="141"/>
      <c r="FF11" s="140"/>
      <c r="FG11" s="140"/>
    </row>
    <row r="12">
      <c r="A12" s="28"/>
      <c r="B12" s="28"/>
      <c r="C12" s="28"/>
      <c r="D12" s="28"/>
      <c r="E12" s="157" t="s">
        <v>173</v>
      </c>
      <c r="F12" s="28"/>
      <c r="G12" s="28"/>
      <c r="I12" s="28"/>
      <c r="J12" s="28"/>
      <c r="K12" s="157" t="s">
        <v>174</v>
      </c>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135"/>
      <c r="DZ12" s="140"/>
      <c r="EA12" s="141"/>
      <c r="EB12" s="141"/>
      <c r="EC12" s="141"/>
      <c r="ED12" s="141"/>
      <c r="EE12" s="141"/>
      <c r="EF12" s="141"/>
      <c r="EG12" s="141"/>
      <c r="EH12" s="141"/>
      <c r="EI12" s="141"/>
      <c r="EJ12" s="141"/>
      <c r="EK12" s="141"/>
      <c r="EL12" s="141"/>
      <c r="EM12" s="141"/>
      <c r="EN12" s="141"/>
      <c r="EO12" s="141"/>
      <c r="EP12" s="141"/>
      <c r="EQ12" s="141"/>
      <c r="ER12" s="141"/>
      <c r="ES12" s="141"/>
      <c r="ET12" s="141"/>
      <c r="EU12" s="141"/>
      <c r="EV12" s="141"/>
      <c r="EW12" s="141"/>
      <c r="EX12" s="141"/>
      <c r="EY12" s="141"/>
      <c r="EZ12" s="141"/>
      <c r="FA12" s="141"/>
      <c r="FB12" s="141"/>
      <c r="FC12" s="141"/>
      <c r="FD12" s="141"/>
      <c r="FE12" s="141"/>
      <c r="FF12" s="140"/>
      <c r="FG12" s="140"/>
    </row>
    <row r="13">
      <c r="A13" s="28"/>
      <c r="B13" s="158" t="s">
        <v>175</v>
      </c>
      <c r="C13" s="159"/>
      <c r="D13" s="159"/>
      <c r="E13" s="158" t="s">
        <v>176</v>
      </c>
      <c r="F13" s="154"/>
      <c r="G13" s="154"/>
      <c r="H13" s="158" t="s">
        <v>177</v>
      </c>
      <c r="I13" s="159"/>
      <c r="J13" s="159"/>
      <c r="K13" s="158" t="s">
        <v>178</v>
      </c>
      <c r="L13" s="159"/>
      <c r="M13" s="160"/>
      <c r="N13" s="161" t="s">
        <v>179</v>
      </c>
      <c r="O13" s="146"/>
      <c r="P13" s="147"/>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135"/>
      <c r="DZ13" s="140"/>
      <c r="EA13" s="141"/>
      <c r="EB13" s="141"/>
      <c r="EC13" s="141"/>
      <c r="ED13" s="141"/>
      <c r="EE13" s="141"/>
      <c r="EF13" s="141"/>
      <c r="EG13" s="141"/>
      <c r="EH13" s="141"/>
      <c r="EI13" s="141"/>
      <c r="EJ13" s="141"/>
      <c r="EK13" s="141"/>
      <c r="EL13" s="141"/>
      <c r="EM13" s="141"/>
      <c r="EN13" s="141"/>
      <c r="EO13" s="141"/>
      <c r="EP13" s="141"/>
      <c r="EQ13" s="141"/>
      <c r="ER13" s="141"/>
      <c r="ES13" s="141"/>
      <c r="ET13" s="141"/>
      <c r="EU13" s="141"/>
      <c r="EV13" s="141"/>
      <c r="EW13" s="141"/>
      <c r="EX13" s="141"/>
      <c r="EY13" s="141"/>
      <c r="EZ13" s="141"/>
      <c r="FA13" s="141"/>
      <c r="FB13" s="141"/>
      <c r="FC13" s="141"/>
      <c r="FD13" s="141"/>
      <c r="FE13" s="141"/>
      <c r="FF13" s="140"/>
      <c r="FG13" s="140"/>
    </row>
    <row r="14">
      <c r="A14" s="28"/>
      <c r="B14" s="162" t="s">
        <v>180</v>
      </c>
      <c r="C14" s="163"/>
      <c r="D14" s="164"/>
      <c r="E14" s="165" t="s">
        <v>181</v>
      </c>
      <c r="F14" s="163"/>
      <c r="G14" s="164"/>
      <c r="H14" s="165" t="s">
        <v>181</v>
      </c>
      <c r="I14" s="163"/>
      <c r="J14" s="164"/>
      <c r="K14" s="165">
        <v>1000.0</v>
      </c>
      <c r="L14" s="163"/>
      <c r="M14" s="164"/>
      <c r="N14" s="166" t="s">
        <v>181</v>
      </c>
      <c r="O14" s="167"/>
      <c r="P14" s="16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135"/>
      <c r="DZ14" s="140"/>
      <c r="EA14" s="141"/>
      <c r="EB14" s="141"/>
      <c r="EC14" s="141"/>
      <c r="ED14" s="141"/>
      <c r="EE14" s="141"/>
      <c r="EF14" s="141"/>
      <c r="EG14" s="141"/>
      <c r="EH14" s="141"/>
      <c r="EI14" s="141"/>
      <c r="EJ14" s="141"/>
      <c r="EK14" s="141"/>
      <c r="EL14" s="141"/>
      <c r="EM14" s="141"/>
      <c r="EN14" s="141"/>
      <c r="EO14" s="141"/>
      <c r="EP14" s="141"/>
      <c r="EQ14" s="141"/>
      <c r="ER14" s="141"/>
      <c r="ES14" s="141"/>
      <c r="ET14" s="141"/>
      <c r="EU14" s="141"/>
      <c r="EV14" s="141"/>
      <c r="EW14" s="141"/>
      <c r="EX14" s="141"/>
      <c r="EY14" s="141"/>
      <c r="EZ14" s="141"/>
      <c r="FA14" s="141"/>
      <c r="FB14" s="141"/>
      <c r="FC14" s="141"/>
      <c r="FD14" s="141"/>
      <c r="FE14" s="141"/>
      <c r="FF14" s="140"/>
      <c r="FG14" s="140"/>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135"/>
      <c r="DZ15" s="140"/>
      <c r="EA15" s="141"/>
      <c r="EB15" s="141"/>
      <c r="EC15" s="141"/>
      <c r="ED15" s="141"/>
      <c r="EE15" s="141"/>
      <c r="EF15" s="141"/>
      <c r="EG15" s="141"/>
      <c r="EH15" s="141"/>
      <c r="EI15" s="141"/>
      <c r="EJ15" s="141"/>
      <c r="EK15" s="141"/>
      <c r="EL15" s="141"/>
      <c r="EM15" s="141"/>
      <c r="EN15" s="141"/>
      <c r="EO15" s="141"/>
      <c r="EP15" s="141"/>
      <c r="EQ15" s="141"/>
      <c r="ER15" s="141"/>
      <c r="ES15" s="141"/>
      <c r="ET15" s="141"/>
      <c r="EU15" s="141"/>
      <c r="EV15" s="141"/>
      <c r="EW15" s="141"/>
      <c r="EX15" s="141"/>
      <c r="EY15" s="141"/>
      <c r="EZ15" s="141"/>
      <c r="FA15" s="141"/>
      <c r="FB15" s="141"/>
      <c r="FC15" s="141"/>
      <c r="FD15" s="141"/>
      <c r="FE15" s="141"/>
      <c r="FF15" s="140"/>
      <c r="FG15" s="140"/>
    </row>
    <row r="16">
      <c r="A16" s="137"/>
      <c r="B16" s="138" t="s">
        <v>182</v>
      </c>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c r="AV16" s="135"/>
      <c r="AW16" s="135"/>
      <c r="AX16" s="135"/>
      <c r="AY16" s="135"/>
      <c r="AZ16" s="135"/>
      <c r="BA16" s="135"/>
      <c r="BB16" s="135"/>
      <c r="BC16" s="135"/>
      <c r="BD16" s="135"/>
      <c r="BE16" s="135"/>
      <c r="BF16" s="135"/>
      <c r="BG16" s="135"/>
      <c r="BH16" s="135"/>
      <c r="BI16" s="135"/>
      <c r="BJ16" s="135"/>
      <c r="BK16" s="135"/>
      <c r="BL16" s="135"/>
      <c r="BM16" s="135"/>
      <c r="BN16" s="135"/>
      <c r="BO16" s="135"/>
      <c r="BP16" s="135"/>
      <c r="BQ16" s="135"/>
      <c r="BR16" s="135"/>
      <c r="BS16" s="135"/>
      <c r="BT16" s="135"/>
      <c r="BU16" s="135"/>
      <c r="BV16" s="135"/>
      <c r="BW16" s="135"/>
      <c r="BX16" s="135"/>
      <c r="BY16" s="135"/>
      <c r="BZ16" s="135"/>
      <c r="CA16" s="135"/>
      <c r="CB16" s="135"/>
      <c r="CC16" s="135"/>
      <c r="CD16" s="135"/>
      <c r="CE16" s="135"/>
      <c r="CF16" s="135"/>
      <c r="CG16" s="135"/>
      <c r="CH16" s="135"/>
      <c r="CI16" s="135"/>
      <c r="CJ16" s="135"/>
      <c r="CK16" s="135"/>
      <c r="CL16" s="135"/>
      <c r="CM16" s="135"/>
      <c r="CN16" s="135"/>
      <c r="CO16" s="135"/>
      <c r="CP16" s="135"/>
      <c r="CQ16" s="135"/>
      <c r="CR16" s="135"/>
      <c r="CS16" s="135"/>
      <c r="CT16" s="135"/>
      <c r="CU16" s="135"/>
      <c r="CV16" s="135"/>
      <c r="CW16" s="135"/>
      <c r="CX16" s="135"/>
      <c r="CY16" s="135"/>
      <c r="CZ16" s="135"/>
      <c r="DA16" s="135"/>
      <c r="DB16" s="135"/>
      <c r="DC16" s="135"/>
      <c r="DD16" s="135"/>
      <c r="DE16" s="135"/>
      <c r="DF16" s="135"/>
      <c r="DG16" s="135"/>
      <c r="DH16" s="135"/>
      <c r="DI16" s="135"/>
      <c r="DJ16" s="135"/>
      <c r="DK16" s="135"/>
      <c r="DL16" s="135"/>
      <c r="DM16" s="135"/>
      <c r="DN16" s="135"/>
      <c r="DO16" s="135"/>
      <c r="DP16" s="135"/>
      <c r="DQ16" s="135"/>
      <c r="DR16" s="135"/>
      <c r="DS16" s="135"/>
      <c r="DT16" s="135"/>
      <c r="DU16" s="135"/>
      <c r="DV16" s="135"/>
      <c r="DW16" s="135"/>
      <c r="DX16" s="135"/>
      <c r="DY16" s="135"/>
      <c r="DZ16" s="140"/>
      <c r="EA16" s="141"/>
      <c r="EB16" s="141"/>
      <c r="EC16" s="141"/>
      <c r="ED16" s="141"/>
      <c r="EE16" s="141"/>
      <c r="EF16" s="141"/>
      <c r="EG16" s="141"/>
      <c r="EH16" s="141"/>
      <c r="EI16" s="141"/>
      <c r="EJ16" s="141"/>
      <c r="EK16" s="141"/>
      <c r="EL16" s="141"/>
      <c r="EM16" s="141"/>
      <c r="EN16" s="141"/>
      <c r="EO16" s="141"/>
      <c r="EP16" s="141"/>
      <c r="EQ16" s="141"/>
      <c r="ER16" s="141"/>
      <c r="ES16" s="141"/>
      <c r="ET16" s="141"/>
      <c r="EU16" s="141"/>
      <c r="EV16" s="141"/>
      <c r="EW16" s="141"/>
      <c r="EX16" s="141"/>
      <c r="EY16" s="141"/>
      <c r="EZ16" s="141"/>
      <c r="FA16" s="141"/>
      <c r="FB16" s="141"/>
      <c r="FC16" s="141"/>
      <c r="FD16" s="141"/>
      <c r="FE16" s="141"/>
      <c r="FF16" s="140"/>
      <c r="FG16" s="140"/>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135"/>
      <c r="DZ17" s="140"/>
      <c r="EA17" s="141"/>
      <c r="EB17" s="141"/>
      <c r="EC17" s="141"/>
      <c r="ED17" s="141"/>
      <c r="EE17" s="141"/>
      <c r="EF17" s="141"/>
      <c r="EG17" s="141"/>
      <c r="EH17" s="141"/>
      <c r="EI17" s="141"/>
      <c r="EJ17" s="141"/>
      <c r="EK17" s="141"/>
      <c r="EL17" s="141"/>
      <c r="EM17" s="141"/>
      <c r="EN17" s="141"/>
      <c r="EO17" s="141"/>
      <c r="EP17" s="141"/>
      <c r="EQ17" s="141"/>
      <c r="ER17" s="141"/>
      <c r="ES17" s="141"/>
      <c r="ET17" s="141"/>
      <c r="EU17" s="141"/>
      <c r="EV17" s="141"/>
      <c r="EW17" s="141"/>
      <c r="EX17" s="141"/>
      <c r="EY17" s="141"/>
      <c r="EZ17" s="141"/>
      <c r="FA17" s="141"/>
      <c r="FB17" s="141"/>
      <c r="FC17" s="141"/>
      <c r="FD17" s="141"/>
      <c r="FE17" s="141"/>
      <c r="FF17" s="140"/>
      <c r="FG17" s="140"/>
    </row>
    <row r="18">
      <c r="A18" s="169"/>
      <c r="B18" s="170" t="s">
        <v>183</v>
      </c>
      <c r="C18" s="155"/>
      <c r="D18" s="170" t="s">
        <v>184</v>
      </c>
      <c r="E18" s="154"/>
      <c r="F18" s="170" t="s">
        <v>185</v>
      </c>
      <c r="G18" s="155"/>
      <c r="H18" s="170" t="s">
        <v>186</v>
      </c>
      <c r="I18" s="154"/>
      <c r="J18" s="170" t="s">
        <v>187</v>
      </c>
      <c r="K18" s="154"/>
      <c r="L18" s="170" t="s">
        <v>188</v>
      </c>
      <c r="M18" s="154"/>
      <c r="N18" s="170" t="s">
        <v>189</v>
      </c>
      <c r="O18" s="154"/>
      <c r="P18" s="171" t="s">
        <v>190</v>
      </c>
      <c r="Q18" s="154"/>
      <c r="R18" s="28"/>
      <c r="S18" s="28"/>
      <c r="T18" s="110"/>
      <c r="U18" s="158" t="s">
        <v>191</v>
      </c>
      <c r="V18" s="154"/>
      <c r="W18" s="154"/>
      <c r="X18" s="154"/>
      <c r="Y18" s="154"/>
      <c r="Z18" s="158" t="s">
        <v>192</v>
      </c>
      <c r="AA18" s="154"/>
      <c r="AB18" s="158" t="s">
        <v>193</v>
      </c>
      <c r="AC18" s="154"/>
      <c r="AD18" s="172" t="s">
        <v>194</v>
      </c>
      <c r="AE18" s="154"/>
      <c r="AF18" s="154"/>
      <c r="AG18" s="154"/>
      <c r="AH18" s="154"/>
      <c r="AI18" s="172" t="s">
        <v>192</v>
      </c>
      <c r="AJ18" s="154"/>
      <c r="AK18" s="172" t="s">
        <v>193</v>
      </c>
      <c r="AL18" s="154"/>
      <c r="AM18" s="173" t="s">
        <v>195</v>
      </c>
      <c r="AN18" s="154"/>
      <c r="AO18" s="154"/>
      <c r="AP18" s="154"/>
      <c r="AQ18" s="154"/>
      <c r="AR18" s="173" t="s">
        <v>192</v>
      </c>
      <c r="AS18" s="154"/>
      <c r="AT18" s="173" t="s">
        <v>193</v>
      </c>
      <c r="AU18" s="154"/>
      <c r="AV18" s="174" t="s">
        <v>196</v>
      </c>
      <c r="AW18" s="154"/>
      <c r="AX18" s="154"/>
      <c r="AY18" s="154"/>
      <c r="AZ18" s="154"/>
      <c r="BA18" s="175" t="s">
        <v>192</v>
      </c>
      <c r="BB18" s="154"/>
      <c r="BC18" s="175" t="s">
        <v>193</v>
      </c>
      <c r="BD18" s="154"/>
      <c r="BE18" s="169"/>
      <c r="BF18" s="169"/>
      <c r="BG18" s="169"/>
      <c r="BH18" s="169"/>
      <c r="BI18" s="169"/>
      <c r="BJ18" s="169"/>
      <c r="BK18" s="169"/>
      <c r="BL18" s="169"/>
      <c r="BM18" s="169"/>
      <c r="BN18" s="169"/>
      <c r="BO18" s="169"/>
      <c r="BP18" s="169"/>
      <c r="BQ18" s="169"/>
      <c r="BR18" s="169"/>
      <c r="BS18" s="169"/>
      <c r="BT18" s="169"/>
      <c r="BU18" s="169"/>
      <c r="BV18" s="169"/>
      <c r="BW18" s="169"/>
      <c r="BX18" s="169"/>
      <c r="BY18" s="169"/>
      <c r="BZ18" s="169"/>
      <c r="CA18" s="169"/>
      <c r="CB18" s="169"/>
      <c r="CC18" s="169"/>
      <c r="CD18" s="169"/>
      <c r="CE18" s="169"/>
      <c r="CF18" s="169"/>
      <c r="CG18" s="169"/>
      <c r="CH18" s="169"/>
      <c r="CI18" s="169"/>
      <c r="CJ18" s="169"/>
      <c r="CK18" s="169"/>
      <c r="CL18" s="169"/>
      <c r="CM18" s="169"/>
      <c r="CN18" s="169"/>
      <c r="CO18" s="169"/>
      <c r="CP18" s="169"/>
      <c r="CQ18" s="169"/>
      <c r="CR18" s="169"/>
      <c r="CS18" s="169"/>
      <c r="CT18" s="169"/>
      <c r="CU18" s="169"/>
      <c r="CV18" s="169"/>
      <c r="CW18" s="169"/>
      <c r="CX18" s="169"/>
      <c r="CY18" s="169"/>
      <c r="CZ18" s="169"/>
      <c r="DA18" s="169"/>
      <c r="DB18" s="169"/>
      <c r="DC18" s="169"/>
      <c r="DD18" s="169"/>
      <c r="DE18" s="169"/>
      <c r="DF18" s="169"/>
      <c r="DG18" s="169"/>
      <c r="DH18" s="169"/>
      <c r="DI18" s="169"/>
      <c r="DJ18" s="169"/>
      <c r="DK18" s="169"/>
      <c r="DL18" s="169"/>
      <c r="DM18" s="169"/>
      <c r="DN18" s="169"/>
      <c r="DO18" s="169"/>
      <c r="DP18" s="169"/>
      <c r="DQ18" s="169"/>
      <c r="DR18" s="169"/>
      <c r="DS18" s="169"/>
      <c r="DT18" s="169"/>
      <c r="DU18" s="169"/>
      <c r="DV18" s="169"/>
      <c r="DW18" s="169"/>
      <c r="DX18" s="169"/>
      <c r="DY18" s="176"/>
      <c r="DZ18" s="177"/>
      <c r="EA18" s="178"/>
      <c r="EB18" s="178"/>
      <c r="EC18" s="178"/>
      <c r="ED18" s="178"/>
      <c r="EE18" s="178"/>
      <c r="EF18" s="178"/>
      <c r="EG18" s="178"/>
      <c r="EH18" s="178"/>
      <c r="EI18" s="178"/>
      <c r="EJ18" s="178"/>
      <c r="EK18" s="178"/>
      <c r="EL18" s="178"/>
      <c r="EM18" s="178"/>
      <c r="EN18" s="178"/>
      <c r="EO18" s="178"/>
      <c r="EP18" s="178"/>
      <c r="EQ18" s="178"/>
      <c r="ER18" s="178"/>
      <c r="ES18" s="178"/>
      <c r="ET18" s="178"/>
      <c r="EU18" s="178"/>
      <c r="EV18" s="178"/>
      <c r="EW18" s="178"/>
      <c r="EX18" s="178"/>
      <c r="EY18" s="178"/>
      <c r="EZ18" s="178"/>
      <c r="FA18" s="178"/>
      <c r="FB18" s="178"/>
      <c r="FC18" s="178"/>
      <c r="FD18" s="178"/>
      <c r="FE18" s="178"/>
      <c r="FF18" s="177"/>
      <c r="FG18" s="177"/>
    </row>
    <row r="19">
      <c r="A19" s="169"/>
      <c r="B19" s="179" t="s">
        <v>197</v>
      </c>
      <c r="C19" s="155"/>
      <c r="D19" s="180">
        <v>1.0</v>
      </c>
      <c r="E19" s="154"/>
      <c r="F19" s="179" t="str">
        <f>iferror(vlookup(D19,'行パターン'!$A$2:$C46,2,false),"error")</f>
        <v>error</v>
      </c>
      <c r="G19" s="155"/>
      <c r="H19" s="179">
        <v>0.55</v>
      </c>
      <c r="I19" s="155"/>
      <c r="J19" s="179" t="str">
        <f t="array" ref="J19">iferror(INDEX('行パターン'!D:D,MATCH(D19,'行パターン'!A:A,0),0),"error")</f>
        <v>error</v>
      </c>
      <c r="K19" s="155"/>
      <c r="L19" s="179" t="str">
        <f t="array" ref="L19">iferror(if(sum(J19)=1,"none",INDEX('行パターン'!E:E,MATCH($D19,'行パターン'!$A:$A,0),0)),"")</f>
        <v/>
      </c>
      <c r="M19" s="155"/>
      <c r="N19" s="179" t="str">
        <f t="array" ref="N19">iferror(if(sum(J19:M19)=1,"none",INDEX('行パターン'!F:F,MATCH($D19,'行パターン'!$A:$A,0),0)),"")</f>
        <v/>
      </c>
      <c r="O19" s="155"/>
      <c r="P19" s="181" t="str">
        <f t="array" ref="P19">iferror(if(sum(J19:O19)=1,"none",INDEX('行パターン'!G:G,MATCH($D19,'行パターン'!$A:$A,0),0)),"")</f>
        <v/>
      </c>
      <c r="Q19" s="155"/>
      <c r="R19" s="28"/>
      <c r="S19" s="28"/>
      <c r="T19" s="110"/>
      <c r="U19" s="182"/>
      <c r="V19" s="154"/>
      <c r="W19" s="154"/>
      <c r="X19" s="154"/>
      <c r="Y19" s="155"/>
      <c r="Z19" s="183"/>
      <c r="AA19" s="155"/>
      <c r="AB19" s="183"/>
      <c r="AC19" s="155"/>
      <c r="AD19" s="182"/>
      <c r="AE19" s="154"/>
      <c r="AF19" s="154"/>
      <c r="AG19" s="154"/>
      <c r="AH19" s="155"/>
      <c r="AI19" s="183"/>
      <c r="AJ19" s="155"/>
      <c r="AK19" s="183"/>
      <c r="AL19" s="155"/>
      <c r="AM19" s="182"/>
      <c r="AN19" s="154"/>
      <c r="AO19" s="154"/>
      <c r="AP19" s="154"/>
      <c r="AQ19" s="155"/>
      <c r="AR19" s="183"/>
      <c r="AS19" s="155"/>
      <c r="AT19" s="183"/>
      <c r="AU19" s="155"/>
      <c r="AV19" s="182"/>
      <c r="AW19" s="154"/>
      <c r="AX19" s="154"/>
      <c r="AY19" s="154"/>
      <c r="AZ19" s="155"/>
      <c r="BA19" s="183"/>
      <c r="BB19" s="155"/>
      <c r="BC19" s="183"/>
      <c r="BD19" s="155"/>
      <c r="BE19" s="169"/>
      <c r="BF19" s="169"/>
      <c r="BG19" s="169"/>
      <c r="BH19" s="169"/>
      <c r="BI19" s="169"/>
      <c r="BJ19" s="169"/>
      <c r="BK19" s="169"/>
      <c r="BL19" s="169"/>
      <c r="BM19" s="169"/>
      <c r="BN19" s="169"/>
      <c r="BO19" s="169"/>
      <c r="BP19" s="169"/>
      <c r="BQ19" s="169"/>
      <c r="BR19" s="169"/>
      <c r="BS19" s="169"/>
      <c r="BT19" s="169"/>
      <c r="BU19" s="169"/>
      <c r="BV19" s="169"/>
      <c r="BW19" s="169"/>
      <c r="BX19" s="169"/>
      <c r="BY19" s="169"/>
      <c r="BZ19" s="169"/>
      <c r="CA19" s="169"/>
      <c r="CB19" s="169"/>
      <c r="CC19" s="169"/>
      <c r="CD19" s="169"/>
      <c r="CE19" s="169"/>
      <c r="CF19" s="169"/>
      <c r="CG19" s="169"/>
      <c r="CH19" s="169"/>
      <c r="CI19" s="169"/>
      <c r="CJ19" s="169"/>
      <c r="CK19" s="169"/>
      <c r="CL19" s="169"/>
      <c r="CM19" s="169"/>
      <c r="CN19" s="169"/>
      <c r="CO19" s="169"/>
      <c r="CP19" s="169"/>
      <c r="CQ19" s="169"/>
      <c r="CR19" s="169"/>
      <c r="CS19" s="169"/>
      <c r="CT19" s="169"/>
      <c r="CU19" s="169"/>
      <c r="CV19" s="169"/>
      <c r="CW19" s="169"/>
      <c r="CX19" s="169"/>
      <c r="CY19" s="169"/>
      <c r="CZ19" s="169"/>
      <c r="DA19" s="169"/>
      <c r="DB19" s="169"/>
      <c r="DC19" s="169"/>
      <c r="DD19" s="169"/>
      <c r="DE19" s="169"/>
      <c r="DF19" s="169"/>
      <c r="DG19" s="169"/>
      <c r="DH19" s="169"/>
      <c r="DI19" s="169"/>
      <c r="DJ19" s="169"/>
      <c r="DK19" s="169"/>
      <c r="DL19" s="169"/>
      <c r="DM19" s="169"/>
      <c r="DN19" s="169"/>
      <c r="DO19" s="169"/>
      <c r="DP19" s="169"/>
      <c r="DQ19" s="169"/>
      <c r="DR19" s="169"/>
      <c r="DS19" s="169"/>
      <c r="DT19" s="169"/>
      <c r="DU19" s="169"/>
      <c r="DV19" s="169"/>
      <c r="DW19" s="169"/>
      <c r="DX19" s="169"/>
      <c r="DY19" s="176"/>
      <c r="DZ19" s="184"/>
      <c r="EA19" s="185"/>
      <c r="EB19" s="185"/>
      <c r="EC19" s="185"/>
      <c r="ED19" s="185"/>
      <c r="EE19" s="185"/>
      <c r="EF19" s="185"/>
      <c r="EG19" s="185"/>
      <c r="EH19" s="185"/>
      <c r="EI19" s="185"/>
      <c r="EJ19" s="185"/>
      <c r="EK19" s="185"/>
      <c r="EL19" s="185"/>
      <c r="EM19" s="185"/>
      <c r="EN19" s="185"/>
      <c r="EO19" s="185"/>
      <c r="EP19" s="185"/>
      <c r="EQ19" s="185"/>
      <c r="ER19" s="185"/>
      <c r="ES19" s="185"/>
      <c r="ET19" s="185"/>
      <c r="EU19" s="185"/>
      <c r="EV19" s="185"/>
      <c r="EW19" s="185"/>
      <c r="EX19" s="185"/>
      <c r="EY19" s="185"/>
      <c r="EZ19" s="185"/>
      <c r="FA19" s="185"/>
      <c r="FB19" s="185"/>
      <c r="FC19" s="185"/>
      <c r="FD19" s="185"/>
      <c r="FE19" s="185"/>
      <c r="FF19" s="184"/>
      <c r="FG19" s="177"/>
    </row>
    <row r="20">
      <c r="A20" s="28"/>
      <c r="B20" s="186" t="s">
        <v>290</v>
      </c>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135"/>
      <c r="DZ20" s="140"/>
      <c r="EA20" s="141"/>
      <c r="EB20" s="141"/>
      <c r="EC20" s="141"/>
      <c r="ED20" s="141"/>
      <c r="EE20" s="141"/>
      <c r="EF20" s="141"/>
      <c r="EG20" s="141"/>
      <c r="EH20" s="141"/>
      <c r="EI20" s="141"/>
      <c r="EJ20" s="141"/>
      <c r="EK20" s="141"/>
      <c r="EL20" s="141"/>
      <c r="EM20" s="141"/>
      <c r="EN20" s="141"/>
      <c r="EO20" s="141"/>
      <c r="EP20" s="141"/>
      <c r="EQ20" s="141"/>
      <c r="ER20" s="141"/>
      <c r="ES20" s="141"/>
      <c r="ET20" s="141"/>
      <c r="EU20" s="141"/>
      <c r="EV20" s="141"/>
      <c r="EW20" s="141"/>
      <c r="EX20" s="141"/>
      <c r="EY20" s="141"/>
      <c r="EZ20" s="141"/>
      <c r="FA20" s="141"/>
      <c r="FB20" s="141"/>
      <c r="FC20" s="141"/>
      <c r="FD20" s="141"/>
      <c r="FE20" s="141"/>
      <c r="FF20" s="140"/>
      <c r="FG20" s="140"/>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135"/>
      <c r="DZ21" s="140"/>
      <c r="EA21" s="141"/>
      <c r="EB21" s="141"/>
      <c r="EC21" s="141"/>
      <c r="ED21" s="141"/>
      <c r="EE21" s="141"/>
      <c r="EF21" s="141"/>
      <c r="EG21" s="141"/>
      <c r="EH21" s="141"/>
      <c r="EI21" s="141"/>
      <c r="EJ21" s="141"/>
      <c r="EK21" s="141"/>
      <c r="EL21" s="141"/>
      <c r="EM21" s="141"/>
      <c r="EN21" s="141"/>
      <c r="EO21" s="141"/>
      <c r="EP21" s="141"/>
      <c r="EQ21" s="141"/>
      <c r="ER21" s="141"/>
      <c r="ES21" s="141"/>
      <c r="ET21" s="141"/>
      <c r="EU21" s="141"/>
      <c r="EV21" s="141"/>
      <c r="EW21" s="141"/>
      <c r="EX21" s="141"/>
      <c r="EY21" s="141"/>
      <c r="EZ21" s="141"/>
      <c r="FA21" s="141"/>
      <c r="FB21" s="141"/>
      <c r="FC21" s="141"/>
      <c r="FD21" s="141"/>
      <c r="FE21" s="141"/>
      <c r="FF21" s="140"/>
      <c r="FG21" s="140"/>
    </row>
    <row r="22">
      <c r="A22" s="28"/>
      <c r="B22" s="187" t="s">
        <v>201</v>
      </c>
      <c r="C22" s="188"/>
      <c r="D22" s="188"/>
      <c r="E22" s="189"/>
      <c r="F22" s="189" t="s">
        <v>202</v>
      </c>
      <c r="G22" s="188"/>
      <c r="H22" s="188"/>
      <c r="I22" s="188"/>
      <c r="J22" s="188"/>
      <c r="K22" s="188"/>
      <c r="L22" s="188"/>
      <c r="M22" s="188"/>
      <c r="N22" s="188"/>
      <c r="O22" s="188"/>
      <c r="P22" s="188"/>
      <c r="Q22" s="188"/>
      <c r="R22" s="188"/>
      <c r="S22" s="188"/>
      <c r="T22" s="188"/>
      <c r="U22" s="188"/>
      <c r="V22" s="188"/>
      <c r="W22" s="188"/>
      <c r="X22" s="188"/>
      <c r="Y22" s="188"/>
      <c r="Z22" s="188"/>
      <c r="AA22" s="188"/>
      <c r="AB22" s="188"/>
      <c r="AC22" s="188"/>
      <c r="AD22" s="188"/>
      <c r="AE22" s="188"/>
      <c r="AF22" s="188"/>
      <c r="AG22" s="188"/>
      <c r="AH22" s="188"/>
      <c r="AI22" s="188"/>
      <c r="AJ22" s="188"/>
      <c r="AK22" s="188"/>
      <c r="AL22" s="188"/>
      <c r="AM22" s="188"/>
      <c r="AN22" s="188"/>
      <c r="AO22" s="188"/>
      <c r="AP22" s="188"/>
      <c r="AQ22" s="188"/>
      <c r="AR22" s="188"/>
      <c r="AS22" s="188"/>
      <c r="AT22" s="188"/>
      <c r="AU22" s="188"/>
      <c r="AV22" s="188"/>
      <c r="AW22" s="188"/>
      <c r="AX22" s="188"/>
      <c r="AY22" s="188"/>
      <c r="AZ22" s="188"/>
      <c r="BA22" s="188"/>
      <c r="BB22" s="188"/>
      <c r="BC22" s="188"/>
      <c r="BD22" s="188"/>
      <c r="BE22" s="188"/>
      <c r="BF22" s="188"/>
      <c r="BG22" s="188"/>
      <c r="BH22" s="188"/>
      <c r="BI22" s="188"/>
      <c r="BJ22" s="188"/>
      <c r="BK22" s="188"/>
      <c r="BL22" s="188"/>
      <c r="BM22" s="188"/>
      <c r="BN22" s="188"/>
      <c r="BO22" s="188"/>
      <c r="BP22" s="188"/>
      <c r="BQ22" s="188"/>
      <c r="BR22" s="188"/>
      <c r="BS22" s="188"/>
      <c r="BT22" s="188"/>
      <c r="BU22" s="188"/>
      <c r="BV22" s="188"/>
      <c r="BW22" s="188"/>
      <c r="BX22" s="188"/>
      <c r="BY22" s="188"/>
      <c r="BZ22" s="188"/>
      <c r="CA22" s="188"/>
      <c r="CB22" s="188"/>
      <c r="CC22" s="188"/>
      <c r="CD22" s="188"/>
      <c r="CE22" s="188"/>
      <c r="CF22" s="188"/>
      <c r="CG22" s="188"/>
      <c r="CH22" s="188"/>
      <c r="CI22" s="188"/>
      <c r="CJ22" s="188"/>
      <c r="CK22" s="188"/>
      <c r="CL22" s="188"/>
      <c r="CM22" s="188"/>
      <c r="CN22" s="188"/>
      <c r="CO22" s="188"/>
      <c r="CP22" s="188"/>
      <c r="CQ22" s="188"/>
      <c r="CR22" s="188"/>
      <c r="CS22" s="188"/>
      <c r="CT22" s="188"/>
      <c r="CU22" s="188"/>
      <c r="CV22" s="188"/>
      <c r="CW22" s="188"/>
      <c r="CX22" s="188"/>
      <c r="CY22" s="188"/>
      <c r="CZ22" s="188"/>
      <c r="DA22" s="188"/>
      <c r="DB22" s="188"/>
      <c r="DC22" s="188"/>
      <c r="DD22" s="188"/>
      <c r="DE22" s="188"/>
      <c r="DF22" s="188"/>
      <c r="DG22" s="188"/>
      <c r="DH22" s="188"/>
      <c r="DI22" s="188"/>
      <c r="DJ22" s="188"/>
      <c r="DK22" s="188"/>
      <c r="DL22" s="188"/>
      <c r="DM22" s="188"/>
      <c r="DN22" s="188"/>
      <c r="DO22" s="188"/>
      <c r="DP22" s="188"/>
      <c r="DQ22" s="188"/>
      <c r="DR22" s="188"/>
      <c r="DS22" s="188"/>
      <c r="DT22" s="188"/>
      <c r="DU22" s="188"/>
      <c r="DV22" s="188"/>
      <c r="DW22" s="188"/>
      <c r="DX22" s="188"/>
      <c r="DY22" s="190"/>
      <c r="DZ22" s="191"/>
      <c r="EA22" s="191"/>
      <c r="EB22" s="191"/>
      <c r="EC22" s="191"/>
      <c r="ED22" s="191"/>
      <c r="EE22" s="191"/>
      <c r="EF22" s="191"/>
      <c r="EG22" s="191"/>
      <c r="EH22" s="191"/>
      <c r="EI22" s="191"/>
      <c r="EJ22" s="191"/>
      <c r="EK22" s="191"/>
      <c r="EL22" s="191"/>
      <c r="EM22" s="191"/>
      <c r="EN22" s="191"/>
      <c r="EO22" s="191"/>
      <c r="EP22" s="191"/>
      <c r="EQ22" s="191"/>
      <c r="ER22" s="191"/>
      <c r="ES22" s="191"/>
      <c r="ET22" s="191"/>
      <c r="EU22" s="191"/>
      <c r="EV22" s="191"/>
      <c r="EW22" s="191"/>
      <c r="EX22" s="191"/>
      <c r="EY22" s="191"/>
      <c r="EZ22" s="191"/>
      <c r="FA22" s="191"/>
      <c r="FB22" s="191"/>
      <c r="FC22" s="191"/>
      <c r="FD22" s="191"/>
      <c r="FE22" s="191"/>
      <c r="FF22" s="191"/>
      <c r="FG22" s="191"/>
    </row>
    <row r="23">
      <c r="A23" s="28"/>
      <c r="B23" s="28"/>
      <c r="C23" s="28"/>
      <c r="D23" s="157"/>
      <c r="E23" s="28"/>
      <c r="G23" s="28"/>
      <c r="H23" s="28"/>
      <c r="I23" s="28"/>
      <c r="J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135"/>
      <c r="DZ23" s="192"/>
      <c r="EA23" s="193"/>
      <c r="EB23" s="193"/>
      <c r="EC23" s="193"/>
      <c r="ED23" s="193"/>
      <c r="EE23" s="193"/>
      <c r="EF23" s="193"/>
      <c r="EG23" s="193"/>
      <c r="EH23" s="193"/>
      <c r="EI23" s="193"/>
      <c r="EJ23" s="193"/>
      <c r="EK23" s="193"/>
      <c r="EL23" s="193"/>
      <c r="EM23" s="193"/>
      <c r="EN23" s="193"/>
      <c r="EO23" s="193"/>
      <c r="EP23" s="193"/>
      <c r="EQ23" s="193"/>
      <c r="ER23" s="193"/>
      <c r="ES23" s="193"/>
      <c r="ET23" s="193"/>
      <c r="EU23" s="193"/>
      <c r="EV23" s="193"/>
      <c r="EW23" s="193"/>
      <c r="EX23" s="193"/>
      <c r="EY23" s="193"/>
      <c r="EZ23" s="193"/>
      <c r="FA23" s="193"/>
      <c r="FB23" s="193"/>
      <c r="FC23" s="193"/>
      <c r="FD23" s="193"/>
      <c r="FE23" s="193"/>
      <c r="FF23" s="192"/>
      <c r="FG23" s="192"/>
    </row>
    <row r="24">
      <c r="A24" s="194"/>
      <c r="B24" s="195" t="s">
        <v>203</v>
      </c>
      <c r="C24" s="155"/>
      <c r="D24" s="196" t="s">
        <v>204</v>
      </c>
      <c r="E24" s="155"/>
      <c r="F24" s="197" t="s">
        <v>205</v>
      </c>
      <c r="G24" s="155"/>
      <c r="H24" s="198" t="s">
        <v>206</v>
      </c>
      <c r="I24" s="154"/>
      <c r="J24" s="154"/>
      <c r="K24" s="155"/>
      <c r="L24" s="198" t="s">
        <v>207</v>
      </c>
      <c r="M24" s="154"/>
      <c r="N24" s="154"/>
      <c r="O24" s="154"/>
      <c r="P24" s="198" t="s">
        <v>208</v>
      </c>
      <c r="Q24" s="155"/>
      <c r="R24" s="198" t="s">
        <v>209</v>
      </c>
      <c r="S24" s="155"/>
      <c r="T24" s="198" t="s">
        <v>210</v>
      </c>
      <c r="U24" s="155"/>
      <c r="V24" s="199" t="s">
        <v>211</v>
      </c>
      <c r="W24" s="155"/>
      <c r="X24" s="199" t="s">
        <v>212</v>
      </c>
      <c r="Y24" s="155"/>
      <c r="Z24" s="198" t="s">
        <v>213</v>
      </c>
      <c r="AA24" s="155"/>
      <c r="AB24" s="200" t="s">
        <v>163</v>
      </c>
      <c r="AC24" s="155"/>
      <c r="AD24" s="200" t="s">
        <v>214</v>
      </c>
      <c r="AE24" s="155"/>
      <c r="AF24" s="200" t="s">
        <v>215</v>
      </c>
      <c r="AG24" s="155"/>
      <c r="AH24" s="200" t="s">
        <v>216</v>
      </c>
      <c r="AI24" s="155"/>
      <c r="AJ24" s="201" t="s">
        <v>217</v>
      </c>
      <c r="AK24" s="154"/>
      <c r="AL24" s="201" t="s">
        <v>218</v>
      </c>
      <c r="AM24" s="154"/>
      <c r="AN24" s="198" t="s">
        <v>219</v>
      </c>
      <c r="AO24" s="154"/>
      <c r="AP24" s="202" t="s">
        <v>220</v>
      </c>
      <c r="AQ24" s="154"/>
      <c r="AR24" s="154"/>
      <c r="AS24" s="154"/>
      <c r="AT24" s="203" t="s">
        <v>221</v>
      </c>
      <c r="AU24" s="154"/>
      <c r="AV24" s="154"/>
      <c r="AW24" s="154"/>
      <c r="AX24" s="154"/>
      <c r="AY24" s="204" t="s">
        <v>222</v>
      </c>
      <c r="AZ24" s="155"/>
      <c r="BA24" s="204" t="s">
        <v>223</v>
      </c>
      <c r="BB24" s="154"/>
      <c r="BC24" s="205" t="s">
        <v>224</v>
      </c>
      <c r="BD24" s="154"/>
      <c r="BE24" s="206" t="s">
        <v>225</v>
      </c>
      <c r="BF24" s="155"/>
      <c r="BG24" s="200" t="s">
        <v>226</v>
      </c>
      <c r="BH24" s="155"/>
      <c r="BI24" s="200" t="s">
        <v>227</v>
      </c>
      <c r="BJ24" s="155"/>
      <c r="BK24" s="200" t="s">
        <v>228</v>
      </c>
      <c r="BL24" s="155"/>
      <c r="BM24" s="207" t="s">
        <v>229</v>
      </c>
      <c r="BN24" s="155"/>
      <c r="BO24" s="200" t="s">
        <v>230</v>
      </c>
      <c r="BP24" s="155"/>
      <c r="BQ24" s="200" t="s">
        <v>231</v>
      </c>
      <c r="BR24" s="155"/>
      <c r="BS24" s="207" t="s">
        <v>232</v>
      </c>
      <c r="BT24" s="155"/>
      <c r="BU24" s="206" t="s">
        <v>233</v>
      </c>
      <c r="BV24" s="155"/>
      <c r="BW24" s="206" t="s">
        <v>234</v>
      </c>
      <c r="BX24" s="155"/>
      <c r="BY24" s="206" t="s">
        <v>235</v>
      </c>
      <c r="BZ24" s="155"/>
      <c r="CA24" s="208" t="s">
        <v>236</v>
      </c>
      <c r="CB24" s="154"/>
      <c r="CC24" s="154"/>
      <c r="CD24" s="155"/>
      <c r="CE24" s="209" t="s">
        <v>237</v>
      </c>
      <c r="CF24" s="155"/>
      <c r="CG24" s="209" t="s">
        <v>238</v>
      </c>
      <c r="CH24" s="155"/>
      <c r="CI24" s="208" t="s">
        <v>239</v>
      </c>
      <c r="CJ24" s="155"/>
      <c r="CK24" s="208" t="s">
        <v>240</v>
      </c>
      <c r="CL24" s="155"/>
      <c r="CM24" s="208" t="s">
        <v>241</v>
      </c>
      <c r="CN24" s="155"/>
      <c r="CO24" s="208" t="s">
        <v>242</v>
      </c>
      <c r="CP24" s="155"/>
      <c r="CQ24" s="208" t="s">
        <v>243</v>
      </c>
      <c r="CR24" s="154"/>
      <c r="CS24" s="154"/>
      <c r="CT24" s="155"/>
      <c r="CU24" s="208" t="s">
        <v>244</v>
      </c>
      <c r="CV24" s="155"/>
      <c r="CW24" s="208" t="s">
        <v>245</v>
      </c>
      <c r="CX24" s="154"/>
      <c r="CY24" s="154"/>
      <c r="CZ24" s="155"/>
      <c r="DA24" s="208" t="s">
        <v>246</v>
      </c>
      <c r="DB24" s="155"/>
      <c r="DC24" s="208" t="s">
        <v>247</v>
      </c>
      <c r="DD24" s="154"/>
      <c r="DE24" s="154"/>
      <c r="DF24" s="155"/>
      <c r="DG24" s="208" t="s">
        <v>248</v>
      </c>
      <c r="DH24" s="155"/>
      <c r="DI24" s="208" t="s">
        <v>249</v>
      </c>
      <c r="DJ24" s="155"/>
      <c r="DK24" s="208" t="s">
        <v>250</v>
      </c>
      <c r="DL24" s="155"/>
      <c r="DM24" s="208" t="s">
        <v>251</v>
      </c>
      <c r="DN24" s="154"/>
      <c r="DO24" s="154"/>
      <c r="DP24" s="155"/>
      <c r="DQ24" s="208" t="s">
        <v>252</v>
      </c>
      <c r="DR24" s="155"/>
      <c r="DS24" s="210" t="s">
        <v>8</v>
      </c>
      <c r="DT24" s="154"/>
      <c r="DU24" s="154"/>
      <c r="DV24" s="154"/>
      <c r="DW24" s="155"/>
      <c r="DX24" s="194"/>
      <c r="DY24" s="211"/>
      <c r="DZ24" s="194"/>
      <c r="EA24" s="212" t="s">
        <v>253</v>
      </c>
      <c r="EB24" s="212" t="s">
        <v>254</v>
      </c>
      <c r="EC24" s="212" t="s">
        <v>205</v>
      </c>
      <c r="ED24" s="212" t="s">
        <v>255</v>
      </c>
      <c r="EE24" s="212" t="s">
        <v>256</v>
      </c>
      <c r="EF24" s="212" t="s">
        <v>257</v>
      </c>
      <c r="EG24" s="212" t="s">
        <v>258</v>
      </c>
      <c r="EH24" s="213" t="s">
        <v>259</v>
      </c>
      <c r="EI24" s="212" t="s">
        <v>260</v>
      </c>
      <c r="EJ24" s="212" t="s">
        <v>261</v>
      </c>
      <c r="EK24" s="212" t="s">
        <v>262</v>
      </c>
      <c r="EL24" s="212" t="s">
        <v>263</v>
      </c>
      <c r="EM24" s="212" t="s">
        <v>264</v>
      </c>
      <c r="EN24" s="212" t="s">
        <v>265</v>
      </c>
      <c r="EO24" s="212" t="s">
        <v>266</v>
      </c>
      <c r="EP24" s="212" t="s">
        <v>267</v>
      </c>
      <c r="EQ24" s="212" t="s">
        <v>268</v>
      </c>
      <c r="ER24" s="212" t="s">
        <v>269</v>
      </c>
      <c r="ES24" s="212" t="s">
        <v>270</v>
      </c>
      <c r="ET24" s="212" t="s">
        <v>271</v>
      </c>
      <c r="EU24" s="212" t="s">
        <v>272</v>
      </c>
      <c r="EV24" s="212" t="s">
        <v>273</v>
      </c>
      <c r="EW24" s="212" t="s">
        <v>274</v>
      </c>
      <c r="EX24" s="212" t="s">
        <v>275</v>
      </c>
      <c r="EY24" s="212" t="s">
        <v>276</v>
      </c>
      <c r="EZ24" s="212" t="s">
        <v>277</v>
      </c>
      <c r="FA24" s="212" t="s">
        <v>278</v>
      </c>
      <c r="FB24" s="212" t="s">
        <v>279</v>
      </c>
      <c r="FC24" s="212" t="s">
        <v>280</v>
      </c>
      <c r="FD24" s="212" t="s">
        <v>281</v>
      </c>
      <c r="FE24" s="212" t="s">
        <v>282</v>
      </c>
      <c r="FF24" s="214"/>
      <c r="FG24" s="194"/>
    </row>
    <row r="25">
      <c r="A25" s="136"/>
      <c r="B25" s="215"/>
      <c r="C25" s="155"/>
      <c r="D25" s="215">
        <v>1.0</v>
      </c>
      <c r="E25" s="155"/>
      <c r="F25" s="216"/>
      <c r="G25" s="155"/>
      <c r="H25" s="217" t="s">
        <v>283</v>
      </c>
      <c r="I25" s="154"/>
      <c r="J25" s="154"/>
      <c r="K25" s="155"/>
      <c r="L25" s="218" t="str">
        <f t="array" ref="L25">iferror(INDEX('ファントムマスター'!F:F,MATCH(H25,'ファントムマスター'!D:D,0),0),"error")</f>
        <v>error</v>
      </c>
      <c r="M25" s="154"/>
      <c r="N25" s="154"/>
      <c r="O25" s="155"/>
      <c r="P25" s="218" t="str">
        <f t="shared" ref="P25:P44" si="1">iferror(INDEX('ファントムマスター'!H:H,MATCH(H25,'ファントムマスター'!D:D,0),0),"none")</f>
        <v>none</v>
      </c>
      <c r="Q25" s="155"/>
      <c r="R25" s="219" t="str">
        <f t="shared" ref="R25:R44" si="2">iferror(INDEX('ファントムマスター'!J:J,MATCH(H25,'ファントムマスター'!D:D,0),0),"none")</f>
        <v>none</v>
      </c>
      <c r="S25" s="155"/>
      <c r="T25" s="218" t="str">
        <f t="shared" ref="T25:T44" si="3">iferror(INDEX('ファントムマスター'!I:I,MATCH(H25,'ファントムマスター'!D:D,0),0),"none")</f>
        <v>none</v>
      </c>
      <c r="U25" s="155"/>
      <c r="V25" s="215" t="s">
        <v>284</v>
      </c>
      <c r="W25" s="155"/>
      <c r="X25" s="215" t="s">
        <v>285</v>
      </c>
      <c r="Y25" s="155"/>
      <c r="Z25" s="216"/>
      <c r="AA25" s="155"/>
      <c r="AB25" s="220" t="str">
        <f t="shared" ref="AB25:AB44" si="4">iferror(INDEX('ファントムマスター'!K:K,MATCH(H25,'ファントムマスター'!D:D,0),0)*AD25,"none")</f>
        <v>none</v>
      </c>
      <c r="AC25" s="155"/>
      <c r="AD25" s="215">
        <v>1.0</v>
      </c>
      <c r="AE25" s="155"/>
      <c r="AF25" s="220" t="str">
        <f t="shared" ref="AF25:AF44" si="5">iferror(INDEX('ファントムマスター'!O:O,MATCH(H25,'ファントムマスター'!D:D,0),0)*AH25,"none")</f>
        <v>none</v>
      </c>
      <c r="AG25" s="155"/>
      <c r="AH25" s="215">
        <v>1.0</v>
      </c>
      <c r="AI25" s="155"/>
      <c r="AJ25" s="221" t="str">
        <f t="shared" ref="AJ25:AJ44" si="6">iferror(right(INDEX('ファントムマスター'!T:T,MATCH(H25,'ファントムマスター'!D:D,0),0),4)*50,"none")</f>
        <v>none</v>
      </c>
      <c r="AK25" s="155"/>
      <c r="AL25" s="221" t="str">
        <f t="shared" ref="AL25:AL44" si="7">iferror(right(INDEX('ファントムマスター'!V:V,MATCH(H25,'ファントムマスター'!D:D,0),0),4),"none")</f>
        <v>none</v>
      </c>
      <c r="AM25" s="155"/>
      <c r="AN25" s="222" t="str">
        <f t="shared" ref="AN25:AN44" si="8">iferror(AF25*(50/(AJ25+AL25)),"攻撃力に数値を入力")</f>
        <v>攻撃力に数値を入力</v>
      </c>
      <c r="AO25" s="155"/>
      <c r="AP25" s="216"/>
      <c r="AQ25" s="154"/>
      <c r="AR25" s="154"/>
      <c r="AS25" s="155"/>
      <c r="AT25" s="223" t="str">
        <f t="shared" ref="AT25:AT44" si="9">iferror(INDEX('ファントムマスター'!Y:Y,MATCH(H25,'ファントムマスター'!D:D,0),0),"none")</f>
        <v>none</v>
      </c>
      <c r="AU25" s="154"/>
      <c r="AV25" s="154"/>
      <c r="AW25" s="154"/>
      <c r="AX25" s="155"/>
      <c r="AY25" s="224" t="str">
        <f t="shared" ref="AY25:AY44" si="10">iferror(INDEX('ファントムマスター'!Z:Z,MATCH(H25,'ファントムマスター'!D:D,0),0),"none")</f>
        <v>none</v>
      </c>
      <c r="AZ25" s="155"/>
      <c r="BA25" s="224" t="str">
        <f t="shared" ref="BA25:BA44" si="11">iferror(INDEX('ファントムマスター'!W:W,MATCH(H25,'ファントムマスター'!D:D,0),0)*50,"none")</f>
        <v>none</v>
      </c>
      <c r="BB25" s="155"/>
      <c r="BC25" s="218" t="str">
        <f t="shared" ref="BC25:BC44" si="12">iferror(INDEX('ファントムマスター'!AA:AA,MATCH(H25,'ファントムマスター'!D:D,0),0),"none")</f>
        <v>none</v>
      </c>
      <c r="BD25" s="155"/>
      <c r="BE25" s="220" t="str">
        <f t="shared" ref="BE25:BE44" si="13">iferror(INDEX('ファントムマスター'!M:M,MATCH(H25,'ファントムマスター'!D:D,0),0),"none")</f>
        <v>none</v>
      </c>
      <c r="BF25" s="155"/>
      <c r="BG25" s="220" t="str">
        <f t="shared" ref="BG25:BG44" si="14">iferror(INDEX('ファントムマスター'!N:N,MATCH(H25,'ファントムマスター'!D:D,0),0),"none")</f>
        <v>none</v>
      </c>
      <c r="BH25" s="155"/>
      <c r="BI25" s="220" t="str">
        <f t="shared" ref="BI25:BI44" si="15">iferror(INDEX('ファントムマスター'!P:P,MATCH(H25,'ファントムマスター'!D:D,0),0),"none")</f>
        <v>none</v>
      </c>
      <c r="BJ25" s="155"/>
      <c r="BK25" s="220" t="str">
        <f t="shared" ref="BK25:BK44" si="16">iferror(INDEX('ファントムマスター'!Q:Q,MATCH(H25,'ファントムマスター'!D:D,0),0),"none")</f>
        <v>none</v>
      </c>
      <c r="BL25" s="155"/>
      <c r="BM25" s="225" t="str">
        <f t="shared" ref="BM25:BM44" si="17">iferror(INDEX('ファントムマスター'!R:R,MATCH(H25,'ファントムマスター'!D:D,0),0),"none")</f>
        <v>none</v>
      </c>
      <c r="BN25" s="155"/>
      <c r="BO25" s="220" t="str">
        <f t="shared" ref="BO25:BO44" si="18">iferror(INDEX('ファントムマスター'!L:L,MATCH(H25,'ファントムマスター'!D:D,0),0),"none")</f>
        <v>none</v>
      </c>
      <c r="BP25" s="155"/>
      <c r="BQ25" s="220" t="str">
        <f t="shared" ref="BQ25:BQ44" si="19">iferror(INDEX('ファントムマスター'!S:S,MATCH(H25,'ファントムマスター'!D:D,0),0),"none")</f>
        <v>none</v>
      </c>
      <c r="BR25" s="155"/>
      <c r="BS25" s="216"/>
      <c r="BT25" s="155"/>
      <c r="BU25" s="216"/>
      <c r="BV25" s="155"/>
      <c r="BW25" s="183"/>
      <c r="BX25" s="155"/>
      <c r="BY25" s="216"/>
      <c r="BZ25" s="155"/>
      <c r="CA25" s="215" t="s">
        <v>286</v>
      </c>
      <c r="CB25" s="154"/>
      <c r="CC25" s="154"/>
      <c r="CD25" s="155"/>
      <c r="CE25" s="226">
        <v>1.0</v>
      </c>
      <c r="CF25" s="155"/>
      <c r="CG25" s="226">
        <v>10.0</v>
      </c>
      <c r="CH25" s="155"/>
      <c r="CI25" s="226">
        <v>99.0</v>
      </c>
      <c r="CJ25" s="155"/>
      <c r="CK25" s="226"/>
      <c r="CL25" s="155"/>
      <c r="CM25" s="226" t="s">
        <v>287</v>
      </c>
      <c r="CN25" s="155"/>
      <c r="CO25" s="216"/>
      <c r="CP25" s="155"/>
      <c r="CQ25" s="215" t="s">
        <v>287</v>
      </c>
      <c r="CR25" s="154"/>
      <c r="CS25" s="154"/>
      <c r="CT25" s="155"/>
      <c r="CU25" s="227"/>
      <c r="CV25" s="155"/>
      <c r="CW25" s="215" t="s">
        <v>287</v>
      </c>
      <c r="CX25" s="154"/>
      <c r="CY25" s="154"/>
      <c r="CZ25" s="155"/>
      <c r="DA25" s="227"/>
      <c r="DB25" s="155"/>
      <c r="DC25" s="215" t="s">
        <v>287</v>
      </c>
      <c r="DD25" s="154"/>
      <c r="DE25" s="154"/>
      <c r="DF25" s="155"/>
      <c r="DG25" s="227"/>
      <c r="DH25" s="155"/>
      <c r="DI25" s="227"/>
      <c r="DJ25" s="155"/>
      <c r="DK25" s="226" t="b">
        <v>0</v>
      </c>
      <c r="DL25" s="155"/>
      <c r="DM25" s="228" t="s">
        <v>287</v>
      </c>
      <c r="DN25" s="154"/>
      <c r="DO25" s="154"/>
      <c r="DP25" s="155"/>
      <c r="DQ25" s="227"/>
      <c r="DR25" s="155"/>
      <c r="DS25" s="216"/>
      <c r="DT25" s="154"/>
      <c r="DU25" s="154"/>
      <c r="DV25" s="154"/>
      <c r="DW25" s="155"/>
      <c r="DX25" s="136"/>
      <c r="DY25" s="139"/>
      <c r="DZ25" s="136"/>
      <c r="EA25" s="229" t="str">
        <f t="shared" ref="EA25:EA44" si="20">B25</f>
        <v/>
      </c>
      <c r="EB25" s="229">
        <f t="shared" ref="EB25:EB44" si="21">D25</f>
        <v>1</v>
      </c>
      <c r="EC25" s="229" t="str">
        <f t="shared" ref="EC25:EC44" si="22">F25</f>
        <v/>
      </c>
      <c r="ED25" s="229" t="str">
        <f t="shared" ref="ED25:ED44" si="23">CA25</f>
        <v>未入力</v>
      </c>
      <c r="EE25" s="229">
        <f t="shared" ref="EE25:EE44" si="24">CE25</f>
        <v>1</v>
      </c>
      <c r="EF25" s="229" t="str">
        <f t="shared" ref="EF25:EF44" si="25">"SummonEnemy"</f>
        <v>SummonEnemy</v>
      </c>
      <c r="EG25" s="229" t="str">
        <f t="shared" ref="EG25:EG44" si="26">H25</f>
        <v>c_spy_00101_general_n_Boss_Blue</v>
      </c>
      <c r="EH25" s="229"/>
      <c r="EI25" s="229">
        <f t="shared" ref="EI25:EI44" si="27">CI25</f>
        <v>99</v>
      </c>
      <c r="EJ25" s="229">
        <f t="shared" ref="EJ25:EJ44" si="28">CG25</f>
        <v>10</v>
      </c>
      <c r="EK25" s="229" t="str">
        <f t="shared" ref="EK25:EK44" si="29">CM25</f>
        <v>None</v>
      </c>
      <c r="EL25" s="229" t="str">
        <f t="shared" ref="EL25:EL44" si="30">CO25</f>
        <v/>
      </c>
      <c r="EM25" s="229" t="str">
        <f t="shared" ref="EM25:EM44" si="31">CQ25</f>
        <v>None</v>
      </c>
      <c r="EN25" s="229" t="str">
        <f t="shared" ref="EN25:EN44" si="32">CU25</f>
        <v/>
      </c>
      <c r="EO25" s="229" t="str">
        <f t="shared" ref="EO25:EO44" si="33">CW25</f>
        <v>None</v>
      </c>
      <c r="EP25" s="229" t="str">
        <f t="shared" ref="EP25:EP44" si="34">DA25</f>
        <v/>
      </c>
      <c r="EQ25" s="229" t="str">
        <f t="shared" ref="EQ25:EQ44" si="35">DC25</f>
        <v>None</v>
      </c>
      <c r="ER25" s="229" t="str">
        <f t="shared" ref="ER25:ER44" si="36">DG25</f>
        <v/>
      </c>
      <c r="ES25" s="229" t="str">
        <f t="shared" ref="ES25:ES44" si="37">DI25</f>
        <v/>
      </c>
      <c r="ET25" s="229" t="b">
        <f t="shared" ref="ET25:ET44" si="38">DK25</f>
        <v>0</v>
      </c>
      <c r="EU25" s="229"/>
      <c r="EV25" s="229" t="str">
        <f t="shared" ref="EV25:EV44" si="39">V25</f>
        <v>Default</v>
      </c>
      <c r="EW25" s="229" t="str">
        <f t="shared" ref="EW25:EW44" si="40">X25</f>
        <v>Normal</v>
      </c>
      <c r="EX25" s="229">
        <f t="shared" ref="EX25:EX44" si="41">AD25</f>
        <v>1</v>
      </c>
      <c r="EY25" s="229">
        <f t="shared" ref="EY25:EY44" si="42">AH25</f>
        <v>1</v>
      </c>
      <c r="EZ25" s="229" t="str">
        <f t="shared" ref="EZ25:EZ44" si="43">"1"</f>
        <v>1</v>
      </c>
      <c r="FA25" s="229" t="str">
        <f t="shared" ref="FA25:FA44" si="44">BS25</f>
        <v/>
      </c>
      <c r="FB25" s="230">
        <v>0.0</v>
      </c>
      <c r="FC25" s="229" t="str">
        <f t="shared" ref="FC25:FC44" si="45">CK25</f>
        <v/>
      </c>
      <c r="FD25" s="229" t="str">
        <f t="shared" ref="FD25:FD44" si="46">DM25</f>
        <v>None</v>
      </c>
      <c r="FE25" s="229" t="str">
        <f t="shared" ref="FE25:FE44" si="47">DQ25</f>
        <v/>
      </c>
      <c r="FF25" s="136"/>
      <c r="FG25" s="136"/>
    </row>
    <row r="26">
      <c r="A26" s="28"/>
      <c r="B26" s="215"/>
      <c r="C26" s="155"/>
      <c r="D26" s="216"/>
      <c r="E26" s="155"/>
      <c r="F26" s="216"/>
      <c r="G26" s="155"/>
      <c r="H26" s="217"/>
      <c r="I26" s="154"/>
      <c r="J26" s="154"/>
      <c r="K26" s="155"/>
      <c r="L26" s="218" t="str">
        <f t="shared" ref="L26:L44" si="48">iferror(INDEX('ファントムマスター'!F:F,MATCH(H26,'ファントムマスター'!D:D,0),0),"none")</f>
        <v>none</v>
      </c>
      <c r="M26" s="154"/>
      <c r="N26" s="154"/>
      <c r="O26" s="155"/>
      <c r="P26" s="218" t="str">
        <f t="shared" si="1"/>
        <v>none</v>
      </c>
      <c r="Q26" s="155"/>
      <c r="R26" s="219" t="str">
        <f t="shared" si="2"/>
        <v>none</v>
      </c>
      <c r="S26" s="155"/>
      <c r="T26" s="218" t="str">
        <f t="shared" si="3"/>
        <v>none</v>
      </c>
      <c r="U26" s="155"/>
      <c r="V26" s="215" t="s">
        <v>284</v>
      </c>
      <c r="W26" s="155"/>
      <c r="X26" s="215" t="s">
        <v>285</v>
      </c>
      <c r="Y26" s="155"/>
      <c r="Z26" s="216"/>
      <c r="AA26" s="155"/>
      <c r="AB26" s="220" t="str">
        <f t="shared" si="4"/>
        <v>none</v>
      </c>
      <c r="AC26" s="155"/>
      <c r="AD26" s="215">
        <v>1.0</v>
      </c>
      <c r="AE26" s="155"/>
      <c r="AF26" s="220" t="str">
        <f t="shared" si="5"/>
        <v>none</v>
      </c>
      <c r="AG26" s="155"/>
      <c r="AH26" s="215">
        <v>1.0</v>
      </c>
      <c r="AI26" s="155"/>
      <c r="AJ26" s="221" t="str">
        <f t="shared" si="6"/>
        <v>none</v>
      </c>
      <c r="AK26" s="155"/>
      <c r="AL26" s="221" t="str">
        <f t="shared" si="7"/>
        <v>none</v>
      </c>
      <c r="AM26" s="155"/>
      <c r="AN26" s="222" t="str">
        <f t="shared" si="8"/>
        <v>攻撃力に数値を入力</v>
      </c>
      <c r="AO26" s="155"/>
      <c r="AP26" s="216"/>
      <c r="AQ26" s="154"/>
      <c r="AR26" s="154"/>
      <c r="AS26" s="155"/>
      <c r="AT26" s="223" t="str">
        <f t="shared" si="9"/>
        <v>none</v>
      </c>
      <c r="AU26" s="154"/>
      <c r="AV26" s="154"/>
      <c r="AW26" s="154"/>
      <c r="AX26" s="155"/>
      <c r="AY26" s="224" t="str">
        <f t="shared" si="10"/>
        <v>none</v>
      </c>
      <c r="AZ26" s="155"/>
      <c r="BA26" s="224" t="str">
        <f t="shared" si="11"/>
        <v>none</v>
      </c>
      <c r="BB26" s="155"/>
      <c r="BC26" s="218" t="str">
        <f t="shared" si="12"/>
        <v>none</v>
      </c>
      <c r="BD26" s="155"/>
      <c r="BE26" s="220" t="str">
        <f t="shared" si="13"/>
        <v>none</v>
      </c>
      <c r="BF26" s="155"/>
      <c r="BG26" s="220" t="str">
        <f t="shared" si="14"/>
        <v>none</v>
      </c>
      <c r="BH26" s="155"/>
      <c r="BI26" s="220" t="str">
        <f t="shared" si="15"/>
        <v>none</v>
      </c>
      <c r="BJ26" s="155"/>
      <c r="BK26" s="220" t="str">
        <f t="shared" si="16"/>
        <v>none</v>
      </c>
      <c r="BL26" s="155"/>
      <c r="BM26" s="225" t="str">
        <f t="shared" si="17"/>
        <v>none</v>
      </c>
      <c r="BN26" s="155"/>
      <c r="BO26" s="220" t="str">
        <f t="shared" si="18"/>
        <v>none</v>
      </c>
      <c r="BP26" s="155"/>
      <c r="BQ26" s="220" t="str">
        <f t="shared" si="19"/>
        <v>none</v>
      </c>
      <c r="BR26" s="155"/>
      <c r="BS26" s="216"/>
      <c r="BT26" s="155"/>
      <c r="BU26" s="216"/>
      <c r="BV26" s="155"/>
      <c r="BW26" s="183"/>
      <c r="BX26" s="155"/>
      <c r="BY26" s="216"/>
      <c r="BZ26" s="155"/>
      <c r="CA26" s="215" t="s">
        <v>286</v>
      </c>
      <c r="CB26" s="154"/>
      <c r="CC26" s="154"/>
      <c r="CD26" s="155"/>
      <c r="CE26" s="227"/>
      <c r="CF26" s="155"/>
      <c r="CG26" s="227"/>
      <c r="CH26" s="155"/>
      <c r="CI26" s="227"/>
      <c r="CJ26" s="155"/>
      <c r="CK26" s="227"/>
      <c r="CL26" s="155"/>
      <c r="CM26" s="226" t="s">
        <v>287</v>
      </c>
      <c r="CN26" s="155"/>
      <c r="CO26" s="216"/>
      <c r="CP26" s="155"/>
      <c r="CQ26" s="215" t="s">
        <v>287</v>
      </c>
      <c r="CR26" s="154"/>
      <c r="CS26" s="154"/>
      <c r="CT26" s="155"/>
      <c r="CU26" s="227"/>
      <c r="CV26" s="155"/>
      <c r="CW26" s="215" t="s">
        <v>287</v>
      </c>
      <c r="CX26" s="154"/>
      <c r="CY26" s="154"/>
      <c r="CZ26" s="155"/>
      <c r="DA26" s="227"/>
      <c r="DB26" s="155"/>
      <c r="DC26" s="215" t="s">
        <v>287</v>
      </c>
      <c r="DD26" s="154"/>
      <c r="DE26" s="154"/>
      <c r="DF26" s="155"/>
      <c r="DG26" s="227"/>
      <c r="DH26" s="155"/>
      <c r="DI26" s="227"/>
      <c r="DJ26" s="155"/>
      <c r="DK26" s="226" t="b">
        <v>0</v>
      </c>
      <c r="DL26" s="155"/>
      <c r="DM26" s="228" t="s">
        <v>287</v>
      </c>
      <c r="DN26" s="154"/>
      <c r="DO26" s="154"/>
      <c r="DP26" s="155"/>
      <c r="DQ26" s="227"/>
      <c r="DR26" s="155"/>
      <c r="DS26" s="216"/>
      <c r="DT26" s="154"/>
      <c r="DU26" s="154"/>
      <c r="DV26" s="154"/>
      <c r="DW26" s="155"/>
      <c r="DX26" s="28"/>
      <c r="DY26" s="135"/>
      <c r="DZ26" s="28"/>
      <c r="EA26" s="231" t="str">
        <f t="shared" si="20"/>
        <v/>
      </c>
      <c r="EB26" s="231" t="str">
        <f t="shared" si="21"/>
        <v/>
      </c>
      <c r="EC26" s="231" t="str">
        <f t="shared" si="22"/>
        <v/>
      </c>
      <c r="ED26" s="231" t="str">
        <f t="shared" si="23"/>
        <v>未入力</v>
      </c>
      <c r="EE26" s="231" t="str">
        <f t="shared" si="24"/>
        <v/>
      </c>
      <c r="EF26" s="231" t="str">
        <f t="shared" si="25"/>
        <v>SummonEnemy</v>
      </c>
      <c r="EG26" s="231" t="str">
        <f t="shared" si="26"/>
        <v/>
      </c>
      <c r="EH26" s="231"/>
      <c r="EI26" s="231" t="str">
        <f t="shared" si="27"/>
        <v/>
      </c>
      <c r="EJ26" s="231" t="str">
        <f t="shared" si="28"/>
        <v/>
      </c>
      <c r="EK26" s="231" t="str">
        <f t="shared" si="29"/>
        <v>None</v>
      </c>
      <c r="EL26" s="231" t="str">
        <f t="shared" si="30"/>
        <v/>
      </c>
      <c r="EM26" s="231" t="str">
        <f t="shared" si="31"/>
        <v>None</v>
      </c>
      <c r="EN26" s="231" t="str">
        <f t="shared" si="32"/>
        <v/>
      </c>
      <c r="EO26" s="231" t="str">
        <f t="shared" si="33"/>
        <v>None</v>
      </c>
      <c r="EP26" s="231" t="str">
        <f t="shared" si="34"/>
        <v/>
      </c>
      <c r="EQ26" s="231" t="str">
        <f t="shared" si="35"/>
        <v>None</v>
      </c>
      <c r="ER26" s="231" t="str">
        <f t="shared" si="36"/>
        <v/>
      </c>
      <c r="ES26" s="231" t="str">
        <f t="shared" si="37"/>
        <v/>
      </c>
      <c r="ET26" s="231" t="b">
        <f t="shared" si="38"/>
        <v>0</v>
      </c>
      <c r="EU26" s="231"/>
      <c r="EV26" s="231" t="str">
        <f t="shared" si="39"/>
        <v>Default</v>
      </c>
      <c r="EW26" s="231" t="str">
        <f t="shared" si="40"/>
        <v>Normal</v>
      </c>
      <c r="EX26" s="231">
        <f t="shared" si="41"/>
        <v>1</v>
      </c>
      <c r="EY26" s="231">
        <f t="shared" si="42"/>
        <v>1</v>
      </c>
      <c r="EZ26" s="231" t="str">
        <f t="shared" si="43"/>
        <v>1</v>
      </c>
      <c r="FA26" s="231" t="str">
        <f t="shared" si="44"/>
        <v/>
      </c>
      <c r="FB26" s="231">
        <v>0.0</v>
      </c>
      <c r="FC26" s="231" t="str">
        <f t="shared" si="45"/>
        <v/>
      </c>
      <c r="FD26" s="231" t="str">
        <f t="shared" si="46"/>
        <v>None</v>
      </c>
      <c r="FE26" s="231" t="str">
        <f t="shared" si="47"/>
        <v/>
      </c>
      <c r="FF26" s="28"/>
      <c r="FG26" s="28"/>
    </row>
    <row r="27">
      <c r="A27" s="28"/>
      <c r="B27" s="215"/>
      <c r="C27" s="155"/>
      <c r="D27" s="216"/>
      <c r="E27" s="155"/>
      <c r="F27" s="216"/>
      <c r="G27" s="155"/>
      <c r="H27" s="217"/>
      <c r="I27" s="154"/>
      <c r="J27" s="154"/>
      <c r="K27" s="155"/>
      <c r="L27" s="218" t="str">
        <f t="shared" si="48"/>
        <v>none</v>
      </c>
      <c r="M27" s="154"/>
      <c r="N27" s="154"/>
      <c r="O27" s="155"/>
      <c r="P27" s="218" t="str">
        <f t="shared" si="1"/>
        <v>none</v>
      </c>
      <c r="Q27" s="155"/>
      <c r="R27" s="219" t="str">
        <f t="shared" si="2"/>
        <v>none</v>
      </c>
      <c r="S27" s="155"/>
      <c r="T27" s="218" t="str">
        <f t="shared" si="3"/>
        <v>none</v>
      </c>
      <c r="U27" s="155"/>
      <c r="V27" s="215" t="s">
        <v>284</v>
      </c>
      <c r="W27" s="155"/>
      <c r="X27" s="215" t="s">
        <v>285</v>
      </c>
      <c r="Y27" s="155"/>
      <c r="Z27" s="216"/>
      <c r="AA27" s="155"/>
      <c r="AB27" s="220" t="str">
        <f t="shared" si="4"/>
        <v>none</v>
      </c>
      <c r="AC27" s="155"/>
      <c r="AD27" s="215">
        <v>1.0</v>
      </c>
      <c r="AE27" s="155"/>
      <c r="AF27" s="220" t="str">
        <f t="shared" si="5"/>
        <v>none</v>
      </c>
      <c r="AG27" s="155"/>
      <c r="AH27" s="215">
        <v>1.0</v>
      </c>
      <c r="AI27" s="155"/>
      <c r="AJ27" s="221" t="str">
        <f t="shared" si="6"/>
        <v>none</v>
      </c>
      <c r="AK27" s="155"/>
      <c r="AL27" s="221" t="str">
        <f t="shared" si="7"/>
        <v>none</v>
      </c>
      <c r="AM27" s="155"/>
      <c r="AN27" s="222" t="str">
        <f t="shared" si="8"/>
        <v>攻撃力に数値を入力</v>
      </c>
      <c r="AO27" s="155"/>
      <c r="AP27" s="216"/>
      <c r="AQ27" s="154"/>
      <c r="AR27" s="154"/>
      <c r="AS27" s="155"/>
      <c r="AT27" s="223" t="str">
        <f t="shared" si="9"/>
        <v>none</v>
      </c>
      <c r="AU27" s="154"/>
      <c r="AV27" s="154"/>
      <c r="AW27" s="154"/>
      <c r="AX27" s="155"/>
      <c r="AY27" s="224" t="str">
        <f t="shared" si="10"/>
        <v>none</v>
      </c>
      <c r="AZ27" s="155"/>
      <c r="BA27" s="224" t="str">
        <f t="shared" si="11"/>
        <v>none</v>
      </c>
      <c r="BB27" s="155"/>
      <c r="BC27" s="218" t="str">
        <f t="shared" si="12"/>
        <v>none</v>
      </c>
      <c r="BD27" s="155"/>
      <c r="BE27" s="220" t="str">
        <f t="shared" si="13"/>
        <v>none</v>
      </c>
      <c r="BF27" s="155"/>
      <c r="BG27" s="220" t="str">
        <f t="shared" si="14"/>
        <v>none</v>
      </c>
      <c r="BH27" s="155"/>
      <c r="BI27" s="220" t="str">
        <f t="shared" si="15"/>
        <v>none</v>
      </c>
      <c r="BJ27" s="155"/>
      <c r="BK27" s="220" t="str">
        <f t="shared" si="16"/>
        <v>none</v>
      </c>
      <c r="BL27" s="155"/>
      <c r="BM27" s="225" t="str">
        <f t="shared" si="17"/>
        <v>none</v>
      </c>
      <c r="BN27" s="155"/>
      <c r="BO27" s="220" t="str">
        <f t="shared" si="18"/>
        <v>none</v>
      </c>
      <c r="BP27" s="155"/>
      <c r="BQ27" s="220" t="str">
        <f t="shared" si="19"/>
        <v>none</v>
      </c>
      <c r="BR27" s="155"/>
      <c r="BS27" s="216"/>
      <c r="BT27" s="155"/>
      <c r="BU27" s="216"/>
      <c r="BV27" s="155"/>
      <c r="BW27" s="232"/>
      <c r="BX27" s="155"/>
      <c r="BY27" s="216"/>
      <c r="BZ27" s="155"/>
      <c r="CA27" s="215" t="s">
        <v>286</v>
      </c>
      <c r="CB27" s="154"/>
      <c r="CC27" s="154"/>
      <c r="CD27" s="155"/>
      <c r="CE27" s="227"/>
      <c r="CF27" s="155"/>
      <c r="CG27" s="227"/>
      <c r="CH27" s="155"/>
      <c r="CI27" s="227"/>
      <c r="CJ27" s="155"/>
      <c r="CK27" s="227"/>
      <c r="CL27" s="155"/>
      <c r="CM27" s="226" t="s">
        <v>287</v>
      </c>
      <c r="CN27" s="155"/>
      <c r="CO27" s="216"/>
      <c r="CP27" s="155"/>
      <c r="CQ27" s="215" t="s">
        <v>287</v>
      </c>
      <c r="CR27" s="154"/>
      <c r="CS27" s="154"/>
      <c r="CT27" s="155"/>
      <c r="CU27" s="227"/>
      <c r="CV27" s="155"/>
      <c r="CW27" s="215" t="s">
        <v>287</v>
      </c>
      <c r="CX27" s="154"/>
      <c r="CY27" s="154"/>
      <c r="CZ27" s="155"/>
      <c r="DA27" s="227"/>
      <c r="DB27" s="155"/>
      <c r="DC27" s="215" t="s">
        <v>287</v>
      </c>
      <c r="DD27" s="154"/>
      <c r="DE27" s="154"/>
      <c r="DF27" s="155"/>
      <c r="DG27" s="227"/>
      <c r="DH27" s="155"/>
      <c r="DI27" s="227"/>
      <c r="DJ27" s="155"/>
      <c r="DK27" s="226" t="b">
        <v>0</v>
      </c>
      <c r="DL27" s="155"/>
      <c r="DM27" s="228" t="s">
        <v>287</v>
      </c>
      <c r="DN27" s="154"/>
      <c r="DO27" s="154"/>
      <c r="DP27" s="155"/>
      <c r="DQ27" s="227"/>
      <c r="DR27" s="155"/>
      <c r="DS27" s="216"/>
      <c r="DT27" s="154"/>
      <c r="DU27" s="154"/>
      <c r="DV27" s="154"/>
      <c r="DW27" s="155"/>
      <c r="DX27" s="28"/>
      <c r="DY27" s="135"/>
      <c r="DZ27" s="28"/>
      <c r="EA27" s="229" t="str">
        <f t="shared" si="20"/>
        <v/>
      </c>
      <c r="EB27" s="229" t="str">
        <f t="shared" si="21"/>
        <v/>
      </c>
      <c r="EC27" s="229" t="str">
        <f t="shared" si="22"/>
        <v/>
      </c>
      <c r="ED27" s="229" t="str">
        <f t="shared" si="23"/>
        <v>未入力</v>
      </c>
      <c r="EE27" s="229" t="str">
        <f t="shared" si="24"/>
        <v/>
      </c>
      <c r="EF27" s="229" t="str">
        <f t="shared" si="25"/>
        <v>SummonEnemy</v>
      </c>
      <c r="EG27" s="229" t="str">
        <f t="shared" si="26"/>
        <v/>
      </c>
      <c r="EH27" s="229"/>
      <c r="EI27" s="229" t="str">
        <f t="shared" si="27"/>
        <v/>
      </c>
      <c r="EJ27" s="229" t="str">
        <f t="shared" si="28"/>
        <v/>
      </c>
      <c r="EK27" s="229" t="str">
        <f t="shared" si="29"/>
        <v>None</v>
      </c>
      <c r="EL27" s="229" t="str">
        <f t="shared" si="30"/>
        <v/>
      </c>
      <c r="EM27" s="229" t="str">
        <f t="shared" si="31"/>
        <v>None</v>
      </c>
      <c r="EN27" s="229" t="str">
        <f t="shared" si="32"/>
        <v/>
      </c>
      <c r="EO27" s="229" t="str">
        <f t="shared" si="33"/>
        <v>None</v>
      </c>
      <c r="EP27" s="229" t="str">
        <f t="shared" si="34"/>
        <v/>
      </c>
      <c r="EQ27" s="229" t="str">
        <f t="shared" si="35"/>
        <v>None</v>
      </c>
      <c r="ER27" s="229" t="str">
        <f t="shared" si="36"/>
        <v/>
      </c>
      <c r="ES27" s="229" t="str">
        <f t="shared" si="37"/>
        <v/>
      </c>
      <c r="ET27" s="229" t="b">
        <f t="shared" si="38"/>
        <v>0</v>
      </c>
      <c r="EU27" s="229"/>
      <c r="EV27" s="229" t="str">
        <f t="shared" si="39"/>
        <v>Default</v>
      </c>
      <c r="EW27" s="229" t="str">
        <f t="shared" si="40"/>
        <v>Normal</v>
      </c>
      <c r="EX27" s="229">
        <f t="shared" si="41"/>
        <v>1</v>
      </c>
      <c r="EY27" s="229">
        <f t="shared" si="42"/>
        <v>1</v>
      </c>
      <c r="EZ27" s="229" t="str">
        <f t="shared" si="43"/>
        <v>1</v>
      </c>
      <c r="FA27" s="229" t="str">
        <f t="shared" si="44"/>
        <v/>
      </c>
      <c r="FB27" s="230">
        <v>0.0</v>
      </c>
      <c r="FC27" s="229" t="str">
        <f t="shared" si="45"/>
        <v/>
      </c>
      <c r="FD27" s="229" t="str">
        <f t="shared" si="46"/>
        <v>None</v>
      </c>
      <c r="FE27" s="229" t="str">
        <f t="shared" si="47"/>
        <v/>
      </c>
      <c r="FF27" s="28"/>
      <c r="FG27" s="28"/>
    </row>
    <row r="28">
      <c r="A28" s="28"/>
      <c r="B28" s="215"/>
      <c r="C28" s="155"/>
      <c r="D28" s="216"/>
      <c r="E28" s="155"/>
      <c r="F28" s="216"/>
      <c r="G28" s="155"/>
      <c r="H28" s="217"/>
      <c r="I28" s="154"/>
      <c r="J28" s="154"/>
      <c r="K28" s="155"/>
      <c r="L28" s="218" t="str">
        <f t="shared" si="48"/>
        <v>none</v>
      </c>
      <c r="M28" s="154"/>
      <c r="N28" s="154"/>
      <c r="O28" s="155"/>
      <c r="P28" s="218" t="str">
        <f t="shared" si="1"/>
        <v>none</v>
      </c>
      <c r="Q28" s="155"/>
      <c r="R28" s="219" t="str">
        <f t="shared" si="2"/>
        <v>none</v>
      </c>
      <c r="S28" s="155"/>
      <c r="T28" s="218" t="str">
        <f t="shared" si="3"/>
        <v>none</v>
      </c>
      <c r="U28" s="155"/>
      <c r="V28" s="215" t="s">
        <v>284</v>
      </c>
      <c r="W28" s="155"/>
      <c r="X28" s="215" t="s">
        <v>285</v>
      </c>
      <c r="Y28" s="155"/>
      <c r="Z28" s="216"/>
      <c r="AA28" s="155"/>
      <c r="AB28" s="220" t="str">
        <f t="shared" si="4"/>
        <v>none</v>
      </c>
      <c r="AC28" s="155"/>
      <c r="AD28" s="215">
        <v>1.0</v>
      </c>
      <c r="AE28" s="155"/>
      <c r="AF28" s="220" t="str">
        <f t="shared" si="5"/>
        <v>none</v>
      </c>
      <c r="AG28" s="155"/>
      <c r="AH28" s="215">
        <v>1.0</v>
      </c>
      <c r="AI28" s="155"/>
      <c r="AJ28" s="221" t="str">
        <f t="shared" si="6"/>
        <v>none</v>
      </c>
      <c r="AK28" s="155"/>
      <c r="AL28" s="221" t="str">
        <f t="shared" si="7"/>
        <v>none</v>
      </c>
      <c r="AM28" s="155"/>
      <c r="AN28" s="222" t="str">
        <f t="shared" si="8"/>
        <v>攻撃力に数値を入力</v>
      </c>
      <c r="AO28" s="155"/>
      <c r="AP28" s="216"/>
      <c r="AQ28" s="154"/>
      <c r="AR28" s="154"/>
      <c r="AS28" s="155"/>
      <c r="AT28" s="223" t="str">
        <f t="shared" si="9"/>
        <v>none</v>
      </c>
      <c r="AU28" s="154"/>
      <c r="AV28" s="154"/>
      <c r="AW28" s="154"/>
      <c r="AX28" s="155"/>
      <c r="AY28" s="224" t="str">
        <f t="shared" si="10"/>
        <v>none</v>
      </c>
      <c r="AZ28" s="155"/>
      <c r="BA28" s="224" t="str">
        <f t="shared" si="11"/>
        <v>none</v>
      </c>
      <c r="BB28" s="155"/>
      <c r="BC28" s="218" t="str">
        <f t="shared" si="12"/>
        <v>none</v>
      </c>
      <c r="BD28" s="155"/>
      <c r="BE28" s="220" t="str">
        <f t="shared" si="13"/>
        <v>none</v>
      </c>
      <c r="BF28" s="155"/>
      <c r="BG28" s="220" t="str">
        <f t="shared" si="14"/>
        <v>none</v>
      </c>
      <c r="BH28" s="155"/>
      <c r="BI28" s="220" t="str">
        <f t="shared" si="15"/>
        <v>none</v>
      </c>
      <c r="BJ28" s="155"/>
      <c r="BK28" s="220" t="str">
        <f t="shared" si="16"/>
        <v>none</v>
      </c>
      <c r="BL28" s="155"/>
      <c r="BM28" s="225" t="str">
        <f t="shared" si="17"/>
        <v>none</v>
      </c>
      <c r="BN28" s="155"/>
      <c r="BO28" s="220" t="str">
        <f t="shared" si="18"/>
        <v>none</v>
      </c>
      <c r="BP28" s="155"/>
      <c r="BQ28" s="220" t="str">
        <f t="shared" si="19"/>
        <v>none</v>
      </c>
      <c r="BR28" s="155"/>
      <c r="BS28" s="216"/>
      <c r="BT28" s="155"/>
      <c r="BU28" s="216"/>
      <c r="BV28" s="155"/>
      <c r="BW28" s="183"/>
      <c r="BX28" s="155"/>
      <c r="BY28" s="216"/>
      <c r="BZ28" s="155"/>
      <c r="CA28" s="215" t="s">
        <v>286</v>
      </c>
      <c r="CB28" s="154"/>
      <c r="CC28" s="154"/>
      <c r="CD28" s="155"/>
      <c r="CE28" s="227"/>
      <c r="CF28" s="155"/>
      <c r="CG28" s="227"/>
      <c r="CH28" s="155"/>
      <c r="CI28" s="227"/>
      <c r="CJ28" s="155"/>
      <c r="CK28" s="227"/>
      <c r="CL28" s="155"/>
      <c r="CM28" s="226" t="s">
        <v>287</v>
      </c>
      <c r="CN28" s="155"/>
      <c r="CO28" s="216"/>
      <c r="CP28" s="155"/>
      <c r="CQ28" s="215" t="s">
        <v>287</v>
      </c>
      <c r="CR28" s="154"/>
      <c r="CS28" s="154"/>
      <c r="CT28" s="155"/>
      <c r="CU28" s="227"/>
      <c r="CV28" s="155"/>
      <c r="CW28" s="215" t="s">
        <v>287</v>
      </c>
      <c r="CX28" s="154"/>
      <c r="CY28" s="154"/>
      <c r="CZ28" s="155"/>
      <c r="DA28" s="227"/>
      <c r="DB28" s="155"/>
      <c r="DC28" s="215" t="s">
        <v>287</v>
      </c>
      <c r="DD28" s="154"/>
      <c r="DE28" s="154"/>
      <c r="DF28" s="155"/>
      <c r="DG28" s="227"/>
      <c r="DH28" s="155"/>
      <c r="DI28" s="227"/>
      <c r="DJ28" s="155"/>
      <c r="DK28" s="226" t="b">
        <v>0</v>
      </c>
      <c r="DL28" s="155"/>
      <c r="DM28" s="228" t="s">
        <v>287</v>
      </c>
      <c r="DN28" s="154"/>
      <c r="DO28" s="154"/>
      <c r="DP28" s="155"/>
      <c r="DQ28" s="227"/>
      <c r="DR28" s="155"/>
      <c r="DS28" s="216"/>
      <c r="DT28" s="154"/>
      <c r="DU28" s="154"/>
      <c r="DV28" s="154"/>
      <c r="DW28" s="155"/>
      <c r="DX28" s="28"/>
      <c r="DY28" s="135"/>
      <c r="DZ28" s="28"/>
      <c r="EA28" s="231" t="str">
        <f t="shared" si="20"/>
        <v/>
      </c>
      <c r="EB28" s="231" t="str">
        <f t="shared" si="21"/>
        <v/>
      </c>
      <c r="EC28" s="231" t="str">
        <f t="shared" si="22"/>
        <v/>
      </c>
      <c r="ED28" s="231" t="str">
        <f t="shared" si="23"/>
        <v>未入力</v>
      </c>
      <c r="EE28" s="231" t="str">
        <f t="shared" si="24"/>
        <v/>
      </c>
      <c r="EF28" s="231" t="str">
        <f t="shared" si="25"/>
        <v>SummonEnemy</v>
      </c>
      <c r="EG28" s="231" t="str">
        <f t="shared" si="26"/>
        <v/>
      </c>
      <c r="EH28" s="231"/>
      <c r="EI28" s="231" t="str">
        <f t="shared" si="27"/>
        <v/>
      </c>
      <c r="EJ28" s="231" t="str">
        <f t="shared" si="28"/>
        <v/>
      </c>
      <c r="EK28" s="231" t="str">
        <f t="shared" si="29"/>
        <v>None</v>
      </c>
      <c r="EL28" s="231" t="str">
        <f t="shared" si="30"/>
        <v/>
      </c>
      <c r="EM28" s="231" t="str">
        <f t="shared" si="31"/>
        <v>None</v>
      </c>
      <c r="EN28" s="231" t="str">
        <f t="shared" si="32"/>
        <v/>
      </c>
      <c r="EO28" s="231" t="str">
        <f t="shared" si="33"/>
        <v>None</v>
      </c>
      <c r="EP28" s="231" t="str">
        <f t="shared" si="34"/>
        <v/>
      </c>
      <c r="EQ28" s="231" t="str">
        <f t="shared" si="35"/>
        <v>None</v>
      </c>
      <c r="ER28" s="231" t="str">
        <f t="shared" si="36"/>
        <v/>
      </c>
      <c r="ES28" s="231" t="str">
        <f t="shared" si="37"/>
        <v/>
      </c>
      <c r="ET28" s="231" t="b">
        <f t="shared" si="38"/>
        <v>0</v>
      </c>
      <c r="EU28" s="231"/>
      <c r="EV28" s="231" t="str">
        <f t="shared" si="39"/>
        <v>Default</v>
      </c>
      <c r="EW28" s="231" t="str">
        <f t="shared" si="40"/>
        <v>Normal</v>
      </c>
      <c r="EX28" s="231">
        <f t="shared" si="41"/>
        <v>1</v>
      </c>
      <c r="EY28" s="231">
        <f t="shared" si="42"/>
        <v>1</v>
      </c>
      <c r="EZ28" s="231" t="str">
        <f t="shared" si="43"/>
        <v>1</v>
      </c>
      <c r="FA28" s="231" t="str">
        <f t="shared" si="44"/>
        <v/>
      </c>
      <c r="FB28" s="231">
        <v>0.0</v>
      </c>
      <c r="FC28" s="231" t="str">
        <f t="shared" si="45"/>
        <v/>
      </c>
      <c r="FD28" s="231" t="str">
        <f t="shared" si="46"/>
        <v>None</v>
      </c>
      <c r="FE28" s="231" t="str">
        <f t="shared" si="47"/>
        <v/>
      </c>
      <c r="FF28" s="28"/>
      <c r="FG28" s="28"/>
    </row>
    <row r="29">
      <c r="A29" s="28"/>
      <c r="B29" s="215"/>
      <c r="C29" s="155"/>
      <c r="D29" s="216"/>
      <c r="E29" s="155"/>
      <c r="F29" s="216"/>
      <c r="G29" s="155"/>
      <c r="H29" s="217"/>
      <c r="I29" s="154"/>
      <c r="J29" s="154"/>
      <c r="K29" s="155"/>
      <c r="L29" s="218" t="str">
        <f t="shared" si="48"/>
        <v>none</v>
      </c>
      <c r="M29" s="154"/>
      <c r="N29" s="154"/>
      <c r="O29" s="155"/>
      <c r="P29" s="218" t="str">
        <f t="shared" si="1"/>
        <v>none</v>
      </c>
      <c r="Q29" s="155"/>
      <c r="R29" s="219" t="str">
        <f t="shared" si="2"/>
        <v>none</v>
      </c>
      <c r="S29" s="155"/>
      <c r="T29" s="218" t="str">
        <f t="shared" si="3"/>
        <v>none</v>
      </c>
      <c r="U29" s="155"/>
      <c r="V29" s="215" t="s">
        <v>284</v>
      </c>
      <c r="W29" s="155"/>
      <c r="X29" s="215" t="s">
        <v>285</v>
      </c>
      <c r="Y29" s="155"/>
      <c r="Z29" s="216"/>
      <c r="AA29" s="155"/>
      <c r="AB29" s="220" t="str">
        <f t="shared" si="4"/>
        <v>none</v>
      </c>
      <c r="AC29" s="155"/>
      <c r="AD29" s="215">
        <v>1.0</v>
      </c>
      <c r="AE29" s="155"/>
      <c r="AF29" s="220" t="str">
        <f t="shared" si="5"/>
        <v>none</v>
      </c>
      <c r="AG29" s="155"/>
      <c r="AH29" s="215">
        <v>1.0</v>
      </c>
      <c r="AI29" s="155"/>
      <c r="AJ29" s="221" t="str">
        <f t="shared" si="6"/>
        <v>none</v>
      </c>
      <c r="AK29" s="155"/>
      <c r="AL29" s="221" t="str">
        <f t="shared" si="7"/>
        <v>none</v>
      </c>
      <c r="AM29" s="155"/>
      <c r="AN29" s="222" t="str">
        <f t="shared" si="8"/>
        <v>攻撃力に数値を入力</v>
      </c>
      <c r="AO29" s="155"/>
      <c r="AP29" s="216"/>
      <c r="AQ29" s="154"/>
      <c r="AR29" s="154"/>
      <c r="AS29" s="155"/>
      <c r="AT29" s="223" t="str">
        <f t="shared" si="9"/>
        <v>none</v>
      </c>
      <c r="AU29" s="154"/>
      <c r="AV29" s="154"/>
      <c r="AW29" s="154"/>
      <c r="AX29" s="155"/>
      <c r="AY29" s="224" t="str">
        <f t="shared" si="10"/>
        <v>none</v>
      </c>
      <c r="AZ29" s="155"/>
      <c r="BA29" s="224" t="str">
        <f t="shared" si="11"/>
        <v>none</v>
      </c>
      <c r="BB29" s="155"/>
      <c r="BC29" s="218" t="str">
        <f t="shared" si="12"/>
        <v>none</v>
      </c>
      <c r="BD29" s="155"/>
      <c r="BE29" s="220" t="str">
        <f t="shared" si="13"/>
        <v>none</v>
      </c>
      <c r="BF29" s="155"/>
      <c r="BG29" s="220" t="str">
        <f t="shared" si="14"/>
        <v>none</v>
      </c>
      <c r="BH29" s="155"/>
      <c r="BI29" s="220" t="str">
        <f t="shared" si="15"/>
        <v>none</v>
      </c>
      <c r="BJ29" s="155"/>
      <c r="BK29" s="220" t="str">
        <f t="shared" si="16"/>
        <v>none</v>
      </c>
      <c r="BL29" s="155"/>
      <c r="BM29" s="225" t="str">
        <f t="shared" si="17"/>
        <v>none</v>
      </c>
      <c r="BN29" s="155"/>
      <c r="BO29" s="220" t="str">
        <f t="shared" si="18"/>
        <v>none</v>
      </c>
      <c r="BP29" s="155"/>
      <c r="BQ29" s="220" t="str">
        <f t="shared" si="19"/>
        <v>none</v>
      </c>
      <c r="BR29" s="155"/>
      <c r="BS29" s="216"/>
      <c r="BT29" s="155"/>
      <c r="BU29" s="216"/>
      <c r="BV29" s="155"/>
      <c r="BW29" s="232"/>
      <c r="BX29" s="155"/>
      <c r="BY29" s="216"/>
      <c r="BZ29" s="155"/>
      <c r="CA29" s="215" t="s">
        <v>286</v>
      </c>
      <c r="CB29" s="154"/>
      <c r="CC29" s="154"/>
      <c r="CD29" s="155"/>
      <c r="CE29" s="227"/>
      <c r="CF29" s="155"/>
      <c r="CG29" s="227"/>
      <c r="CH29" s="155"/>
      <c r="CI29" s="227"/>
      <c r="CJ29" s="155"/>
      <c r="CK29" s="227"/>
      <c r="CL29" s="155"/>
      <c r="CM29" s="226" t="s">
        <v>287</v>
      </c>
      <c r="CN29" s="155"/>
      <c r="CO29" s="216"/>
      <c r="CP29" s="155"/>
      <c r="CQ29" s="215" t="s">
        <v>287</v>
      </c>
      <c r="CR29" s="154"/>
      <c r="CS29" s="154"/>
      <c r="CT29" s="155"/>
      <c r="CU29" s="227"/>
      <c r="CV29" s="155"/>
      <c r="CW29" s="215" t="s">
        <v>287</v>
      </c>
      <c r="CX29" s="154"/>
      <c r="CY29" s="154"/>
      <c r="CZ29" s="155"/>
      <c r="DA29" s="227"/>
      <c r="DB29" s="155"/>
      <c r="DC29" s="215" t="s">
        <v>287</v>
      </c>
      <c r="DD29" s="154"/>
      <c r="DE29" s="154"/>
      <c r="DF29" s="155"/>
      <c r="DG29" s="227"/>
      <c r="DH29" s="155"/>
      <c r="DI29" s="227"/>
      <c r="DJ29" s="155"/>
      <c r="DK29" s="226" t="b">
        <v>0</v>
      </c>
      <c r="DL29" s="155"/>
      <c r="DM29" s="228" t="s">
        <v>287</v>
      </c>
      <c r="DN29" s="154"/>
      <c r="DO29" s="154"/>
      <c r="DP29" s="155"/>
      <c r="DQ29" s="227"/>
      <c r="DR29" s="155"/>
      <c r="DS29" s="216"/>
      <c r="DT29" s="154"/>
      <c r="DU29" s="154"/>
      <c r="DV29" s="154"/>
      <c r="DW29" s="155"/>
      <c r="DX29" s="28"/>
      <c r="DY29" s="135"/>
      <c r="DZ29" s="28"/>
      <c r="EA29" s="229" t="str">
        <f t="shared" si="20"/>
        <v/>
      </c>
      <c r="EB29" s="229" t="str">
        <f t="shared" si="21"/>
        <v/>
      </c>
      <c r="EC29" s="229" t="str">
        <f t="shared" si="22"/>
        <v/>
      </c>
      <c r="ED29" s="229" t="str">
        <f t="shared" si="23"/>
        <v>未入力</v>
      </c>
      <c r="EE29" s="229" t="str">
        <f t="shared" si="24"/>
        <v/>
      </c>
      <c r="EF29" s="229" t="str">
        <f t="shared" si="25"/>
        <v>SummonEnemy</v>
      </c>
      <c r="EG29" s="229" t="str">
        <f t="shared" si="26"/>
        <v/>
      </c>
      <c r="EH29" s="229"/>
      <c r="EI29" s="229" t="str">
        <f t="shared" si="27"/>
        <v/>
      </c>
      <c r="EJ29" s="229" t="str">
        <f t="shared" si="28"/>
        <v/>
      </c>
      <c r="EK29" s="229" t="str">
        <f t="shared" si="29"/>
        <v>None</v>
      </c>
      <c r="EL29" s="229" t="str">
        <f t="shared" si="30"/>
        <v/>
      </c>
      <c r="EM29" s="229" t="str">
        <f t="shared" si="31"/>
        <v>None</v>
      </c>
      <c r="EN29" s="229" t="str">
        <f t="shared" si="32"/>
        <v/>
      </c>
      <c r="EO29" s="229" t="str">
        <f t="shared" si="33"/>
        <v>None</v>
      </c>
      <c r="EP29" s="229" t="str">
        <f t="shared" si="34"/>
        <v/>
      </c>
      <c r="EQ29" s="229" t="str">
        <f t="shared" si="35"/>
        <v>None</v>
      </c>
      <c r="ER29" s="229" t="str">
        <f t="shared" si="36"/>
        <v/>
      </c>
      <c r="ES29" s="229" t="str">
        <f t="shared" si="37"/>
        <v/>
      </c>
      <c r="ET29" s="229" t="b">
        <f t="shared" si="38"/>
        <v>0</v>
      </c>
      <c r="EU29" s="229"/>
      <c r="EV29" s="229" t="str">
        <f t="shared" si="39"/>
        <v>Default</v>
      </c>
      <c r="EW29" s="229" t="str">
        <f t="shared" si="40"/>
        <v>Normal</v>
      </c>
      <c r="EX29" s="229">
        <f t="shared" si="41"/>
        <v>1</v>
      </c>
      <c r="EY29" s="229">
        <f t="shared" si="42"/>
        <v>1</v>
      </c>
      <c r="EZ29" s="229" t="str">
        <f t="shared" si="43"/>
        <v>1</v>
      </c>
      <c r="FA29" s="229" t="str">
        <f t="shared" si="44"/>
        <v/>
      </c>
      <c r="FB29" s="230">
        <v>0.0</v>
      </c>
      <c r="FC29" s="229" t="str">
        <f t="shared" si="45"/>
        <v/>
      </c>
      <c r="FD29" s="229" t="str">
        <f t="shared" si="46"/>
        <v>None</v>
      </c>
      <c r="FE29" s="229" t="str">
        <f t="shared" si="47"/>
        <v/>
      </c>
      <c r="FF29" s="28"/>
      <c r="FG29" s="28"/>
    </row>
    <row r="30">
      <c r="A30" s="28"/>
      <c r="B30" s="215"/>
      <c r="C30" s="155"/>
      <c r="D30" s="216"/>
      <c r="E30" s="155"/>
      <c r="F30" s="216"/>
      <c r="G30" s="155"/>
      <c r="H30" s="217"/>
      <c r="I30" s="154"/>
      <c r="J30" s="154"/>
      <c r="K30" s="155"/>
      <c r="L30" s="218" t="str">
        <f t="shared" si="48"/>
        <v>none</v>
      </c>
      <c r="M30" s="154"/>
      <c r="N30" s="154"/>
      <c r="O30" s="155"/>
      <c r="P30" s="218" t="str">
        <f t="shared" si="1"/>
        <v>none</v>
      </c>
      <c r="Q30" s="155"/>
      <c r="R30" s="219" t="str">
        <f t="shared" si="2"/>
        <v>none</v>
      </c>
      <c r="S30" s="155"/>
      <c r="T30" s="218" t="str">
        <f t="shared" si="3"/>
        <v>none</v>
      </c>
      <c r="U30" s="155"/>
      <c r="V30" s="215" t="s">
        <v>284</v>
      </c>
      <c r="W30" s="155"/>
      <c r="X30" s="215" t="s">
        <v>285</v>
      </c>
      <c r="Y30" s="155"/>
      <c r="Z30" s="216"/>
      <c r="AA30" s="155"/>
      <c r="AB30" s="220" t="str">
        <f t="shared" si="4"/>
        <v>none</v>
      </c>
      <c r="AC30" s="155"/>
      <c r="AD30" s="215">
        <v>1.0</v>
      </c>
      <c r="AE30" s="155"/>
      <c r="AF30" s="220" t="str">
        <f t="shared" si="5"/>
        <v>none</v>
      </c>
      <c r="AG30" s="155"/>
      <c r="AH30" s="215">
        <v>1.0</v>
      </c>
      <c r="AI30" s="155"/>
      <c r="AJ30" s="221" t="str">
        <f t="shared" si="6"/>
        <v>none</v>
      </c>
      <c r="AK30" s="155"/>
      <c r="AL30" s="221" t="str">
        <f t="shared" si="7"/>
        <v>none</v>
      </c>
      <c r="AM30" s="155"/>
      <c r="AN30" s="222" t="str">
        <f t="shared" si="8"/>
        <v>攻撃力に数値を入力</v>
      </c>
      <c r="AO30" s="155"/>
      <c r="AP30" s="216"/>
      <c r="AQ30" s="154"/>
      <c r="AR30" s="154"/>
      <c r="AS30" s="155"/>
      <c r="AT30" s="223" t="str">
        <f t="shared" si="9"/>
        <v>none</v>
      </c>
      <c r="AU30" s="154"/>
      <c r="AV30" s="154"/>
      <c r="AW30" s="154"/>
      <c r="AX30" s="155"/>
      <c r="AY30" s="224" t="str">
        <f t="shared" si="10"/>
        <v>none</v>
      </c>
      <c r="AZ30" s="155"/>
      <c r="BA30" s="224" t="str">
        <f t="shared" si="11"/>
        <v>none</v>
      </c>
      <c r="BB30" s="155"/>
      <c r="BC30" s="218" t="str">
        <f t="shared" si="12"/>
        <v>none</v>
      </c>
      <c r="BD30" s="155"/>
      <c r="BE30" s="220" t="str">
        <f t="shared" si="13"/>
        <v>none</v>
      </c>
      <c r="BF30" s="155"/>
      <c r="BG30" s="220" t="str">
        <f t="shared" si="14"/>
        <v>none</v>
      </c>
      <c r="BH30" s="155"/>
      <c r="BI30" s="220" t="str">
        <f t="shared" si="15"/>
        <v>none</v>
      </c>
      <c r="BJ30" s="155"/>
      <c r="BK30" s="220" t="str">
        <f t="shared" si="16"/>
        <v>none</v>
      </c>
      <c r="BL30" s="155"/>
      <c r="BM30" s="225" t="str">
        <f t="shared" si="17"/>
        <v>none</v>
      </c>
      <c r="BN30" s="155"/>
      <c r="BO30" s="220" t="str">
        <f t="shared" si="18"/>
        <v>none</v>
      </c>
      <c r="BP30" s="155"/>
      <c r="BQ30" s="220" t="str">
        <f t="shared" si="19"/>
        <v>none</v>
      </c>
      <c r="BR30" s="155"/>
      <c r="BS30" s="216"/>
      <c r="BT30" s="155"/>
      <c r="BU30" s="216"/>
      <c r="BV30" s="155"/>
      <c r="BW30" s="183"/>
      <c r="BX30" s="155"/>
      <c r="BY30" s="216"/>
      <c r="BZ30" s="155"/>
      <c r="CA30" s="215" t="s">
        <v>286</v>
      </c>
      <c r="CB30" s="154"/>
      <c r="CC30" s="154"/>
      <c r="CD30" s="155"/>
      <c r="CE30" s="227"/>
      <c r="CF30" s="155"/>
      <c r="CG30" s="227"/>
      <c r="CH30" s="155"/>
      <c r="CI30" s="227"/>
      <c r="CJ30" s="155"/>
      <c r="CK30" s="227"/>
      <c r="CL30" s="155"/>
      <c r="CM30" s="226" t="s">
        <v>287</v>
      </c>
      <c r="CN30" s="155"/>
      <c r="CO30" s="216"/>
      <c r="CP30" s="155"/>
      <c r="CQ30" s="215" t="s">
        <v>287</v>
      </c>
      <c r="CR30" s="154"/>
      <c r="CS30" s="154"/>
      <c r="CT30" s="155"/>
      <c r="CU30" s="227"/>
      <c r="CV30" s="155"/>
      <c r="CW30" s="215" t="s">
        <v>287</v>
      </c>
      <c r="CX30" s="154"/>
      <c r="CY30" s="154"/>
      <c r="CZ30" s="155"/>
      <c r="DA30" s="227"/>
      <c r="DB30" s="155"/>
      <c r="DC30" s="215" t="s">
        <v>287</v>
      </c>
      <c r="DD30" s="154"/>
      <c r="DE30" s="154"/>
      <c r="DF30" s="155"/>
      <c r="DG30" s="227"/>
      <c r="DH30" s="155"/>
      <c r="DI30" s="227"/>
      <c r="DJ30" s="155"/>
      <c r="DK30" s="226" t="b">
        <v>0</v>
      </c>
      <c r="DL30" s="155"/>
      <c r="DM30" s="228" t="s">
        <v>287</v>
      </c>
      <c r="DN30" s="154"/>
      <c r="DO30" s="154"/>
      <c r="DP30" s="155"/>
      <c r="DQ30" s="227"/>
      <c r="DR30" s="155"/>
      <c r="DS30" s="216"/>
      <c r="DT30" s="154"/>
      <c r="DU30" s="154"/>
      <c r="DV30" s="154"/>
      <c r="DW30" s="155"/>
      <c r="DX30" s="28"/>
      <c r="DY30" s="135"/>
      <c r="DZ30" s="28"/>
      <c r="EA30" s="231" t="str">
        <f t="shared" si="20"/>
        <v/>
      </c>
      <c r="EB30" s="231" t="str">
        <f t="shared" si="21"/>
        <v/>
      </c>
      <c r="EC30" s="231" t="str">
        <f t="shared" si="22"/>
        <v/>
      </c>
      <c r="ED30" s="231" t="str">
        <f t="shared" si="23"/>
        <v>未入力</v>
      </c>
      <c r="EE30" s="231" t="str">
        <f t="shared" si="24"/>
        <v/>
      </c>
      <c r="EF30" s="231" t="str">
        <f t="shared" si="25"/>
        <v>SummonEnemy</v>
      </c>
      <c r="EG30" s="231" t="str">
        <f t="shared" si="26"/>
        <v/>
      </c>
      <c r="EH30" s="231"/>
      <c r="EI30" s="231" t="str">
        <f t="shared" si="27"/>
        <v/>
      </c>
      <c r="EJ30" s="231" t="str">
        <f t="shared" si="28"/>
        <v/>
      </c>
      <c r="EK30" s="231" t="str">
        <f t="shared" si="29"/>
        <v>None</v>
      </c>
      <c r="EL30" s="231" t="str">
        <f t="shared" si="30"/>
        <v/>
      </c>
      <c r="EM30" s="231" t="str">
        <f t="shared" si="31"/>
        <v>None</v>
      </c>
      <c r="EN30" s="231" t="str">
        <f t="shared" si="32"/>
        <v/>
      </c>
      <c r="EO30" s="231" t="str">
        <f t="shared" si="33"/>
        <v>None</v>
      </c>
      <c r="EP30" s="231" t="str">
        <f t="shared" si="34"/>
        <v/>
      </c>
      <c r="EQ30" s="231" t="str">
        <f t="shared" si="35"/>
        <v>None</v>
      </c>
      <c r="ER30" s="231" t="str">
        <f t="shared" si="36"/>
        <v/>
      </c>
      <c r="ES30" s="231" t="str">
        <f t="shared" si="37"/>
        <v/>
      </c>
      <c r="ET30" s="231" t="b">
        <f t="shared" si="38"/>
        <v>0</v>
      </c>
      <c r="EU30" s="231"/>
      <c r="EV30" s="231" t="str">
        <f t="shared" si="39"/>
        <v>Default</v>
      </c>
      <c r="EW30" s="231" t="str">
        <f t="shared" si="40"/>
        <v>Normal</v>
      </c>
      <c r="EX30" s="231">
        <f t="shared" si="41"/>
        <v>1</v>
      </c>
      <c r="EY30" s="231">
        <f t="shared" si="42"/>
        <v>1</v>
      </c>
      <c r="EZ30" s="231" t="str">
        <f t="shared" si="43"/>
        <v>1</v>
      </c>
      <c r="FA30" s="231" t="str">
        <f t="shared" si="44"/>
        <v/>
      </c>
      <c r="FB30" s="231">
        <v>0.0</v>
      </c>
      <c r="FC30" s="231" t="str">
        <f t="shared" si="45"/>
        <v/>
      </c>
      <c r="FD30" s="231" t="str">
        <f t="shared" si="46"/>
        <v>None</v>
      </c>
      <c r="FE30" s="231" t="str">
        <f t="shared" si="47"/>
        <v/>
      </c>
      <c r="FF30" s="28"/>
      <c r="FG30" s="28"/>
    </row>
    <row r="31">
      <c r="A31" s="28"/>
      <c r="B31" s="215"/>
      <c r="C31" s="155"/>
      <c r="D31" s="216"/>
      <c r="E31" s="155"/>
      <c r="F31" s="216"/>
      <c r="G31" s="155"/>
      <c r="H31" s="217"/>
      <c r="I31" s="154"/>
      <c r="J31" s="154"/>
      <c r="K31" s="155"/>
      <c r="L31" s="218" t="str">
        <f t="shared" si="48"/>
        <v>none</v>
      </c>
      <c r="M31" s="154"/>
      <c r="N31" s="154"/>
      <c r="O31" s="155"/>
      <c r="P31" s="218" t="str">
        <f t="shared" si="1"/>
        <v>none</v>
      </c>
      <c r="Q31" s="155"/>
      <c r="R31" s="219" t="str">
        <f t="shared" si="2"/>
        <v>none</v>
      </c>
      <c r="S31" s="155"/>
      <c r="T31" s="218" t="str">
        <f t="shared" si="3"/>
        <v>none</v>
      </c>
      <c r="U31" s="155"/>
      <c r="V31" s="215" t="s">
        <v>284</v>
      </c>
      <c r="W31" s="155"/>
      <c r="X31" s="215" t="s">
        <v>285</v>
      </c>
      <c r="Y31" s="155"/>
      <c r="Z31" s="216"/>
      <c r="AA31" s="155"/>
      <c r="AB31" s="220" t="str">
        <f t="shared" si="4"/>
        <v>none</v>
      </c>
      <c r="AC31" s="155"/>
      <c r="AD31" s="215">
        <v>1.0</v>
      </c>
      <c r="AE31" s="155"/>
      <c r="AF31" s="220" t="str">
        <f t="shared" si="5"/>
        <v>none</v>
      </c>
      <c r="AG31" s="155"/>
      <c r="AH31" s="215">
        <v>1.0</v>
      </c>
      <c r="AI31" s="155"/>
      <c r="AJ31" s="221" t="str">
        <f t="shared" si="6"/>
        <v>none</v>
      </c>
      <c r="AK31" s="155"/>
      <c r="AL31" s="221" t="str">
        <f t="shared" si="7"/>
        <v>none</v>
      </c>
      <c r="AM31" s="155"/>
      <c r="AN31" s="222" t="str">
        <f t="shared" si="8"/>
        <v>攻撃力に数値を入力</v>
      </c>
      <c r="AO31" s="155"/>
      <c r="AP31" s="216"/>
      <c r="AQ31" s="154"/>
      <c r="AR31" s="154"/>
      <c r="AS31" s="155"/>
      <c r="AT31" s="223" t="str">
        <f t="shared" si="9"/>
        <v>none</v>
      </c>
      <c r="AU31" s="154"/>
      <c r="AV31" s="154"/>
      <c r="AW31" s="154"/>
      <c r="AX31" s="155"/>
      <c r="AY31" s="224" t="str">
        <f t="shared" si="10"/>
        <v>none</v>
      </c>
      <c r="AZ31" s="155"/>
      <c r="BA31" s="224" t="str">
        <f t="shared" si="11"/>
        <v>none</v>
      </c>
      <c r="BB31" s="155"/>
      <c r="BC31" s="218" t="str">
        <f t="shared" si="12"/>
        <v>none</v>
      </c>
      <c r="BD31" s="155"/>
      <c r="BE31" s="220" t="str">
        <f t="shared" si="13"/>
        <v>none</v>
      </c>
      <c r="BF31" s="155"/>
      <c r="BG31" s="220" t="str">
        <f t="shared" si="14"/>
        <v>none</v>
      </c>
      <c r="BH31" s="155"/>
      <c r="BI31" s="220" t="str">
        <f t="shared" si="15"/>
        <v>none</v>
      </c>
      <c r="BJ31" s="155"/>
      <c r="BK31" s="220" t="str">
        <f t="shared" si="16"/>
        <v>none</v>
      </c>
      <c r="BL31" s="155"/>
      <c r="BM31" s="225" t="str">
        <f t="shared" si="17"/>
        <v>none</v>
      </c>
      <c r="BN31" s="155"/>
      <c r="BO31" s="220" t="str">
        <f t="shared" si="18"/>
        <v>none</v>
      </c>
      <c r="BP31" s="155"/>
      <c r="BQ31" s="220" t="str">
        <f t="shared" si="19"/>
        <v>none</v>
      </c>
      <c r="BR31" s="155"/>
      <c r="BS31" s="216"/>
      <c r="BT31" s="155"/>
      <c r="BU31" s="216"/>
      <c r="BV31" s="155"/>
      <c r="BW31" s="183"/>
      <c r="BX31" s="155"/>
      <c r="BY31" s="216"/>
      <c r="BZ31" s="155"/>
      <c r="CA31" s="215" t="s">
        <v>286</v>
      </c>
      <c r="CB31" s="154"/>
      <c r="CC31" s="154"/>
      <c r="CD31" s="155"/>
      <c r="CE31" s="227"/>
      <c r="CF31" s="155"/>
      <c r="CG31" s="227"/>
      <c r="CH31" s="155"/>
      <c r="CI31" s="227"/>
      <c r="CJ31" s="155"/>
      <c r="CK31" s="227"/>
      <c r="CL31" s="155"/>
      <c r="CM31" s="226" t="s">
        <v>287</v>
      </c>
      <c r="CN31" s="155"/>
      <c r="CO31" s="216"/>
      <c r="CP31" s="155"/>
      <c r="CQ31" s="215" t="s">
        <v>287</v>
      </c>
      <c r="CR31" s="154"/>
      <c r="CS31" s="154"/>
      <c r="CT31" s="155"/>
      <c r="CU31" s="227"/>
      <c r="CV31" s="155"/>
      <c r="CW31" s="215" t="s">
        <v>287</v>
      </c>
      <c r="CX31" s="154"/>
      <c r="CY31" s="154"/>
      <c r="CZ31" s="155"/>
      <c r="DA31" s="227"/>
      <c r="DB31" s="155"/>
      <c r="DC31" s="215" t="s">
        <v>287</v>
      </c>
      <c r="DD31" s="154"/>
      <c r="DE31" s="154"/>
      <c r="DF31" s="155"/>
      <c r="DG31" s="227"/>
      <c r="DH31" s="155"/>
      <c r="DI31" s="227"/>
      <c r="DJ31" s="155"/>
      <c r="DK31" s="226" t="b">
        <v>0</v>
      </c>
      <c r="DL31" s="155"/>
      <c r="DM31" s="228" t="s">
        <v>287</v>
      </c>
      <c r="DN31" s="154"/>
      <c r="DO31" s="154"/>
      <c r="DP31" s="155"/>
      <c r="DQ31" s="227"/>
      <c r="DR31" s="155"/>
      <c r="DS31" s="216"/>
      <c r="DT31" s="154"/>
      <c r="DU31" s="154"/>
      <c r="DV31" s="154"/>
      <c r="DW31" s="155"/>
      <c r="DX31" s="28"/>
      <c r="DY31" s="135"/>
      <c r="DZ31" s="28"/>
      <c r="EA31" s="229" t="str">
        <f t="shared" si="20"/>
        <v/>
      </c>
      <c r="EB31" s="229" t="str">
        <f t="shared" si="21"/>
        <v/>
      </c>
      <c r="EC31" s="229" t="str">
        <f t="shared" si="22"/>
        <v/>
      </c>
      <c r="ED31" s="229" t="str">
        <f t="shared" si="23"/>
        <v>未入力</v>
      </c>
      <c r="EE31" s="229" t="str">
        <f t="shared" si="24"/>
        <v/>
      </c>
      <c r="EF31" s="229" t="str">
        <f t="shared" si="25"/>
        <v>SummonEnemy</v>
      </c>
      <c r="EG31" s="229" t="str">
        <f t="shared" si="26"/>
        <v/>
      </c>
      <c r="EH31" s="229"/>
      <c r="EI31" s="229" t="str">
        <f t="shared" si="27"/>
        <v/>
      </c>
      <c r="EJ31" s="229" t="str">
        <f t="shared" si="28"/>
        <v/>
      </c>
      <c r="EK31" s="229" t="str">
        <f t="shared" si="29"/>
        <v>None</v>
      </c>
      <c r="EL31" s="229" t="str">
        <f t="shared" si="30"/>
        <v/>
      </c>
      <c r="EM31" s="229" t="str">
        <f t="shared" si="31"/>
        <v>None</v>
      </c>
      <c r="EN31" s="229" t="str">
        <f t="shared" si="32"/>
        <v/>
      </c>
      <c r="EO31" s="229" t="str">
        <f t="shared" si="33"/>
        <v>None</v>
      </c>
      <c r="EP31" s="229" t="str">
        <f t="shared" si="34"/>
        <v/>
      </c>
      <c r="EQ31" s="229" t="str">
        <f t="shared" si="35"/>
        <v>None</v>
      </c>
      <c r="ER31" s="229" t="str">
        <f t="shared" si="36"/>
        <v/>
      </c>
      <c r="ES31" s="229" t="str">
        <f t="shared" si="37"/>
        <v/>
      </c>
      <c r="ET31" s="229" t="b">
        <f t="shared" si="38"/>
        <v>0</v>
      </c>
      <c r="EU31" s="229"/>
      <c r="EV31" s="229" t="str">
        <f t="shared" si="39"/>
        <v>Default</v>
      </c>
      <c r="EW31" s="229" t="str">
        <f t="shared" si="40"/>
        <v>Normal</v>
      </c>
      <c r="EX31" s="229">
        <f t="shared" si="41"/>
        <v>1</v>
      </c>
      <c r="EY31" s="229">
        <f t="shared" si="42"/>
        <v>1</v>
      </c>
      <c r="EZ31" s="229" t="str">
        <f t="shared" si="43"/>
        <v>1</v>
      </c>
      <c r="FA31" s="229" t="str">
        <f t="shared" si="44"/>
        <v/>
      </c>
      <c r="FB31" s="230">
        <v>0.0</v>
      </c>
      <c r="FC31" s="229" t="str">
        <f t="shared" si="45"/>
        <v/>
      </c>
      <c r="FD31" s="229" t="str">
        <f t="shared" si="46"/>
        <v>None</v>
      </c>
      <c r="FE31" s="229" t="str">
        <f t="shared" si="47"/>
        <v/>
      </c>
      <c r="FF31" s="28"/>
      <c r="FG31" s="28"/>
    </row>
    <row r="32">
      <c r="A32" s="28"/>
      <c r="B32" s="215"/>
      <c r="C32" s="155"/>
      <c r="D32" s="216"/>
      <c r="E32" s="155"/>
      <c r="F32" s="216"/>
      <c r="G32" s="155"/>
      <c r="H32" s="217"/>
      <c r="I32" s="154"/>
      <c r="J32" s="154"/>
      <c r="K32" s="155"/>
      <c r="L32" s="218" t="str">
        <f t="shared" si="48"/>
        <v>none</v>
      </c>
      <c r="M32" s="154"/>
      <c r="N32" s="154"/>
      <c r="O32" s="155"/>
      <c r="P32" s="218" t="str">
        <f t="shared" si="1"/>
        <v>none</v>
      </c>
      <c r="Q32" s="155"/>
      <c r="R32" s="219" t="str">
        <f t="shared" si="2"/>
        <v>none</v>
      </c>
      <c r="S32" s="155"/>
      <c r="T32" s="218" t="str">
        <f t="shared" si="3"/>
        <v>none</v>
      </c>
      <c r="U32" s="155"/>
      <c r="V32" s="215" t="s">
        <v>284</v>
      </c>
      <c r="W32" s="155"/>
      <c r="X32" s="215" t="s">
        <v>285</v>
      </c>
      <c r="Y32" s="155"/>
      <c r="Z32" s="216"/>
      <c r="AA32" s="155"/>
      <c r="AB32" s="220" t="str">
        <f t="shared" si="4"/>
        <v>none</v>
      </c>
      <c r="AC32" s="155"/>
      <c r="AD32" s="215">
        <v>1.0</v>
      </c>
      <c r="AE32" s="155"/>
      <c r="AF32" s="220" t="str">
        <f t="shared" si="5"/>
        <v>none</v>
      </c>
      <c r="AG32" s="155"/>
      <c r="AH32" s="215">
        <v>1.0</v>
      </c>
      <c r="AI32" s="155"/>
      <c r="AJ32" s="221" t="str">
        <f t="shared" si="6"/>
        <v>none</v>
      </c>
      <c r="AK32" s="155"/>
      <c r="AL32" s="221" t="str">
        <f t="shared" si="7"/>
        <v>none</v>
      </c>
      <c r="AM32" s="155"/>
      <c r="AN32" s="222" t="str">
        <f t="shared" si="8"/>
        <v>攻撃力に数値を入力</v>
      </c>
      <c r="AO32" s="155"/>
      <c r="AP32" s="216"/>
      <c r="AQ32" s="154"/>
      <c r="AR32" s="154"/>
      <c r="AS32" s="155"/>
      <c r="AT32" s="223" t="str">
        <f t="shared" si="9"/>
        <v>none</v>
      </c>
      <c r="AU32" s="154"/>
      <c r="AV32" s="154"/>
      <c r="AW32" s="154"/>
      <c r="AX32" s="155"/>
      <c r="AY32" s="224" t="str">
        <f t="shared" si="10"/>
        <v>none</v>
      </c>
      <c r="AZ32" s="155"/>
      <c r="BA32" s="224" t="str">
        <f t="shared" si="11"/>
        <v>none</v>
      </c>
      <c r="BB32" s="155"/>
      <c r="BC32" s="218" t="str">
        <f t="shared" si="12"/>
        <v>none</v>
      </c>
      <c r="BD32" s="155"/>
      <c r="BE32" s="220" t="str">
        <f t="shared" si="13"/>
        <v>none</v>
      </c>
      <c r="BF32" s="155"/>
      <c r="BG32" s="220" t="str">
        <f t="shared" si="14"/>
        <v>none</v>
      </c>
      <c r="BH32" s="155"/>
      <c r="BI32" s="220" t="str">
        <f t="shared" si="15"/>
        <v>none</v>
      </c>
      <c r="BJ32" s="155"/>
      <c r="BK32" s="220" t="str">
        <f t="shared" si="16"/>
        <v>none</v>
      </c>
      <c r="BL32" s="155"/>
      <c r="BM32" s="225" t="str">
        <f t="shared" si="17"/>
        <v>none</v>
      </c>
      <c r="BN32" s="155"/>
      <c r="BO32" s="220" t="str">
        <f t="shared" si="18"/>
        <v>none</v>
      </c>
      <c r="BP32" s="155"/>
      <c r="BQ32" s="220" t="str">
        <f t="shared" si="19"/>
        <v>none</v>
      </c>
      <c r="BR32" s="155"/>
      <c r="BS32" s="216"/>
      <c r="BT32" s="155"/>
      <c r="BU32" s="216"/>
      <c r="BV32" s="155"/>
      <c r="BW32" s="183"/>
      <c r="BX32" s="155"/>
      <c r="BY32" s="216"/>
      <c r="BZ32" s="155"/>
      <c r="CA32" s="215" t="s">
        <v>286</v>
      </c>
      <c r="CB32" s="154"/>
      <c r="CC32" s="154"/>
      <c r="CD32" s="155"/>
      <c r="CE32" s="227"/>
      <c r="CF32" s="155"/>
      <c r="CG32" s="227"/>
      <c r="CH32" s="155"/>
      <c r="CI32" s="227"/>
      <c r="CJ32" s="155"/>
      <c r="CK32" s="227"/>
      <c r="CL32" s="155"/>
      <c r="CM32" s="226" t="s">
        <v>287</v>
      </c>
      <c r="CN32" s="155"/>
      <c r="CO32" s="216"/>
      <c r="CP32" s="155"/>
      <c r="CQ32" s="215" t="s">
        <v>287</v>
      </c>
      <c r="CR32" s="154"/>
      <c r="CS32" s="154"/>
      <c r="CT32" s="155"/>
      <c r="CU32" s="227"/>
      <c r="CV32" s="155"/>
      <c r="CW32" s="215" t="s">
        <v>287</v>
      </c>
      <c r="CX32" s="154"/>
      <c r="CY32" s="154"/>
      <c r="CZ32" s="155"/>
      <c r="DA32" s="227"/>
      <c r="DB32" s="155"/>
      <c r="DC32" s="215" t="s">
        <v>287</v>
      </c>
      <c r="DD32" s="154"/>
      <c r="DE32" s="154"/>
      <c r="DF32" s="155"/>
      <c r="DG32" s="227"/>
      <c r="DH32" s="155"/>
      <c r="DI32" s="227"/>
      <c r="DJ32" s="155"/>
      <c r="DK32" s="226" t="b">
        <v>0</v>
      </c>
      <c r="DL32" s="155"/>
      <c r="DM32" s="228" t="s">
        <v>287</v>
      </c>
      <c r="DN32" s="154"/>
      <c r="DO32" s="154"/>
      <c r="DP32" s="155"/>
      <c r="DQ32" s="227"/>
      <c r="DR32" s="155"/>
      <c r="DS32" s="216"/>
      <c r="DT32" s="154"/>
      <c r="DU32" s="154"/>
      <c r="DV32" s="154"/>
      <c r="DW32" s="155"/>
      <c r="DX32" s="28"/>
      <c r="DY32" s="135"/>
      <c r="DZ32" s="28"/>
      <c r="EA32" s="231" t="str">
        <f t="shared" si="20"/>
        <v/>
      </c>
      <c r="EB32" s="231" t="str">
        <f t="shared" si="21"/>
        <v/>
      </c>
      <c r="EC32" s="231" t="str">
        <f t="shared" si="22"/>
        <v/>
      </c>
      <c r="ED32" s="231" t="str">
        <f t="shared" si="23"/>
        <v>未入力</v>
      </c>
      <c r="EE32" s="231" t="str">
        <f t="shared" si="24"/>
        <v/>
      </c>
      <c r="EF32" s="231" t="str">
        <f t="shared" si="25"/>
        <v>SummonEnemy</v>
      </c>
      <c r="EG32" s="231" t="str">
        <f t="shared" si="26"/>
        <v/>
      </c>
      <c r="EH32" s="231"/>
      <c r="EI32" s="231" t="str">
        <f t="shared" si="27"/>
        <v/>
      </c>
      <c r="EJ32" s="231" t="str">
        <f t="shared" si="28"/>
        <v/>
      </c>
      <c r="EK32" s="231" t="str">
        <f t="shared" si="29"/>
        <v>None</v>
      </c>
      <c r="EL32" s="231" t="str">
        <f t="shared" si="30"/>
        <v/>
      </c>
      <c r="EM32" s="231" t="str">
        <f t="shared" si="31"/>
        <v>None</v>
      </c>
      <c r="EN32" s="231" t="str">
        <f t="shared" si="32"/>
        <v/>
      </c>
      <c r="EO32" s="231" t="str">
        <f t="shared" si="33"/>
        <v>None</v>
      </c>
      <c r="EP32" s="231" t="str">
        <f t="shared" si="34"/>
        <v/>
      </c>
      <c r="EQ32" s="231" t="str">
        <f t="shared" si="35"/>
        <v>None</v>
      </c>
      <c r="ER32" s="231" t="str">
        <f t="shared" si="36"/>
        <v/>
      </c>
      <c r="ES32" s="231" t="str">
        <f t="shared" si="37"/>
        <v/>
      </c>
      <c r="ET32" s="231" t="b">
        <f t="shared" si="38"/>
        <v>0</v>
      </c>
      <c r="EU32" s="231"/>
      <c r="EV32" s="231" t="str">
        <f t="shared" si="39"/>
        <v>Default</v>
      </c>
      <c r="EW32" s="231" t="str">
        <f t="shared" si="40"/>
        <v>Normal</v>
      </c>
      <c r="EX32" s="231">
        <f t="shared" si="41"/>
        <v>1</v>
      </c>
      <c r="EY32" s="231">
        <f t="shared" si="42"/>
        <v>1</v>
      </c>
      <c r="EZ32" s="231" t="str">
        <f t="shared" si="43"/>
        <v>1</v>
      </c>
      <c r="FA32" s="231" t="str">
        <f t="shared" si="44"/>
        <v/>
      </c>
      <c r="FB32" s="231">
        <v>0.0</v>
      </c>
      <c r="FC32" s="231" t="str">
        <f t="shared" si="45"/>
        <v/>
      </c>
      <c r="FD32" s="231" t="str">
        <f t="shared" si="46"/>
        <v>None</v>
      </c>
      <c r="FE32" s="231" t="str">
        <f t="shared" si="47"/>
        <v/>
      </c>
      <c r="FF32" s="28"/>
      <c r="FG32" s="28"/>
    </row>
    <row r="33">
      <c r="A33" s="28"/>
      <c r="B33" s="215"/>
      <c r="C33" s="155"/>
      <c r="D33" s="216"/>
      <c r="E33" s="155"/>
      <c r="F33" s="216"/>
      <c r="G33" s="155"/>
      <c r="H33" s="217"/>
      <c r="I33" s="154"/>
      <c r="J33" s="154"/>
      <c r="K33" s="155"/>
      <c r="L33" s="218" t="str">
        <f t="shared" si="48"/>
        <v>none</v>
      </c>
      <c r="M33" s="154"/>
      <c r="N33" s="154"/>
      <c r="O33" s="155"/>
      <c r="P33" s="218" t="str">
        <f t="shared" si="1"/>
        <v>none</v>
      </c>
      <c r="Q33" s="155"/>
      <c r="R33" s="219" t="str">
        <f t="shared" si="2"/>
        <v>none</v>
      </c>
      <c r="S33" s="155"/>
      <c r="T33" s="218" t="str">
        <f t="shared" si="3"/>
        <v>none</v>
      </c>
      <c r="U33" s="155"/>
      <c r="V33" s="215" t="s">
        <v>284</v>
      </c>
      <c r="W33" s="155"/>
      <c r="X33" s="215" t="s">
        <v>285</v>
      </c>
      <c r="Y33" s="155"/>
      <c r="Z33" s="216"/>
      <c r="AA33" s="155"/>
      <c r="AB33" s="220" t="str">
        <f t="shared" si="4"/>
        <v>none</v>
      </c>
      <c r="AC33" s="155"/>
      <c r="AD33" s="215">
        <v>1.0</v>
      </c>
      <c r="AE33" s="155"/>
      <c r="AF33" s="220" t="str">
        <f t="shared" si="5"/>
        <v>none</v>
      </c>
      <c r="AG33" s="155"/>
      <c r="AH33" s="215">
        <v>1.0</v>
      </c>
      <c r="AI33" s="155"/>
      <c r="AJ33" s="221" t="str">
        <f t="shared" si="6"/>
        <v>none</v>
      </c>
      <c r="AK33" s="155"/>
      <c r="AL33" s="221" t="str">
        <f t="shared" si="7"/>
        <v>none</v>
      </c>
      <c r="AM33" s="155"/>
      <c r="AN33" s="222" t="str">
        <f t="shared" si="8"/>
        <v>攻撃力に数値を入力</v>
      </c>
      <c r="AO33" s="155"/>
      <c r="AP33" s="216"/>
      <c r="AQ33" s="154"/>
      <c r="AR33" s="154"/>
      <c r="AS33" s="155"/>
      <c r="AT33" s="223" t="str">
        <f t="shared" si="9"/>
        <v>none</v>
      </c>
      <c r="AU33" s="154"/>
      <c r="AV33" s="154"/>
      <c r="AW33" s="154"/>
      <c r="AX33" s="155"/>
      <c r="AY33" s="224" t="str">
        <f t="shared" si="10"/>
        <v>none</v>
      </c>
      <c r="AZ33" s="155"/>
      <c r="BA33" s="224" t="str">
        <f t="shared" si="11"/>
        <v>none</v>
      </c>
      <c r="BB33" s="155"/>
      <c r="BC33" s="218" t="str">
        <f t="shared" si="12"/>
        <v>none</v>
      </c>
      <c r="BD33" s="155"/>
      <c r="BE33" s="220" t="str">
        <f t="shared" si="13"/>
        <v>none</v>
      </c>
      <c r="BF33" s="155"/>
      <c r="BG33" s="220" t="str">
        <f t="shared" si="14"/>
        <v>none</v>
      </c>
      <c r="BH33" s="155"/>
      <c r="BI33" s="220" t="str">
        <f t="shared" si="15"/>
        <v>none</v>
      </c>
      <c r="BJ33" s="155"/>
      <c r="BK33" s="220" t="str">
        <f t="shared" si="16"/>
        <v>none</v>
      </c>
      <c r="BL33" s="155"/>
      <c r="BM33" s="225" t="str">
        <f t="shared" si="17"/>
        <v>none</v>
      </c>
      <c r="BN33" s="155"/>
      <c r="BO33" s="220" t="str">
        <f t="shared" si="18"/>
        <v>none</v>
      </c>
      <c r="BP33" s="155"/>
      <c r="BQ33" s="220" t="str">
        <f t="shared" si="19"/>
        <v>none</v>
      </c>
      <c r="BR33" s="155"/>
      <c r="BS33" s="216"/>
      <c r="BT33" s="155"/>
      <c r="BU33" s="216"/>
      <c r="BV33" s="155"/>
      <c r="BW33" s="183"/>
      <c r="BX33" s="155"/>
      <c r="BY33" s="216"/>
      <c r="BZ33" s="155"/>
      <c r="CA33" s="215" t="s">
        <v>286</v>
      </c>
      <c r="CB33" s="154"/>
      <c r="CC33" s="154"/>
      <c r="CD33" s="155"/>
      <c r="CE33" s="227"/>
      <c r="CF33" s="155"/>
      <c r="CG33" s="227"/>
      <c r="CH33" s="155"/>
      <c r="CI33" s="227"/>
      <c r="CJ33" s="155"/>
      <c r="CK33" s="227"/>
      <c r="CL33" s="155"/>
      <c r="CM33" s="226" t="s">
        <v>287</v>
      </c>
      <c r="CN33" s="155"/>
      <c r="CO33" s="216"/>
      <c r="CP33" s="155"/>
      <c r="CQ33" s="215" t="s">
        <v>287</v>
      </c>
      <c r="CR33" s="154"/>
      <c r="CS33" s="154"/>
      <c r="CT33" s="155"/>
      <c r="CU33" s="227"/>
      <c r="CV33" s="155"/>
      <c r="CW33" s="215" t="s">
        <v>287</v>
      </c>
      <c r="CX33" s="154"/>
      <c r="CY33" s="154"/>
      <c r="CZ33" s="155"/>
      <c r="DA33" s="227"/>
      <c r="DB33" s="155"/>
      <c r="DC33" s="215" t="s">
        <v>287</v>
      </c>
      <c r="DD33" s="154"/>
      <c r="DE33" s="154"/>
      <c r="DF33" s="155"/>
      <c r="DG33" s="227"/>
      <c r="DH33" s="155"/>
      <c r="DI33" s="227"/>
      <c r="DJ33" s="155"/>
      <c r="DK33" s="226" t="b">
        <v>0</v>
      </c>
      <c r="DL33" s="155"/>
      <c r="DM33" s="228" t="s">
        <v>287</v>
      </c>
      <c r="DN33" s="154"/>
      <c r="DO33" s="154"/>
      <c r="DP33" s="155"/>
      <c r="DQ33" s="227"/>
      <c r="DR33" s="155"/>
      <c r="DS33" s="216"/>
      <c r="DT33" s="154"/>
      <c r="DU33" s="154"/>
      <c r="DV33" s="154"/>
      <c r="DW33" s="155"/>
      <c r="DX33" s="28"/>
      <c r="DY33" s="135"/>
      <c r="DZ33" s="28"/>
      <c r="EA33" s="229" t="str">
        <f t="shared" si="20"/>
        <v/>
      </c>
      <c r="EB33" s="229" t="str">
        <f t="shared" si="21"/>
        <v/>
      </c>
      <c r="EC33" s="229" t="str">
        <f t="shared" si="22"/>
        <v/>
      </c>
      <c r="ED33" s="229" t="str">
        <f t="shared" si="23"/>
        <v>未入力</v>
      </c>
      <c r="EE33" s="229" t="str">
        <f t="shared" si="24"/>
        <v/>
      </c>
      <c r="EF33" s="229" t="str">
        <f t="shared" si="25"/>
        <v>SummonEnemy</v>
      </c>
      <c r="EG33" s="229" t="str">
        <f t="shared" si="26"/>
        <v/>
      </c>
      <c r="EH33" s="229"/>
      <c r="EI33" s="229" t="str">
        <f t="shared" si="27"/>
        <v/>
      </c>
      <c r="EJ33" s="229" t="str">
        <f t="shared" si="28"/>
        <v/>
      </c>
      <c r="EK33" s="229" t="str">
        <f t="shared" si="29"/>
        <v>None</v>
      </c>
      <c r="EL33" s="229" t="str">
        <f t="shared" si="30"/>
        <v/>
      </c>
      <c r="EM33" s="229" t="str">
        <f t="shared" si="31"/>
        <v>None</v>
      </c>
      <c r="EN33" s="229" t="str">
        <f t="shared" si="32"/>
        <v/>
      </c>
      <c r="EO33" s="229" t="str">
        <f t="shared" si="33"/>
        <v>None</v>
      </c>
      <c r="EP33" s="229" t="str">
        <f t="shared" si="34"/>
        <v/>
      </c>
      <c r="EQ33" s="229" t="str">
        <f t="shared" si="35"/>
        <v>None</v>
      </c>
      <c r="ER33" s="229" t="str">
        <f t="shared" si="36"/>
        <v/>
      </c>
      <c r="ES33" s="229" t="str">
        <f t="shared" si="37"/>
        <v/>
      </c>
      <c r="ET33" s="229" t="b">
        <f t="shared" si="38"/>
        <v>0</v>
      </c>
      <c r="EU33" s="229"/>
      <c r="EV33" s="229" t="str">
        <f t="shared" si="39"/>
        <v>Default</v>
      </c>
      <c r="EW33" s="229" t="str">
        <f t="shared" si="40"/>
        <v>Normal</v>
      </c>
      <c r="EX33" s="229">
        <f t="shared" si="41"/>
        <v>1</v>
      </c>
      <c r="EY33" s="229">
        <f t="shared" si="42"/>
        <v>1</v>
      </c>
      <c r="EZ33" s="229" t="str">
        <f t="shared" si="43"/>
        <v>1</v>
      </c>
      <c r="FA33" s="229" t="str">
        <f t="shared" si="44"/>
        <v/>
      </c>
      <c r="FB33" s="230">
        <v>0.0</v>
      </c>
      <c r="FC33" s="229" t="str">
        <f t="shared" si="45"/>
        <v/>
      </c>
      <c r="FD33" s="229" t="str">
        <f t="shared" si="46"/>
        <v>None</v>
      </c>
      <c r="FE33" s="229" t="str">
        <f t="shared" si="47"/>
        <v/>
      </c>
      <c r="FF33" s="28"/>
      <c r="FG33" s="28"/>
    </row>
    <row r="34">
      <c r="A34" s="28"/>
      <c r="B34" s="215"/>
      <c r="C34" s="155"/>
      <c r="D34" s="216"/>
      <c r="E34" s="155"/>
      <c r="F34" s="216"/>
      <c r="G34" s="155"/>
      <c r="H34" s="217"/>
      <c r="I34" s="154"/>
      <c r="J34" s="154"/>
      <c r="K34" s="155"/>
      <c r="L34" s="218" t="str">
        <f t="shared" si="48"/>
        <v>none</v>
      </c>
      <c r="M34" s="154"/>
      <c r="N34" s="154"/>
      <c r="O34" s="155"/>
      <c r="P34" s="218" t="str">
        <f t="shared" si="1"/>
        <v>none</v>
      </c>
      <c r="Q34" s="155"/>
      <c r="R34" s="219" t="str">
        <f t="shared" si="2"/>
        <v>none</v>
      </c>
      <c r="S34" s="155"/>
      <c r="T34" s="218" t="str">
        <f t="shared" si="3"/>
        <v>none</v>
      </c>
      <c r="U34" s="155"/>
      <c r="V34" s="215" t="s">
        <v>284</v>
      </c>
      <c r="W34" s="155"/>
      <c r="X34" s="215" t="s">
        <v>285</v>
      </c>
      <c r="Y34" s="155"/>
      <c r="Z34" s="216"/>
      <c r="AA34" s="155"/>
      <c r="AB34" s="220" t="str">
        <f t="shared" si="4"/>
        <v>none</v>
      </c>
      <c r="AC34" s="155"/>
      <c r="AD34" s="215">
        <v>1.0</v>
      </c>
      <c r="AE34" s="155"/>
      <c r="AF34" s="220" t="str">
        <f t="shared" si="5"/>
        <v>none</v>
      </c>
      <c r="AG34" s="155"/>
      <c r="AH34" s="215">
        <v>1.0</v>
      </c>
      <c r="AI34" s="155"/>
      <c r="AJ34" s="221" t="str">
        <f t="shared" si="6"/>
        <v>none</v>
      </c>
      <c r="AK34" s="155"/>
      <c r="AL34" s="221" t="str">
        <f t="shared" si="7"/>
        <v>none</v>
      </c>
      <c r="AM34" s="155"/>
      <c r="AN34" s="222" t="str">
        <f t="shared" si="8"/>
        <v>攻撃力に数値を入力</v>
      </c>
      <c r="AO34" s="155"/>
      <c r="AP34" s="216"/>
      <c r="AQ34" s="154"/>
      <c r="AR34" s="154"/>
      <c r="AS34" s="155"/>
      <c r="AT34" s="223" t="str">
        <f t="shared" si="9"/>
        <v>none</v>
      </c>
      <c r="AU34" s="154"/>
      <c r="AV34" s="154"/>
      <c r="AW34" s="154"/>
      <c r="AX34" s="155"/>
      <c r="AY34" s="224" t="str">
        <f t="shared" si="10"/>
        <v>none</v>
      </c>
      <c r="AZ34" s="155"/>
      <c r="BA34" s="224" t="str">
        <f t="shared" si="11"/>
        <v>none</v>
      </c>
      <c r="BB34" s="155"/>
      <c r="BC34" s="218" t="str">
        <f t="shared" si="12"/>
        <v>none</v>
      </c>
      <c r="BD34" s="155"/>
      <c r="BE34" s="220" t="str">
        <f t="shared" si="13"/>
        <v>none</v>
      </c>
      <c r="BF34" s="155"/>
      <c r="BG34" s="220" t="str">
        <f t="shared" si="14"/>
        <v>none</v>
      </c>
      <c r="BH34" s="155"/>
      <c r="BI34" s="220" t="str">
        <f t="shared" si="15"/>
        <v>none</v>
      </c>
      <c r="BJ34" s="155"/>
      <c r="BK34" s="220" t="str">
        <f t="shared" si="16"/>
        <v>none</v>
      </c>
      <c r="BL34" s="155"/>
      <c r="BM34" s="225" t="str">
        <f t="shared" si="17"/>
        <v>none</v>
      </c>
      <c r="BN34" s="155"/>
      <c r="BO34" s="220" t="str">
        <f t="shared" si="18"/>
        <v>none</v>
      </c>
      <c r="BP34" s="155"/>
      <c r="BQ34" s="220" t="str">
        <f t="shared" si="19"/>
        <v>none</v>
      </c>
      <c r="BR34" s="155"/>
      <c r="BS34" s="216"/>
      <c r="BT34" s="155"/>
      <c r="BU34" s="216"/>
      <c r="BV34" s="155"/>
      <c r="BW34" s="183"/>
      <c r="BX34" s="155"/>
      <c r="BY34" s="216"/>
      <c r="BZ34" s="155"/>
      <c r="CA34" s="215" t="s">
        <v>286</v>
      </c>
      <c r="CB34" s="154"/>
      <c r="CC34" s="154"/>
      <c r="CD34" s="155"/>
      <c r="CE34" s="227"/>
      <c r="CF34" s="155"/>
      <c r="CG34" s="227"/>
      <c r="CH34" s="155"/>
      <c r="CI34" s="227"/>
      <c r="CJ34" s="155"/>
      <c r="CK34" s="227"/>
      <c r="CL34" s="155"/>
      <c r="CM34" s="226" t="s">
        <v>287</v>
      </c>
      <c r="CN34" s="155"/>
      <c r="CO34" s="216"/>
      <c r="CP34" s="155"/>
      <c r="CQ34" s="215" t="s">
        <v>287</v>
      </c>
      <c r="CR34" s="154"/>
      <c r="CS34" s="154"/>
      <c r="CT34" s="155"/>
      <c r="CU34" s="227"/>
      <c r="CV34" s="155"/>
      <c r="CW34" s="215" t="s">
        <v>287</v>
      </c>
      <c r="CX34" s="154"/>
      <c r="CY34" s="154"/>
      <c r="CZ34" s="155"/>
      <c r="DA34" s="227"/>
      <c r="DB34" s="155"/>
      <c r="DC34" s="215" t="s">
        <v>287</v>
      </c>
      <c r="DD34" s="154"/>
      <c r="DE34" s="154"/>
      <c r="DF34" s="155"/>
      <c r="DG34" s="227"/>
      <c r="DH34" s="155"/>
      <c r="DI34" s="227"/>
      <c r="DJ34" s="155"/>
      <c r="DK34" s="226" t="b">
        <v>0</v>
      </c>
      <c r="DL34" s="155"/>
      <c r="DM34" s="228" t="s">
        <v>287</v>
      </c>
      <c r="DN34" s="154"/>
      <c r="DO34" s="154"/>
      <c r="DP34" s="155"/>
      <c r="DQ34" s="227"/>
      <c r="DR34" s="155"/>
      <c r="DS34" s="216"/>
      <c r="DT34" s="154"/>
      <c r="DU34" s="154"/>
      <c r="DV34" s="154"/>
      <c r="DW34" s="155"/>
      <c r="DX34" s="28"/>
      <c r="DY34" s="135"/>
      <c r="DZ34" s="28"/>
      <c r="EA34" s="231" t="str">
        <f t="shared" si="20"/>
        <v/>
      </c>
      <c r="EB34" s="231" t="str">
        <f t="shared" si="21"/>
        <v/>
      </c>
      <c r="EC34" s="231" t="str">
        <f t="shared" si="22"/>
        <v/>
      </c>
      <c r="ED34" s="231" t="str">
        <f t="shared" si="23"/>
        <v>未入力</v>
      </c>
      <c r="EE34" s="231" t="str">
        <f t="shared" si="24"/>
        <v/>
      </c>
      <c r="EF34" s="231" t="str">
        <f t="shared" si="25"/>
        <v>SummonEnemy</v>
      </c>
      <c r="EG34" s="231" t="str">
        <f t="shared" si="26"/>
        <v/>
      </c>
      <c r="EH34" s="231"/>
      <c r="EI34" s="231" t="str">
        <f t="shared" si="27"/>
        <v/>
      </c>
      <c r="EJ34" s="231" t="str">
        <f t="shared" si="28"/>
        <v/>
      </c>
      <c r="EK34" s="231" t="str">
        <f t="shared" si="29"/>
        <v>None</v>
      </c>
      <c r="EL34" s="231" t="str">
        <f t="shared" si="30"/>
        <v/>
      </c>
      <c r="EM34" s="231" t="str">
        <f t="shared" si="31"/>
        <v>None</v>
      </c>
      <c r="EN34" s="231" t="str">
        <f t="shared" si="32"/>
        <v/>
      </c>
      <c r="EO34" s="231" t="str">
        <f t="shared" si="33"/>
        <v>None</v>
      </c>
      <c r="EP34" s="231" t="str">
        <f t="shared" si="34"/>
        <v/>
      </c>
      <c r="EQ34" s="231" t="str">
        <f t="shared" si="35"/>
        <v>None</v>
      </c>
      <c r="ER34" s="231" t="str">
        <f t="shared" si="36"/>
        <v/>
      </c>
      <c r="ES34" s="231" t="str">
        <f t="shared" si="37"/>
        <v/>
      </c>
      <c r="ET34" s="231" t="b">
        <f t="shared" si="38"/>
        <v>0</v>
      </c>
      <c r="EU34" s="231"/>
      <c r="EV34" s="231" t="str">
        <f t="shared" si="39"/>
        <v>Default</v>
      </c>
      <c r="EW34" s="231" t="str">
        <f t="shared" si="40"/>
        <v>Normal</v>
      </c>
      <c r="EX34" s="231">
        <f t="shared" si="41"/>
        <v>1</v>
      </c>
      <c r="EY34" s="231">
        <f t="shared" si="42"/>
        <v>1</v>
      </c>
      <c r="EZ34" s="231" t="str">
        <f t="shared" si="43"/>
        <v>1</v>
      </c>
      <c r="FA34" s="231" t="str">
        <f t="shared" si="44"/>
        <v/>
      </c>
      <c r="FB34" s="231">
        <v>0.0</v>
      </c>
      <c r="FC34" s="231" t="str">
        <f t="shared" si="45"/>
        <v/>
      </c>
      <c r="FD34" s="231" t="str">
        <f t="shared" si="46"/>
        <v>None</v>
      </c>
      <c r="FE34" s="231" t="str">
        <f t="shared" si="47"/>
        <v/>
      </c>
      <c r="FF34" s="28"/>
      <c r="FG34" s="28"/>
    </row>
    <row r="35">
      <c r="A35" s="28"/>
      <c r="B35" s="215"/>
      <c r="C35" s="155"/>
      <c r="D35" s="216"/>
      <c r="E35" s="155"/>
      <c r="F35" s="216"/>
      <c r="G35" s="155"/>
      <c r="H35" s="217"/>
      <c r="I35" s="154"/>
      <c r="J35" s="154"/>
      <c r="K35" s="155"/>
      <c r="L35" s="218" t="str">
        <f t="shared" si="48"/>
        <v>none</v>
      </c>
      <c r="M35" s="154"/>
      <c r="N35" s="154"/>
      <c r="O35" s="155"/>
      <c r="P35" s="218" t="str">
        <f t="shared" si="1"/>
        <v>none</v>
      </c>
      <c r="Q35" s="155"/>
      <c r="R35" s="219" t="str">
        <f t="shared" si="2"/>
        <v>none</v>
      </c>
      <c r="S35" s="155"/>
      <c r="T35" s="218" t="str">
        <f t="shared" si="3"/>
        <v>none</v>
      </c>
      <c r="U35" s="155"/>
      <c r="V35" s="215" t="s">
        <v>284</v>
      </c>
      <c r="W35" s="155"/>
      <c r="X35" s="215" t="s">
        <v>285</v>
      </c>
      <c r="Y35" s="155"/>
      <c r="Z35" s="216"/>
      <c r="AA35" s="155"/>
      <c r="AB35" s="220" t="str">
        <f t="shared" si="4"/>
        <v>none</v>
      </c>
      <c r="AC35" s="155"/>
      <c r="AD35" s="215">
        <v>1.0</v>
      </c>
      <c r="AE35" s="155"/>
      <c r="AF35" s="220" t="str">
        <f t="shared" si="5"/>
        <v>none</v>
      </c>
      <c r="AG35" s="155"/>
      <c r="AH35" s="215">
        <v>1.0</v>
      </c>
      <c r="AI35" s="155"/>
      <c r="AJ35" s="221" t="str">
        <f t="shared" si="6"/>
        <v>none</v>
      </c>
      <c r="AK35" s="155"/>
      <c r="AL35" s="221" t="str">
        <f t="shared" si="7"/>
        <v>none</v>
      </c>
      <c r="AM35" s="155"/>
      <c r="AN35" s="222" t="str">
        <f t="shared" si="8"/>
        <v>攻撃力に数値を入力</v>
      </c>
      <c r="AO35" s="155"/>
      <c r="AP35" s="216"/>
      <c r="AQ35" s="154"/>
      <c r="AR35" s="154"/>
      <c r="AS35" s="155"/>
      <c r="AT35" s="223" t="str">
        <f t="shared" si="9"/>
        <v>none</v>
      </c>
      <c r="AU35" s="154"/>
      <c r="AV35" s="154"/>
      <c r="AW35" s="154"/>
      <c r="AX35" s="155"/>
      <c r="AY35" s="224" t="str">
        <f t="shared" si="10"/>
        <v>none</v>
      </c>
      <c r="AZ35" s="155"/>
      <c r="BA35" s="224" t="str">
        <f t="shared" si="11"/>
        <v>none</v>
      </c>
      <c r="BB35" s="155"/>
      <c r="BC35" s="218" t="str">
        <f t="shared" si="12"/>
        <v>none</v>
      </c>
      <c r="BD35" s="155"/>
      <c r="BE35" s="220" t="str">
        <f t="shared" si="13"/>
        <v>none</v>
      </c>
      <c r="BF35" s="155"/>
      <c r="BG35" s="220" t="str">
        <f t="shared" si="14"/>
        <v>none</v>
      </c>
      <c r="BH35" s="155"/>
      <c r="BI35" s="220" t="str">
        <f t="shared" si="15"/>
        <v>none</v>
      </c>
      <c r="BJ35" s="155"/>
      <c r="BK35" s="220" t="str">
        <f t="shared" si="16"/>
        <v>none</v>
      </c>
      <c r="BL35" s="155"/>
      <c r="BM35" s="225" t="str">
        <f t="shared" si="17"/>
        <v>none</v>
      </c>
      <c r="BN35" s="155"/>
      <c r="BO35" s="220" t="str">
        <f t="shared" si="18"/>
        <v>none</v>
      </c>
      <c r="BP35" s="155"/>
      <c r="BQ35" s="220" t="str">
        <f t="shared" si="19"/>
        <v>none</v>
      </c>
      <c r="BR35" s="155"/>
      <c r="BS35" s="216"/>
      <c r="BT35" s="155"/>
      <c r="BU35" s="216"/>
      <c r="BV35" s="155"/>
      <c r="BW35" s="183"/>
      <c r="BX35" s="155"/>
      <c r="BY35" s="216"/>
      <c r="BZ35" s="155"/>
      <c r="CA35" s="215" t="s">
        <v>286</v>
      </c>
      <c r="CB35" s="154"/>
      <c r="CC35" s="154"/>
      <c r="CD35" s="155"/>
      <c r="CE35" s="227"/>
      <c r="CF35" s="155"/>
      <c r="CG35" s="227"/>
      <c r="CH35" s="155"/>
      <c r="CI35" s="227"/>
      <c r="CJ35" s="155"/>
      <c r="CK35" s="227"/>
      <c r="CL35" s="155"/>
      <c r="CM35" s="226" t="s">
        <v>287</v>
      </c>
      <c r="CN35" s="155"/>
      <c r="CO35" s="216"/>
      <c r="CP35" s="155"/>
      <c r="CQ35" s="215" t="s">
        <v>287</v>
      </c>
      <c r="CR35" s="154"/>
      <c r="CS35" s="154"/>
      <c r="CT35" s="155"/>
      <c r="CU35" s="227"/>
      <c r="CV35" s="155"/>
      <c r="CW35" s="215" t="s">
        <v>287</v>
      </c>
      <c r="CX35" s="154"/>
      <c r="CY35" s="154"/>
      <c r="CZ35" s="155"/>
      <c r="DA35" s="227"/>
      <c r="DB35" s="155"/>
      <c r="DC35" s="215" t="s">
        <v>287</v>
      </c>
      <c r="DD35" s="154"/>
      <c r="DE35" s="154"/>
      <c r="DF35" s="155"/>
      <c r="DG35" s="227"/>
      <c r="DH35" s="155"/>
      <c r="DI35" s="227"/>
      <c r="DJ35" s="155"/>
      <c r="DK35" s="226" t="b">
        <v>0</v>
      </c>
      <c r="DL35" s="155"/>
      <c r="DM35" s="228" t="s">
        <v>287</v>
      </c>
      <c r="DN35" s="154"/>
      <c r="DO35" s="154"/>
      <c r="DP35" s="155"/>
      <c r="DQ35" s="227"/>
      <c r="DR35" s="155"/>
      <c r="DS35" s="216"/>
      <c r="DT35" s="154"/>
      <c r="DU35" s="154"/>
      <c r="DV35" s="154"/>
      <c r="DW35" s="155"/>
      <c r="DX35" s="28"/>
      <c r="DY35" s="135"/>
      <c r="DZ35" s="28"/>
      <c r="EA35" s="229" t="str">
        <f t="shared" si="20"/>
        <v/>
      </c>
      <c r="EB35" s="229" t="str">
        <f t="shared" si="21"/>
        <v/>
      </c>
      <c r="EC35" s="229" t="str">
        <f t="shared" si="22"/>
        <v/>
      </c>
      <c r="ED35" s="229" t="str">
        <f t="shared" si="23"/>
        <v>未入力</v>
      </c>
      <c r="EE35" s="229" t="str">
        <f t="shared" si="24"/>
        <v/>
      </c>
      <c r="EF35" s="229" t="str">
        <f t="shared" si="25"/>
        <v>SummonEnemy</v>
      </c>
      <c r="EG35" s="229" t="str">
        <f t="shared" si="26"/>
        <v/>
      </c>
      <c r="EH35" s="229"/>
      <c r="EI35" s="229" t="str">
        <f t="shared" si="27"/>
        <v/>
      </c>
      <c r="EJ35" s="229" t="str">
        <f t="shared" si="28"/>
        <v/>
      </c>
      <c r="EK35" s="229" t="str">
        <f t="shared" si="29"/>
        <v>None</v>
      </c>
      <c r="EL35" s="229" t="str">
        <f t="shared" si="30"/>
        <v/>
      </c>
      <c r="EM35" s="229" t="str">
        <f t="shared" si="31"/>
        <v>None</v>
      </c>
      <c r="EN35" s="229" t="str">
        <f t="shared" si="32"/>
        <v/>
      </c>
      <c r="EO35" s="229" t="str">
        <f t="shared" si="33"/>
        <v>None</v>
      </c>
      <c r="EP35" s="229" t="str">
        <f t="shared" si="34"/>
        <v/>
      </c>
      <c r="EQ35" s="229" t="str">
        <f t="shared" si="35"/>
        <v>None</v>
      </c>
      <c r="ER35" s="229" t="str">
        <f t="shared" si="36"/>
        <v/>
      </c>
      <c r="ES35" s="229" t="str">
        <f t="shared" si="37"/>
        <v/>
      </c>
      <c r="ET35" s="229" t="b">
        <f t="shared" si="38"/>
        <v>0</v>
      </c>
      <c r="EU35" s="229"/>
      <c r="EV35" s="229" t="str">
        <f t="shared" si="39"/>
        <v>Default</v>
      </c>
      <c r="EW35" s="229" t="str">
        <f t="shared" si="40"/>
        <v>Normal</v>
      </c>
      <c r="EX35" s="229">
        <f t="shared" si="41"/>
        <v>1</v>
      </c>
      <c r="EY35" s="229">
        <f t="shared" si="42"/>
        <v>1</v>
      </c>
      <c r="EZ35" s="229" t="str">
        <f t="shared" si="43"/>
        <v>1</v>
      </c>
      <c r="FA35" s="229" t="str">
        <f t="shared" si="44"/>
        <v/>
      </c>
      <c r="FB35" s="230">
        <v>0.0</v>
      </c>
      <c r="FC35" s="229" t="str">
        <f t="shared" si="45"/>
        <v/>
      </c>
      <c r="FD35" s="229" t="str">
        <f t="shared" si="46"/>
        <v>None</v>
      </c>
      <c r="FE35" s="229" t="str">
        <f t="shared" si="47"/>
        <v/>
      </c>
      <c r="FF35" s="28"/>
      <c r="FG35" s="28"/>
    </row>
    <row r="36">
      <c r="A36" s="28"/>
      <c r="B36" s="215"/>
      <c r="C36" s="155"/>
      <c r="D36" s="216"/>
      <c r="E36" s="155"/>
      <c r="F36" s="216"/>
      <c r="G36" s="155"/>
      <c r="H36" s="217"/>
      <c r="I36" s="154"/>
      <c r="J36" s="154"/>
      <c r="K36" s="155"/>
      <c r="L36" s="218" t="str">
        <f t="shared" si="48"/>
        <v>none</v>
      </c>
      <c r="M36" s="154"/>
      <c r="N36" s="154"/>
      <c r="O36" s="155"/>
      <c r="P36" s="218" t="str">
        <f t="shared" si="1"/>
        <v>none</v>
      </c>
      <c r="Q36" s="155"/>
      <c r="R36" s="219" t="str">
        <f t="shared" si="2"/>
        <v>none</v>
      </c>
      <c r="S36" s="155"/>
      <c r="T36" s="218" t="str">
        <f t="shared" si="3"/>
        <v>none</v>
      </c>
      <c r="U36" s="155"/>
      <c r="V36" s="215" t="s">
        <v>284</v>
      </c>
      <c r="W36" s="155"/>
      <c r="X36" s="215" t="s">
        <v>285</v>
      </c>
      <c r="Y36" s="155"/>
      <c r="Z36" s="216"/>
      <c r="AA36" s="155"/>
      <c r="AB36" s="220" t="str">
        <f t="shared" si="4"/>
        <v>none</v>
      </c>
      <c r="AC36" s="155"/>
      <c r="AD36" s="215">
        <v>1.0</v>
      </c>
      <c r="AE36" s="155"/>
      <c r="AF36" s="220" t="str">
        <f t="shared" si="5"/>
        <v>none</v>
      </c>
      <c r="AG36" s="155"/>
      <c r="AH36" s="215">
        <v>1.0</v>
      </c>
      <c r="AI36" s="155"/>
      <c r="AJ36" s="221" t="str">
        <f t="shared" si="6"/>
        <v>none</v>
      </c>
      <c r="AK36" s="155"/>
      <c r="AL36" s="221" t="str">
        <f t="shared" si="7"/>
        <v>none</v>
      </c>
      <c r="AM36" s="155"/>
      <c r="AN36" s="222" t="str">
        <f t="shared" si="8"/>
        <v>攻撃力に数値を入力</v>
      </c>
      <c r="AO36" s="155"/>
      <c r="AP36" s="216"/>
      <c r="AQ36" s="154"/>
      <c r="AR36" s="154"/>
      <c r="AS36" s="155"/>
      <c r="AT36" s="223" t="str">
        <f t="shared" si="9"/>
        <v>none</v>
      </c>
      <c r="AU36" s="154"/>
      <c r="AV36" s="154"/>
      <c r="AW36" s="154"/>
      <c r="AX36" s="155"/>
      <c r="AY36" s="224" t="str">
        <f t="shared" si="10"/>
        <v>none</v>
      </c>
      <c r="AZ36" s="155"/>
      <c r="BA36" s="224" t="str">
        <f t="shared" si="11"/>
        <v>none</v>
      </c>
      <c r="BB36" s="155"/>
      <c r="BC36" s="218" t="str">
        <f t="shared" si="12"/>
        <v>none</v>
      </c>
      <c r="BD36" s="155"/>
      <c r="BE36" s="220" t="str">
        <f t="shared" si="13"/>
        <v>none</v>
      </c>
      <c r="BF36" s="155"/>
      <c r="BG36" s="220" t="str">
        <f t="shared" si="14"/>
        <v>none</v>
      </c>
      <c r="BH36" s="155"/>
      <c r="BI36" s="220" t="str">
        <f t="shared" si="15"/>
        <v>none</v>
      </c>
      <c r="BJ36" s="155"/>
      <c r="BK36" s="220" t="str">
        <f t="shared" si="16"/>
        <v>none</v>
      </c>
      <c r="BL36" s="155"/>
      <c r="BM36" s="225" t="str">
        <f t="shared" si="17"/>
        <v>none</v>
      </c>
      <c r="BN36" s="155"/>
      <c r="BO36" s="220" t="str">
        <f t="shared" si="18"/>
        <v>none</v>
      </c>
      <c r="BP36" s="155"/>
      <c r="BQ36" s="220" t="str">
        <f t="shared" si="19"/>
        <v>none</v>
      </c>
      <c r="BR36" s="155"/>
      <c r="BS36" s="216"/>
      <c r="BT36" s="155"/>
      <c r="BU36" s="216"/>
      <c r="BV36" s="155"/>
      <c r="BW36" s="183"/>
      <c r="BX36" s="155"/>
      <c r="BY36" s="216"/>
      <c r="BZ36" s="155"/>
      <c r="CA36" s="215" t="s">
        <v>286</v>
      </c>
      <c r="CB36" s="154"/>
      <c r="CC36" s="154"/>
      <c r="CD36" s="155"/>
      <c r="CE36" s="227"/>
      <c r="CF36" s="155"/>
      <c r="CG36" s="227"/>
      <c r="CH36" s="155"/>
      <c r="CI36" s="227"/>
      <c r="CJ36" s="155"/>
      <c r="CK36" s="227"/>
      <c r="CL36" s="155"/>
      <c r="CM36" s="226" t="s">
        <v>287</v>
      </c>
      <c r="CN36" s="155"/>
      <c r="CO36" s="216"/>
      <c r="CP36" s="155"/>
      <c r="CQ36" s="215" t="s">
        <v>287</v>
      </c>
      <c r="CR36" s="154"/>
      <c r="CS36" s="154"/>
      <c r="CT36" s="155"/>
      <c r="CU36" s="227"/>
      <c r="CV36" s="155"/>
      <c r="CW36" s="215" t="s">
        <v>287</v>
      </c>
      <c r="CX36" s="154"/>
      <c r="CY36" s="154"/>
      <c r="CZ36" s="155"/>
      <c r="DA36" s="227"/>
      <c r="DB36" s="155"/>
      <c r="DC36" s="215" t="s">
        <v>287</v>
      </c>
      <c r="DD36" s="154"/>
      <c r="DE36" s="154"/>
      <c r="DF36" s="155"/>
      <c r="DG36" s="227"/>
      <c r="DH36" s="155"/>
      <c r="DI36" s="227"/>
      <c r="DJ36" s="155"/>
      <c r="DK36" s="226" t="b">
        <v>0</v>
      </c>
      <c r="DL36" s="155"/>
      <c r="DM36" s="228" t="s">
        <v>287</v>
      </c>
      <c r="DN36" s="154"/>
      <c r="DO36" s="154"/>
      <c r="DP36" s="155"/>
      <c r="DQ36" s="227"/>
      <c r="DR36" s="155"/>
      <c r="DS36" s="216"/>
      <c r="DT36" s="154"/>
      <c r="DU36" s="154"/>
      <c r="DV36" s="154"/>
      <c r="DW36" s="155"/>
      <c r="DX36" s="28"/>
      <c r="DY36" s="135"/>
      <c r="DZ36" s="28"/>
      <c r="EA36" s="231" t="str">
        <f t="shared" si="20"/>
        <v/>
      </c>
      <c r="EB36" s="231" t="str">
        <f t="shared" si="21"/>
        <v/>
      </c>
      <c r="EC36" s="231" t="str">
        <f t="shared" si="22"/>
        <v/>
      </c>
      <c r="ED36" s="231" t="str">
        <f t="shared" si="23"/>
        <v>未入力</v>
      </c>
      <c r="EE36" s="231" t="str">
        <f t="shared" si="24"/>
        <v/>
      </c>
      <c r="EF36" s="231" t="str">
        <f t="shared" si="25"/>
        <v>SummonEnemy</v>
      </c>
      <c r="EG36" s="231" t="str">
        <f t="shared" si="26"/>
        <v/>
      </c>
      <c r="EH36" s="231"/>
      <c r="EI36" s="231" t="str">
        <f t="shared" si="27"/>
        <v/>
      </c>
      <c r="EJ36" s="231" t="str">
        <f t="shared" si="28"/>
        <v/>
      </c>
      <c r="EK36" s="231" t="str">
        <f t="shared" si="29"/>
        <v>None</v>
      </c>
      <c r="EL36" s="231" t="str">
        <f t="shared" si="30"/>
        <v/>
      </c>
      <c r="EM36" s="231" t="str">
        <f t="shared" si="31"/>
        <v>None</v>
      </c>
      <c r="EN36" s="231" t="str">
        <f t="shared" si="32"/>
        <v/>
      </c>
      <c r="EO36" s="231" t="str">
        <f t="shared" si="33"/>
        <v>None</v>
      </c>
      <c r="EP36" s="231" t="str">
        <f t="shared" si="34"/>
        <v/>
      </c>
      <c r="EQ36" s="231" t="str">
        <f t="shared" si="35"/>
        <v>None</v>
      </c>
      <c r="ER36" s="231" t="str">
        <f t="shared" si="36"/>
        <v/>
      </c>
      <c r="ES36" s="231" t="str">
        <f t="shared" si="37"/>
        <v/>
      </c>
      <c r="ET36" s="231" t="b">
        <f t="shared" si="38"/>
        <v>0</v>
      </c>
      <c r="EU36" s="231"/>
      <c r="EV36" s="231" t="str">
        <f t="shared" si="39"/>
        <v>Default</v>
      </c>
      <c r="EW36" s="231" t="str">
        <f t="shared" si="40"/>
        <v>Normal</v>
      </c>
      <c r="EX36" s="231">
        <f t="shared" si="41"/>
        <v>1</v>
      </c>
      <c r="EY36" s="231">
        <f t="shared" si="42"/>
        <v>1</v>
      </c>
      <c r="EZ36" s="231" t="str">
        <f t="shared" si="43"/>
        <v>1</v>
      </c>
      <c r="FA36" s="231" t="str">
        <f t="shared" si="44"/>
        <v/>
      </c>
      <c r="FB36" s="231">
        <v>0.0</v>
      </c>
      <c r="FC36" s="231" t="str">
        <f t="shared" si="45"/>
        <v/>
      </c>
      <c r="FD36" s="231" t="str">
        <f t="shared" si="46"/>
        <v>None</v>
      </c>
      <c r="FE36" s="231" t="str">
        <f t="shared" si="47"/>
        <v/>
      </c>
      <c r="FF36" s="28"/>
      <c r="FG36" s="28"/>
    </row>
    <row r="37">
      <c r="A37" s="28"/>
      <c r="B37" s="215"/>
      <c r="C37" s="155"/>
      <c r="D37" s="216"/>
      <c r="E37" s="155"/>
      <c r="F37" s="216"/>
      <c r="G37" s="155"/>
      <c r="H37" s="217"/>
      <c r="I37" s="154"/>
      <c r="J37" s="154"/>
      <c r="K37" s="155"/>
      <c r="L37" s="218" t="str">
        <f t="shared" si="48"/>
        <v>none</v>
      </c>
      <c r="M37" s="154"/>
      <c r="N37" s="154"/>
      <c r="O37" s="155"/>
      <c r="P37" s="218" t="str">
        <f t="shared" si="1"/>
        <v>none</v>
      </c>
      <c r="Q37" s="155"/>
      <c r="R37" s="219" t="str">
        <f t="shared" si="2"/>
        <v>none</v>
      </c>
      <c r="S37" s="155"/>
      <c r="T37" s="218" t="str">
        <f t="shared" si="3"/>
        <v>none</v>
      </c>
      <c r="U37" s="155"/>
      <c r="V37" s="215" t="s">
        <v>284</v>
      </c>
      <c r="W37" s="155"/>
      <c r="X37" s="215" t="s">
        <v>285</v>
      </c>
      <c r="Y37" s="155"/>
      <c r="Z37" s="216"/>
      <c r="AA37" s="155"/>
      <c r="AB37" s="220" t="str">
        <f t="shared" si="4"/>
        <v>none</v>
      </c>
      <c r="AC37" s="155"/>
      <c r="AD37" s="215">
        <v>1.0</v>
      </c>
      <c r="AE37" s="155"/>
      <c r="AF37" s="220" t="str">
        <f t="shared" si="5"/>
        <v>none</v>
      </c>
      <c r="AG37" s="155"/>
      <c r="AH37" s="215">
        <v>1.0</v>
      </c>
      <c r="AI37" s="155"/>
      <c r="AJ37" s="221" t="str">
        <f t="shared" si="6"/>
        <v>none</v>
      </c>
      <c r="AK37" s="155"/>
      <c r="AL37" s="221" t="str">
        <f t="shared" si="7"/>
        <v>none</v>
      </c>
      <c r="AM37" s="155"/>
      <c r="AN37" s="222" t="str">
        <f t="shared" si="8"/>
        <v>攻撃力に数値を入力</v>
      </c>
      <c r="AO37" s="155"/>
      <c r="AP37" s="216"/>
      <c r="AQ37" s="154"/>
      <c r="AR37" s="154"/>
      <c r="AS37" s="155"/>
      <c r="AT37" s="223" t="str">
        <f t="shared" si="9"/>
        <v>none</v>
      </c>
      <c r="AU37" s="154"/>
      <c r="AV37" s="154"/>
      <c r="AW37" s="154"/>
      <c r="AX37" s="155"/>
      <c r="AY37" s="224" t="str">
        <f t="shared" si="10"/>
        <v>none</v>
      </c>
      <c r="AZ37" s="155"/>
      <c r="BA37" s="224" t="str">
        <f t="shared" si="11"/>
        <v>none</v>
      </c>
      <c r="BB37" s="155"/>
      <c r="BC37" s="218" t="str">
        <f t="shared" si="12"/>
        <v>none</v>
      </c>
      <c r="BD37" s="155"/>
      <c r="BE37" s="220" t="str">
        <f t="shared" si="13"/>
        <v>none</v>
      </c>
      <c r="BF37" s="155"/>
      <c r="BG37" s="220" t="str">
        <f t="shared" si="14"/>
        <v>none</v>
      </c>
      <c r="BH37" s="155"/>
      <c r="BI37" s="220" t="str">
        <f t="shared" si="15"/>
        <v>none</v>
      </c>
      <c r="BJ37" s="155"/>
      <c r="BK37" s="220" t="str">
        <f t="shared" si="16"/>
        <v>none</v>
      </c>
      <c r="BL37" s="155"/>
      <c r="BM37" s="225" t="str">
        <f t="shared" si="17"/>
        <v>none</v>
      </c>
      <c r="BN37" s="155"/>
      <c r="BO37" s="220" t="str">
        <f t="shared" si="18"/>
        <v>none</v>
      </c>
      <c r="BP37" s="155"/>
      <c r="BQ37" s="220" t="str">
        <f t="shared" si="19"/>
        <v>none</v>
      </c>
      <c r="BR37" s="155"/>
      <c r="BS37" s="216"/>
      <c r="BT37" s="155"/>
      <c r="BU37" s="216"/>
      <c r="BV37" s="155"/>
      <c r="BW37" s="183"/>
      <c r="BX37" s="155"/>
      <c r="BY37" s="216"/>
      <c r="BZ37" s="155"/>
      <c r="CA37" s="215" t="s">
        <v>286</v>
      </c>
      <c r="CB37" s="154"/>
      <c r="CC37" s="154"/>
      <c r="CD37" s="155"/>
      <c r="CE37" s="227"/>
      <c r="CF37" s="155"/>
      <c r="CG37" s="227"/>
      <c r="CH37" s="155"/>
      <c r="CI37" s="227"/>
      <c r="CJ37" s="155"/>
      <c r="CK37" s="227"/>
      <c r="CL37" s="155"/>
      <c r="CM37" s="226" t="s">
        <v>287</v>
      </c>
      <c r="CN37" s="155"/>
      <c r="CO37" s="216"/>
      <c r="CP37" s="155"/>
      <c r="CQ37" s="215" t="s">
        <v>287</v>
      </c>
      <c r="CR37" s="154"/>
      <c r="CS37" s="154"/>
      <c r="CT37" s="155"/>
      <c r="CU37" s="227"/>
      <c r="CV37" s="155"/>
      <c r="CW37" s="215" t="s">
        <v>287</v>
      </c>
      <c r="CX37" s="154"/>
      <c r="CY37" s="154"/>
      <c r="CZ37" s="155"/>
      <c r="DA37" s="227"/>
      <c r="DB37" s="155"/>
      <c r="DC37" s="215" t="s">
        <v>287</v>
      </c>
      <c r="DD37" s="154"/>
      <c r="DE37" s="154"/>
      <c r="DF37" s="155"/>
      <c r="DG37" s="227"/>
      <c r="DH37" s="155"/>
      <c r="DI37" s="227"/>
      <c r="DJ37" s="155"/>
      <c r="DK37" s="226" t="b">
        <v>0</v>
      </c>
      <c r="DL37" s="155"/>
      <c r="DM37" s="228" t="s">
        <v>287</v>
      </c>
      <c r="DN37" s="154"/>
      <c r="DO37" s="154"/>
      <c r="DP37" s="155"/>
      <c r="DQ37" s="227"/>
      <c r="DR37" s="155"/>
      <c r="DS37" s="216"/>
      <c r="DT37" s="154"/>
      <c r="DU37" s="154"/>
      <c r="DV37" s="154"/>
      <c r="DW37" s="155"/>
      <c r="DX37" s="28"/>
      <c r="DY37" s="135"/>
      <c r="DZ37" s="28"/>
      <c r="EA37" s="229" t="str">
        <f t="shared" si="20"/>
        <v/>
      </c>
      <c r="EB37" s="229" t="str">
        <f t="shared" si="21"/>
        <v/>
      </c>
      <c r="EC37" s="229" t="str">
        <f t="shared" si="22"/>
        <v/>
      </c>
      <c r="ED37" s="229" t="str">
        <f t="shared" si="23"/>
        <v>未入力</v>
      </c>
      <c r="EE37" s="229" t="str">
        <f t="shared" si="24"/>
        <v/>
      </c>
      <c r="EF37" s="229" t="str">
        <f t="shared" si="25"/>
        <v>SummonEnemy</v>
      </c>
      <c r="EG37" s="229" t="str">
        <f t="shared" si="26"/>
        <v/>
      </c>
      <c r="EH37" s="229"/>
      <c r="EI37" s="229" t="str">
        <f t="shared" si="27"/>
        <v/>
      </c>
      <c r="EJ37" s="229" t="str">
        <f t="shared" si="28"/>
        <v/>
      </c>
      <c r="EK37" s="229" t="str">
        <f t="shared" si="29"/>
        <v>None</v>
      </c>
      <c r="EL37" s="229" t="str">
        <f t="shared" si="30"/>
        <v/>
      </c>
      <c r="EM37" s="229" t="str">
        <f t="shared" si="31"/>
        <v>None</v>
      </c>
      <c r="EN37" s="229" t="str">
        <f t="shared" si="32"/>
        <v/>
      </c>
      <c r="EO37" s="229" t="str">
        <f t="shared" si="33"/>
        <v>None</v>
      </c>
      <c r="EP37" s="229" t="str">
        <f t="shared" si="34"/>
        <v/>
      </c>
      <c r="EQ37" s="229" t="str">
        <f t="shared" si="35"/>
        <v>None</v>
      </c>
      <c r="ER37" s="229" t="str">
        <f t="shared" si="36"/>
        <v/>
      </c>
      <c r="ES37" s="229" t="str">
        <f t="shared" si="37"/>
        <v/>
      </c>
      <c r="ET37" s="229" t="b">
        <f t="shared" si="38"/>
        <v>0</v>
      </c>
      <c r="EU37" s="229"/>
      <c r="EV37" s="229" t="str">
        <f t="shared" si="39"/>
        <v>Default</v>
      </c>
      <c r="EW37" s="229" t="str">
        <f t="shared" si="40"/>
        <v>Normal</v>
      </c>
      <c r="EX37" s="229">
        <f t="shared" si="41"/>
        <v>1</v>
      </c>
      <c r="EY37" s="229">
        <f t="shared" si="42"/>
        <v>1</v>
      </c>
      <c r="EZ37" s="229" t="str">
        <f t="shared" si="43"/>
        <v>1</v>
      </c>
      <c r="FA37" s="229" t="str">
        <f t="shared" si="44"/>
        <v/>
      </c>
      <c r="FB37" s="230">
        <v>0.0</v>
      </c>
      <c r="FC37" s="229" t="str">
        <f t="shared" si="45"/>
        <v/>
      </c>
      <c r="FD37" s="229" t="str">
        <f t="shared" si="46"/>
        <v>None</v>
      </c>
      <c r="FE37" s="229" t="str">
        <f t="shared" si="47"/>
        <v/>
      </c>
      <c r="FF37" s="28"/>
      <c r="FG37" s="28"/>
    </row>
    <row r="38">
      <c r="A38" s="28"/>
      <c r="B38" s="215"/>
      <c r="C38" s="155"/>
      <c r="D38" s="216"/>
      <c r="E38" s="155"/>
      <c r="F38" s="216"/>
      <c r="G38" s="155"/>
      <c r="H38" s="217"/>
      <c r="I38" s="154"/>
      <c r="J38" s="154"/>
      <c r="K38" s="155"/>
      <c r="L38" s="218" t="str">
        <f t="shared" si="48"/>
        <v>none</v>
      </c>
      <c r="M38" s="154"/>
      <c r="N38" s="154"/>
      <c r="O38" s="155"/>
      <c r="P38" s="218" t="str">
        <f t="shared" si="1"/>
        <v>none</v>
      </c>
      <c r="Q38" s="155"/>
      <c r="R38" s="219" t="str">
        <f t="shared" si="2"/>
        <v>none</v>
      </c>
      <c r="S38" s="155"/>
      <c r="T38" s="218" t="str">
        <f t="shared" si="3"/>
        <v>none</v>
      </c>
      <c r="U38" s="155"/>
      <c r="V38" s="215" t="s">
        <v>284</v>
      </c>
      <c r="W38" s="155"/>
      <c r="X38" s="215" t="s">
        <v>285</v>
      </c>
      <c r="Y38" s="155"/>
      <c r="Z38" s="216"/>
      <c r="AA38" s="155"/>
      <c r="AB38" s="220" t="str">
        <f t="shared" si="4"/>
        <v>none</v>
      </c>
      <c r="AC38" s="155"/>
      <c r="AD38" s="215">
        <v>1.0</v>
      </c>
      <c r="AE38" s="155"/>
      <c r="AF38" s="220" t="str">
        <f t="shared" si="5"/>
        <v>none</v>
      </c>
      <c r="AG38" s="155"/>
      <c r="AH38" s="215">
        <v>1.0</v>
      </c>
      <c r="AI38" s="155"/>
      <c r="AJ38" s="221" t="str">
        <f t="shared" si="6"/>
        <v>none</v>
      </c>
      <c r="AK38" s="155"/>
      <c r="AL38" s="221" t="str">
        <f t="shared" si="7"/>
        <v>none</v>
      </c>
      <c r="AM38" s="155"/>
      <c r="AN38" s="222" t="str">
        <f t="shared" si="8"/>
        <v>攻撃力に数値を入力</v>
      </c>
      <c r="AO38" s="155"/>
      <c r="AP38" s="216"/>
      <c r="AQ38" s="154"/>
      <c r="AR38" s="154"/>
      <c r="AS38" s="155"/>
      <c r="AT38" s="223" t="str">
        <f t="shared" si="9"/>
        <v>none</v>
      </c>
      <c r="AU38" s="154"/>
      <c r="AV38" s="154"/>
      <c r="AW38" s="154"/>
      <c r="AX38" s="155"/>
      <c r="AY38" s="224" t="str">
        <f t="shared" si="10"/>
        <v>none</v>
      </c>
      <c r="AZ38" s="155"/>
      <c r="BA38" s="224" t="str">
        <f t="shared" si="11"/>
        <v>none</v>
      </c>
      <c r="BB38" s="155"/>
      <c r="BC38" s="218" t="str">
        <f t="shared" si="12"/>
        <v>none</v>
      </c>
      <c r="BD38" s="155"/>
      <c r="BE38" s="220" t="str">
        <f t="shared" si="13"/>
        <v>none</v>
      </c>
      <c r="BF38" s="155"/>
      <c r="BG38" s="220" t="str">
        <f t="shared" si="14"/>
        <v>none</v>
      </c>
      <c r="BH38" s="155"/>
      <c r="BI38" s="220" t="str">
        <f t="shared" si="15"/>
        <v>none</v>
      </c>
      <c r="BJ38" s="155"/>
      <c r="BK38" s="220" t="str">
        <f t="shared" si="16"/>
        <v>none</v>
      </c>
      <c r="BL38" s="155"/>
      <c r="BM38" s="225" t="str">
        <f t="shared" si="17"/>
        <v>none</v>
      </c>
      <c r="BN38" s="155"/>
      <c r="BO38" s="220" t="str">
        <f t="shared" si="18"/>
        <v>none</v>
      </c>
      <c r="BP38" s="155"/>
      <c r="BQ38" s="220" t="str">
        <f t="shared" si="19"/>
        <v>none</v>
      </c>
      <c r="BR38" s="155"/>
      <c r="BS38" s="216"/>
      <c r="BT38" s="155"/>
      <c r="BU38" s="216"/>
      <c r="BV38" s="155"/>
      <c r="BW38" s="183"/>
      <c r="BX38" s="155"/>
      <c r="BY38" s="216"/>
      <c r="BZ38" s="155"/>
      <c r="CA38" s="215" t="s">
        <v>286</v>
      </c>
      <c r="CB38" s="154"/>
      <c r="CC38" s="154"/>
      <c r="CD38" s="155"/>
      <c r="CE38" s="227"/>
      <c r="CF38" s="155"/>
      <c r="CG38" s="227"/>
      <c r="CH38" s="155"/>
      <c r="CI38" s="227"/>
      <c r="CJ38" s="155"/>
      <c r="CK38" s="227"/>
      <c r="CL38" s="155"/>
      <c r="CM38" s="226" t="s">
        <v>287</v>
      </c>
      <c r="CN38" s="155"/>
      <c r="CO38" s="216"/>
      <c r="CP38" s="155"/>
      <c r="CQ38" s="215" t="s">
        <v>287</v>
      </c>
      <c r="CR38" s="154"/>
      <c r="CS38" s="154"/>
      <c r="CT38" s="155"/>
      <c r="CU38" s="227"/>
      <c r="CV38" s="155"/>
      <c r="CW38" s="215" t="s">
        <v>287</v>
      </c>
      <c r="CX38" s="154"/>
      <c r="CY38" s="154"/>
      <c r="CZ38" s="155"/>
      <c r="DA38" s="227"/>
      <c r="DB38" s="155"/>
      <c r="DC38" s="215" t="s">
        <v>287</v>
      </c>
      <c r="DD38" s="154"/>
      <c r="DE38" s="154"/>
      <c r="DF38" s="155"/>
      <c r="DG38" s="227"/>
      <c r="DH38" s="155"/>
      <c r="DI38" s="227"/>
      <c r="DJ38" s="155"/>
      <c r="DK38" s="226" t="b">
        <v>0</v>
      </c>
      <c r="DL38" s="155"/>
      <c r="DM38" s="228" t="s">
        <v>287</v>
      </c>
      <c r="DN38" s="154"/>
      <c r="DO38" s="154"/>
      <c r="DP38" s="155"/>
      <c r="DQ38" s="227"/>
      <c r="DR38" s="155"/>
      <c r="DS38" s="216"/>
      <c r="DT38" s="154"/>
      <c r="DU38" s="154"/>
      <c r="DV38" s="154"/>
      <c r="DW38" s="155"/>
      <c r="DX38" s="28"/>
      <c r="DY38" s="135"/>
      <c r="DZ38" s="28"/>
      <c r="EA38" s="231" t="str">
        <f t="shared" si="20"/>
        <v/>
      </c>
      <c r="EB38" s="231" t="str">
        <f t="shared" si="21"/>
        <v/>
      </c>
      <c r="EC38" s="231" t="str">
        <f t="shared" si="22"/>
        <v/>
      </c>
      <c r="ED38" s="231" t="str">
        <f t="shared" si="23"/>
        <v>未入力</v>
      </c>
      <c r="EE38" s="231" t="str">
        <f t="shared" si="24"/>
        <v/>
      </c>
      <c r="EF38" s="231" t="str">
        <f t="shared" si="25"/>
        <v>SummonEnemy</v>
      </c>
      <c r="EG38" s="231" t="str">
        <f t="shared" si="26"/>
        <v/>
      </c>
      <c r="EH38" s="231"/>
      <c r="EI38" s="231" t="str">
        <f t="shared" si="27"/>
        <v/>
      </c>
      <c r="EJ38" s="231" t="str">
        <f t="shared" si="28"/>
        <v/>
      </c>
      <c r="EK38" s="231" t="str">
        <f t="shared" si="29"/>
        <v>None</v>
      </c>
      <c r="EL38" s="231" t="str">
        <f t="shared" si="30"/>
        <v/>
      </c>
      <c r="EM38" s="231" t="str">
        <f t="shared" si="31"/>
        <v>None</v>
      </c>
      <c r="EN38" s="231" t="str">
        <f t="shared" si="32"/>
        <v/>
      </c>
      <c r="EO38" s="231" t="str">
        <f t="shared" si="33"/>
        <v>None</v>
      </c>
      <c r="EP38" s="231" t="str">
        <f t="shared" si="34"/>
        <v/>
      </c>
      <c r="EQ38" s="231" t="str">
        <f t="shared" si="35"/>
        <v>None</v>
      </c>
      <c r="ER38" s="231" t="str">
        <f t="shared" si="36"/>
        <v/>
      </c>
      <c r="ES38" s="231" t="str">
        <f t="shared" si="37"/>
        <v/>
      </c>
      <c r="ET38" s="231" t="b">
        <f t="shared" si="38"/>
        <v>0</v>
      </c>
      <c r="EU38" s="231"/>
      <c r="EV38" s="231" t="str">
        <f t="shared" si="39"/>
        <v>Default</v>
      </c>
      <c r="EW38" s="231" t="str">
        <f t="shared" si="40"/>
        <v>Normal</v>
      </c>
      <c r="EX38" s="231">
        <f t="shared" si="41"/>
        <v>1</v>
      </c>
      <c r="EY38" s="231">
        <f t="shared" si="42"/>
        <v>1</v>
      </c>
      <c r="EZ38" s="231" t="str">
        <f t="shared" si="43"/>
        <v>1</v>
      </c>
      <c r="FA38" s="231" t="str">
        <f t="shared" si="44"/>
        <v/>
      </c>
      <c r="FB38" s="231">
        <v>0.0</v>
      </c>
      <c r="FC38" s="231" t="str">
        <f t="shared" si="45"/>
        <v/>
      </c>
      <c r="FD38" s="231" t="str">
        <f t="shared" si="46"/>
        <v>None</v>
      </c>
      <c r="FE38" s="231" t="str">
        <f t="shared" si="47"/>
        <v/>
      </c>
      <c r="FF38" s="28"/>
      <c r="FG38" s="28"/>
    </row>
    <row r="39">
      <c r="A39" s="28"/>
      <c r="B39" s="215"/>
      <c r="C39" s="155"/>
      <c r="D39" s="216"/>
      <c r="E39" s="155"/>
      <c r="F39" s="216"/>
      <c r="G39" s="155"/>
      <c r="H39" s="217"/>
      <c r="I39" s="154"/>
      <c r="J39" s="154"/>
      <c r="K39" s="155"/>
      <c r="L39" s="218" t="str">
        <f t="shared" si="48"/>
        <v>none</v>
      </c>
      <c r="M39" s="154"/>
      <c r="N39" s="154"/>
      <c r="O39" s="155"/>
      <c r="P39" s="218" t="str">
        <f t="shared" si="1"/>
        <v>none</v>
      </c>
      <c r="Q39" s="155"/>
      <c r="R39" s="219" t="str">
        <f t="shared" si="2"/>
        <v>none</v>
      </c>
      <c r="S39" s="155"/>
      <c r="T39" s="218" t="str">
        <f t="shared" si="3"/>
        <v>none</v>
      </c>
      <c r="U39" s="155"/>
      <c r="V39" s="215" t="s">
        <v>284</v>
      </c>
      <c r="W39" s="155"/>
      <c r="X39" s="215" t="s">
        <v>285</v>
      </c>
      <c r="Y39" s="155"/>
      <c r="Z39" s="216"/>
      <c r="AA39" s="155"/>
      <c r="AB39" s="220" t="str">
        <f t="shared" si="4"/>
        <v>none</v>
      </c>
      <c r="AC39" s="155"/>
      <c r="AD39" s="215">
        <v>1.0</v>
      </c>
      <c r="AE39" s="155"/>
      <c r="AF39" s="220" t="str">
        <f t="shared" si="5"/>
        <v>none</v>
      </c>
      <c r="AG39" s="155"/>
      <c r="AH39" s="215">
        <v>1.0</v>
      </c>
      <c r="AI39" s="155"/>
      <c r="AJ39" s="221" t="str">
        <f t="shared" si="6"/>
        <v>none</v>
      </c>
      <c r="AK39" s="155"/>
      <c r="AL39" s="221" t="str">
        <f t="shared" si="7"/>
        <v>none</v>
      </c>
      <c r="AM39" s="155"/>
      <c r="AN39" s="222" t="str">
        <f t="shared" si="8"/>
        <v>攻撃力に数値を入力</v>
      </c>
      <c r="AO39" s="155"/>
      <c r="AP39" s="216"/>
      <c r="AQ39" s="154"/>
      <c r="AR39" s="154"/>
      <c r="AS39" s="155"/>
      <c r="AT39" s="223" t="str">
        <f t="shared" si="9"/>
        <v>none</v>
      </c>
      <c r="AU39" s="154"/>
      <c r="AV39" s="154"/>
      <c r="AW39" s="154"/>
      <c r="AX39" s="155"/>
      <c r="AY39" s="224" t="str">
        <f t="shared" si="10"/>
        <v>none</v>
      </c>
      <c r="AZ39" s="155"/>
      <c r="BA39" s="224" t="str">
        <f t="shared" si="11"/>
        <v>none</v>
      </c>
      <c r="BB39" s="155"/>
      <c r="BC39" s="218" t="str">
        <f t="shared" si="12"/>
        <v>none</v>
      </c>
      <c r="BD39" s="155"/>
      <c r="BE39" s="220" t="str">
        <f t="shared" si="13"/>
        <v>none</v>
      </c>
      <c r="BF39" s="155"/>
      <c r="BG39" s="220" t="str">
        <f t="shared" si="14"/>
        <v>none</v>
      </c>
      <c r="BH39" s="155"/>
      <c r="BI39" s="220" t="str">
        <f t="shared" si="15"/>
        <v>none</v>
      </c>
      <c r="BJ39" s="155"/>
      <c r="BK39" s="220" t="str">
        <f t="shared" si="16"/>
        <v>none</v>
      </c>
      <c r="BL39" s="155"/>
      <c r="BM39" s="225" t="str">
        <f t="shared" si="17"/>
        <v>none</v>
      </c>
      <c r="BN39" s="155"/>
      <c r="BO39" s="220" t="str">
        <f t="shared" si="18"/>
        <v>none</v>
      </c>
      <c r="BP39" s="155"/>
      <c r="BQ39" s="220" t="str">
        <f t="shared" si="19"/>
        <v>none</v>
      </c>
      <c r="BR39" s="155"/>
      <c r="BS39" s="216"/>
      <c r="BT39" s="155"/>
      <c r="BU39" s="216"/>
      <c r="BV39" s="155"/>
      <c r="BW39" s="183"/>
      <c r="BX39" s="155"/>
      <c r="BY39" s="216"/>
      <c r="BZ39" s="155"/>
      <c r="CA39" s="215" t="s">
        <v>286</v>
      </c>
      <c r="CB39" s="154"/>
      <c r="CC39" s="154"/>
      <c r="CD39" s="155"/>
      <c r="CE39" s="227"/>
      <c r="CF39" s="155"/>
      <c r="CG39" s="227"/>
      <c r="CH39" s="155"/>
      <c r="CI39" s="227"/>
      <c r="CJ39" s="155"/>
      <c r="CK39" s="227"/>
      <c r="CL39" s="155"/>
      <c r="CM39" s="226" t="s">
        <v>287</v>
      </c>
      <c r="CN39" s="155"/>
      <c r="CO39" s="216"/>
      <c r="CP39" s="155"/>
      <c r="CQ39" s="215" t="s">
        <v>287</v>
      </c>
      <c r="CR39" s="154"/>
      <c r="CS39" s="154"/>
      <c r="CT39" s="155"/>
      <c r="CU39" s="227"/>
      <c r="CV39" s="155"/>
      <c r="CW39" s="215" t="s">
        <v>287</v>
      </c>
      <c r="CX39" s="154"/>
      <c r="CY39" s="154"/>
      <c r="CZ39" s="155"/>
      <c r="DA39" s="227"/>
      <c r="DB39" s="155"/>
      <c r="DC39" s="215" t="s">
        <v>287</v>
      </c>
      <c r="DD39" s="154"/>
      <c r="DE39" s="154"/>
      <c r="DF39" s="155"/>
      <c r="DG39" s="227"/>
      <c r="DH39" s="155"/>
      <c r="DI39" s="227"/>
      <c r="DJ39" s="155"/>
      <c r="DK39" s="226" t="b">
        <v>0</v>
      </c>
      <c r="DL39" s="155"/>
      <c r="DM39" s="228" t="s">
        <v>287</v>
      </c>
      <c r="DN39" s="154"/>
      <c r="DO39" s="154"/>
      <c r="DP39" s="155"/>
      <c r="DQ39" s="227"/>
      <c r="DR39" s="155"/>
      <c r="DS39" s="216"/>
      <c r="DT39" s="154"/>
      <c r="DU39" s="154"/>
      <c r="DV39" s="154"/>
      <c r="DW39" s="155"/>
      <c r="DX39" s="28"/>
      <c r="DY39" s="135"/>
      <c r="DZ39" s="28"/>
      <c r="EA39" s="229" t="str">
        <f t="shared" si="20"/>
        <v/>
      </c>
      <c r="EB39" s="229" t="str">
        <f t="shared" si="21"/>
        <v/>
      </c>
      <c r="EC39" s="229" t="str">
        <f t="shared" si="22"/>
        <v/>
      </c>
      <c r="ED39" s="229" t="str">
        <f t="shared" si="23"/>
        <v>未入力</v>
      </c>
      <c r="EE39" s="229" t="str">
        <f t="shared" si="24"/>
        <v/>
      </c>
      <c r="EF39" s="229" t="str">
        <f t="shared" si="25"/>
        <v>SummonEnemy</v>
      </c>
      <c r="EG39" s="229" t="str">
        <f t="shared" si="26"/>
        <v/>
      </c>
      <c r="EH39" s="229"/>
      <c r="EI39" s="229" t="str">
        <f t="shared" si="27"/>
        <v/>
      </c>
      <c r="EJ39" s="229" t="str">
        <f t="shared" si="28"/>
        <v/>
      </c>
      <c r="EK39" s="229" t="str">
        <f t="shared" si="29"/>
        <v>None</v>
      </c>
      <c r="EL39" s="229" t="str">
        <f t="shared" si="30"/>
        <v/>
      </c>
      <c r="EM39" s="229" t="str">
        <f t="shared" si="31"/>
        <v>None</v>
      </c>
      <c r="EN39" s="229" t="str">
        <f t="shared" si="32"/>
        <v/>
      </c>
      <c r="EO39" s="229" t="str">
        <f t="shared" si="33"/>
        <v>None</v>
      </c>
      <c r="EP39" s="229" t="str">
        <f t="shared" si="34"/>
        <v/>
      </c>
      <c r="EQ39" s="229" t="str">
        <f t="shared" si="35"/>
        <v>None</v>
      </c>
      <c r="ER39" s="229" t="str">
        <f t="shared" si="36"/>
        <v/>
      </c>
      <c r="ES39" s="229" t="str">
        <f t="shared" si="37"/>
        <v/>
      </c>
      <c r="ET39" s="229" t="b">
        <f t="shared" si="38"/>
        <v>0</v>
      </c>
      <c r="EU39" s="229"/>
      <c r="EV39" s="229" t="str">
        <f t="shared" si="39"/>
        <v>Default</v>
      </c>
      <c r="EW39" s="229" t="str">
        <f t="shared" si="40"/>
        <v>Normal</v>
      </c>
      <c r="EX39" s="229">
        <f t="shared" si="41"/>
        <v>1</v>
      </c>
      <c r="EY39" s="229">
        <f t="shared" si="42"/>
        <v>1</v>
      </c>
      <c r="EZ39" s="229" t="str">
        <f t="shared" si="43"/>
        <v>1</v>
      </c>
      <c r="FA39" s="229" t="str">
        <f t="shared" si="44"/>
        <v/>
      </c>
      <c r="FB39" s="230">
        <v>0.0</v>
      </c>
      <c r="FC39" s="229" t="str">
        <f t="shared" si="45"/>
        <v/>
      </c>
      <c r="FD39" s="229" t="str">
        <f t="shared" si="46"/>
        <v>None</v>
      </c>
      <c r="FE39" s="229" t="str">
        <f t="shared" si="47"/>
        <v/>
      </c>
      <c r="FF39" s="28"/>
      <c r="FG39" s="28"/>
    </row>
    <row r="40">
      <c r="A40" s="28"/>
      <c r="B40" s="215"/>
      <c r="C40" s="155"/>
      <c r="D40" s="216"/>
      <c r="E40" s="155"/>
      <c r="F40" s="216"/>
      <c r="G40" s="155"/>
      <c r="H40" s="217"/>
      <c r="I40" s="154"/>
      <c r="J40" s="154"/>
      <c r="K40" s="155"/>
      <c r="L40" s="218" t="str">
        <f t="shared" si="48"/>
        <v>none</v>
      </c>
      <c r="M40" s="154"/>
      <c r="N40" s="154"/>
      <c r="O40" s="155"/>
      <c r="P40" s="218" t="str">
        <f t="shared" si="1"/>
        <v>none</v>
      </c>
      <c r="Q40" s="155"/>
      <c r="R40" s="219" t="str">
        <f t="shared" si="2"/>
        <v>none</v>
      </c>
      <c r="S40" s="155"/>
      <c r="T40" s="218" t="str">
        <f t="shared" si="3"/>
        <v>none</v>
      </c>
      <c r="U40" s="155"/>
      <c r="V40" s="215" t="s">
        <v>284</v>
      </c>
      <c r="W40" s="155"/>
      <c r="X40" s="215" t="s">
        <v>285</v>
      </c>
      <c r="Y40" s="155"/>
      <c r="Z40" s="216"/>
      <c r="AA40" s="155"/>
      <c r="AB40" s="220" t="str">
        <f t="shared" si="4"/>
        <v>none</v>
      </c>
      <c r="AC40" s="155"/>
      <c r="AD40" s="215">
        <v>1.0</v>
      </c>
      <c r="AE40" s="155"/>
      <c r="AF40" s="220" t="str">
        <f t="shared" si="5"/>
        <v>none</v>
      </c>
      <c r="AG40" s="155"/>
      <c r="AH40" s="215">
        <v>1.0</v>
      </c>
      <c r="AI40" s="155"/>
      <c r="AJ40" s="221" t="str">
        <f t="shared" si="6"/>
        <v>none</v>
      </c>
      <c r="AK40" s="155"/>
      <c r="AL40" s="221" t="str">
        <f t="shared" si="7"/>
        <v>none</v>
      </c>
      <c r="AM40" s="155"/>
      <c r="AN40" s="222" t="str">
        <f t="shared" si="8"/>
        <v>攻撃力に数値を入力</v>
      </c>
      <c r="AO40" s="155"/>
      <c r="AP40" s="216"/>
      <c r="AQ40" s="154"/>
      <c r="AR40" s="154"/>
      <c r="AS40" s="155"/>
      <c r="AT40" s="223" t="str">
        <f t="shared" si="9"/>
        <v>none</v>
      </c>
      <c r="AU40" s="154"/>
      <c r="AV40" s="154"/>
      <c r="AW40" s="154"/>
      <c r="AX40" s="155"/>
      <c r="AY40" s="224" t="str">
        <f t="shared" si="10"/>
        <v>none</v>
      </c>
      <c r="AZ40" s="155"/>
      <c r="BA40" s="224" t="str">
        <f t="shared" si="11"/>
        <v>none</v>
      </c>
      <c r="BB40" s="155"/>
      <c r="BC40" s="218" t="str">
        <f t="shared" si="12"/>
        <v>none</v>
      </c>
      <c r="BD40" s="155"/>
      <c r="BE40" s="220" t="str">
        <f t="shared" si="13"/>
        <v>none</v>
      </c>
      <c r="BF40" s="155"/>
      <c r="BG40" s="220" t="str">
        <f t="shared" si="14"/>
        <v>none</v>
      </c>
      <c r="BH40" s="155"/>
      <c r="BI40" s="220" t="str">
        <f t="shared" si="15"/>
        <v>none</v>
      </c>
      <c r="BJ40" s="155"/>
      <c r="BK40" s="220" t="str">
        <f t="shared" si="16"/>
        <v>none</v>
      </c>
      <c r="BL40" s="155"/>
      <c r="BM40" s="225" t="str">
        <f t="shared" si="17"/>
        <v>none</v>
      </c>
      <c r="BN40" s="155"/>
      <c r="BO40" s="220" t="str">
        <f t="shared" si="18"/>
        <v>none</v>
      </c>
      <c r="BP40" s="155"/>
      <c r="BQ40" s="220" t="str">
        <f t="shared" si="19"/>
        <v>none</v>
      </c>
      <c r="BR40" s="155"/>
      <c r="BS40" s="216"/>
      <c r="BT40" s="155"/>
      <c r="BU40" s="216"/>
      <c r="BV40" s="155"/>
      <c r="BW40" s="183"/>
      <c r="BX40" s="155"/>
      <c r="BY40" s="216"/>
      <c r="BZ40" s="155"/>
      <c r="CA40" s="215" t="s">
        <v>286</v>
      </c>
      <c r="CB40" s="154"/>
      <c r="CC40" s="154"/>
      <c r="CD40" s="155"/>
      <c r="CE40" s="227"/>
      <c r="CF40" s="155"/>
      <c r="CG40" s="227"/>
      <c r="CH40" s="155"/>
      <c r="CI40" s="227"/>
      <c r="CJ40" s="155"/>
      <c r="CK40" s="227"/>
      <c r="CL40" s="155"/>
      <c r="CM40" s="226" t="s">
        <v>287</v>
      </c>
      <c r="CN40" s="155"/>
      <c r="CO40" s="216"/>
      <c r="CP40" s="155"/>
      <c r="CQ40" s="215" t="s">
        <v>287</v>
      </c>
      <c r="CR40" s="154"/>
      <c r="CS40" s="154"/>
      <c r="CT40" s="155"/>
      <c r="CU40" s="227"/>
      <c r="CV40" s="155"/>
      <c r="CW40" s="215" t="s">
        <v>287</v>
      </c>
      <c r="CX40" s="154"/>
      <c r="CY40" s="154"/>
      <c r="CZ40" s="155"/>
      <c r="DA40" s="227"/>
      <c r="DB40" s="155"/>
      <c r="DC40" s="215" t="s">
        <v>287</v>
      </c>
      <c r="DD40" s="154"/>
      <c r="DE40" s="154"/>
      <c r="DF40" s="155"/>
      <c r="DG40" s="227"/>
      <c r="DH40" s="155"/>
      <c r="DI40" s="227"/>
      <c r="DJ40" s="155"/>
      <c r="DK40" s="226" t="b">
        <v>0</v>
      </c>
      <c r="DL40" s="155"/>
      <c r="DM40" s="228" t="s">
        <v>287</v>
      </c>
      <c r="DN40" s="154"/>
      <c r="DO40" s="154"/>
      <c r="DP40" s="155"/>
      <c r="DQ40" s="227"/>
      <c r="DR40" s="155"/>
      <c r="DS40" s="216"/>
      <c r="DT40" s="154"/>
      <c r="DU40" s="154"/>
      <c r="DV40" s="154"/>
      <c r="DW40" s="155"/>
      <c r="DX40" s="28"/>
      <c r="DY40" s="135"/>
      <c r="DZ40" s="28"/>
      <c r="EA40" s="231" t="str">
        <f t="shared" si="20"/>
        <v/>
      </c>
      <c r="EB40" s="231" t="str">
        <f t="shared" si="21"/>
        <v/>
      </c>
      <c r="EC40" s="231" t="str">
        <f t="shared" si="22"/>
        <v/>
      </c>
      <c r="ED40" s="231" t="str">
        <f t="shared" si="23"/>
        <v>未入力</v>
      </c>
      <c r="EE40" s="231" t="str">
        <f t="shared" si="24"/>
        <v/>
      </c>
      <c r="EF40" s="231" t="str">
        <f t="shared" si="25"/>
        <v>SummonEnemy</v>
      </c>
      <c r="EG40" s="231" t="str">
        <f t="shared" si="26"/>
        <v/>
      </c>
      <c r="EH40" s="231"/>
      <c r="EI40" s="231" t="str">
        <f t="shared" si="27"/>
        <v/>
      </c>
      <c r="EJ40" s="231" t="str">
        <f t="shared" si="28"/>
        <v/>
      </c>
      <c r="EK40" s="231" t="str">
        <f t="shared" si="29"/>
        <v>None</v>
      </c>
      <c r="EL40" s="231" t="str">
        <f t="shared" si="30"/>
        <v/>
      </c>
      <c r="EM40" s="231" t="str">
        <f t="shared" si="31"/>
        <v>None</v>
      </c>
      <c r="EN40" s="231" t="str">
        <f t="shared" si="32"/>
        <v/>
      </c>
      <c r="EO40" s="231" t="str">
        <f t="shared" si="33"/>
        <v>None</v>
      </c>
      <c r="EP40" s="231" t="str">
        <f t="shared" si="34"/>
        <v/>
      </c>
      <c r="EQ40" s="231" t="str">
        <f t="shared" si="35"/>
        <v>None</v>
      </c>
      <c r="ER40" s="231" t="str">
        <f t="shared" si="36"/>
        <v/>
      </c>
      <c r="ES40" s="231" t="str">
        <f t="shared" si="37"/>
        <v/>
      </c>
      <c r="ET40" s="231" t="b">
        <f t="shared" si="38"/>
        <v>0</v>
      </c>
      <c r="EU40" s="231"/>
      <c r="EV40" s="231" t="str">
        <f t="shared" si="39"/>
        <v>Default</v>
      </c>
      <c r="EW40" s="231" t="str">
        <f t="shared" si="40"/>
        <v>Normal</v>
      </c>
      <c r="EX40" s="231">
        <f t="shared" si="41"/>
        <v>1</v>
      </c>
      <c r="EY40" s="231">
        <f t="shared" si="42"/>
        <v>1</v>
      </c>
      <c r="EZ40" s="231" t="str">
        <f t="shared" si="43"/>
        <v>1</v>
      </c>
      <c r="FA40" s="231" t="str">
        <f t="shared" si="44"/>
        <v/>
      </c>
      <c r="FB40" s="231">
        <v>0.0</v>
      </c>
      <c r="FC40" s="231" t="str">
        <f t="shared" si="45"/>
        <v/>
      </c>
      <c r="FD40" s="231" t="str">
        <f t="shared" si="46"/>
        <v>None</v>
      </c>
      <c r="FE40" s="231" t="str">
        <f t="shared" si="47"/>
        <v/>
      </c>
      <c r="FF40" s="28"/>
      <c r="FG40" s="28"/>
    </row>
    <row r="41">
      <c r="A41" s="28"/>
      <c r="B41" s="215"/>
      <c r="C41" s="155"/>
      <c r="D41" s="216"/>
      <c r="E41" s="155"/>
      <c r="F41" s="216"/>
      <c r="G41" s="155"/>
      <c r="H41" s="217"/>
      <c r="I41" s="154"/>
      <c r="J41" s="154"/>
      <c r="K41" s="155"/>
      <c r="L41" s="218" t="str">
        <f t="shared" si="48"/>
        <v>none</v>
      </c>
      <c r="M41" s="154"/>
      <c r="N41" s="154"/>
      <c r="O41" s="155"/>
      <c r="P41" s="218" t="str">
        <f t="shared" si="1"/>
        <v>none</v>
      </c>
      <c r="Q41" s="155"/>
      <c r="R41" s="219" t="str">
        <f t="shared" si="2"/>
        <v>none</v>
      </c>
      <c r="S41" s="155"/>
      <c r="T41" s="218" t="str">
        <f t="shared" si="3"/>
        <v>none</v>
      </c>
      <c r="U41" s="155"/>
      <c r="V41" s="215" t="s">
        <v>284</v>
      </c>
      <c r="W41" s="155"/>
      <c r="X41" s="215" t="s">
        <v>285</v>
      </c>
      <c r="Y41" s="155"/>
      <c r="Z41" s="216"/>
      <c r="AA41" s="155"/>
      <c r="AB41" s="220" t="str">
        <f t="shared" si="4"/>
        <v>none</v>
      </c>
      <c r="AC41" s="155"/>
      <c r="AD41" s="215">
        <v>1.0</v>
      </c>
      <c r="AE41" s="155"/>
      <c r="AF41" s="220" t="str">
        <f t="shared" si="5"/>
        <v>none</v>
      </c>
      <c r="AG41" s="155"/>
      <c r="AH41" s="215">
        <v>1.0</v>
      </c>
      <c r="AI41" s="155"/>
      <c r="AJ41" s="221" t="str">
        <f t="shared" si="6"/>
        <v>none</v>
      </c>
      <c r="AK41" s="155"/>
      <c r="AL41" s="221" t="str">
        <f t="shared" si="7"/>
        <v>none</v>
      </c>
      <c r="AM41" s="155"/>
      <c r="AN41" s="222" t="str">
        <f t="shared" si="8"/>
        <v>攻撃力に数値を入力</v>
      </c>
      <c r="AO41" s="155"/>
      <c r="AP41" s="216"/>
      <c r="AQ41" s="154"/>
      <c r="AR41" s="154"/>
      <c r="AS41" s="155"/>
      <c r="AT41" s="223" t="str">
        <f t="shared" si="9"/>
        <v>none</v>
      </c>
      <c r="AU41" s="154"/>
      <c r="AV41" s="154"/>
      <c r="AW41" s="154"/>
      <c r="AX41" s="155"/>
      <c r="AY41" s="224" t="str">
        <f t="shared" si="10"/>
        <v>none</v>
      </c>
      <c r="AZ41" s="155"/>
      <c r="BA41" s="224" t="str">
        <f t="shared" si="11"/>
        <v>none</v>
      </c>
      <c r="BB41" s="155"/>
      <c r="BC41" s="218" t="str">
        <f t="shared" si="12"/>
        <v>none</v>
      </c>
      <c r="BD41" s="155"/>
      <c r="BE41" s="220" t="str">
        <f t="shared" si="13"/>
        <v>none</v>
      </c>
      <c r="BF41" s="155"/>
      <c r="BG41" s="220" t="str">
        <f t="shared" si="14"/>
        <v>none</v>
      </c>
      <c r="BH41" s="155"/>
      <c r="BI41" s="220" t="str">
        <f t="shared" si="15"/>
        <v>none</v>
      </c>
      <c r="BJ41" s="155"/>
      <c r="BK41" s="220" t="str">
        <f t="shared" si="16"/>
        <v>none</v>
      </c>
      <c r="BL41" s="155"/>
      <c r="BM41" s="225" t="str">
        <f t="shared" si="17"/>
        <v>none</v>
      </c>
      <c r="BN41" s="155"/>
      <c r="BO41" s="220" t="str">
        <f t="shared" si="18"/>
        <v>none</v>
      </c>
      <c r="BP41" s="155"/>
      <c r="BQ41" s="220" t="str">
        <f t="shared" si="19"/>
        <v>none</v>
      </c>
      <c r="BR41" s="155"/>
      <c r="BS41" s="216"/>
      <c r="BT41" s="155"/>
      <c r="BU41" s="216"/>
      <c r="BV41" s="155"/>
      <c r="BW41" s="183"/>
      <c r="BX41" s="155"/>
      <c r="BY41" s="216"/>
      <c r="BZ41" s="155"/>
      <c r="CA41" s="215" t="s">
        <v>286</v>
      </c>
      <c r="CB41" s="154"/>
      <c r="CC41" s="154"/>
      <c r="CD41" s="155"/>
      <c r="CE41" s="227"/>
      <c r="CF41" s="155"/>
      <c r="CG41" s="227"/>
      <c r="CH41" s="155"/>
      <c r="CI41" s="227"/>
      <c r="CJ41" s="155"/>
      <c r="CK41" s="227"/>
      <c r="CL41" s="155"/>
      <c r="CM41" s="226" t="s">
        <v>287</v>
      </c>
      <c r="CN41" s="155"/>
      <c r="CO41" s="216"/>
      <c r="CP41" s="155"/>
      <c r="CQ41" s="215" t="s">
        <v>287</v>
      </c>
      <c r="CR41" s="154"/>
      <c r="CS41" s="154"/>
      <c r="CT41" s="155"/>
      <c r="CU41" s="227"/>
      <c r="CV41" s="155"/>
      <c r="CW41" s="215" t="s">
        <v>287</v>
      </c>
      <c r="CX41" s="154"/>
      <c r="CY41" s="154"/>
      <c r="CZ41" s="155"/>
      <c r="DA41" s="227"/>
      <c r="DB41" s="155"/>
      <c r="DC41" s="215" t="s">
        <v>287</v>
      </c>
      <c r="DD41" s="154"/>
      <c r="DE41" s="154"/>
      <c r="DF41" s="155"/>
      <c r="DG41" s="227"/>
      <c r="DH41" s="155"/>
      <c r="DI41" s="227"/>
      <c r="DJ41" s="155"/>
      <c r="DK41" s="226" t="b">
        <v>0</v>
      </c>
      <c r="DL41" s="155"/>
      <c r="DM41" s="228" t="s">
        <v>287</v>
      </c>
      <c r="DN41" s="154"/>
      <c r="DO41" s="154"/>
      <c r="DP41" s="155"/>
      <c r="DQ41" s="227"/>
      <c r="DR41" s="155"/>
      <c r="DS41" s="216"/>
      <c r="DT41" s="154"/>
      <c r="DU41" s="154"/>
      <c r="DV41" s="154"/>
      <c r="DW41" s="155"/>
      <c r="DX41" s="28"/>
      <c r="DY41" s="135"/>
      <c r="DZ41" s="28"/>
      <c r="EA41" s="229" t="str">
        <f t="shared" si="20"/>
        <v/>
      </c>
      <c r="EB41" s="229" t="str">
        <f t="shared" si="21"/>
        <v/>
      </c>
      <c r="EC41" s="229" t="str">
        <f t="shared" si="22"/>
        <v/>
      </c>
      <c r="ED41" s="229" t="str">
        <f t="shared" si="23"/>
        <v>未入力</v>
      </c>
      <c r="EE41" s="229" t="str">
        <f t="shared" si="24"/>
        <v/>
      </c>
      <c r="EF41" s="229" t="str">
        <f t="shared" si="25"/>
        <v>SummonEnemy</v>
      </c>
      <c r="EG41" s="229" t="str">
        <f t="shared" si="26"/>
        <v/>
      </c>
      <c r="EH41" s="229"/>
      <c r="EI41" s="229" t="str">
        <f t="shared" si="27"/>
        <v/>
      </c>
      <c r="EJ41" s="229" t="str">
        <f t="shared" si="28"/>
        <v/>
      </c>
      <c r="EK41" s="229" t="str">
        <f t="shared" si="29"/>
        <v>None</v>
      </c>
      <c r="EL41" s="229" t="str">
        <f t="shared" si="30"/>
        <v/>
      </c>
      <c r="EM41" s="229" t="str">
        <f t="shared" si="31"/>
        <v>None</v>
      </c>
      <c r="EN41" s="229" t="str">
        <f t="shared" si="32"/>
        <v/>
      </c>
      <c r="EO41" s="229" t="str">
        <f t="shared" si="33"/>
        <v>None</v>
      </c>
      <c r="EP41" s="229" t="str">
        <f t="shared" si="34"/>
        <v/>
      </c>
      <c r="EQ41" s="229" t="str">
        <f t="shared" si="35"/>
        <v>None</v>
      </c>
      <c r="ER41" s="229" t="str">
        <f t="shared" si="36"/>
        <v/>
      </c>
      <c r="ES41" s="229" t="str">
        <f t="shared" si="37"/>
        <v/>
      </c>
      <c r="ET41" s="229" t="b">
        <f t="shared" si="38"/>
        <v>0</v>
      </c>
      <c r="EU41" s="229"/>
      <c r="EV41" s="229" t="str">
        <f t="shared" si="39"/>
        <v>Default</v>
      </c>
      <c r="EW41" s="229" t="str">
        <f t="shared" si="40"/>
        <v>Normal</v>
      </c>
      <c r="EX41" s="229">
        <f t="shared" si="41"/>
        <v>1</v>
      </c>
      <c r="EY41" s="229">
        <f t="shared" si="42"/>
        <v>1</v>
      </c>
      <c r="EZ41" s="229" t="str">
        <f t="shared" si="43"/>
        <v>1</v>
      </c>
      <c r="FA41" s="229" t="str">
        <f t="shared" si="44"/>
        <v/>
      </c>
      <c r="FB41" s="230">
        <v>0.0</v>
      </c>
      <c r="FC41" s="229" t="str">
        <f t="shared" si="45"/>
        <v/>
      </c>
      <c r="FD41" s="229" t="str">
        <f t="shared" si="46"/>
        <v>None</v>
      </c>
      <c r="FE41" s="229" t="str">
        <f t="shared" si="47"/>
        <v/>
      </c>
      <c r="FF41" s="28"/>
      <c r="FG41" s="28"/>
    </row>
    <row r="42">
      <c r="A42" s="28"/>
      <c r="B42" s="215"/>
      <c r="C42" s="155"/>
      <c r="D42" s="216"/>
      <c r="E42" s="155"/>
      <c r="F42" s="216"/>
      <c r="G42" s="155"/>
      <c r="H42" s="217"/>
      <c r="I42" s="154"/>
      <c r="J42" s="154"/>
      <c r="K42" s="155"/>
      <c r="L42" s="218" t="str">
        <f t="shared" si="48"/>
        <v>none</v>
      </c>
      <c r="M42" s="154"/>
      <c r="N42" s="154"/>
      <c r="O42" s="155"/>
      <c r="P42" s="218" t="str">
        <f t="shared" si="1"/>
        <v>none</v>
      </c>
      <c r="Q42" s="155"/>
      <c r="R42" s="219" t="str">
        <f t="shared" si="2"/>
        <v>none</v>
      </c>
      <c r="S42" s="155"/>
      <c r="T42" s="218" t="str">
        <f t="shared" si="3"/>
        <v>none</v>
      </c>
      <c r="U42" s="155"/>
      <c r="V42" s="215" t="s">
        <v>284</v>
      </c>
      <c r="W42" s="155"/>
      <c r="X42" s="215" t="s">
        <v>285</v>
      </c>
      <c r="Y42" s="155"/>
      <c r="Z42" s="216"/>
      <c r="AA42" s="155"/>
      <c r="AB42" s="220" t="str">
        <f t="shared" si="4"/>
        <v>none</v>
      </c>
      <c r="AC42" s="155"/>
      <c r="AD42" s="215">
        <v>1.0</v>
      </c>
      <c r="AE42" s="155"/>
      <c r="AF42" s="220" t="str">
        <f t="shared" si="5"/>
        <v>none</v>
      </c>
      <c r="AG42" s="155"/>
      <c r="AH42" s="215">
        <v>1.0</v>
      </c>
      <c r="AI42" s="155"/>
      <c r="AJ42" s="221" t="str">
        <f t="shared" si="6"/>
        <v>none</v>
      </c>
      <c r="AK42" s="155"/>
      <c r="AL42" s="221" t="str">
        <f t="shared" si="7"/>
        <v>none</v>
      </c>
      <c r="AM42" s="155"/>
      <c r="AN42" s="222" t="str">
        <f t="shared" si="8"/>
        <v>攻撃力に数値を入力</v>
      </c>
      <c r="AO42" s="155"/>
      <c r="AP42" s="216"/>
      <c r="AQ42" s="154"/>
      <c r="AR42" s="154"/>
      <c r="AS42" s="155"/>
      <c r="AT42" s="223" t="str">
        <f t="shared" si="9"/>
        <v>none</v>
      </c>
      <c r="AU42" s="154"/>
      <c r="AV42" s="154"/>
      <c r="AW42" s="154"/>
      <c r="AX42" s="155"/>
      <c r="AY42" s="224" t="str">
        <f t="shared" si="10"/>
        <v>none</v>
      </c>
      <c r="AZ42" s="155"/>
      <c r="BA42" s="224" t="str">
        <f t="shared" si="11"/>
        <v>none</v>
      </c>
      <c r="BB42" s="155"/>
      <c r="BC42" s="218" t="str">
        <f t="shared" si="12"/>
        <v>none</v>
      </c>
      <c r="BD42" s="155"/>
      <c r="BE42" s="220" t="str">
        <f t="shared" si="13"/>
        <v>none</v>
      </c>
      <c r="BF42" s="155"/>
      <c r="BG42" s="220" t="str">
        <f t="shared" si="14"/>
        <v>none</v>
      </c>
      <c r="BH42" s="155"/>
      <c r="BI42" s="220" t="str">
        <f t="shared" si="15"/>
        <v>none</v>
      </c>
      <c r="BJ42" s="155"/>
      <c r="BK42" s="220" t="str">
        <f t="shared" si="16"/>
        <v>none</v>
      </c>
      <c r="BL42" s="155"/>
      <c r="BM42" s="225" t="str">
        <f t="shared" si="17"/>
        <v>none</v>
      </c>
      <c r="BN42" s="155"/>
      <c r="BO42" s="220" t="str">
        <f t="shared" si="18"/>
        <v>none</v>
      </c>
      <c r="BP42" s="155"/>
      <c r="BQ42" s="220" t="str">
        <f t="shared" si="19"/>
        <v>none</v>
      </c>
      <c r="BR42" s="155"/>
      <c r="BS42" s="216"/>
      <c r="BT42" s="155"/>
      <c r="BU42" s="216"/>
      <c r="BV42" s="155"/>
      <c r="BW42" s="183"/>
      <c r="BX42" s="155"/>
      <c r="BY42" s="216"/>
      <c r="BZ42" s="155"/>
      <c r="CA42" s="215" t="s">
        <v>286</v>
      </c>
      <c r="CB42" s="154"/>
      <c r="CC42" s="154"/>
      <c r="CD42" s="155"/>
      <c r="CE42" s="227"/>
      <c r="CF42" s="155"/>
      <c r="CG42" s="227"/>
      <c r="CH42" s="155"/>
      <c r="CI42" s="227"/>
      <c r="CJ42" s="155"/>
      <c r="CK42" s="227"/>
      <c r="CL42" s="155"/>
      <c r="CM42" s="226" t="s">
        <v>287</v>
      </c>
      <c r="CN42" s="155"/>
      <c r="CO42" s="216"/>
      <c r="CP42" s="155"/>
      <c r="CQ42" s="215" t="s">
        <v>287</v>
      </c>
      <c r="CR42" s="154"/>
      <c r="CS42" s="154"/>
      <c r="CT42" s="155"/>
      <c r="CU42" s="227"/>
      <c r="CV42" s="155"/>
      <c r="CW42" s="215" t="s">
        <v>287</v>
      </c>
      <c r="CX42" s="154"/>
      <c r="CY42" s="154"/>
      <c r="CZ42" s="155"/>
      <c r="DA42" s="227"/>
      <c r="DB42" s="155"/>
      <c r="DC42" s="215" t="s">
        <v>287</v>
      </c>
      <c r="DD42" s="154"/>
      <c r="DE42" s="154"/>
      <c r="DF42" s="155"/>
      <c r="DG42" s="227"/>
      <c r="DH42" s="155"/>
      <c r="DI42" s="227"/>
      <c r="DJ42" s="155"/>
      <c r="DK42" s="226" t="b">
        <v>0</v>
      </c>
      <c r="DL42" s="155"/>
      <c r="DM42" s="228" t="s">
        <v>287</v>
      </c>
      <c r="DN42" s="154"/>
      <c r="DO42" s="154"/>
      <c r="DP42" s="155"/>
      <c r="DQ42" s="227"/>
      <c r="DR42" s="155"/>
      <c r="DS42" s="216"/>
      <c r="DT42" s="154"/>
      <c r="DU42" s="154"/>
      <c r="DV42" s="154"/>
      <c r="DW42" s="155"/>
      <c r="DX42" s="28"/>
      <c r="DY42" s="135"/>
      <c r="DZ42" s="28"/>
      <c r="EA42" s="231" t="str">
        <f t="shared" si="20"/>
        <v/>
      </c>
      <c r="EB42" s="231" t="str">
        <f t="shared" si="21"/>
        <v/>
      </c>
      <c r="EC42" s="231" t="str">
        <f t="shared" si="22"/>
        <v/>
      </c>
      <c r="ED42" s="231" t="str">
        <f t="shared" si="23"/>
        <v>未入力</v>
      </c>
      <c r="EE42" s="231" t="str">
        <f t="shared" si="24"/>
        <v/>
      </c>
      <c r="EF42" s="231" t="str">
        <f t="shared" si="25"/>
        <v>SummonEnemy</v>
      </c>
      <c r="EG42" s="231" t="str">
        <f t="shared" si="26"/>
        <v/>
      </c>
      <c r="EH42" s="231"/>
      <c r="EI42" s="231" t="str">
        <f t="shared" si="27"/>
        <v/>
      </c>
      <c r="EJ42" s="231" t="str">
        <f t="shared" si="28"/>
        <v/>
      </c>
      <c r="EK42" s="231" t="str">
        <f t="shared" si="29"/>
        <v>None</v>
      </c>
      <c r="EL42" s="231" t="str">
        <f t="shared" si="30"/>
        <v/>
      </c>
      <c r="EM42" s="231" t="str">
        <f t="shared" si="31"/>
        <v>None</v>
      </c>
      <c r="EN42" s="231" t="str">
        <f t="shared" si="32"/>
        <v/>
      </c>
      <c r="EO42" s="231" t="str">
        <f t="shared" si="33"/>
        <v>None</v>
      </c>
      <c r="EP42" s="231" t="str">
        <f t="shared" si="34"/>
        <v/>
      </c>
      <c r="EQ42" s="231" t="str">
        <f t="shared" si="35"/>
        <v>None</v>
      </c>
      <c r="ER42" s="231" t="str">
        <f t="shared" si="36"/>
        <v/>
      </c>
      <c r="ES42" s="231" t="str">
        <f t="shared" si="37"/>
        <v/>
      </c>
      <c r="ET42" s="231" t="b">
        <f t="shared" si="38"/>
        <v>0</v>
      </c>
      <c r="EU42" s="231"/>
      <c r="EV42" s="231" t="str">
        <f t="shared" si="39"/>
        <v>Default</v>
      </c>
      <c r="EW42" s="231" t="str">
        <f t="shared" si="40"/>
        <v>Normal</v>
      </c>
      <c r="EX42" s="231">
        <f t="shared" si="41"/>
        <v>1</v>
      </c>
      <c r="EY42" s="231">
        <f t="shared" si="42"/>
        <v>1</v>
      </c>
      <c r="EZ42" s="231" t="str">
        <f t="shared" si="43"/>
        <v>1</v>
      </c>
      <c r="FA42" s="231" t="str">
        <f t="shared" si="44"/>
        <v/>
      </c>
      <c r="FB42" s="231">
        <v>0.0</v>
      </c>
      <c r="FC42" s="231" t="str">
        <f t="shared" si="45"/>
        <v/>
      </c>
      <c r="FD42" s="231" t="str">
        <f t="shared" si="46"/>
        <v>None</v>
      </c>
      <c r="FE42" s="231" t="str">
        <f t="shared" si="47"/>
        <v/>
      </c>
      <c r="FF42" s="28"/>
      <c r="FG42" s="28"/>
    </row>
    <row r="43">
      <c r="A43" s="28"/>
      <c r="B43" s="215"/>
      <c r="C43" s="155"/>
      <c r="D43" s="216"/>
      <c r="E43" s="155"/>
      <c r="F43" s="216"/>
      <c r="G43" s="155"/>
      <c r="H43" s="217"/>
      <c r="I43" s="154"/>
      <c r="J43" s="154"/>
      <c r="K43" s="155"/>
      <c r="L43" s="218" t="str">
        <f t="shared" si="48"/>
        <v>none</v>
      </c>
      <c r="M43" s="154"/>
      <c r="N43" s="154"/>
      <c r="O43" s="155"/>
      <c r="P43" s="218" t="str">
        <f t="shared" si="1"/>
        <v>none</v>
      </c>
      <c r="Q43" s="155"/>
      <c r="R43" s="219" t="str">
        <f t="shared" si="2"/>
        <v>none</v>
      </c>
      <c r="S43" s="155"/>
      <c r="T43" s="218" t="str">
        <f t="shared" si="3"/>
        <v>none</v>
      </c>
      <c r="U43" s="155"/>
      <c r="V43" s="215" t="s">
        <v>284</v>
      </c>
      <c r="W43" s="155"/>
      <c r="X43" s="215" t="s">
        <v>285</v>
      </c>
      <c r="Y43" s="155"/>
      <c r="Z43" s="216"/>
      <c r="AA43" s="155"/>
      <c r="AB43" s="220" t="str">
        <f t="shared" si="4"/>
        <v>none</v>
      </c>
      <c r="AC43" s="155"/>
      <c r="AD43" s="215">
        <v>1.0</v>
      </c>
      <c r="AE43" s="155"/>
      <c r="AF43" s="220" t="str">
        <f t="shared" si="5"/>
        <v>none</v>
      </c>
      <c r="AG43" s="155"/>
      <c r="AH43" s="215">
        <v>1.0</v>
      </c>
      <c r="AI43" s="155"/>
      <c r="AJ43" s="221" t="str">
        <f t="shared" si="6"/>
        <v>none</v>
      </c>
      <c r="AK43" s="155"/>
      <c r="AL43" s="221" t="str">
        <f t="shared" si="7"/>
        <v>none</v>
      </c>
      <c r="AM43" s="155"/>
      <c r="AN43" s="222" t="str">
        <f t="shared" si="8"/>
        <v>攻撃力に数値を入力</v>
      </c>
      <c r="AO43" s="155"/>
      <c r="AP43" s="216"/>
      <c r="AQ43" s="154"/>
      <c r="AR43" s="154"/>
      <c r="AS43" s="155"/>
      <c r="AT43" s="223" t="str">
        <f t="shared" si="9"/>
        <v>none</v>
      </c>
      <c r="AU43" s="154"/>
      <c r="AV43" s="154"/>
      <c r="AW43" s="154"/>
      <c r="AX43" s="155"/>
      <c r="AY43" s="224" t="str">
        <f t="shared" si="10"/>
        <v>none</v>
      </c>
      <c r="AZ43" s="155"/>
      <c r="BA43" s="224" t="str">
        <f t="shared" si="11"/>
        <v>none</v>
      </c>
      <c r="BB43" s="155"/>
      <c r="BC43" s="218" t="str">
        <f t="shared" si="12"/>
        <v>none</v>
      </c>
      <c r="BD43" s="155"/>
      <c r="BE43" s="220" t="str">
        <f t="shared" si="13"/>
        <v>none</v>
      </c>
      <c r="BF43" s="155"/>
      <c r="BG43" s="220" t="str">
        <f t="shared" si="14"/>
        <v>none</v>
      </c>
      <c r="BH43" s="155"/>
      <c r="BI43" s="220" t="str">
        <f t="shared" si="15"/>
        <v>none</v>
      </c>
      <c r="BJ43" s="155"/>
      <c r="BK43" s="220" t="str">
        <f t="shared" si="16"/>
        <v>none</v>
      </c>
      <c r="BL43" s="155"/>
      <c r="BM43" s="225" t="str">
        <f t="shared" si="17"/>
        <v>none</v>
      </c>
      <c r="BN43" s="155"/>
      <c r="BO43" s="220" t="str">
        <f t="shared" si="18"/>
        <v>none</v>
      </c>
      <c r="BP43" s="155"/>
      <c r="BQ43" s="220" t="str">
        <f t="shared" si="19"/>
        <v>none</v>
      </c>
      <c r="BR43" s="155"/>
      <c r="BS43" s="216"/>
      <c r="BT43" s="155"/>
      <c r="BU43" s="216"/>
      <c r="BV43" s="155"/>
      <c r="BW43" s="183"/>
      <c r="BX43" s="155"/>
      <c r="BY43" s="216"/>
      <c r="BZ43" s="155"/>
      <c r="CA43" s="215" t="s">
        <v>286</v>
      </c>
      <c r="CB43" s="154"/>
      <c r="CC43" s="154"/>
      <c r="CD43" s="155"/>
      <c r="CE43" s="227"/>
      <c r="CF43" s="155"/>
      <c r="CG43" s="227"/>
      <c r="CH43" s="155"/>
      <c r="CI43" s="227"/>
      <c r="CJ43" s="155"/>
      <c r="CK43" s="227"/>
      <c r="CL43" s="155"/>
      <c r="CM43" s="226" t="s">
        <v>287</v>
      </c>
      <c r="CN43" s="155"/>
      <c r="CO43" s="216"/>
      <c r="CP43" s="155"/>
      <c r="CQ43" s="215" t="s">
        <v>287</v>
      </c>
      <c r="CR43" s="154"/>
      <c r="CS43" s="154"/>
      <c r="CT43" s="155"/>
      <c r="CU43" s="227"/>
      <c r="CV43" s="155"/>
      <c r="CW43" s="215" t="s">
        <v>287</v>
      </c>
      <c r="CX43" s="154"/>
      <c r="CY43" s="154"/>
      <c r="CZ43" s="155"/>
      <c r="DA43" s="227"/>
      <c r="DB43" s="155"/>
      <c r="DC43" s="215" t="s">
        <v>287</v>
      </c>
      <c r="DD43" s="154"/>
      <c r="DE43" s="154"/>
      <c r="DF43" s="155"/>
      <c r="DG43" s="227"/>
      <c r="DH43" s="155"/>
      <c r="DI43" s="227"/>
      <c r="DJ43" s="155"/>
      <c r="DK43" s="226" t="b">
        <v>0</v>
      </c>
      <c r="DL43" s="155"/>
      <c r="DM43" s="228" t="s">
        <v>287</v>
      </c>
      <c r="DN43" s="154"/>
      <c r="DO43" s="154"/>
      <c r="DP43" s="155"/>
      <c r="DQ43" s="227"/>
      <c r="DR43" s="155"/>
      <c r="DS43" s="216"/>
      <c r="DT43" s="154"/>
      <c r="DU43" s="154"/>
      <c r="DV43" s="154"/>
      <c r="DW43" s="155"/>
      <c r="DX43" s="28"/>
      <c r="DY43" s="135"/>
      <c r="DZ43" s="28"/>
      <c r="EA43" s="229" t="str">
        <f t="shared" si="20"/>
        <v/>
      </c>
      <c r="EB43" s="229" t="str">
        <f t="shared" si="21"/>
        <v/>
      </c>
      <c r="EC43" s="229" t="str">
        <f t="shared" si="22"/>
        <v/>
      </c>
      <c r="ED43" s="229" t="str">
        <f t="shared" si="23"/>
        <v>未入力</v>
      </c>
      <c r="EE43" s="229" t="str">
        <f t="shared" si="24"/>
        <v/>
      </c>
      <c r="EF43" s="229" t="str">
        <f t="shared" si="25"/>
        <v>SummonEnemy</v>
      </c>
      <c r="EG43" s="229" t="str">
        <f t="shared" si="26"/>
        <v/>
      </c>
      <c r="EH43" s="229"/>
      <c r="EI43" s="229" t="str">
        <f t="shared" si="27"/>
        <v/>
      </c>
      <c r="EJ43" s="229" t="str">
        <f t="shared" si="28"/>
        <v/>
      </c>
      <c r="EK43" s="229" t="str">
        <f t="shared" si="29"/>
        <v>None</v>
      </c>
      <c r="EL43" s="229" t="str">
        <f t="shared" si="30"/>
        <v/>
      </c>
      <c r="EM43" s="229" t="str">
        <f t="shared" si="31"/>
        <v>None</v>
      </c>
      <c r="EN43" s="229" t="str">
        <f t="shared" si="32"/>
        <v/>
      </c>
      <c r="EO43" s="229" t="str">
        <f t="shared" si="33"/>
        <v>None</v>
      </c>
      <c r="EP43" s="229" t="str">
        <f t="shared" si="34"/>
        <v/>
      </c>
      <c r="EQ43" s="229" t="str">
        <f t="shared" si="35"/>
        <v>None</v>
      </c>
      <c r="ER43" s="229" t="str">
        <f t="shared" si="36"/>
        <v/>
      </c>
      <c r="ES43" s="229" t="str">
        <f t="shared" si="37"/>
        <v/>
      </c>
      <c r="ET43" s="229" t="b">
        <f t="shared" si="38"/>
        <v>0</v>
      </c>
      <c r="EU43" s="229"/>
      <c r="EV43" s="229" t="str">
        <f t="shared" si="39"/>
        <v>Default</v>
      </c>
      <c r="EW43" s="229" t="str">
        <f t="shared" si="40"/>
        <v>Normal</v>
      </c>
      <c r="EX43" s="229">
        <f t="shared" si="41"/>
        <v>1</v>
      </c>
      <c r="EY43" s="229">
        <f t="shared" si="42"/>
        <v>1</v>
      </c>
      <c r="EZ43" s="229" t="str">
        <f t="shared" si="43"/>
        <v>1</v>
      </c>
      <c r="FA43" s="229" t="str">
        <f t="shared" si="44"/>
        <v/>
      </c>
      <c r="FB43" s="230">
        <v>0.0</v>
      </c>
      <c r="FC43" s="229" t="str">
        <f t="shared" si="45"/>
        <v/>
      </c>
      <c r="FD43" s="229" t="str">
        <f t="shared" si="46"/>
        <v>None</v>
      </c>
      <c r="FE43" s="229" t="str">
        <f t="shared" si="47"/>
        <v/>
      </c>
      <c r="FF43" s="28"/>
      <c r="FG43" s="28"/>
    </row>
    <row r="44">
      <c r="A44" s="28"/>
      <c r="B44" s="215"/>
      <c r="C44" s="155"/>
      <c r="D44" s="216"/>
      <c r="E44" s="155"/>
      <c r="F44" s="216"/>
      <c r="G44" s="155"/>
      <c r="H44" s="217"/>
      <c r="I44" s="154"/>
      <c r="J44" s="154"/>
      <c r="K44" s="155"/>
      <c r="L44" s="218" t="str">
        <f t="shared" si="48"/>
        <v>none</v>
      </c>
      <c r="M44" s="154"/>
      <c r="N44" s="154"/>
      <c r="O44" s="155"/>
      <c r="P44" s="218" t="str">
        <f t="shared" si="1"/>
        <v>none</v>
      </c>
      <c r="Q44" s="155"/>
      <c r="R44" s="219" t="str">
        <f t="shared" si="2"/>
        <v>none</v>
      </c>
      <c r="S44" s="155"/>
      <c r="T44" s="218" t="str">
        <f t="shared" si="3"/>
        <v>none</v>
      </c>
      <c r="U44" s="155"/>
      <c r="V44" s="215" t="s">
        <v>284</v>
      </c>
      <c r="W44" s="155"/>
      <c r="X44" s="215" t="s">
        <v>285</v>
      </c>
      <c r="Y44" s="155"/>
      <c r="Z44" s="216"/>
      <c r="AA44" s="155"/>
      <c r="AB44" s="220" t="str">
        <f t="shared" si="4"/>
        <v>none</v>
      </c>
      <c r="AC44" s="155"/>
      <c r="AD44" s="215">
        <v>1.0</v>
      </c>
      <c r="AE44" s="155"/>
      <c r="AF44" s="220" t="str">
        <f t="shared" si="5"/>
        <v>none</v>
      </c>
      <c r="AG44" s="155"/>
      <c r="AH44" s="215">
        <v>1.0</v>
      </c>
      <c r="AI44" s="155"/>
      <c r="AJ44" s="221" t="str">
        <f t="shared" si="6"/>
        <v>none</v>
      </c>
      <c r="AK44" s="155"/>
      <c r="AL44" s="221" t="str">
        <f t="shared" si="7"/>
        <v>none</v>
      </c>
      <c r="AM44" s="155"/>
      <c r="AN44" s="222" t="str">
        <f t="shared" si="8"/>
        <v>攻撃力に数値を入力</v>
      </c>
      <c r="AO44" s="155"/>
      <c r="AP44" s="216"/>
      <c r="AQ44" s="154"/>
      <c r="AR44" s="154"/>
      <c r="AS44" s="155"/>
      <c r="AT44" s="223" t="str">
        <f t="shared" si="9"/>
        <v>none</v>
      </c>
      <c r="AU44" s="154"/>
      <c r="AV44" s="154"/>
      <c r="AW44" s="154"/>
      <c r="AX44" s="155"/>
      <c r="AY44" s="224" t="str">
        <f t="shared" si="10"/>
        <v>none</v>
      </c>
      <c r="AZ44" s="155"/>
      <c r="BA44" s="224" t="str">
        <f t="shared" si="11"/>
        <v>none</v>
      </c>
      <c r="BB44" s="155"/>
      <c r="BC44" s="218" t="str">
        <f t="shared" si="12"/>
        <v>none</v>
      </c>
      <c r="BD44" s="155"/>
      <c r="BE44" s="220" t="str">
        <f t="shared" si="13"/>
        <v>none</v>
      </c>
      <c r="BF44" s="155"/>
      <c r="BG44" s="220" t="str">
        <f t="shared" si="14"/>
        <v>none</v>
      </c>
      <c r="BH44" s="155"/>
      <c r="BI44" s="220" t="str">
        <f t="shared" si="15"/>
        <v>none</v>
      </c>
      <c r="BJ44" s="155"/>
      <c r="BK44" s="220" t="str">
        <f t="shared" si="16"/>
        <v>none</v>
      </c>
      <c r="BL44" s="155"/>
      <c r="BM44" s="225" t="str">
        <f t="shared" si="17"/>
        <v>none</v>
      </c>
      <c r="BN44" s="155"/>
      <c r="BO44" s="220" t="str">
        <f t="shared" si="18"/>
        <v>none</v>
      </c>
      <c r="BP44" s="155"/>
      <c r="BQ44" s="220" t="str">
        <f t="shared" si="19"/>
        <v>none</v>
      </c>
      <c r="BR44" s="155"/>
      <c r="BS44" s="216"/>
      <c r="BT44" s="155"/>
      <c r="BU44" s="216"/>
      <c r="BV44" s="155"/>
      <c r="BW44" s="183"/>
      <c r="BX44" s="155"/>
      <c r="BY44" s="216"/>
      <c r="BZ44" s="155"/>
      <c r="CA44" s="215" t="s">
        <v>286</v>
      </c>
      <c r="CB44" s="154"/>
      <c r="CC44" s="154"/>
      <c r="CD44" s="155"/>
      <c r="CE44" s="227"/>
      <c r="CF44" s="155"/>
      <c r="CG44" s="227"/>
      <c r="CH44" s="155"/>
      <c r="CI44" s="227"/>
      <c r="CJ44" s="155"/>
      <c r="CK44" s="227"/>
      <c r="CL44" s="155"/>
      <c r="CM44" s="226" t="s">
        <v>287</v>
      </c>
      <c r="CN44" s="155"/>
      <c r="CO44" s="216"/>
      <c r="CP44" s="155"/>
      <c r="CQ44" s="215" t="s">
        <v>287</v>
      </c>
      <c r="CR44" s="154"/>
      <c r="CS44" s="154"/>
      <c r="CT44" s="155"/>
      <c r="CU44" s="227"/>
      <c r="CV44" s="155"/>
      <c r="CW44" s="215" t="s">
        <v>287</v>
      </c>
      <c r="CX44" s="154"/>
      <c r="CY44" s="154"/>
      <c r="CZ44" s="155"/>
      <c r="DA44" s="227"/>
      <c r="DB44" s="155"/>
      <c r="DC44" s="215" t="s">
        <v>287</v>
      </c>
      <c r="DD44" s="154"/>
      <c r="DE44" s="154"/>
      <c r="DF44" s="155"/>
      <c r="DG44" s="227"/>
      <c r="DH44" s="155"/>
      <c r="DI44" s="227"/>
      <c r="DJ44" s="155"/>
      <c r="DK44" s="226" t="b">
        <v>0</v>
      </c>
      <c r="DL44" s="155"/>
      <c r="DM44" s="228" t="s">
        <v>287</v>
      </c>
      <c r="DN44" s="154"/>
      <c r="DO44" s="154"/>
      <c r="DP44" s="155"/>
      <c r="DQ44" s="227"/>
      <c r="DR44" s="155"/>
      <c r="DS44" s="216"/>
      <c r="DT44" s="154"/>
      <c r="DU44" s="154"/>
      <c r="DV44" s="154"/>
      <c r="DW44" s="155"/>
      <c r="DX44" s="28"/>
      <c r="DY44" s="135"/>
      <c r="DZ44" s="28"/>
      <c r="EA44" s="231" t="str">
        <f t="shared" si="20"/>
        <v/>
      </c>
      <c r="EB44" s="231" t="str">
        <f t="shared" si="21"/>
        <v/>
      </c>
      <c r="EC44" s="231" t="str">
        <f t="shared" si="22"/>
        <v/>
      </c>
      <c r="ED44" s="231" t="str">
        <f t="shared" si="23"/>
        <v>未入力</v>
      </c>
      <c r="EE44" s="231" t="str">
        <f t="shared" si="24"/>
        <v/>
      </c>
      <c r="EF44" s="231" t="str">
        <f t="shared" si="25"/>
        <v>SummonEnemy</v>
      </c>
      <c r="EG44" s="231" t="str">
        <f t="shared" si="26"/>
        <v/>
      </c>
      <c r="EH44" s="231"/>
      <c r="EI44" s="231" t="str">
        <f t="shared" si="27"/>
        <v/>
      </c>
      <c r="EJ44" s="231" t="str">
        <f t="shared" si="28"/>
        <v/>
      </c>
      <c r="EK44" s="231" t="str">
        <f t="shared" si="29"/>
        <v>None</v>
      </c>
      <c r="EL44" s="231" t="str">
        <f t="shared" si="30"/>
        <v/>
      </c>
      <c r="EM44" s="231" t="str">
        <f t="shared" si="31"/>
        <v>None</v>
      </c>
      <c r="EN44" s="231" t="str">
        <f t="shared" si="32"/>
        <v/>
      </c>
      <c r="EO44" s="231" t="str">
        <f t="shared" si="33"/>
        <v>None</v>
      </c>
      <c r="EP44" s="231" t="str">
        <f t="shared" si="34"/>
        <v/>
      </c>
      <c r="EQ44" s="231" t="str">
        <f t="shared" si="35"/>
        <v>None</v>
      </c>
      <c r="ER44" s="231" t="str">
        <f t="shared" si="36"/>
        <v/>
      </c>
      <c r="ES44" s="231" t="str">
        <f t="shared" si="37"/>
        <v/>
      </c>
      <c r="ET44" s="231" t="b">
        <f t="shared" si="38"/>
        <v>0</v>
      </c>
      <c r="EU44" s="231"/>
      <c r="EV44" s="231" t="str">
        <f t="shared" si="39"/>
        <v>Default</v>
      </c>
      <c r="EW44" s="231" t="str">
        <f t="shared" si="40"/>
        <v>Normal</v>
      </c>
      <c r="EX44" s="231">
        <f t="shared" si="41"/>
        <v>1</v>
      </c>
      <c r="EY44" s="231">
        <f t="shared" si="42"/>
        <v>1</v>
      </c>
      <c r="EZ44" s="231" t="str">
        <f t="shared" si="43"/>
        <v>1</v>
      </c>
      <c r="FA44" s="231" t="str">
        <f t="shared" si="44"/>
        <v/>
      </c>
      <c r="FB44" s="231">
        <v>0.0</v>
      </c>
      <c r="FC44" s="231" t="str">
        <f t="shared" si="45"/>
        <v/>
      </c>
      <c r="FD44" s="231" t="str">
        <f t="shared" si="46"/>
        <v>None</v>
      </c>
      <c r="FE44" s="231" t="str">
        <f t="shared" si="47"/>
        <v/>
      </c>
      <c r="FF44" s="28"/>
      <c r="FG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X45" s="28"/>
      <c r="DY45" s="135"/>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X46" s="28"/>
      <c r="DY46" s="135"/>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row>
  </sheetData>
  <mergeCells count="1139">
    <mergeCell ref="CE37:CF37"/>
    <mergeCell ref="CG37:CH37"/>
    <mergeCell ref="CI37:CJ37"/>
    <mergeCell ref="CK37:CL37"/>
    <mergeCell ref="CM37:CN37"/>
    <mergeCell ref="CO37:CP37"/>
    <mergeCell ref="CQ37:CT37"/>
    <mergeCell ref="DM37:DP37"/>
    <mergeCell ref="DQ37:DR37"/>
    <mergeCell ref="DS37:DW37"/>
    <mergeCell ref="CU37:CV37"/>
    <mergeCell ref="CW37:CZ37"/>
    <mergeCell ref="DA37:DB37"/>
    <mergeCell ref="DC37:DF37"/>
    <mergeCell ref="DG37:DH37"/>
    <mergeCell ref="DI37:DJ37"/>
    <mergeCell ref="DK37:DL37"/>
    <mergeCell ref="AH36:AI36"/>
    <mergeCell ref="AJ36:AK36"/>
    <mergeCell ref="T36:U36"/>
    <mergeCell ref="V36:W36"/>
    <mergeCell ref="X36:Y36"/>
    <mergeCell ref="Z36:AA36"/>
    <mergeCell ref="AB36:AC36"/>
    <mergeCell ref="AD36:AE36"/>
    <mergeCell ref="AF36:AG36"/>
    <mergeCell ref="T37:U37"/>
    <mergeCell ref="V37:W37"/>
    <mergeCell ref="X37:Y37"/>
    <mergeCell ref="Z37:AA37"/>
    <mergeCell ref="AB37:AC37"/>
    <mergeCell ref="AD37:AE37"/>
    <mergeCell ref="AF37:AG37"/>
    <mergeCell ref="AH37:AI37"/>
    <mergeCell ref="AJ37:AK37"/>
    <mergeCell ref="AL37:AM37"/>
    <mergeCell ref="AN37:AO37"/>
    <mergeCell ref="AP37:AS37"/>
    <mergeCell ref="AT37:AX37"/>
    <mergeCell ref="AY37:AZ37"/>
    <mergeCell ref="BA37:BB37"/>
    <mergeCell ref="BC37:BD37"/>
    <mergeCell ref="BE37:BF37"/>
    <mergeCell ref="BG37:BH37"/>
    <mergeCell ref="BI37:BJ37"/>
    <mergeCell ref="BK37:BL37"/>
    <mergeCell ref="BM37:BN37"/>
    <mergeCell ref="BO37:BP37"/>
    <mergeCell ref="BQ37:BR37"/>
    <mergeCell ref="BS37:BT37"/>
    <mergeCell ref="BU37:BV37"/>
    <mergeCell ref="BW37:BX37"/>
    <mergeCell ref="BY37:BZ37"/>
    <mergeCell ref="CA37:CD37"/>
    <mergeCell ref="B37:C37"/>
    <mergeCell ref="D37:E37"/>
    <mergeCell ref="F37:G37"/>
    <mergeCell ref="H37:K37"/>
    <mergeCell ref="L37:O37"/>
    <mergeCell ref="P37:Q37"/>
    <mergeCell ref="R37:S37"/>
    <mergeCell ref="T38:U38"/>
    <mergeCell ref="V38:W38"/>
    <mergeCell ref="X38:Y38"/>
    <mergeCell ref="Z38:AA38"/>
    <mergeCell ref="AB38:AC38"/>
    <mergeCell ref="AD38:AE38"/>
    <mergeCell ref="AF38:AG38"/>
    <mergeCell ref="B38:C38"/>
    <mergeCell ref="D38:E38"/>
    <mergeCell ref="F38:G38"/>
    <mergeCell ref="H38:K38"/>
    <mergeCell ref="L38:O38"/>
    <mergeCell ref="P38:Q38"/>
    <mergeCell ref="R38:S38"/>
    <mergeCell ref="BE39:BF39"/>
    <mergeCell ref="BG39:BH39"/>
    <mergeCell ref="AL39:AM39"/>
    <mergeCell ref="AN39:AO39"/>
    <mergeCell ref="AP39:AS39"/>
    <mergeCell ref="AT39:AX39"/>
    <mergeCell ref="AY39:AZ39"/>
    <mergeCell ref="BA39:BB39"/>
    <mergeCell ref="BC39:BD39"/>
    <mergeCell ref="BW39:BX39"/>
    <mergeCell ref="BY39:BZ39"/>
    <mergeCell ref="BI39:BJ39"/>
    <mergeCell ref="BK39:BL39"/>
    <mergeCell ref="BM39:BN39"/>
    <mergeCell ref="BO39:BP39"/>
    <mergeCell ref="BQ39:BR39"/>
    <mergeCell ref="BS39:BT39"/>
    <mergeCell ref="BU39:BV39"/>
    <mergeCell ref="CQ39:CT39"/>
    <mergeCell ref="CU39:CV39"/>
    <mergeCell ref="CA39:CD39"/>
    <mergeCell ref="CE39:CF39"/>
    <mergeCell ref="CG39:CH39"/>
    <mergeCell ref="CI39:CJ39"/>
    <mergeCell ref="CK39:CL39"/>
    <mergeCell ref="CM39:CN39"/>
    <mergeCell ref="CO39:CP39"/>
    <mergeCell ref="DQ39:DR39"/>
    <mergeCell ref="DS39:DW39"/>
    <mergeCell ref="CW39:CZ39"/>
    <mergeCell ref="DA39:DB39"/>
    <mergeCell ref="DC39:DF39"/>
    <mergeCell ref="DG39:DH39"/>
    <mergeCell ref="DI39:DJ39"/>
    <mergeCell ref="DK39:DL39"/>
    <mergeCell ref="DM39:DP39"/>
    <mergeCell ref="CE38:CF38"/>
    <mergeCell ref="CG38:CH38"/>
    <mergeCell ref="CI38:CJ38"/>
    <mergeCell ref="CK38:CL38"/>
    <mergeCell ref="CM38:CN38"/>
    <mergeCell ref="CO38:CP38"/>
    <mergeCell ref="CQ38:CT38"/>
    <mergeCell ref="DM38:DP38"/>
    <mergeCell ref="DQ38:DR38"/>
    <mergeCell ref="DS38:DW38"/>
    <mergeCell ref="B39:C39"/>
    <mergeCell ref="D39:E39"/>
    <mergeCell ref="F39:G39"/>
    <mergeCell ref="H39:K39"/>
    <mergeCell ref="L39:O39"/>
    <mergeCell ref="P39:Q39"/>
    <mergeCell ref="R39:S39"/>
    <mergeCell ref="AH38:AI38"/>
    <mergeCell ref="AJ38:AK38"/>
    <mergeCell ref="AL38:AM38"/>
    <mergeCell ref="AN38:AO38"/>
    <mergeCell ref="AP38:AS38"/>
    <mergeCell ref="AT38:AX38"/>
    <mergeCell ref="AY38:AZ38"/>
    <mergeCell ref="BA38:BB38"/>
    <mergeCell ref="BC38:BD38"/>
    <mergeCell ref="BE38:BF38"/>
    <mergeCell ref="BG38:BH38"/>
    <mergeCell ref="BI38:BJ38"/>
    <mergeCell ref="BK38:BL38"/>
    <mergeCell ref="BM38:BN38"/>
    <mergeCell ref="BO38:BP38"/>
    <mergeCell ref="BQ38:BR38"/>
    <mergeCell ref="BS38:BT38"/>
    <mergeCell ref="BU38:BV38"/>
    <mergeCell ref="BW38:BX38"/>
    <mergeCell ref="BY38:BZ38"/>
    <mergeCell ref="CA38:CD38"/>
    <mergeCell ref="CU38:CV38"/>
    <mergeCell ref="CW38:CZ38"/>
    <mergeCell ref="DA38:DB38"/>
    <mergeCell ref="DC38:DF38"/>
    <mergeCell ref="DG38:DH38"/>
    <mergeCell ref="DI38:DJ38"/>
    <mergeCell ref="DK38:DL38"/>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AH39:AI39"/>
    <mergeCell ref="AJ39:AK39"/>
    <mergeCell ref="T39:U39"/>
    <mergeCell ref="V39:W39"/>
    <mergeCell ref="X39:Y39"/>
    <mergeCell ref="Z39:AA39"/>
    <mergeCell ref="AB39:AC39"/>
    <mergeCell ref="AD39:AE39"/>
    <mergeCell ref="AF39:AG39"/>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B40:C40"/>
    <mergeCell ref="D40:E40"/>
    <mergeCell ref="F40:G40"/>
    <mergeCell ref="H40:K40"/>
    <mergeCell ref="L40:O40"/>
    <mergeCell ref="P40:Q40"/>
    <mergeCell ref="R40:S40"/>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Z24:AA24"/>
    <mergeCell ref="AB24:AC24"/>
    <mergeCell ref="AD24:AE24"/>
    <mergeCell ref="AF24:AG24"/>
    <mergeCell ref="AH24:AI24"/>
    <mergeCell ref="AJ24:AK24"/>
    <mergeCell ref="AL24:AM24"/>
    <mergeCell ref="AN24:AO24"/>
    <mergeCell ref="AP24:AS24"/>
    <mergeCell ref="BE24:BF24"/>
    <mergeCell ref="BG24:BH24"/>
    <mergeCell ref="BI24:BJ24"/>
    <mergeCell ref="BK24:BL24"/>
    <mergeCell ref="BM24:BN24"/>
    <mergeCell ref="BO24:BP24"/>
    <mergeCell ref="BQ24:BR24"/>
    <mergeCell ref="BS24:BT24"/>
    <mergeCell ref="BU24:BV24"/>
    <mergeCell ref="BW24:BX24"/>
    <mergeCell ref="BY24:BZ24"/>
    <mergeCell ref="CA24:CD24"/>
    <mergeCell ref="CE24:CF24"/>
    <mergeCell ref="CG24:CH24"/>
    <mergeCell ref="CI24:CJ24"/>
    <mergeCell ref="CK24:CL24"/>
    <mergeCell ref="CM24:CN24"/>
    <mergeCell ref="CO24:CP24"/>
    <mergeCell ref="CQ24:CT24"/>
    <mergeCell ref="DM24:DP24"/>
    <mergeCell ref="DQ24:DR24"/>
    <mergeCell ref="DS24:DW24"/>
    <mergeCell ref="CU24:CV24"/>
    <mergeCell ref="CW24:CZ24"/>
    <mergeCell ref="DA24:DB24"/>
    <mergeCell ref="DC24:DF24"/>
    <mergeCell ref="DG24:DH24"/>
    <mergeCell ref="DI24:DJ24"/>
    <mergeCell ref="DK24:DL24"/>
    <mergeCell ref="B6:Q8"/>
    <mergeCell ref="B10:F10"/>
    <mergeCell ref="B11:F11"/>
    <mergeCell ref="E13:G13"/>
    <mergeCell ref="N13:P13"/>
    <mergeCell ref="B18:C18"/>
    <mergeCell ref="D18:E18"/>
    <mergeCell ref="AK18:AL18"/>
    <mergeCell ref="AM18:AQ18"/>
    <mergeCell ref="AR18:AS18"/>
    <mergeCell ref="AT18:AU18"/>
    <mergeCell ref="AV18:AZ18"/>
    <mergeCell ref="BA18:BB18"/>
    <mergeCell ref="BC18:BD18"/>
    <mergeCell ref="N18:O18"/>
    <mergeCell ref="P18:Q18"/>
    <mergeCell ref="U18:Y18"/>
    <mergeCell ref="Z18:AA18"/>
    <mergeCell ref="AB18:AC18"/>
    <mergeCell ref="AD18:AH18"/>
    <mergeCell ref="AI18:AJ18"/>
    <mergeCell ref="AT19:AU19"/>
    <mergeCell ref="AV19:AZ19"/>
    <mergeCell ref="BA19:BB19"/>
    <mergeCell ref="BC19:BD19"/>
    <mergeCell ref="AT24:AX24"/>
    <mergeCell ref="AY24:AZ24"/>
    <mergeCell ref="BA24:BB24"/>
    <mergeCell ref="BC24:BD24"/>
    <mergeCell ref="Z19:AA19"/>
    <mergeCell ref="AB19:AC19"/>
    <mergeCell ref="AD19:AH19"/>
    <mergeCell ref="AI19:AJ19"/>
    <mergeCell ref="AK19:AL19"/>
    <mergeCell ref="AM19:AQ19"/>
    <mergeCell ref="AR19:AS19"/>
    <mergeCell ref="F18:G18"/>
    <mergeCell ref="H18:I18"/>
    <mergeCell ref="B19:C19"/>
    <mergeCell ref="D19:E19"/>
    <mergeCell ref="F19:G19"/>
    <mergeCell ref="H19:I19"/>
    <mergeCell ref="B24:C24"/>
    <mergeCell ref="J18:K18"/>
    <mergeCell ref="L18:M18"/>
    <mergeCell ref="J19:K19"/>
    <mergeCell ref="L19:M19"/>
    <mergeCell ref="N19:O19"/>
    <mergeCell ref="P19:Q19"/>
    <mergeCell ref="U19:Y19"/>
    <mergeCell ref="CE25:CF25"/>
    <mergeCell ref="CG25:CH25"/>
    <mergeCell ref="CI25:CJ25"/>
    <mergeCell ref="CK25:CL25"/>
    <mergeCell ref="CM25:CN25"/>
    <mergeCell ref="CO25:CP25"/>
    <mergeCell ref="CQ25:CT25"/>
    <mergeCell ref="DM25:DP25"/>
    <mergeCell ref="DQ25:DR25"/>
    <mergeCell ref="DS25:DW25"/>
    <mergeCell ref="CU25:CV25"/>
    <mergeCell ref="CW25:CZ25"/>
    <mergeCell ref="DA25:DB25"/>
    <mergeCell ref="DC25:DF25"/>
    <mergeCell ref="DG25:DH25"/>
    <mergeCell ref="DI25:DJ25"/>
    <mergeCell ref="DK25:DL25"/>
    <mergeCell ref="V24:W24"/>
    <mergeCell ref="X24:Y24"/>
    <mergeCell ref="D24:E24"/>
    <mergeCell ref="F24:G24"/>
    <mergeCell ref="H24:K24"/>
    <mergeCell ref="L24:O24"/>
    <mergeCell ref="P24:Q24"/>
    <mergeCell ref="R24:S24"/>
    <mergeCell ref="T24:U24"/>
    <mergeCell ref="T25:U25"/>
    <mergeCell ref="V25:W25"/>
    <mergeCell ref="X25:Y25"/>
    <mergeCell ref="Z25:AA25"/>
    <mergeCell ref="AB25:AC25"/>
    <mergeCell ref="AD25:AE25"/>
    <mergeCell ref="AF25:AG25"/>
    <mergeCell ref="AH25:AI25"/>
    <mergeCell ref="AJ25:AK25"/>
    <mergeCell ref="AL25:AM25"/>
    <mergeCell ref="AN25:AO25"/>
    <mergeCell ref="AP25:AS25"/>
    <mergeCell ref="AT25:AX25"/>
    <mergeCell ref="AY25:AZ25"/>
    <mergeCell ref="BA25:BB25"/>
    <mergeCell ref="BC25:BD25"/>
    <mergeCell ref="BE25:BF25"/>
    <mergeCell ref="BG25:BH25"/>
    <mergeCell ref="BI25:BJ25"/>
    <mergeCell ref="BK25:BL25"/>
    <mergeCell ref="BM25:BN25"/>
    <mergeCell ref="BO25:BP25"/>
    <mergeCell ref="BQ25:BR25"/>
    <mergeCell ref="BS25:BT25"/>
    <mergeCell ref="BU25:BV25"/>
    <mergeCell ref="BW25:BX25"/>
    <mergeCell ref="BY25:BZ25"/>
    <mergeCell ref="CA25:CD25"/>
    <mergeCell ref="B25:C25"/>
    <mergeCell ref="D25:E25"/>
    <mergeCell ref="F25:G25"/>
    <mergeCell ref="H25:K25"/>
    <mergeCell ref="L25:O25"/>
    <mergeCell ref="P25:Q25"/>
    <mergeCell ref="R25:S25"/>
    <mergeCell ref="BW27:BX27"/>
    <mergeCell ref="BY27:BZ27"/>
    <mergeCell ref="BI27:BJ27"/>
    <mergeCell ref="BK27:BL27"/>
    <mergeCell ref="BM27:BN27"/>
    <mergeCell ref="BO27:BP27"/>
    <mergeCell ref="BQ27:BR27"/>
    <mergeCell ref="BS27:BT27"/>
    <mergeCell ref="BU27:BV27"/>
    <mergeCell ref="CE28:CF28"/>
    <mergeCell ref="CG28:CH28"/>
    <mergeCell ref="CI28:CJ28"/>
    <mergeCell ref="CK28:CL28"/>
    <mergeCell ref="CM28:CN28"/>
    <mergeCell ref="CO28:CP28"/>
    <mergeCell ref="CQ28:CT28"/>
    <mergeCell ref="DM28:DP28"/>
    <mergeCell ref="DQ28:DR28"/>
    <mergeCell ref="DS28:DW28"/>
    <mergeCell ref="CU28:CV28"/>
    <mergeCell ref="CW28:CZ28"/>
    <mergeCell ref="DA28:DB28"/>
    <mergeCell ref="DC28:DF28"/>
    <mergeCell ref="DG28:DH28"/>
    <mergeCell ref="DI28:DJ28"/>
    <mergeCell ref="DK28:DL28"/>
    <mergeCell ref="B44:C44"/>
    <mergeCell ref="D44:E44"/>
    <mergeCell ref="F44:G44"/>
    <mergeCell ref="H44:K44"/>
    <mergeCell ref="L44:O44"/>
    <mergeCell ref="P44:Q44"/>
    <mergeCell ref="R44:S44"/>
    <mergeCell ref="T44:U44"/>
    <mergeCell ref="V44:W44"/>
    <mergeCell ref="X44:Y44"/>
    <mergeCell ref="Z44:AA44"/>
    <mergeCell ref="AB44:AC44"/>
    <mergeCell ref="AD44:AE44"/>
    <mergeCell ref="AF44:AG44"/>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E44:CF44"/>
    <mergeCell ref="CG44:CH44"/>
    <mergeCell ref="CI44:CJ44"/>
    <mergeCell ref="CK44:CL44"/>
    <mergeCell ref="CM44:CN44"/>
    <mergeCell ref="CO44:CP44"/>
    <mergeCell ref="CQ44:CT44"/>
    <mergeCell ref="DM44:DP44"/>
    <mergeCell ref="DQ44:DR44"/>
    <mergeCell ref="DS44:DW44"/>
    <mergeCell ref="DS45:DW45"/>
    <mergeCell ref="DS46:DW46"/>
    <mergeCell ref="CU44:CV44"/>
    <mergeCell ref="CW44:CZ44"/>
    <mergeCell ref="DA44:DB44"/>
    <mergeCell ref="DC44:DF44"/>
    <mergeCell ref="DG44:DH44"/>
    <mergeCell ref="DI44:DJ44"/>
    <mergeCell ref="DK44:DL44"/>
    <mergeCell ref="T26:U26"/>
    <mergeCell ref="V26:W26"/>
    <mergeCell ref="X26:Y26"/>
    <mergeCell ref="Z26:AA26"/>
    <mergeCell ref="AB26:AC26"/>
    <mergeCell ref="AD26:AE26"/>
    <mergeCell ref="AF26:AG26"/>
    <mergeCell ref="B26:C26"/>
    <mergeCell ref="D26:E26"/>
    <mergeCell ref="F26:G26"/>
    <mergeCell ref="H26:K26"/>
    <mergeCell ref="L26:O26"/>
    <mergeCell ref="P26:Q26"/>
    <mergeCell ref="R26:S26"/>
    <mergeCell ref="CQ27:CT27"/>
    <mergeCell ref="CU27:CV27"/>
    <mergeCell ref="CA27:CD27"/>
    <mergeCell ref="CE27:CF27"/>
    <mergeCell ref="CG27:CH27"/>
    <mergeCell ref="CI27:CJ27"/>
    <mergeCell ref="CK27:CL27"/>
    <mergeCell ref="CM27:CN27"/>
    <mergeCell ref="CO27:CP27"/>
    <mergeCell ref="DQ27:DR27"/>
    <mergeCell ref="DS27:DW27"/>
    <mergeCell ref="CW27:CZ27"/>
    <mergeCell ref="DA27:DB27"/>
    <mergeCell ref="DC27:DF27"/>
    <mergeCell ref="DG27:DH27"/>
    <mergeCell ref="DI27:DJ27"/>
    <mergeCell ref="DK27:DL27"/>
    <mergeCell ref="DM27:DP27"/>
    <mergeCell ref="CE26:CF26"/>
    <mergeCell ref="CG26:CH26"/>
    <mergeCell ref="CI26:CJ26"/>
    <mergeCell ref="CK26:CL26"/>
    <mergeCell ref="CM26:CN26"/>
    <mergeCell ref="CO26:CP26"/>
    <mergeCell ref="CQ26:CT26"/>
    <mergeCell ref="DM26:DP26"/>
    <mergeCell ref="DQ26:DR26"/>
    <mergeCell ref="DS26:DW26"/>
    <mergeCell ref="B27:C27"/>
    <mergeCell ref="D27:E27"/>
    <mergeCell ref="F27:G27"/>
    <mergeCell ref="H27:K27"/>
    <mergeCell ref="L27:O27"/>
    <mergeCell ref="P27:Q27"/>
    <mergeCell ref="R27:S27"/>
    <mergeCell ref="AH26:AI26"/>
    <mergeCell ref="AJ26:AK26"/>
    <mergeCell ref="AL26:AM26"/>
    <mergeCell ref="AN26:AO26"/>
    <mergeCell ref="AP26:AS26"/>
    <mergeCell ref="AT26:AX26"/>
    <mergeCell ref="AY26:AZ26"/>
    <mergeCell ref="BA26:BB26"/>
    <mergeCell ref="BC26:BD26"/>
    <mergeCell ref="BE26:BF26"/>
    <mergeCell ref="BG26:BH26"/>
    <mergeCell ref="BI26:BJ26"/>
    <mergeCell ref="BK26:BL26"/>
    <mergeCell ref="BM26:BN26"/>
    <mergeCell ref="BO26:BP26"/>
    <mergeCell ref="BQ26:BR26"/>
    <mergeCell ref="BS26:BT26"/>
    <mergeCell ref="BU26:BV26"/>
    <mergeCell ref="BW26:BX26"/>
    <mergeCell ref="BY26:BZ26"/>
    <mergeCell ref="CA26:CD26"/>
    <mergeCell ref="CU26:CV26"/>
    <mergeCell ref="CW26:CZ26"/>
    <mergeCell ref="DA26:DB26"/>
    <mergeCell ref="DC26:DF26"/>
    <mergeCell ref="DG26:DH26"/>
    <mergeCell ref="DI26:DJ26"/>
    <mergeCell ref="DK26:DL26"/>
    <mergeCell ref="BE27:BF27"/>
    <mergeCell ref="BG27:BH27"/>
    <mergeCell ref="AL27:AM27"/>
    <mergeCell ref="AN27:AO27"/>
    <mergeCell ref="AP27:AS27"/>
    <mergeCell ref="AT27:AX27"/>
    <mergeCell ref="AY27:AZ27"/>
    <mergeCell ref="BA27:BB27"/>
    <mergeCell ref="BC27:BD27"/>
    <mergeCell ref="AH27:AI27"/>
    <mergeCell ref="AJ27:AK27"/>
    <mergeCell ref="T27:U27"/>
    <mergeCell ref="V27:W27"/>
    <mergeCell ref="X27:Y27"/>
    <mergeCell ref="Z27:AA27"/>
    <mergeCell ref="AB27:AC27"/>
    <mergeCell ref="AD27:AE27"/>
    <mergeCell ref="AF27:AG27"/>
    <mergeCell ref="T28:U28"/>
    <mergeCell ref="V28:W28"/>
    <mergeCell ref="X28:Y28"/>
    <mergeCell ref="Z28:AA28"/>
    <mergeCell ref="AB28:AC28"/>
    <mergeCell ref="AD28:AE28"/>
    <mergeCell ref="AF28:AG28"/>
    <mergeCell ref="AH28:AI28"/>
    <mergeCell ref="AJ28:AK28"/>
    <mergeCell ref="AL28:AM28"/>
    <mergeCell ref="AN28:AO28"/>
    <mergeCell ref="AP28:AS28"/>
    <mergeCell ref="AT28:AX28"/>
    <mergeCell ref="AY28:AZ28"/>
    <mergeCell ref="BA28:BB28"/>
    <mergeCell ref="BC28:BD28"/>
    <mergeCell ref="BE28:BF28"/>
    <mergeCell ref="BG28:BH28"/>
    <mergeCell ref="BI28:BJ28"/>
    <mergeCell ref="BK28:BL28"/>
    <mergeCell ref="BM28:BN28"/>
    <mergeCell ref="BO28:BP28"/>
    <mergeCell ref="BQ28:BR28"/>
    <mergeCell ref="BS28:BT28"/>
    <mergeCell ref="BU28:BV28"/>
    <mergeCell ref="BW28:BX28"/>
    <mergeCell ref="BY28:BZ28"/>
    <mergeCell ref="CA28:CD28"/>
    <mergeCell ref="B28:C28"/>
    <mergeCell ref="D28:E28"/>
    <mergeCell ref="F28:G28"/>
    <mergeCell ref="H28:K28"/>
    <mergeCell ref="L28:O28"/>
    <mergeCell ref="P28:Q28"/>
    <mergeCell ref="R28:S28"/>
    <mergeCell ref="T29:U29"/>
    <mergeCell ref="V29:W29"/>
    <mergeCell ref="X29:Y29"/>
    <mergeCell ref="Z29:AA29"/>
    <mergeCell ref="AB29:AC29"/>
    <mergeCell ref="AD29:AE29"/>
    <mergeCell ref="AF29:AG29"/>
    <mergeCell ref="B29:C29"/>
    <mergeCell ref="D29:E29"/>
    <mergeCell ref="F29:G29"/>
    <mergeCell ref="H29:K29"/>
    <mergeCell ref="L29:O29"/>
    <mergeCell ref="P29:Q29"/>
    <mergeCell ref="R29:S29"/>
    <mergeCell ref="BE30:BF30"/>
    <mergeCell ref="BG30:BH30"/>
    <mergeCell ref="AL30:AM30"/>
    <mergeCell ref="AN30:AO30"/>
    <mergeCell ref="AP30:AS30"/>
    <mergeCell ref="AT30:AX30"/>
    <mergeCell ref="AY30:AZ30"/>
    <mergeCell ref="BA30:BB30"/>
    <mergeCell ref="BC30:BD30"/>
    <mergeCell ref="BW30:BX30"/>
    <mergeCell ref="BY30:BZ30"/>
    <mergeCell ref="BI30:BJ30"/>
    <mergeCell ref="BK30:BL30"/>
    <mergeCell ref="BM30:BN30"/>
    <mergeCell ref="BO30:BP30"/>
    <mergeCell ref="BQ30:BR30"/>
    <mergeCell ref="BS30:BT30"/>
    <mergeCell ref="BU30:BV30"/>
    <mergeCell ref="CQ30:CT30"/>
    <mergeCell ref="CU30:CV30"/>
    <mergeCell ref="CA30:CD30"/>
    <mergeCell ref="CE30:CF30"/>
    <mergeCell ref="CG30:CH30"/>
    <mergeCell ref="CI30:CJ30"/>
    <mergeCell ref="CK30:CL30"/>
    <mergeCell ref="CM30:CN30"/>
    <mergeCell ref="CO30:CP30"/>
    <mergeCell ref="DQ30:DR30"/>
    <mergeCell ref="DS30:DW30"/>
    <mergeCell ref="CW30:CZ30"/>
    <mergeCell ref="DA30:DB30"/>
    <mergeCell ref="DC30:DF30"/>
    <mergeCell ref="DG30:DH30"/>
    <mergeCell ref="DI30:DJ30"/>
    <mergeCell ref="DK30:DL30"/>
    <mergeCell ref="DM30:DP30"/>
    <mergeCell ref="CE29:CF29"/>
    <mergeCell ref="CG29:CH29"/>
    <mergeCell ref="CI29:CJ29"/>
    <mergeCell ref="CK29:CL29"/>
    <mergeCell ref="CM29:CN29"/>
    <mergeCell ref="CO29:CP29"/>
    <mergeCell ref="CQ29:CT29"/>
    <mergeCell ref="DM29:DP29"/>
    <mergeCell ref="DQ29:DR29"/>
    <mergeCell ref="DS29:DW29"/>
    <mergeCell ref="B30:C30"/>
    <mergeCell ref="D30:E30"/>
    <mergeCell ref="F30:G30"/>
    <mergeCell ref="H30:K30"/>
    <mergeCell ref="L30:O30"/>
    <mergeCell ref="P30:Q30"/>
    <mergeCell ref="R30:S30"/>
    <mergeCell ref="AH29:AI29"/>
    <mergeCell ref="AJ29:AK29"/>
    <mergeCell ref="AL29:AM29"/>
    <mergeCell ref="AN29:AO29"/>
    <mergeCell ref="AP29:AS29"/>
    <mergeCell ref="AT29:AX29"/>
    <mergeCell ref="AY29:AZ29"/>
    <mergeCell ref="BA29:BB29"/>
    <mergeCell ref="BC29:BD29"/>
    <mergeCell ref="BE29:BF29"/>
    <mergeCell ref="BG29:BH29"/>
    <mergeCell ref="BI29:BJ29"/>
    <mergeCell ref="BK29:BL29"/>
    <mergeCell ref="BM29:BN29"/>
    <mergeCell ref="BO29:BP29"/>
    <mergeCell ref="BQ29:BR29"/>
    <mergeCell ref="BS29:BT29"/>
    <mergeCell ref="BU29:BV29"/>
    <mergeCell ref="BW29:BX29"/>
    <mergeCell ref="BY29:BZ29"/>
    <mergeCell ref="CA29:CD29"/>
    <mergeCell ref="CU29:CV29"/>
    <mergeCell ref="CW29:CZ29"/>
    <mergeCell ref="DA29:DB29"/>
    <mergeCell ref="DC29:DF29"/>
    <mergeCell ref="DG29:DH29"/>
    <mergeCell ref="DI29:DJ29"/>
    <mergeCell ref="DK29:DL29"/>
    <mergeCell ref="CE31:CF31"/>
    <mergeCell ref="CG31:CH31"/>
    <mergeCell ref="CI31:CJ31"/>
    <mergeCell ref="CK31:CL31"/>
    <mergeCell ref="CM31:CN31"/>
    <mergeCell ref="CO31:CP31"/>
    <mergeCell ref="CQ31:CT31"/>
    <mergeCell ref="DM31:DP31"/>
    <mergeCell ref="DQ31:DR31"/>
    <mergeCell ref="DS31:DW31"/>
    <mergeCell ref="CU31:CV31"/>
    <mergeCell ref="CW31:CZ31"/>
    <mergeCell ref="DA31:DB31"/>
    <mergeCell ref="DC31:DF31"/>
    <mergeCell ref="DG31:DH31"/>
    <mergeCell ref="DI31:DJ31"/>
    <mergeCell ref="DK31:DL31"/>
    <mergeCell ref="AH30:AI30"/>
    <mergeCell ref="AJ30:AK30"/>
    <mergeCell ref="T30:U30"/>
    <mergeCell ref="V30:W30"/>
    <mergeCell ref="X30:Y30"/>
    <mergeCell ref="Z30:AA30"/>
    <mergeCell ref="AB30:AC30"/>
    <mergeCell ref="AD30:AE30"/>
    <mergeCell ref="AF30:AG30"/>
    <mergeCell ref="T31:U31"/>
    <mergeCell ref="V31:W31"/>
    <mergeCell ref="X31:Y31"/>
    <mergeCell ref="Z31:AA31"/>
    <mergeCell ref="AB31:AC31"/>
    <mergeCell ref="AD31:AE31"/>
    <mergeCell ref="AF31:AG31"/>
    <mergeCell ref="AH31:AI31"/>
    <mergeCell ref="AJ31:AK31"/>
    <mergeCell ref="AL31:AM31"/>
    <mergeCell ref="AN31:AO31"/>
    <mergeCell ref="AP31:AS31"/>
    <mergeCell ref="AT31:AX31"/>
    <mergeCell ref="AY31:AZ31"/>
    <mergeCell ref="BA31:BB31"/>
    <mergeCell ref="BC31:BD31"/>
    <mergeCell ref="BE31:BF31"/>
    <mergeCell ref="BG31:BH31"/>
    <mergeCell ref="BI31:BJ31"/>
    <mergeCell ref="BK31:BL31"/>
    <mergeCell ref="BM31:BN31"/>
    <mergeCell ref="BO31:BP31"/>
    <mergeCell ref="BQ31:BR31"/>
    <mergeCell ref="BS31:BT31"/>
    <mergeCell ref="BU31:BV31"/>
    <mergeCell ref="BW31:BX31"/>
    <mergeCell ref="BY31:BZ31"/>
    <mergeCell ref="CA31:CD31"/>
    <mergeCell ref="B31:C31"/>
    <mergeCell ref="D31:E31"/>
    <mergeCell ref="F31:G31"/>
    <mergeCell ref="H31:K31"/>
    <mergeCell ref="L31:O31"/>
    <mergeCell ref="P31:Q31"/>
    <mergeCell ref="R31:S31"/>
    <mergeCell ref="T32:U32"/>
    <mergeCell ref="V32:W32"/>
    <mergeCell ref="X32:Y32"/>
    <mergeCell ref="Z32:AA32"/>
    <mergeCell ref="AB32:AC32"/>
    <mergeCell ref="AD32:AE32"/>
    <mergeCell ref="AF32:AG32"/>
    <mergeCell ref="B32:C32"/>
    <mergeCell ref="D32:E32"/>
    <mergeCell ref="F32:G32"/>
    <mergeCell ref="H32:K32"/>
    <mergeCell ref="L32:O32"/>
    <mergeCell ref="P32:Q32"/>
    <mergeCell ref="R32:S32"/>
    <mergeCell ref="BE33:BF33"/>
    <mergeCell ref="BG33:BH33"/>
    <mergeCell ref="AL33:AM33"/>
    <mergeCell ref="AN33:AO33"/>
    <mergeCell ref="AP33:AS33"/>
    <mergeCell ref="AT33:AX33"/>
    <mergeCell ref="AY33:AZ33"/>
    <mergeCell ref="BA33:BB33"/>
    <mergeCell ref="BC33:BD33"/>
    <mergeCell ref="BW33:BX33"/>
    <mergeCell ref="BY33:BZ33"/>
    <mergeCell ref="BI33:BJ33"/>
    <mergeCell ref="BK33:BL33"/>
    <mergeCell ref="BM33:BN33"/>
    <mergeCell ref="BO33:BP33"/>
    <mergeCell ref="BQ33:BR33"/>
    <mergeCell ref="BS33:BT33"/>
    <mergeCell ref="BU33:BV33"/>
    <mergeCell ref="CQ33:CT33"/>
    <mergeCell ref="CU33:CV33"/>
    <mergeCell ref="CA33:CD33"/>
    <mergeCell ref="CE33:CF33"/>
    <mergeCell ref="CG33:CH33"/>
    <mergeCell ref="CI33:CJ33"/>
    <mergeCell ref="CK33:CL33"/>
    <mergeCell ref="CM33:CN33"/>
    <mergeCell ref="CO33:CP33"/>
    <mergeCell ref="DQ33:DR33"/>
    <mergeCell ref="DS33:DW33"/>
    <mergeCell ref="CW33:CZ33"/>
    <mergeCell ref="DA33:DB33"/>
    <mergeCell ref="DC33:DF33"/>
    <mergeCell ref="DG33:DH33"/>
    <mergeCell ref="DI33:DJ33"/>
    <mergeCell ref="DK33:DL33"/>
    <mergeCell ref="DM33:DP33"/>
    <mergeCell ref="CE32:CF32"/>
    <mergeCell ref="CG32:CH32"/>
    <mergeCell ref="CI32:CJ32"/>
    <mergeCell ref="CK32:CL32"/>
    <mergeCell ref="CM32:CN32"/>
    <mergeCell ref="CO32:CP32"/>
    <mergeCell ref="CQ32:CT32"/>
    <mergeCell ref="DM32:DP32"/>
    <mergeCell ref="DQ32:DR32"/>
    <mergeCell ref="DS32:DW32"/>
    <mergeCell ref="B33:C33"/>
    <mergeCell ref="D33:E33"/>
    <mergeCell ref="F33:G33"/>
    <mergeCell ref="H33:K33"/>
    <mergeCell ref="L33:O33"/>
    <mergeCell ref="P33:Q33"/>
    <mergeCell ref="R33:S33"/>
    <mergeCell ref="AH32:AI32"/>
    <mergeCell ref="AJ32:AK32"/>
    <mergeCell ref="AL32:AM32"/>
    <mergeCell ref="AN32:AO32"/>
    <mergeCell ref="AP32:AS32"/>
    <mergeCell ref="AT32:AX32"/>
    <mergeCell ref="AY32:AZ32"/>
    <mergeCell ref="BA32:BB32"/>
    <mergeCell ref="BC32:BD32"/>
    <mergeCell ref="BE32:BF32"/>
    <mergeCell ref="BG32:BH32"/>
    <mergeCell ref="BI32:BJ32"/>
    <mergeCell ref="BK32:BL32"/>
    <mergeCell ref="BM32:BN32"/>
    <mergeCell ref="BO32:BP32"/>
    <mergeCell ref="BQ32:BR32"/>
    <mergeCell ref="BS32:BT32"/>
    <mergeCell ref="BU32:BV32"/>
    <mergeCell ref="BW32:BX32"/>
    <mergeCell ref="BY32:BZ32"/>
    <mergeCell ref="CA32:CD32"/>
    <mergeCell ref="CU32:CV32"/>
    <mergeCell ref="CW32:CZ32"/>
    <mergeCell ref="DA32:DB32"/>
    <mergeCell ref="DC32:DF32"/>
    <mergeCell ref="DG32:DH32"/>
    <mergeCell ref="DI32:DJ32"/>
    <mergeCell ref="DK32:DL32"/>
    <mergeCell ref="CE34:CF34"/>
    <mergeCell ref="CG34:CH34"/>
    <mergeCell ref="CI34:CJ34"/>
    <mergeCell ref="CK34:CL34"/>
    <mergeCell ref="CM34:CN34"/>
    <mergeCell ref="CO34:CP34"/>
    <mergeCell ref="CQ34:CT34"/>
    <mergeCell ref="DM34:DP34"/>
    <mergeCell ref="DQ34:DR34"/>
    <mergeCell ref="DS34:DW34"/>
    <mergeCell ref="CU34:CV34"/>
    <mergeCell ref="CW34:CZ34"/>
    <mergeCell ref="DA34:DB34"/>
    <mergeCell ref="DC34:DF34"/>
    <mergeCell ref="DG34:DH34"/>
    <mergeCell ref="DI34:DJ34"/>
    <mergeCell ref="DK34:DL34"/>
    <mergeCell ref="AH33:AI33"/>
    <mergeCell ref="AJ33:AK33"/>
    <mergeCell ref="T33:U33"/>
    <mergeCell ref="V33:W33"/>
    <mergeCell ref="X33:Y33"/>
    <mergeCell ref="Z33:AA33"/>
    <mergeCell ref="AB33:AC33"/>
    <mergeCell ref="AD33:AE33"/>
    <mergeCell ref="AF33:AG33"/>
    <mergeCell ref="T34:U34"/>
    <mergeCell ref="V34:W34"/>
    <mergeCell ref="X34:Y34"/>
    <mergeCell ref="Z34:AA34"/>
    <mergeCell ref="AB34:AC34"/>
    <mergeCell ref="AD34:AE34"/>
    <mergeCell ref="AF34:AG34"/>
    <mergeCell ref="AH34:AI34"/>
    <mergeCell ref="AJ34:AK34"/>
    <mergeCell ref="AL34:AM34"/>
    <mergeCell ref="AN34:AO34"/>
    <mergeCell ref="AP34:AS34"/>
    <mergeCell ref="AT34:AX34"/>
    <mergeCell ref="AY34:AZ34"/>
    <mergeCell ref="BA34:BB34"/>
    <mergeCell ref="BC34:BD34"/>
    <mergeCell ref="BE34:BF34"/>
    <mergeCell ref="BG34:BH34"/>
    <mergeCell ref="BI34:BJ34"/>
    <mergeCell ref="BK34:BL34"/>
    <mergeCell ref="BM34:BN34"/>
    <mergeCell ref="BO34:BP34"/>
    <mergeCell ref="BQ34:BR34"/>
    <mergeCell ref="BS34:BT34"/>
    <mergeCell ref="BU34:BV34"/>
    <mergeCell ref="BW34:BX34"/>
    <mergeCell ref="BY34:BZ34"/>
    <mergeCell ref="CA34:CD34"/>
    <mergeCell ref="B34:C34"/>
    <mergeCell ref="D34:E34"/>
    <mergeCell ref="F34:G34"/>
    <mergeCell ref="H34:K34"/>
    <mergeCell ref="L34:O34"/>
    <mergeCell ref="P34:Q34"/>
    <mergeCell ref="R34:S34"/>
    <mergeCell ref="T35:U35"/>
    <mergeCell ref="V35:W35"/>
    <mergeCell ref="X35:Y35"/>
    <mergeCell ref="Z35:AA35"/>
    <mergeCell ref="AB35:AC35"/>
    <mergeCell ref="AD35:AE35"/>
    <mergeCell ref="AF35:AG35"/>
    <mergeCell ref="B35:C35"/>
    <mergeCell ref="D35:E35"/>
    <mergeCell ref="F35:G35"/>
    <mergeCell ref="H35:K35"/>
    <mergeCell ref="L35:O35"/>
    <mergeCell ref="P35:Q35"/>
    <mergeCell ref="R35:S35"/>
    <mergeCell ref="BE36:BF36"/>
    <mergeCell ref="BG36:BH36"/>
    <mergeCell ref="AL36:AM36"/>
    <mergeCell ref="AN36:AO36"/>
    <mergeCell ref="AP36:AS36"/>
    <mergeCell ref="AT36:AX36"/>
    <mergeCell ref="AY36:AZ36"/>
    <mergeCell ref="BA36:BB36"/>
    <mergeCell ref="BC36:BD36"/>
    <mergeCell ref="BW36:BX36"/>
    <mergeCell ref="BY36:BZ36"/>
    <mergeCell ref="BI36:BJ36"/>
    <mergeCell ref="BK36:BL36"/>
    <mergeCell ref="BM36:BN36"/>
    <mergeCell ref="BO36:BP36"/>
    <mergeCell ref="BQ36:BR36"/>
    <mergeCell ref="BS36:BT36"/>
    <mergeCell ref="BU36:BV36"/>
    <mergeCell ref="CQ36:CT36"/>
    <mergeCell ref="CU36:CV36"/>
    <mergeCell ref="CA36:CD36"/>
    <mergeCell ref="CE36:CF36"/>
    <mergeCell ref="CG36:CH36"/>
    <mergeCell ref="CI36:CJ36"/>
    <mergeCell ref="CK36:CL36"/>
    <mergeCell ref="CM36:CN36"/>
    <mergeCell ref="CO36:CP36"/>
    <mergeCell ref="DQ36:DR36"/>
    <mergeCell ref="DS36:DW36"/>
    <mergeCell ref="CW36:CZ36"/>
    <mergeCell ref="DA36:DB36"/>
    <mergeCell ref="DC36:DF36"/>
    <mergeCell ref="DG36:DH36"/>
    <mergeCell ref="DI36:DJ36"/>
    <mergeCell ref="DK36:DL36"/>
    <mergeCell ref="DM36:DP36"/>
    <mergeCell ref="CE35:CF35"/>
    <mergeCell ref="CG35:CH35"/>
    <mergeCell ref="CI35:CJ35"/>
    <mergeCell ref="CK35:CL35"/>
    <mergeCell ref="CM35:CN35"/>
    <mergeCell ref="CO35:CP35"/>
    <mergeCell ref="CQ35:CT35"/>
    <mergeCell ref="DM35:DP35"/>
    <mergeCell ref="DQ35:DR35"/>
    <mergeCell ref="DS35:DW35"/>
    <mergeCell ref="B36:C36"/>
    <mergeCell ref="D36:E36"/>
    <mergeCell ref="F36:G36"/>
    <mergeCell ref="H36:K36"/>
    <mergeCell ref="L36:O36"/>
    <mergeCell ref="P36:Q36"/>
    <mergeCell ref="R36:S36"/>
    <mergeCell ref="AH35:AI35"/>
    <mergeCell ref="AJ35:AK35"/>
    <mergeCell ref="AL35:AM35"/>
    <mergeCell ref="AN35:AO35"/>
    <mergeCell ref="AP35:AS35"/>
    <mergeCell ref="AT35:AX35"/>
    <mergeCell ref="AY35:AZ35"/>
    <mergeCell ref="BA35:BB35"/>
    <mergeCell ref="BC35:BD35"/>
    <mergeCell ref="BE35:BF35"/>
    <mergeCell ref="BG35:BH35"/>
    <mergeCell ref="BI35:BJ35"/>
    <mergeCell ref="BK35:BL35"/>
    <mergeCell ref="BM35:BN35"/>
    <mergeCell ref="BO35:BP35"/>
    <mergeCell ref="BQ35:BR35"/>
    <mergeCell ref="BS35:BT35"/>
    <mergeCell ref="BU35:BV35"/>
    <mergeCell ref="BW35:BX35"/>
    <mergeCell ref="BY35:BZ35"/>
    <mergeCell ref="CA35:CD35"/>
    <mergeCell ref="CU35:CV35"/>
    <mergeCell ref="CW35:CZ35"/>
    <mergeCell ref="DA35:DB35"/>
    <mergeCell ref="DC35:DF35"/>
    <mergeCell ref="DG35:DH35"/>
    <mergeCell ref="DI35:DJ35"/>
    <mergeCell ref="DK35:DL35"/>
  </mergeCells>
  <conditionalFormatting sqref="H19:O19">
    <cfRule type="cellIs" dxfId="1" priority="1" operator="equal">
      <formula>"none"</formula>
    </cfRule>
  </conditionalFormatting>
  <conditionalFormatting sqref="CA24">
    <cfRule type="containsText" dxfId="1" priority="2" operator="containsText" text="normal">
      <formula>NOT(ISERROR(SEARCH(("normal"),(CA24))))</formula>
    </cfRule>
  </conditionalFormatting>
  <conditionalFormatting sqref="CA24">
    <cfRule type="containsText" dxfId="2" priority="3" operator="containsText" text="boss">
      <formula>NOT(ISERROR(SEARCH(("boss"),(CA24))))</formula>
    </cfRule>
  </conditionalFormatting>
  <conditionalFormatting sqref="R25:S44">
    <cfRule type="cellIs" dxfId="2" priority="4" operator="equal">
      <formula>"Yellow"</formula>
    </cfRule>
  </conditionalFormatting>
  <conditionalFormatting sqref="R25:S44">
    <cfRule type="cellIs" dxfId="3" priority="5" operator="equal">
      <formula>"Blue"</formula>
    </cfRule>
  </conditionalFormatting>
  <conditionalFormatting sqref="R25:S44">
    <cfRule type="cellIs" dxfId="4" priority="6" operator="equal">
      <formula>"Red"</formula>
    </cfRule>
  </conditionalFormatting>
  <conditionalFormatting sqref="R25:S44">
    <cfRule type="cellIs" dxfId="5" priority="7" operator="equal">
      <formula>"Green"</formula>
    </cfRule>
  </conditionalFormatting>
  <conditionalFormatting sqref="R25:S44">
    <cfRule type="cellIs" dxfId="6" priority="8" operator="equal">
      <formula>"Colorless"</formula>
    </cfRule>
  </conditionalFormatting>
  <conditionalFormatting sqref="J19:Q19">
    <cfRule type="cellIs" dxfId="1" priority="9" operator="equal">
      <formula>"none"</formula>
    </cfRule>
  </conditionalFormatting>
  <dataValidations>
    <dataValidation type="list" allowBlank="1" showErrorMessage="1" sqref="X25:X44">
      <formula1>'エネミー出現'!$S$2:$S46</formula1>
    </dataValidation>
    <dataValidation type="list" allowBlank="1" showErrorMessage="1" sqref="V25:V44">
      <formula1>'エネミー出現'!$P$2:$P46</formula1>
    </dataValidation>
    <dataValidation type="list" allowBlank="1" showErrorMessage="1" sqref="U19 AD19 AM19 AV19">
      <formula1>'コマ効果'!$B$2:$B46</formula1>
    </dataValidation>
    <dataValidation type="list" allowBlank="1" showErrorMessage="1" sqref="CQ25:CQ44 DC25:DC44">
      <formula1>'エネミー出現'!$G$2:$G46</formula1>
    </dataValidation>
    <dataValidation type="list" allowBlank="1" showErrorMessage="1" sqref="DK25:DK44">
      <formula1>"FALSE,TRUE"</formula1>
    </dataValidation>
    <dataValidation type="list" allowBlank="1" showErrorMessage="1" sqref="D19">
      <formula1>'行パターン'!$A$2:$A46</formula1>
    </dataValidation>
    <dataValidation type="list" allowBlank="1" showErrorMessage="1" sqref="DM25:DM44">
      <formula1>'エネミー出現'!$A$2:A46</formula1>
    </dataValidation>
    <dataValidation type="list" allowBlank="1" showErrorMessage="1" sqref="Z25:Z44">
      <formula1>"あり,なし"</formula1>
    </dataValidation>
    <dataValidation type="list" allowBlank="1" showErrorMessage="1" sqref="CA25:CA44">
      <formula1>'エネミー出現'!$A$2:A46</formula1>
    </dataValidation>
    <dataValidation type="list" allowBlank="1" showErrorMessage="1" sqref="CW25:CW44">
      <formula1>'エネミー出現'!$J$2:$J46</formula1>
    </dataValidation>
    <dataValidation type="list" allowBlank="1" showErrorMessage="1" sqref="BW25:BW44">
      <formula1>'エネミー出現'!$M$2:$M46</formula1>
    </dataValidation>
    <dataValidation type="list" allowBlank="1" showErrorMessage="1" sqref="B11">
      <formula1>'BGM_管理'!$A:$A</formula1>
    </dataValidation>
    <dataValidation type="list" allowBlank="1" showErrorMessage="1" sqref="CM25:CM44">
      <formula1>'エネミー出現'!$D$2:$D$5</formula1>
    </dataValidation>
  </dataValidations>
  <hyperlinks>
    <hyperlink r:id="rId1" ref="F24"/>
    <hyperlink r:id="rId2" ref="EH2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88"/>
    <col customWidth="1" min="3" max="3" width="5.0"/>
    <col customWidth="1" min="5" max="5" width="21.13"/>
    <col customWidth="1" min="6" max="6" width="24.13"/>
    <col customWidth="1" min="9" max="17" width="10.13"/>
    <col customWidth="1" min="18" max="18" width="13.38"/>
    <col customWidth="1" min="19" max="20" width="10.13"/>
    <col customWidth="1" min="21" max="21" width="14.38"/>
    <col customWidth="1" min="22" max="24" width="10.13"/>
  </cols>
  <sheetData>
    <row r="1">
      <c r="A1" s="169" t="str">
        <f>IFERROR(__xludf.DUMMYFUNCTION("IMPORTRANGE(""https://docs.google.com/spreadsheets/d/1-a-cwR6zd3n4WYdDeMbaZ8h8KRnYlL8SOdp0o28XPPQ/edit#gid=0"",""ファントムマスター!A:ac"")"),"")</f>
        <v/>
      </c>
      <c r="B1" s="233" t="str">
        <f>IFERROR(__xludf.DUMMYFUNCTION("""COMPUTED_VALUE"""),"※同IDが存在してないように使用用途を識別に入力する。　「general」や「normal_01only」など")</f>
        <v>※同IDが存在してないように使用用途を識別に入力する。　「general」や「normal_01only」など</v>
      </c>
      <c r="C1" s="234"/>
      <c r="D1" s="234"/>
      <c r="E1" s="234"/>
      <c r="F1" s="234"/>
      <c r="G1" s="234"/>
      <c r="H1" s="234"/>
      <c r="I1" s="234" t="str">
        <f>IFERROR(__xludf.DUMMYFUNCTION("""COMPUTED_VALUE"""),"※手打ち可能")</f>
        <v>※手打ち可能</v>
      </c>
      <c r="J1" s="234"/>
      <c r="K1" s="234"/>
      <c r="L1" s="234"/>
      <c r="M1" s="234"/>
      <c r="N1" s="234"/>
      <c r="O1" s="234"/>
      <c r="P1" s="234"/>
      <c r="Q1" s="234"/>
      <c r="R1" s="234"/>
      <c r="S1" s="234"/>
      <c r="T1" s="169"/>
      <c r="U1" s="235"/>
      <c r="V1" s="235"/>
      <c r="W1" s="235"/>
      <c r="X1" s="235"/>
      <c r="Y1" s="235"/>
      <c r="Z1" s="235"/>
      <c r="AA1" s="235"/>
      <c r="AB1" s="235"/>
      <c r="AC1" s="235"/>
    </row>
    <row r="2">
      <c r="A2" s="236"/>
      <c r="B2" s="237" t="str">
        <f>IFERROR(__xludf.DUMMYFUNCTION("""COMPUTED_VALUE"""),"master_id")</f>
        <v>master_id</v>
      </c>
      <c r="C2" s="237" t="str">
        <f>IFERROR(__xludf.DUMMYFUNCTION("""COMPUTED_VALUE"""),"識別")</f>
        <v>識別</v>
      </c>
      <c r="D2" s="237" t="str">
        <f>IFERROR(__xludf.DUMMYFUNCTION("""COMPUTED_VALUE"""),"enemy_ID")</f>
        <v>enemy_ID</v>
      </c>
      <c r="E2" s="237" t="str">
        <f>IFERROR(__xludf.DUMMYFUNCTION("""COMPUTED_VALUE"""),"作品")</f>
        <v>作品</v>
      </c>
      <c r="F2" s="238" t="str">
        <f>IFERROR(__xludf.DUMMYFUNCTION("""COMPUTED_VALUE"""),"キャラ名(監修名)")</f>
        <v>キャラ名(監修名)</v>
      </c>
      <c r="G2" s="238" t="str">
        <f>IFERROR(__xludf.DUMMYFUNCTION("""COMPUTED_VALUE"""),"識別キャラ名")</f>
        <v>識別キャラ名</v>
      </c>
      <c r="H2" s="238" t="str">
        <f>IFERROR(__xludf.DUMMYFUNCTION("""COMPUTED_VALUE"""),"unit_kind")</f>
        <v>unit_kind</v>
      </c>
      <c r="I2" s="238" t="str">
        <f>IFERROR(__xludf.DUMMYFUNCTION("""COMPUTED_VALUE"""),"role_type")</f>
        <v>role_type</v>
      </c>
      <c r="J2" s="239" t="str">
        <f>IFERROR(__xludf.DUMMYFUNCTION("""COMPUTED_VALUE"""),"color")</f>
        <v>color</v>
      </c>
      <c r="K2" s="239" t="str">
        <f>IFERROR(__xludf.DUMMYFUNCTION("""COMPUTED_VALUE"""),"HP")</f>
        <v>HP</v>
      </c>
      <c r="L2" s="239" t="str">
        <f>IFERROR(__xludf.DUMMYFUNCTION("""COMPUTED_VALUE"""),"knock_back")</f>
        <v>knock_back</v>
      </c>
      <c r="M2" s="239" t="str">
        <f>IFERROR(__xludf.DUMMYFUNCTION("""COMPUTED_VALUE"""),"move_speed")</f>
        <v>move_speed</v>
      </c>
      <c r="N2" s="239" t="str">
        <f>IFERROR(__xludf.DUMMYFUNCTION("""COMPUTED_VALUE"""),"well_distance")</f>
        <v>well_distance</v>
      </c>
      <c r="O2" s="239" t="str">
        <f>IFERROR(__xludf.DUMMYFUNCTION("""COMPUTED_VALUE"""),"attack_power")</f>
        <v>attack_power</v>
      </c>
      <c r="P2" s="239" t="str">
        <f>IFERROR(__xludf.DUMMYFUNCTION("""COMPUTED_VALUE"""),"start_range")</f>
        <v>start_range</v>
      </c>
      <c r="Q2" s="239" t="str">
        <f>IFERROR(__xludf.DUMMYFUNCTION("""COMPUTED_VALUE"""),"end_range")</f>
        <v>end_range</v>
      </c>
      <c r="R2" s="239" t="str">
        <f>IFERROR(__xludf.DUMMYFUNCTION("""COMPUTED_VALUE"""),"攻撃範囲")</f>
        <v>攻撃範囲</v>
      </c>
      <c r="S2" s="239" t="str">
        <f>IFERROR(__xludf.DUMMYFUNCTION("""COMPUTED_VALUE"""),"撃破リーダーP")</f>
        <v>撃破リーダーP</v>
      </c>
      <c r="T2" s="240" t="str">
        <f>IFERROR(__xludf.DUMMYFUNCTION("""COMPUTED_VALUE"""),"通常攻撃モーション秒")</f>
        <v>通常攻撃モーション秒</v>
      </c>
      <c r="U2" s="240" t="str">
        <f>IFERROR(__xludf.DUMMYFUNCTION("""COMPUTED_VALUE"""),"通常攻撃発生秒")</f>
        <v>通常攻撃発生秒</v>
      </c>
      <c r="V2" s="240" t="str">
        <f>IFERROR(__xludf.DUMMYFUNCTION("""COMPUTED_VALUE"""),"通常攻撃CDF")</f>
        <v>通常攻撃CDF</v>
      </c>
      <c r="W2" s="241" t="str">
        <f>IFERROR(__xludf.DUMMYFUNCTION("""COMPUTED_VALUE"""),"必殺攻撃モーション秒")</f>
        <v>必殺攻撃モーション秒</v>
      </c>
      <c r="X2" s="241" t="str">
        <f>IFERROR(__xludf.DUMMYFUNCTION("""COMPUTED_VALUE"""),"必殺攻撃発生秒")</f>
        <v>必殺攻撃発生秒</v>
      </c>
      <c r="Y2" s="242" t="str">
        <f>IFERROR(__xludf.DUMMYFUNCTION("""COMPUTED_VALUE"""),"必殺ワザ内容")</f>
        <v>必殺ワザ内容</v>
      </c>
      <c r="Z2" s="242" t="str">
        <f>IFERROR(__xludf.DUMMYFUNCTION("""COMPUTED_VALUE"""),"必殺発動回数")</f>
        <v>必殺発動回数</v>
      </c>
      <c r="AA2" s="239" t="str">
        <f>IFERROR(__xludf.DUMMYFUNCTION("""COMPUTED_VALUE"""),"特性")</f>
        <v>特性</v>
      </c>
      <c r="AB2" s="243" t="str">
        <f>IFERROR(__xludf.DUMMYFUNCTION("""COMPUTED_VALUE"""),"オノマトペ")</f>
        <v>オノマトペ</v>
      </c>
      <c r="AC2" s="244" t="str">
        <f>IFERROR(__xludf.DUMMYFUNCTION("""COMPUTED_VALUE"""),"備考")</f>
        <v>備考</v>
      </c>
    </row>
    <row r="3">
      <c r="A3" s="236" t="str">
        <f>IFERROR(__xludf.DUMMYFUNCTION("""COMPUTED_VALUE"""),"ex")</f>
        <v>ex</v>
      </c>
      <c r="B3" s="245" t="str">
        <f>IFERROR(__xludf.DUMMYFUNCTION("""COMPUTED_VALUE"""),"enemy_glo_00001")</f>
        <v>enemy_glo_00001</v>
      </c>
      <c r="C3" s="246" t="str">
        <f>IFERROR(__xludf.DUMMYFUNCTION("""COMPUTED_VALUE"""),"_general_test")</f>
        <v>_general_test</v>
      </c>
      <c r="D3" s="246" t="str">
        <f>IFERROR(__xludf.DUMMYFUNCTION("""COMPUTED_VALUE"""),"e_glo_00001_general_test_Normal_Red")</f>
        <v>e_glo_00001_general_test_Normal_Red</v>
      </c>
      <c r="E3" s="247" t="str">
        <f>IFERROR(__xludf.DUMMYFUNCTION("""COMPUTED_VALUE"""),"GLOW")</f>
        <v>GLOW</v>
      </c>
      <c r="F3" s="247" t="str">
        <f>IFERROR(__xludf.DUMMYFUNCTION("""COMPUTED_VALUE"""),"ファントム")</f>
        <v>ファントム</v>
      </c>
      <c r="G3" s="247" t="str">
        <f>IFERROR(__xludf.DUMMYFUNCTION("""COMPUTED_VALUE"""),"ファントム_general_test")</f>
        <v>ファントム_general_test</v>
      </c>
      <c r="H3" s="248" t="str">
        <f>IFERROR(__xludf.DUMMYFUNCTION("""COMPUTED_VALUE"""),"Normal")</f>
        <v>Normal</v>
      </c>
      <c r="I3" s="248" t="str">
        <f>IFERROR(__xludf.DUMMYFUNCTION("""COMPUTED_VALUE"""),"Attack")</f>
        <v>Attack</v>
      </c>
      <c r="J3" s="248" t="str">
        <f>IFERROR(__xludf.DUMMYFUNCTION("""COMPUTED_VALUE"""),"Red")</f>
        <v>Red</v>
      </c>
      <c r="K3" s="248">
        <f>IFERROR(__xludf.DUMMYFUNCTION("""COMPUTED_VALUE"""),1000.0)</f>
        <v>1000</v>
      </c>
      <c r="L3" s="248">
        <f>IFERROR(__xludf.DUMMYFUNCTION("""COMPUTED_VALUE"""),3.0)</f>
        <v>3</v>
      </c>
      <c r="M3" s="248">
        <f>IFERROR(__xludf.DUMMYFUNCTION("""COMPUTED_VALUE"""),30.0)</f>
        <v>30</v>
      </c>
      <c r="N3" s="248">
        <f>IFERROR(__xludf.DUMMYFUNCTION("""COMPUTED_VALUE"""),0.24)</f>
        <v>0.24</v>
      </c>
      <c r="O3" s="248">
        <f>IFERROR(__xludf.DUMMYFUNCTION("""COMPUTED_VALUE"""),100.0)</f>
        <v>100</v>
      </c>
      <c r="P3" s="248">
        <f>IFERROR(__xludf.DUMMYFUNCTION("""COMPUTED_VALUE"""),0.0)</f>
        <v>0</v>
      </c>
      <c r="Q3" s="248">
        <f>IFERROR(__xludf.DUMMYFUNCTION("""COMPUTED_VALUE"""),0.35)</f>
        <v>0.35</v>
      </c>
      <c r="R3" s="248">
        <f>IFERROR(__xludf.DUMMYFUNCTION("""COMPUTED_VALUE"""),100.0)</f>
        <v>100</v>
      </c>
      <c r="S3" s="248">
        <f>IFERROR(__xludf.DUMMYFUNCTION("""COMPUTED_VALUE"""),50.0)</f>
        <v>50</v>
      </c>
      <c r="T3" s="249" t="str">
        <f>IFERROR(__xludf.DUMMYFUNCTION("""COMPUTED_VALUE"""),"1.00")</f>
        <v>1.00</v>
      </c>
      <c r="U3" s="250" t="str">
        <f>IFERROR(__xludf.DUMMYFUNCTION("""COMPUTED_VALUE"""),"0.50")</f>
        <v>0.50</v>
      </c>
      <c r="V3" s="250">
        <f>IFERROR(__xludf.DUMMYFUNCTION("""COMPUTED_VALUE"""),100.0)</f>
        <v>100</v>
      </c>
      <c r="W3" s="250"/>
      <c r="X3" s="250"/>
      <c r="Y3" s="250"/>
      <c r="Z3" s="250" t="str">
        <f>IFERROR(__xludf.DUMMYFUNCTION("""COMPUTED_VALUE"""),"-")</f>
        <v>-</v>
      </c>
      <c r="AA3" s="235"/>
      <c r="AB3" s="235" t="str">
        <f>IFERROR(__xludf.DUMMYFUNCTION("""COMPUTED_VALUE"""),"dageki_1")</f>
        <v>dageki_1</v>
      </c>
      <c r="AC3" s="235"/>
    </row>
    <row r="4">
      <c r="A4" s="236"/>
      <c r="B4" s="245" t="str">
        <f>IFERROR(__xludf.DUMMYFUNCTION("""COMPUTED_VALUE"""),"enemy_glo_00001")</f>
        <v>enemy_glo_00001</v>
      </c>
      <c r="C4" s="246" t="str">
        <f>IFERROR(__xludf.DUMMYFUNCTION("""COMPUTED_VALUE"""),"_tutorial")</f>
        <v>_tutorial</v>
      </c>
      <c r="D4" s="246" t="str">
        <f>IFERROR(__xludf.DUMMYFUNCTION("""COMPUTED_VALUE"""),"e_glo_00001_tutorial_Normal_Yellow")</f>
        <v>e_glo_00001_tutorial_Normal_Yellow</v>
      </c>
      <c r="E4" s="247" t="str">
        <f>IFERROR(__xludf.DUMMYFUNCTION("""COMPUTED_VALUE"""),"GLOW")</f>
        <v>GLOW</v>
      </c>
      <c r="F4" s="247" t="str">
        <f>IFERROR(__xludf.DUMMYFUNCTION("""COMPUTED_VALUE"""),"ファントム")</f>
        <v>ファントム</v>
      </c>
      <c r="G4" s="247" t="str">
        <f>IFERROR(__xludf.DUMMYFUNCTION("""COMPUTED_VALUE"""),"ファントム_tutorial")</f>
        <v>ファントム_tutorial</v>
      </c>
      <c r="H4" s="248" t="str">
        <f>IFERROR(__xludf.DUMMYFUNCTION("""COMPUTED_VALUE"""),"Normal")</f>
        <v>Normal</v>
      </c>
      <c r="I4" s="248" t="str">
        <f>IFERROR(__xludf.DUMMYFUNCTION("""COMPUTED_VALUE"""),"Attack")</f>
        <v>Attack</v>
      </c>
      <c r="J4" s="248" t="str">
        <f>IFERROR(__xludf.DUMMYFUNCTION("""COMPUTED_VALUE"""),"Yellow")</f>
        <v>Yellow</v>
      </c>
      <c r="K4" s="248">
        <f>IFERROR(__xludf.DUMMYFUNCTION("""COMPUTED_VALUE"""),1000.0)</f>
        <v>1000</v>
      </c>
      <c r="L4" s="248">
        <f>IFERROR(__xludf.DUMMYFUNCTION("""COMPUTED_VALUE"""),3.0)</f>
        <v>3</v>
      </c>
      <c r="M4" s="248">
        <f>IFERROR(__xludf.DUMMYFUNCTION("""COMPUTED_VALUE"""),34.0)</f>
        <v>34</v>
      </c>
      <c r="N4" s="248">
        <f>IFERROR(__xludf.DUMMYFUNCTION("""COMPUTED_VALUE"""),0.2)</f>
        <v>0.2</v>
      </c>
      <c r="O4" s="248">
        <f>IFERROR(__xludf.DUMMYFUNCTION("""COMPUTED_VALUE"""),100.0)</f>
        <v>100</v>
      </c>
      <c r="P4" s="248">
        <f>IFERROR(__xludf.DUMMYFUNCTION("""COMPUTED_VALUE"""),0.0)</f>
        <v>0</v>
      </c>
      <c r="Q4" s="248">
        <f>IFERROR(__xludf.DUMMYFUNCTION("""COMPUTED_VALUE"""),0.21)</f>
        <v>0.21</v>
      </c>
      <c r="R4" s="248">
        <f>IFERROR(__xludf.DUMMYFUNCTION("""COMPUTED_VALUE"""),1.0)</f>
        <v>1</v>
      </c>
      <c r="S4" s="248">
        <f>IFERROR(__xludf.DUMMYFUNCTION("""COMPUTED_VALUE"""),50.0)</f>
        <v>50</v>
      </c>
      <c r="T4" s="249" t="str">
        <f>IFERROR(__xludf.DUMMYFUNCTION("""COMPUTED_VALUE"""),"1.00")</f>
        <v>1.00</v>
      </c>
      <c r="U4" s="250" t="str">
        <f>IFERROR(__xludf.DUMMYFUNCTION("""COMPUTED_VALUE"""),"0.50")</f>
        <v>0.50</v>
      </c>
      <c r="V4" s="250">
        <f>IFERROR(__xludf.DUMMYFUNCTION("""COMPUTED_VALUE"""),100.0)</f>
        <v>100</v>
      </c>
      <c r="W4" s="250"/>
      <c r="X4" s="250"/>
      <c r="Y4" s="250"/>
      <c r="Z4" s="250" t="str">
        <f>IFERROR(__xludf.DUMMYFUNCTION("""COMPUTED_VALUE"""),"-")</f>
        <v>-</v>
      </c>
      <c r="AA4" s="235"/>
      <c r="AB4" s="235" t="str">
        <f>IFERROR(__xludf.DUMMYFUNCTION("""COMPUTED_VALUE"""),"dageki_1")</f>
        <v>dageki_1</v>
      </c>
      <c r="AC4" s="235"/>
    </row>
    <row r="5">
      <c r="A5" s="236"/>
      <c r="B5" s="245" t="str">
        <f>IFERROR(__xludf.DUMMYFUNCTION("""COMPUTED_VALUE"""),"enemy_glo_00001")</f>
        <v>enemy_glo_00001</v>
      </c>
      <c r="C5" s="246" t="str">
        <f>IFERROR(__xludf.DUMMYFUNCTION("""COMPUTED_VALUE"""),"_tutorial")</f>
        <v>_tutorial</v>
      </c>
      <c r="D5" s="246" t="str">
        <f>IFERROR(__xludf.DUMMYFUNCTION("""COMPUTED_VALUE"""),"e_glo_00001_tutorial_Boss_Yellow")</f>
        <v>e_glo_00001_tutorial_Boss_Yellow</v>
      </c>
      <c r="E5" s="247" t="str">
        <f>IFERROR(__xludf.DUMMYFUNCTION("""COMPUTED_VALUE"""),"GLOW")</f>
        <v>GLOW</v>
      </c>
      <c r="F5" s="247" t="str">
        <f>IFERROR(__xludf.DUMMYFUNCTION("""COMPUTED_VALUE"""),"ファントム")</f>
        <v>ファントム</v>
      </c>
      <c r="G5" s="247" t="str">
        <f>IFERROR(__xludf.DUMMYFUNCTION("""COMPUTED_VALUE"""),"ファントム_tutorial")</f>
        <v>ファントム_tutorial</v>
      </c>
      <c r="H5" s="248" t="str">
        <f>IFERROR(__xludf.DUMMYFUNCTION("""COMPUTED_VALUE"""),"Boss")</f>
        <v>Boss</v>
      </c>
      <c r="I5" s="248" t="str">
        <f>IFERROR(__xludf.DUMMYFUNCTION("""COMPUTED_VALUE"""),"Attack")</f>
        <v>Attack</v>
      </c>
      <c r="J5" s="248" t="str">
        <f>IFERROR(__xludf.DUMMYFUNCTION("""COMPUTED_VALUE"""),"Yellow")</f>
        <v>Yellow</v>
      </c>
      <c r="K5" s="248">
        <f>IFERROR(__xludf.DUMMYFUNCTION("""COMPUTED_VALUE"""),10000.0)</f>
        <v>10000</v>
      </c>
      <c r="L5" s="248">
        <f>IFERROR(__xludf.DUMMYFUNCTION("""COMPUTED_VALUE"""),3.0)</f>
        <v>3</v>
      </c>
      <c r="M5" s="248">
        <f>IFERROR(__xludf.DUMMYFUNCTION("""COMPUTED_VALUE"""),34.0)</f>
        <v>34</v>
      </c>
      <c r="N5" s="248">
        <f>IFERROR(__xludf.DUMMYFUNCTION("""COMPUTED_VALUE"""),0.22)</f>
        <v>0.22</v>
      </c>
      <c r="O5" s="248">
        <f>IFERROR(__xludf.DUMMYFUNCTION("""COMPUTED_VALUE"""),100.0)</f>
        <v>100</v>
      </c>
      <c r="P5" s="248">
        <f>IFERROR(__xludf.DUMMYFUNCTION("""COMPUTED_VALUE"""),0.0)</f>
        <v>0</v>
      </c>
      <c r="Q5" s="248">
        <f>IFERROR(__xludf.DUMMYFUNCTION("""COMPUTED_VALUE"""),0.23)</f>
        <v>0.23</v>
      </c>
      <c r="R5" s="248">
        <f>IFERROR(__xludf.DUMMYFUNCTION("""COMPUTED_VALUE"""),1.0)</f>
        <v>1</v>
      </c>
      <c r="S5" s="248">
        <f>IFERROR(__xludf.DUMMYFUNCTION("""COMPUTED_VALUE"""),50.0)</f>
        <v>50</v>
      </c>
      <c r="T5" s="249" t="str">
        <f>IFERROR(__xludf.DUMMYFUNCTION("""COMPUTED_VALUE"""),"1.00")</f>
        <v>1.00</v>
      </c>
      <c r="U5" s="250" t="str">
        <f>IFERROR(__xludf.DUMMYFUNCTION("""COMPUTED_VALUE"""),"0.50")</f>
        <v>0.50</v>
      </c>
      <c r="V5" s="250">
        <f>IFERROR(__xludf.DUMMYFUNCTION("""COMPUTED_VALUE"""),100.0)</f>
        <v>100</v>
      </c>
      <c r="W5" s="250"/>
      <c r="X5" s="250"/>
      <c r="Y5" s="250"/>
      <c r="Z5" s="250" t="str">
        <f>IFERROR(__xludf.DUMMYFUNCTION("""COMPUTED_VALUE"""),"-")</f>
        <v>-</v>
      </c>
      <c r="AA5" s="235"/>
      <c r="AB5" s="235" t="str">
        <f>IFERROR(__xludf.DUMMYFUNCTION("""COMPUTED_VALUE"""),"dageki_1")</f>
        <v>dageki_1</v>
      </c>
      <c r="AC5" s="235"/>
    </row>
    <row r="6">
      <c r="A6" s="236"/>
      <c r="B6" s="245" t="str">
        <f>IFERROR(__xludf.DUMMYFUNCTION("""COMPUTED_VALUE"""),"enemy_glo_00001")</f>
        <v>enemy_glo_00001</v>
      </c>
      <c r="C6" s="246" t="str">
        <f>IFERROR(__xludf.DUMMYFUNCTION("""COMPUTED_VALUE"""),"_tutorial")</f>
        <v>_tutorial</v>
      </c>
      <c r="D6" s="246" t="str">
        <f>IFERROR(__xludf.DUMMYFUNCTION("""COMPUTED_VALUE"""),"e_glo_00001_tutorial_Normal_Blue")</f>
        <v>e_glo_00001_tutorial_Normal_Blue</v>
      </c>
      <c r="E6" s="247" t="str">
        <f>IFERROR(__xludf.DUMMYFUNCTION("""COMPUTED_VALUE"""),"GLOW")</f>
        <v>GLOW</v>
      </c>
      <c r="F6" s="247" t="str">
        <f>IFERROR(__xludf.DUMMYFUNCTION("""COMPUTED_VALUE"""),"ファントム")</f>
        <v>ファントム</v>
      </c>
      <c r="G6" s="247" t="str">
        <f>IFERROR(__xludf.DUMMYFUNCTION("""COMPUTED_VALUE"""),"ファントム_tutorial")</f>
        <v>ファントム_tutorial</v>
      </c>
      <c r="H6" s="248" t="str">
        <f>IFERROR(__xludf.DUMMYFUNCTION("""COMPUTED_VALUE"""),"Normal")</f>
        <v>Normal</v>
      </c>
      <c r="I6" s="248" t="str">
        <f>IFERROR(__xludf.DUMMYFUNCTION("""COMPUTED_VALUE"""),"Attack")</f>
        <v>Attack</v>
      </c>
      <c r="J6" s="248" t="str">
        <f>IFERROR(__xludf.DUMMYFUNCTION("""COMPUTED_VALUE"""),"Blue")</f>
        <v>Blue</v>
      </c>
      <c r="K6" s="248">
        <f>IFERROR(__xludf.DUMMYFUNCTION("""COMPUTED_VALUE"""),5000.0)</f>
        <v>5000</v>
      </c>
      <c r="L6" s="248">
        <f>IFERROR(__xludf.DUMMYFUNCTION("""COMPUTED_VALUE"""),3.0)</f>
        <v>3</v>
      </c>
      <c r="M6" s="248">
        <f>IFERROR(__xludf.DUMMYFUNCTION("""COMPUTED_VALUE"""),34.0)</f>
        <v>34</v>
      </c>
      <c r="N6" s="248">
        <f>IFERROR(__xludf.DUMMYFUNCTION("""COMPUTED_VALUE"""),0.2)</f>
        <v>0.2</v>
      </c>
      <c r="O6" s="248">
        <f>IFERROR(__xludf.DUMMYFUNCTION("""COMPUTED_VALUE"""),100.0)</f>
        <v>100</v>
      </c>
      <c r="P6" s="248">
        <f>IFERROR(__xludf.DUMMYFUNCTION("""COMPUTED_VALUE"""),0.0)</f>
        <v>0</v>
      </c>
      <c r="Q6" s="248">
        <f>IFERROR(__xludf.DUMMYFUNCTION("""COMPUTED_VALUE"""),0.21)</f>
        <v>0.21</v>
      </c>
      <c r="R6" s="248">
        <f>IFERROR(__xludf.DUMMYFUNCTION("""COMPUTED_VALUE"""),1.0)</f>
        <v>1</v>
      </c>
      <c r="S6" s="248">
        <f>IFERROR(__xludf.DUMMYFUNCTION("""COMPUTED_VALUE"""),50.0)</f>
        <v>50</v>
      </c>
      <c r="T6" s="249" t="str">
        <f>IFERROR(__xludf.DUMMYFUNCTION("""COMPUTED_VALUE"""),"1.00")</f>
        <v>1.00</v>
      </c>
      <c r="U6" s="250" t="str">
        <f>IFERROR(__xludf.DUMMYFUNCTION("""COMPUTED_VALUE"""),"0.50")</f>
        <v>0.50</v>
      </c>
      <c r="V6" s="250">
        <f>IFERROR(__xludf.DUMMYFUNCTION("""COMPUTED_VALUE"""),100.0)</f>
        <v>100</v>
      </c>
      <c r="W6" s="250"/>
      <c r="X6" s="250"/>
      <c r="Y6" s="250"/>
      <c r="Z6" s="250" t="str">
        <f>IFERROR(__xludf.DUMMYFUNCTION("""COMPUTED_VALUE"""),"-")</f>
        <v>-</v>
      </c>
      <c r="AA6" s="235"/>
      <c r="AB6" s="235" t="str">
        <f>IFERROR(__xludf.DUMMYFUNCTION("""COMPUTED_VALUE"""),"dageki_1")</f>
        <v>dageki_1</v>
      </c>
      <c r="AC6" s="235"/>
    </row>
    <row r="7">
      <c r="A7" s="236"/>
      <c r="B7" s="245" t="str">
        <f>IFERROR(__xludf.DUMMYFUNCTION("""COMPUTED_VALUE"""),"enemy_glo_00001")</f>
        <v>enemy_glo_00001</v>
      </c>
      <c r="C7" s="246" t="str">
        <f>IFERROR(__xludf.DUMMYFUNCTION("""COMPUTED_VALUE"""),"_tutorial")</f>
        <v>_tutorial</v>
      </c>
      <c r="D7" s="246" t="str">
        <f>IFERROR(__xludf.DUMMYFUNCTION("""COMPUTED_VALUE"""),"e_glo_00001_tutorial_Boss_Blue")</f>
        <v>e_glo_00001_tutorial_Boss_Blue</v>
      </c>
      <c r="E7" s="247" t="str">
        <f>IFERROR(__xludf.DUMMYFUNCTION("""COMPUTED_VALUE"""),"GLOW")</f>
        <v>GLOW</v>
      </c>
      <c r="F7" s="247" t="str">
        <f>IFERROR(__xludf.DUMMYFUNCTION("""COMPUTED_VALUE"""),"ファントム")</f>
        <v>ファントム</v>
      </c>
      <c r="G7" s="247" t="str">
        <f>IFERROR(__xludf.DUMMYFUNCTION("""COMPUTED_VALUE"""),"ファントム_tutorial")</f>
        <v>ファントム_tutorial</v>
      </c>
      <c r="H7" s="248" t="str">
        <f>IFERROR(__xludf.DUMMYFUNCTION("""COMPUTED_VALUE"""),"Boss")</f>
        <v>Boss</v>
      </c>
      <c r="I7" s="248" t="str">
        <f>IFERROR(__xludf.DUMMYFUNCTION("""COMPUTED_VALUE"""),"Attack")</f>
        <v>Attack</v>
      </c>
      <c r="J7" s="248" t="str">
        <f>IFERROR(__xludf.DUMMYFUNCTION("""COMPUTED_VALUE"""),"Blue")</f>
        <v>Blue</v>
      </c>
      <c r="K7" s="248">
        <f>IFERROR(__xludf.DUMMYFUNCTION("""COMPUTED_VALUE"""),5000.0)</f>
        <v>5000</v>
      </c>
      <c r="L7" s="248">
        <f>IFERROR(__xludf.DUMMYFUNCTION("""COMPUTED_VALUE"""),0.0)</f>
        <v>0</v>
      </c>
      <c r="M7" s="248">
        <f>IFERROR(__xludf.DUMMYFUNCTION("""COMPUTED_VALUE"""),34.0)</f>
        <v>34</v>
      </c>
      <c r="N7" s="248">
        <f>IFERROR(__xludf.DUMMYFUNCTION("""COMPUTED_VALUE"""),0.2)</f>
        <v>0.2</v>
      </c>
      <c r="O7" s="248">
        <f>IFERROR(__xludf.DUMMYFUNCTION("""COMPUTED_VALUE"""),100.0)</f>
        <v>100</v>
      </c>
      <c r="P7" s="248">
        <f>IFERROR(__xludf.DUMMYFUNCTION("""COMPUTED_VALUE"""),0.0)</f>
        <v>0</v>
      </c>
      <c r="Q7" s="248">
        <f>IFERROR(__xludf.DUMMYFUNCTION("""COMPUTED_VALUE"""),0.21)</f>
        <v>0.21</v>
      </c>
      <c r="R7" s="248">
        <f>IFERROR(__xludf.DUMMYFUNCTION("""COMPUTED_VALUE"""),1.0)</f>
        <v>1</v>
      </c>
      <c r="S7" s="248">
        <f>IFERROR(__xludf.DUMMYFUNCTION("""COMPUTED_VALUE"""),50.0)</f>
        <v>50</v>
      </c>
      <c r="T7" s="249" t="str">
        <f>IFERROR(__xludf.DUMMYFUNCTION("""COMPUTED_VALUE"""),"1.00")</f>
        <v>1.00</v>
      </c>
      <c r="U7" s="250" t="str">
        <f>IFERROR(__xludf.DUMMYFUNCTION("""COMPUTED_VALUE"""),"0.50")</f>
        <v>0.50</v>
      </c>
      <c r="V7" s="250">
        <f>IFERROR(__xludf.DUMMYFUNCTION("""COMPUTED_VALUE"""),100.0)</f>
        <v>100</v>
      </c>
      <c r="W7" s="250"/>
      <c r="X7" s="250"/>
      <c r="Y7" s="250"/>
      <c r="Z7" s="250" t="str">
        <f>IFERROR(__xludf.DUMMYFUNCTION("""COMPUTED_VALUE"""),"-")</f>
        <v>-</v>
      </c>
      <c r="AA7" s="235"/>
      <c r="AB7" s="235" t="str">
        <f>IFERROR(__xludf.DUMMYFUNCTION("""COMPUTED_VALUE"""),"dageki_1")</f>
        <v>dageki_1</v>
      </c>
      <c r="AC7" s="235"/>
    </row>
    <row r="8">
      <c r="A8" s="236"/>
      <c r="B8" s="245"/>
      <c r="C8" s="246"/>
      <c r="D8" s="246"/>
      <c r="E8" s="247"/>
      <c r="F8" s="247"/>
      <c r="G8" s="247"/>
      <c r="H8" s="248"/>
      <c r="I8" s="248"/>
      <c r="J8" s="248"/>
      <c r="K8" s="248"/>
      <c r="L8" s="248"/>
      <c r="M8" s="248"/>
      <c r="N8" s="248"/>
      <c r="O8" s="248"/>
      <c r="P8" s="248"/>
      <c r="Q8" s="248"/>
      <c r="R8" s="248"/>
      <c r="S8" s="248"/>
      <c r="T8" s="248"/>
      <c r="U8" s="250"/>
      <c r="V8" s="250"/>
      <c r="W8" s="250"/>
      <c r="X8" s="250"/>
      <c r="Y8" s="250"/>
      <c r="Z8" s="250"/>
      <c r="AA8" s="235"/>
      <c r="AB8" s="235"/>
      <c r="AC8" s="235"/>
    </row>
    <row r="9">
      <c r="A9" s="236"/>
      <c r="B9" s="245" t="str">
        <f>IFERROR(__xludf.DUMMYFUNCTION("""COMPUTED_VALUE"""),"enemy_glo_00001")</f>
        <v>enemy_glo_00001</v>
      </c>
      <c r="C9" s="246" t="str">
        <f>IFERROR(__xludf.DUMMYFUNCTION("""COMPUTED_VALUE"""),"_general")</f>
        <v>_general</v>
      </c>
      <c r="D9" s="246" t="str">
        <f>IFERROR(__xludf.DUMMYFUNCTION("""COMPUTED_VALUE"""),"e_glo_00001_general_Normal_Colorless")</f>
        <v>e_glo_00001_general_Normal_Colorless</v>
      </c>
      <c r="E9" s="247" t="str">
        <f>IFERROR(__xludf.DUMMYFUNCTION("""COMPUTED_VALUE"""),"GLOW")</f>
        <v>GLOW</v>
      </c>
      <c r="F9" s="247" t="str">
        <f>IFERROR(__xludf.DUMMYFUNCTION("""COMPUTED_VALUE"""),"ファントム")</f>
        <v>ファントム</v>
      </c>
      <c r="G9" s="247" t="str">
        <f>IFERROR(__xludf.DUMMYFUNCTION("""COMPUTED_VALUE"""),"ファントム_general")</f>
        <v>ファントム_general</v>
      </c>
      <c r="H9" s="248" t="str">
        <f>IFERROR(__xludf.DUMMYFUNCTION("""COMPUTED_VALUE"""),"Normal")</f>
        <v>Normal</v>
      </c>
      <c r="I9" s="248" t="str">
        <f>IFERROR(__xludf.DUMMYFUNCTION("""COMPUTED_VALUE"""),"Attack")</f>
        <v>Attack</v>
      </c>
      <c r="J9" s="248" t="str">
        <f>IFERROR(__xludf.DUMMYFUNCTION("""COMPUTED_VALUE"""),"Colorless")</f>
        <v>Colorless</v>
      </c>
      <c r="K9" s="248">
        <f>IFERROR(__xludf.DUMMYFUNCTION("""COMPUTED_VALUE"""),5000.0)</f>
        <v>5000</v>
      </c>
      <c r="L9" s="248">
        <f>IFERROR(__xludf.DUMMYFUNCTION("""COMPUTED_VALUE"""),3.0)</f>
        <v>3</v>
      </c>
      <c r="M9" s="248">
        <f>IFERROR(__xludf.DUMMYFUNCTION("""COMPUTED_VALUE"""),34.0)</f>
        <v>34</v>
      </c>
      <c r="N9" s="248">
        <f>IFERROR(__xludf.DUMMYFUNCTION("""COMPUTED_VALUE"""),0.22)</f>
        <v>0.22</v>
      </c>
      <c r="O9" s="248">
        <f>IFERROR(__xludf.DUMMYFUNCTION("""COMPUTED_VALUE"""),100.0)</f>
        <v>100</v>
      </c>
      <c r="P9" s="248">
        <f>IFERROR(__xludf.DUMMYFUNCTION("""COMPUTED_VALUE"""),0.0)</f>
        <v>0</v>
      </c>
      <c r="Q9" s="248">
        <f>IFERROR(__xludf.DUMMYFUNCTION("""COMPUTED_VALUE"""),0.23)</f>
        <v>0.23</v>
      </c>
      <c r="R9" s="248">
        <f>IFERROR(__xludf.DUMMYFUNCTION("""COMPUTED_VALUE"""),1.0)</f>
        <v>1</v>
      </c>
      <c r="S9" s="248">
        <f>IFERROR(__xludf.DUMMYFUNCTION("""COMPUTED_VALUE"""),150.0)</f>
        <v>150</v>
      </c>
      <c r="T9" s="249" t="str">
        <f>IFERROR(__xludf.DUMMYFUNCTION("""COMPUTED_VALUE"""),"1.00")</f>
        <v>1.00</v>
      </c>
      <c r="U9" s="250" t="str">
        <f>IFERROR(__xludf.DUMMYFUNCTION("""COMPUTED_VALUE"""),"0.50")</f>
        <v>0.50</v>
      </c>
      <c r="V9" s="250">
        <f>IFERROR(__xludf.DUMMYFUNCTION("""COMPUTED_VALUE"""),50.0)</f>
        <v>50</v>
      </c>
      <c r="W9" s="250"/>
      <c r="X9" s="250"/>
      <c r="Y9" s="250"/>
      <c r="Z9" s="250" t="str">
        <f>IFERROR(__xludf.DUMMYFUNCTION("""COMPUTED_VALUE"""),"-")</f>
        <v>-</v>
      </c>
      <c r="AA9" s="235"/>
      <c r="AB9" s="235" t="str">
        <f>IFERROR(__xludf.DUMMYFUNCTION("""COMPUTED_VALUE"""),"dageki_1")</f>
        <v>dageki_1</v>
      </c>
      <c r="AC9" s="235"/>
    </row>
    <row r="10">
      <c r="A10" s="236"/>
      <c r="B10" s="245" t="str">
        <f>IFERROR(__xludf.DUMMYFUNCTION("""COMPUTED_VALUE"""),"enemy_glo_00001")</f>
        <v>enemy_glo_00001</v>
      </c>
      <c r="C10" s="246" t="str">
        <f>IFERROR(__xludf.DUMMYFUNCTION("""COMPUTED_VALUE"""),"_general")</f>
        <v>_general</v>
      </c>
      <c r="D10" s="246" t="str">
        <f>IFERROR(__xludf.DUMMYFUNCTION("""COMPUTED_VALUE"""),"e_glo_00001_general_Normal_Blue")</f>
        <v>e_glo_00001_general_Normal_Blue</v>
      </c>
      <c r="E10" s="247" t="str">
        <f>IFERROR(__xludf.DUMMYFUNCTION("""COMPUTED_VALUE"""),"GLOW")</f>
        <v>GLOW</v>
      </c>
      <c r="F10" s="247" t="str">
        <f>IFERROR(__xludf.DUMMYFUNCTION("""COMPUTED_VALUE"""),"ファントム")</f>
        <v>ファントム</v>
      </c>
      <c r="G10" s="247" t="str">
        <f>IFERROR(__xludf.DUMMYFUNCTION("""COMPUTED_VALUE"""),"ファントム_general")</f>
        <v>ファントム_general</v>
      </c>
      <c r="H10" s="248" t="str">
        <f>IFERROR(__xludf.DUMMYFUNCTION("""COMPUTED_VALUE"""),"Normal")</f>
        <v>Normal</v>
      </c>
      <c r="I10" s="248" t="str">
        <f>IFERROR(__xludf.DUMMYFUNCTION("""COMPUTED_VALUE"""),"Attack")</f>
        <v>Attack</v>
      </c>
      <c r="J10" s="248" t="str">
        <f>IFERROR(__xludf.DUMMYFUNCTION("""COMPUTED_VALUE"""),"Blue")</f>
        <v>Blue</v>
      </c>
      <c r="K10" s="248">
        <f>IFERROR(__xludf.DUMMYFUNCTION("""COMPUTED_VALUE"""),5000.0)</f>
        <v>5000</v>
      </c>
      <c r="L10" s="248">
        <f>IFERROR(__xludf.DUMMYFUNCTION("""COMPUTED_VALUE"""),3.0)</f>
        <v>3</v>
      </c>
      <c r="M10" s="248">
        <f>IFERROR(__xludf.DUMMYFUNCTION("""COMPUTED_VALUE"""),34.0)</f>
        <v>34</v>
      </c>
      <c r="N10" s="248">
        <f>IFERROR(__xludf.DUMMYFUNCTION("""COMPUTED_VALUE"""),0.22)</f>
        <v>0.22</v>
      </c>
      <c r="O10" s="248">
        <f>IFERROR(__xludf.DUMMYFUNCTION("""COMPUTED_VALUE"""),100.0)</f>
        <v>100</v>
      </c>
      <c r="P10" s="248">
        <f>IFERROR(__xludf.DUMMYFUNCTION("""COMPUTED_VALUE"""),0.0)</f>
        <v>0</v>
      </c>
      <c r="Q10" s="248">
        <f>IFERROR(__xludf.DUMMYFUNCTION("""COMPUTED_VALUE"""),0.23)</f>
        <v>0.23</v>
      </c>
      <c r="R10" s="248">
        <f>IFERROR(__xludf.DUMMYFUNCTION("""COMPUTED_VALUE"""),1.0)</f>
        <v>1</v>
      </c>
      <c r="S10" s="248">
        <f>IFERROR(__xludf.DUMMYFUNCTION("""COMPUTED_VALUE"""),150.0)</f>
        <v>150</v>
      </c>
      <c r="T10" s="249" t="str">
        <f>IFERROR(__xludf.DUMMYFUNCTION("""COMPUTED_VALUE"""),"1.00")</f>
        <v>1.00</v>
      </c>
      <c r="U10" s="250" t="str">
        <f>IFERROR(__xludf.DUMMYFUNCTION("""COMPUTED_VALUE"""),"0.50")</f>
        <v>0.50</v>
      </c>
      <c r="V10" s="250">
        <f>IFERROR(__xludf.DUMMYFUNCTION("""COMPUTED_VALUE"""),50.0)</f>
        <v>50</v>
      </c>
      <c r="W10" s="250"/>
      <c r="X10" s="250"/>
      <c r="Y10" s="250"/>
      <c r="Z10" s="250" t="str">
        <f>IFERROR(__xludf.DUMMYFUNCTION("""COMPUTED_VALUE"""),"-")</f>
        <v>-</v>
      </c>
      <c r="AA10" s="235"/>
      <c r="AB10" s="235" t="str">
        <f>IFERROR(__xludf.DUMMYFUNCTION("""COMPUTED_VALUE"""),"dageki_1")</f>
        <v>dageki_1</v>
      </c>
      <c r="AC10" s="235"/>
    </row>
    <row r="11">
      <c r="A11" s="236"/>
      <c r="B11" s="245" t="str">
        <f>IFERROR(__xludf.DUMMYFUNCTION("""COMPUTED_VALUE"""),"enemy_glo_00001")</f>
        <v>enemy_glo_00001</v>
      </c>
      <c r="C11" s="246" t="str">
        <f>IFERROR(__xludf.DUMMYFUNCTION("""COMPUTED_VALUE"""),"_general")</f>
        <v>_general</v>
      </c>
      <c r="D11" s="246" t="str">
        <f>IFERROR(__xludf.DUMMYFUNCTION("""COMPUTED_VALUE"""),"e_glo_00001_general_Normal_Yellow")</f>
        <v>e_glo_00001_general_Normal_Yellow</v>
      </c>
      <c r="E11" s="247" t="str">
        <f>IFERROR(__xludf.DUMMYFUNCTION("""COMPUTED_VALUE"""),"GLOW")</f>
        <v>GLOW</v>
      </c>
      <c r="F11" s="247" t="str">
        <f>IFERROR(__xludf.DUMMYFUNCTION("""COMPUTED_VALUE"""),"ファントム")</f>
        <v>ファントム</v>
      </c>
      <c r="G11" s="247" t="str">
        <f>IFERROR(__xludf.DUMMYFUNCTION("""COMPUTED_VALUE"""),"ファントム_general")</f>
        <v>ファントム_general</v>
      </c>
      <c r="H11" s="248" t="str">
        <f>IFERROR(__xludf.DUMMYFUNCTION("""COMPUTED_VALUE"""),"Normal")</f>
        <v>Normal</v>
      </c>
      <c r="I11" s="248" t="str">
        <f>IFERROR(__xludf.DUMMYFUNCTION("""COMPUTED_VALUE"""),"Attack")</f>
        <v>Attack</v>
      </c>
      <c r="J11" s="248" t="str">
        <f>IFERROR(__xludf.DUMMYFUNCTION("""COMPUTED_VALUE"""),"Yellow")</f>
        <v>Yellow</v>
      </c>
      <c r="K11" s="248">
        <f>IFERROR(__xludf.DUMMYFUNCTION("""COMPUTED_VALUE"""),5000.0)</f>
        <v>5000</v>
      </c>
      <c r="L11" s="248">
        <f>IFERROR(__xludf.DUMMYFUNCTION("""COMPUTED_VALUE"""),3.0)</f>
        <v>3</v>
      </c>
      <c r="M11" s="248">
        <f>IFERROR(__xludf.DUMMYFUNCTION("""COMPUTED_VALUE"""),34.0)</f>
        <v>34</v>
      </c>
      <c r="N11" s="248">
        <f>IFERROR(__xludf.DUMMYFUNCTION("""COMPUTED_VALUE"""),0.22)</f>
        <v>0.22</v>
      </c>
      <c r="O11" s="248">
        <f>IFERROR(__xludf.DUMMYFUNCTION("""COMPUTED_VALUE"""),100.0)</f>
        <v>100</v>
      </c>
      <c r="P11" s="248">
        <f>IFERROR(__xludf.DUMMYFUNCTION("""COMPUTED_VALUE"""),0.0)</f>
        <v>0</v>
      </c>
      <c r="Q11" s="248">
        <f>IFERROR(__xludf.DUMMYFUNCTION("""COMPUTED_VALUE"""),0.23)</f>
        <v>0.23</v>
      </c>
      <c r="R11" s="248">
        <f>IFERROR(__xludf.DUMMYFUNCTION("""COMPUTED_VALUE"""),1.0)</f>
        <v>1</v>
      </c>
      <c r="S11" s="248">
        <f>IFERROR(__xludf.DUMMYFUNCTION("""COMPUTED_VALUE"""),150.0)</f>
        <v>150</v>
      </c>
      <c r="T11" s="249" t="str">
        <f>IFERROR(__xludf.DUMMYFUNCTION("""COMPUTED_VALUE"""),"1.00")</f>
        <v>1.00</v>
      </c>
      <c r="U11" s="250" t="str">
        <f>IFERROR(__xludf.DUMMYFUNCTION("""COMPUTED_VALUE"""),"0.50")</f>
        <v>0.50</v>
      </c>
      <c r="V11" s="250">
        <f>IFERROR(__xludf.DUMMYFUNCTION("""COMPUTED_VALUE"""),50.0)</f>
        <v>50</v>
      </c>
      <c r="W11" s="250"/>
      <c r="X11" s="250"/>
      <c r="Y11" s="250"/>
      <c r="Z11" s="250" t="str">
        <f>IFERROR(__xludf.DUMMYFUNCTION("""COMPUTED_VALUE"""),"-")</f>
        <v>-</v>
      </c>
      <c r="AA11" s="235"/>
      <c r="AB11" s="235" t="str">
        <f>IFERROR(__xludf.DUMMYFUNCTION("""COMPUTED_VALUE"""),"dageki_1")</f>
        <v>dageki_1</v>
      </c>
      <c r="AC11" s="235"/>
    </row>
    <row r="12">
      <c r="A12" s="236"/>
      <c r="B12" s="245" t="str">
        <f>IFERROR(__xludf.DUMMYFUNCTION("""COMPUTED_VALUE"""),"enemy_glo_00001")</f>
        <v>enemy_glo_00001</v>
      </c>
      <c r="C12" s="246" t="str">
        <f>IFERROR(__xludf.DUMMYFUNCTION("""COMPUTED_VALUE"""),"_general")</f>
        <v>_general</v>
      </c>
      <c r="D12" s="246" t="str">
        <f>IFERROR(__xludf.DUMMYFUNCTION("""COMPUTED_VALUE"""),"e_glo_00001_general_Normal_Green")</f>
        <v>e_glo_00001_general_Normal_Green</v>
      </c>
      <c r="E12" s="247" t="str">
        <f>IFERROR(__xludf.DUMMYFUNCTION("""COMPUTED_VALUE"""),"GLOW")</f>
        <v>GLOW</v>
      </c>
      <c r="F12" s="247" t="str">
        <f>IFERROR(__xludf.DUMMYFUNCTION("""COMPUTED_VALUE"""),"ファントム")</f>
        <v>ファントム</v>
      </c>
      <c r="G12" s="247" t="str">
        <f>IFERROR(__xludf.DUMMYFUNCTION("""COMPUTED_VALUE"""),"ファントム_general")</f>
        <v>ファントム_general</v>
      </c>
      <c r="H12" s="248" t="str">
        <f>IFERROR(__xludf.DUMMYFUNCTION("""COMPUTED_VALUE"""),"Normal")</f>
        <v>Normal</v>
      </c>
      <c r="I12" s="248" t="str">
        <f>IFERROR(__xludf.DUMMYFUNCTION("""COMPUTED_VALUE"""),"Attack")</f>
        <v>Attack</v>
      </c>
      <c r="J12" s="248" t="str">
        <f>IFERROR(__xludf.DUMMYFUNCTION("""COMPUTED_VALUE"""),"Green")</f>
        <v>Green</v>
      </c>
      <c r="K12" s="248">
        <f>IFERROR(__xludf.DUMMYFUNCTION("""COMPUTED_VALUE"""),5000.0)</f>
        <v>5000</v>
      </c>
      <c r="L12" s="248">
        <f>IFERROR(__xludf.DUMMYFUNCTION("""COMPUTED_VALUE"""),3.0)</f>
        <v>3</v>
      </c>
      <c r="M12" s="248">
        <f>IFERROR(__xludf.DUMMYFUNCTION("""COMPUTED_VALUE"""),34.0)</f>
        <v>34</v>
      </c>
      <c r="N12" s="248">
        <f>IFERROR(__xludf.DUMMYFUNCTION("""COMPUTED_VALUE"""),0.22)</f>
        <v>0.22</v>
      </c>
      <c r="O12" s="248">
        <f>IFERROR(__xludf.DUMMYFUNCTION("""COMPUTED_VALUE"""),100.0)</f>
        <v>100</v>
      </c>
      <c r="P12" s="248">
        <f>IFERROR(__xludf.DUMMYFUNCTION("""COMPUTED_VALUE"""),0.0)</f>
        <v>0</v>
      </c>
      <c r="Q12" s="248">
        <f>IFERROR(__xludf.DUMMYFUNCTION("""COMPUTED_VALUE"""),0.23)</f>
        <v>0.23</v>
      </c>
      <c r="R12" s="248">
        <f>IFERROR(__xludf.DUMMYFUNCTION("""COMPUTED_VALUE"""),1.0)</f>
        <v>1</v>
      </c>
      <c r="S12" s="248">
        <f>IFERROR(__xludf.DUMMYFUNCTION("""COMPUTED_VALUE"""),150.0)</f>
        <v>150</v>
      </c>
      <c r="T12" s="249" t="str">
        <f>IFERROR(__xludf.DUMMYFUNCTION("""COMPUTED_VALUE"""),"1.00")</f>
        <v>1.00</v>
      </c>
      <c r="U12" s="250" t="str">
        <f>IFERROR(__xludf.DUMMYFUNCTION("""COMPUTED_VALUE"""),"0.50")</f>
        <v>0.50</v>
      </c>
      <c r="V12" s="250">
        <f>IFERROR(__xludf.DUMMYFUNCTION("""COMPUTED_VALUE"""),50.0)</f>
        <v>50</v>
      </c>
      <c r="W12" s="250"/>
      <c r="X12" s="250"/>
      <c r="Y12" s="250"/>
      <c r="Z12" s="250" t="str">
        <f>IFERROR(__xludf.DUMMYFUNCTION("""COMPUTED_VALUE"""),"-")</f>
        <v>-</v>
      </c>
      <c r="AA12" s="235"/>
      <c r="AB12" s="235" t="str">
        <f>IFERROR(__xludf.DUMMYFUNCTION("""COMPUTED_VALUE"""),"dageki_1")</f>
        <v>dageki_1</v>
      </c>
      <c r="AC12" s="235"/>
    </row>
    <row r="13">
      <c r="A13" s="236"/>
      <c r="B13" s="245" t="str">
        <f>IFERROR(__xludf.DUMMYFUNCTION("""COMPUTED_VALUE"""),"enemy_glo_00001")</f>
        <v>enemy_glo_00001</v>
      </c>
      <c r="C13" s="246" t="str">
        <f>IFERROR(__xludf.DUMMYFUNCTION("""COMPUTED_VALUE"""),"_mainquest_glo2")</f>
        <v>_mainquest_glo2</v>
      </c>
      <c r="D13" s="246" t="str">
        <f>IFERROR(__xludf.DUMMYFUNCTION("""COMPUTED_VALUE"""),"e_glo_00001_mainquest_glo2_Normal_Green")</f>
        <v>e_glo_00001_mainquest_glo2_Normal_Green</v>
      </c>
      <c r="E13" s="247" t="str">
        <f>IFERROR(__xludf.DUMMYFUNCTION("""COMPUTED_VALUE"""),"GLOW")</f>
        <v>GLOW</v>
      </c>
      <c r="F13" s="247" t="str">
        <f>IFERROR(__xludf.DUMMYFUNCTION("""COMPUTED_VALUE"""),"ファントム")</f>
        <v>ファントム</v>
      </c>
      <c r="G13" s="247" t="str">
        <f>IFERROR(__xludf.DUMMYFUNCTION("""COMPUTED_VALUE"""),"ファントム_mainquest_glo2")</f>
        <v>ファントム_mainquest_glo2</v>
      </c>
      <c r="H13" s="248" t="str">
        <f>IFERROR(__xludf.DUMMYFUNCTION("""COMPUTED_VALUE"""),"Normal")</f>
        <v>Normal</v>
      </c>
      <c r="I13" s="248" t="str">
        <f>IFERROR(__xludf.DUMMYFUNCTION("""COMPUTED_VALUE"""),"Defense")</f>
        <v>Defense</v>
      </c>
      <c r="J13" s="248" t="str">
        <f>IFERROR(__xludf.DUMMYFUNCTION("""COMPUTED_VALUE"""),"Green")</f>
        <v>Green</v>
      </c>
      <c r="K13" s="248">
        <f>IFERROR(__xludf.DUMMYFUNCTION("""COMPUTED_VALUE"""),3000.0)</f>
        <v>3000</v>
      </c>
      <c r="L13" s="248">
        <f>IFERROR(__xludf.DUMMYFUNCTION("""COMPUTED_VALUE"""),3.0)</f>
        <v>3</v>
      </c>
      <c r="M13" s="248">
        <f>IFERROR(__xludf.DUMMYFUNCTION("""COMPUTED_VALUE"""),34.0)</f>
        <v>34</v>
      </c>
      <c r="N13" s="248">
        <f>IFERROR(__xludf.DUMMYFUNCTION("""COMPUTED_VALUE"""),0.22)</f>
        <v>0.22</v>
      </c>
      <c r="O13" s="248">
        <f>IFERROR(__xludf.DUMMYFUNCTION("""COMPUTED_VALUE"""),100.0)</f>
        <v>100</v>
      </c>
      <c r="P13" s="248">
        <f>IFERROR(__xludf.DUMMYFUNCTION("""COMPUTED_VALUE"""),0.0)</f>
        <v>0</v>
      </c>
      <c r="Q13" s="248">
        <f>IFERROR(__xludf.DUMMYFUNCTION("""COMPUTED_VALUE"""),0.23)</f>
        <v>0.23</v>
      </c>
      <c r="R13" s="248">
        <f>IFERROR(__xludf.DUMMYFUNCTION("""COMPUTED_VALUE"""),1.0)</f>
        <v>1</v>
      </c>
      <c r="S13" s="248">
        <f>IFERROR(__xludf.DUMMYFUNCTION("""COMPUTED_VALUE"""),100.0)</f>
        <v>100</v>
      </c>
      <c r="T13" s="249" t="str">
        <f>IFERROR(__xludf.DUMMYFUNCTION("""COMPUTED_VALUE"""),"1.00")</f>
        <v>1.00</v>
      </c>
      <c r="U13" s="250" t="str">
        <f>IFERROR(__xludf.DUMMYFUNCTION("""COMPUTED_VALUE"""),"0.50")</f>
        <v>0.50</v>
      </c>
      <c r="V13" s="250">
        <f>IFERROR(__xludf.DUMMYFUNCTION("""COMPUTED_VALUE"""),50.0)</f>
        <v>50</v>
      </c>
      <c r="W13" s="250"/>
      <c r="X13" s="250"/>
      <c r="Y13" s="250"/>
      <c r="Z13" s="250" t="str">
        <f>IFERROR(__xludf.DUMMYFUNCTION("""COMPUTED_VALUE"""),"-")</f>
        <v>-</v>
      </c>
      <c r="AA13" s="235"/>
      <c r="AB13" s="235" t="str">
        <f>IFERROR(__xludf.DUMMYFUNCTION("""COMPUTED_VALUE"""),"dageki_1")</f>
        <v>dageki_1</v>
      </c>
      <c r="AC13" s="235"/>
    </row>
    <row r="14">
      <c r="A14" s="236"/>
      <c r="B14" s="245" t="str">
        <f>IFERROR(__xludf.DUMMYFUNCTION("""COMPUTED_VALUE"""),"enemy_glo_00001")</f>
        <v>enemy_glo_00001</v>
      </c>
      <c r="C14" s="246" t="str">
        <f>IFERROR(__xludf.DUMMYFUNCTION("""COMPUTED_VALUE"""),"_mainquest_glo2_nostunresist")</f>
        <v>_mainquest_glo2_nostunresist</v>
      </c>
      <c r="D14" s="246" t="str">
        <f>IFERROR(__xludf.DUMMYFUNCTION("""COMPUTED_VALUE"""),"e_glo_00001_mainquest_glo2_nostunresist_Boss_Green")</f>
        <v>e_glo_00001_mainquest_glo2_nostunresist_Boss_Green</v>
      </c>
      <c r="E14" s="247" t="str">
        <f>IFERROR(__xludf.DUMMYFUNCTION("""COMPUTED_VALUE"""),"GLOW")</f>
        <v>GLOW</v>
      </c>
      <c r="F14" s="247" t="str">
        <f>IFERROR(__xludf.DUMMYFUNCTION("""COMPUTED_VALUE"""),"ボスファントム")</f>
        <v>ボスファントム</v>
      </c>
      <c r="G14" s="247" t="str">
        <f>IFERROR(__xludf.DUMMYFUNCTION("""COMPUTED_VALUE"""),"ファントム_mainquest_glo2_nostunresist")</f>
        <v>ファントム_mainquest_glo2_nostunresist</v>
      </c>
      <c r="H14" s="248" t="str">
        <f>IFERROR(__xludf.DUMMYFUNCTION("""COMPUTED_VALUE"""),"Boss")</f>
        <v>Boss</v>
      </c>
      <c r="I14" s="248" t="str">
        <f>IFERROR(__xludf.DUMMYFUNCTION("""COMPUTED_VALUE"""),"Attack")</f>
        <v>Attack</v>
      </c>
      <c r="J14" s="248" t="str">
        <f>IFERROR(__xludf.DUMMYFUNCTION("""COMPUTED_VALUE"""),"Green")</f>
        <v>Green</v>
      </c>
      <c r="K14" s="248">
        <f>IFERROR(__xludf.DUMMYFUNCTION("""COMPUTED_VALUE"""),100000.0)</f>
        <v>100000</v>
      </c>
      <c r="L14" s="248">
        <f>IFERROR(__xludf.DUMMYFUNCTION("""COMPUTED_VALUE"""),3.0)</f>
        <v>3</v>
      </c>
      <c r="M14" s="248">
        <f>IFERROR(__xludf.DUMMYFUNCTION("""COMPUTED_VALUE"""),5.0)</f>
        <v>5</v>
      </c>
      <c r="N14" s="248">
        <f>IFERROR(__xludf.DUMMYFUNCTION("""COMPUTED_VALUE"""),0.3)</f>
        <v>0.3</v>
      </c>
      <c r="O14" s="248">
        <f>IFERROR(__xludf.DUMMYFUNCTION("""COMPUTED_VALUE"""),2000.0)</f>
        <v>2000</v>
      </c>
      <c r="P14" s="248">
        <f>IFERROR(__xludf.DUMMYFUNCTION("""COMPUTED_VALUE"""),0.0)</f>
        <v>0</v>
      </c>
      <c r="Q14" s="248">
        <f>IFERROR(__xludf.DUMMYFUNCTION("""COMPUTED_VALUE"""),0.35)</f>
        <v>0.35</v>
      </c>
      <c r="R14" s="248">
        <f>IFERROR(__xludf.DUMMYFUNCTION("""COMPUTED_VALUE"""),100.0)</f>
        <v>100</v>
      </c>
      <c r="S14" s="248">
        <f>IFERROR(__xludf.DUMMYFUNCTION("""COMPUTED_VALUE"""),2000.0)</f>
        <v>2000</v>
      </c>
      <c r="T14" s="249" t="str">
        <f>IFERROR(__xludf.DUMMYFUNCTION("""COMPUTED_VALUE"""),"1.00")</f>
        <v>1.00</v>
      </c>
      <c r="U14" s="250" t="str">
        <f>IFERROR(__xludf.DUMMYFUNCTION("""COMPUTED_VALUE"""),"0.50")</f>
        <v>0.50</v>
      </c>
      <c r="V14" s="250">
        <f>IFERROR(__xludf.DUMMYFUNCTION("""COMPUTED_VALUE"""),750.0)</f>
        <v>750</v>
      </c>
      <c r="W14" s="250"/>
      <c r="X14" s="250"/>
      <c r="Y14" s="250"/>
      <c r="Z14" s="250" t="str">
        <f>IFERROR(__xludf.DUMMYFUNCTION("""COMPUTED_VALUE"""),"-")</f>
        <v>-</v>
      </c>
      <c r="AA14" s="235" t="str">
        <f>IFERROR(__xludf.DUMMYFUNCTION("""COMPUTED_VALUE"""),"ノックバック耐性")</f>
        <v>ノックバック耐性</v>
      </c>
      <c r="AB14" s="235" t="str">
        <f>IFERROR(__xludf.DUMMYFUNCTION("""COMPUTED_VALUE"""),"dageki_1")</f>
        <v>dageki_1</v>
      </c>
      <c r="AC14" s="235"/>
    </row>
    <row r="15">
      <c r="A15" s="236"/>
      <c r="B15" s="245" t="str">
        <f>IFERROR(__xludf.DUMMYFUNCTION("""COMPUTED_VALUE"""),"enemy_glo_00001")</f>
        <v>enemy_glo_00001</v>
      </c>
      <c r="C15" s="246" t="str">
        <f>IFERROR(__xludf.DUMMYFUNCTION("""COMPUTED_VALUE"""),"_mainquest_glo2_stunresist")</f>
        <v>_mainquest_glo2_stunresist</v>
      </c>
      <c r="D15" s="246" t="str">
        <f>IFERROR(__xludf.DUMMYFUNCTION("""COMPUTED_VALUE"""),"e_glo_00001_mainquest_glo2_stunresist_Boss_Green")</f>
        <v>e_glo_00001_mainquest_glo2_stunresist_Boss_Green</v>
      </c>
      <c r="E15" s="247" t="str">
        <f>IFERROR(__xludf.DUMMYFUNCTION("""COMPUTED_VALUE"""),"GLOW")</f>
        <v>GLOW</v>
      </c>
      <c r="F15" s="247" t="str">
        <f>IFERROR(__xludf.DUMMYFUNCTION("""COMPUTED_VALUE"""),"ファントム")</f>
        <v>ファントム</v>
      </c>
      <c r="G15" s="247" t="str">
        <f>IFERROR(__xludf.DUMMYFUNCTION("""COMPUTED_VALUE"""),"ファントム_mainquest_glo2_stunresist")</f>
        <v>ファントム_mainquest_glo2_stunresist</v>
      </c>
      <c r="H15" s="248" t="str">
        <f>IFERROR(__xludf.DUMMYFUNCTION("""COMPUTED_VALUE"""),"Boss")</f>
        <v>Boss</v>
      </c>
      <c r="I15" s="248" t="str">
        <f>IFERROR(__xludf.DUMMYFUNCTION("""COMPUTED_VALUE"""),"Attack")</f>
        <v>Attack</v>
      </c>
      <c r="J15" s="248" t="str">
        <f>IFERROR(__xludf.DUMMYFUNCTION("""COMPUTED_VALUE"""),"Green")</f>
        <v>Green</v>
      </c>
      <c r="K15" s="248">
        <f>IFERROR(__xludf.DUMMYFUNCTION("""COMPUTED_VALUE"""),100000.0)</f>
        <v>100000</v>
      </c>
      <c r="L15" s="248">
        <f>IFERROR(__xludf.DUMMYFUNCTION("""COMPUTED_VALUE"""),3.0)</f>
        <v>3</v>
      </c>
      <c r="M15" s="248">
        <f>IFERROR(__xludf.DUMMYFUNCTION("""COMPUTED_VALUE"""),5.0)</f>
        <v>5</v>
      </c>
      <c r="N15" s="248">
        <f>IFERROR(__xludf.DUMMYFUNCTION("""COMPUTED_VALUE"""),0.3)</f>
        <v>0.3</v>
      </c>
      <c r="O15" s="248">
        <f>IFERROR(__xludf.DUMMYFUNCTION("""COMPUTED_VALUE"""),2000.0)</f>
        <v>2000</v>
      </c>
      <c r="P15" s="248">
        <f>IFERROR(__xludf.DUMMYFUNCTION("""COMPUTED_VALUE"""),0.0)</f>
        <v>0</v>
      </c>
      <c r="Q15" s="248">
        <f>IFERROR(__xludf.DUMMYFUNCTION("""COMPUTED_VALUE"""),0.35)</f>
        <v>0.35</v>
      </c>
      <c r="R15" s="248">
        <f>IFERROR(__xludf.DUMMYFUNCTION("""COMPUTED_VALUE"""),100.0)</f>
        <v>100</v>
      </c>
      <c r="S15" s="248">
        <f>IFERROR(__xludf.DUMMYFUNCTION("""COMPUTED_VALUE"""),2000.0)</f>
        <v>2000</v>
      </c>
      <c r="T15" s="249" t="str">
        <f>IFERROR(__xludf.DUMMYFUNCTION("""COMPUTED_VALUE"""),"1.00")</f>
        <v>1.00</v>
      </c>
      <c r="U15" s="250" t="str">
        <f>IFERROR(__xludf.DUMMYFUNCTION("""COMPUTED_VALUE"""),"0.50")</f>
        <v>0.50</v>
      </c>
      <c r="V15" s="250">
        <f>IFERROR(__xludf.DUMMYFUNCTION("""COMPUTED_VALUE"""),750.0)</f>
        <v>750</v>
      </c>
      <c r="W15" s="250"/>
      <c r="X15" s="250"/>
      <c r="Y15" s="250"/>
      <c r="Z15" s="250" t="str">
        <f>IFERROR(__xludf.DUMMYFUNCTION("""COMPUTED_VALUE"""),"-")</f>
        <v>-</v>
      </c>
      <c r="AA15" s="235" t="str">
        <f>IFERROR(__xludf.DUMMYFUNCTION("""COMPUTED_VALUE"""),"ノックバック耐性")</f>
        <v>ノックバック耐性</v>
      </c>
      <c r="AB15" s="235" t="str">
        <f>IFERROR(__xludf.DUMMYFUNCTION("""COMPUTED_VALUE"""),"dageki_1")</f>
        <v>dageki_1</v>
      </c>
      <c r="AC15" s="235"/>
    </row>
    <row r="16">
      <c r="A16" s="236"/>
      <c r="B16" s="245"/>
      <c r="C16" s="246"/>
      <c r="D16" s="246"/>
      <c r="E16" s="247"/>
      <c r="F16" s="247"/>
      <c r="G16" s="247"/>
      <c r="H16" s="248"/>
      <c r="I16" s="248"/>
      <c r="J16" s="248"/>
      <c r="K16" s="248"/>
      <c r="L16" s="248"/>
      <c r="M16" s="248"/>
      <c r="N16" s="248"/>
      <c r="O16" s="248"/>
      <c r="P16" s="248"/>
      <c r="Q16" s="248"/>
      <c r="R16" s="248"/>
      <c r="S16" s="248"/>
      <c r="T16" s="248"/>
      <c r="U16" s="250"/>
      <c r="V16" s="250"/>
      <c r="W16" s="250"/>
      <c r="X16" s="250"/>
      <c r="Y16" s="250"/>
      <c r="Z16" s="250"/>
      <c r="AA16" s="235"/>
      <c r="AB16" s="235"/>
      <c r="AC16" s="235"/>
    </row>
    <row r="17">
      <c r="A17" s="236"/>
      <c r="B17" s="245"/>
      <c r="C17" s="246"/>
      <c r="D17" s="246" t="str">
        <f>IFERROR(__xludf.DUMMYFUNCTION("""COMPUTED_VALUE"""),"___")</f>
        <v>___</v>
      </c>
      <c r="E17" s="247" t="str">
        <f>IFERROR(__xludf.DUMMYFUNCTION("""COMPUTED_VALUE"""),"none")</f>
        <v>none</v>
      </c>
      <c r="F17" s="247" t="str">
        <f>IFERROR(__xludf.DUMMYFUNCTION("""COMPUTED_VALUE"""),"none")</f>
        <v>none</v>
      </c>
      <c r="G17" s="247" t="str">
        <f>IFERROR(__xludf.DUMMYFUNCTION("""COMPUTED_VALUE"""),"none")</f>
        <v>none</v>
      </c>
      <c r="H17" s="248"/>
      <c r="I17" s="248" t="str">
        <f>IFERROR(__xludf.DUMMYFUNCTION("""COMPUTED_VALUE"""),"none")</f>
        <v>none</v>
      </c>
      <c r="J17" s="248"/>
      <c r="K17" s="248"/>
      <c r="L17" s="248"/>
      <c r="M17" s="248"/>
      <c r="N17" s="248"/>
      <c r="O17" s="248"/>
      <c r="P17" s="248"/>
      <c r="Q17" s="248"/>
      <c r="R17" s="248"/>
      <c r="S17" s="248"/>
      <c r="T17" s="249" t="str">
        <f>IFERROR(__xludf.DUMMYFUNCTION("""COMPUTED_VALUE"""),"none")</f>
        <v>none</v>
      </c>
      <c r="U17" s="250" t="str">
        <f>IFERROR(__xludf.DUMMYFUNCTION("""COMPUTED_VALUE"""),"none")</f>
        <v>none</v>
      </c>
      <c r="V17" s="250"/>
      <c r="W17" s="250" t="str">
        <f>IFERROR(__xludf.DUMMYFUNCTION("""COMPUTED_VALUE"""),"none")</f>
        <v>none</v>
      </c>
      <c r="X17" s="250" t="str">
        <f>IFERROR(__xludf.DUMMYFUNCTION("""COMPUTED_VALUE"""),"none")</f>
        <v>none</v>
      </c>
      <c r="Y17" s="250"/>
      <c r="Z17" s="250"/>
      <c r="AA17" s="235"/>
      <c r="AB17" s="235"/>
      <c r="AC17" s="235"/>
    </row>
    <row r="18">
      <c r="A18" s="236"/>
      <c r="B18" s="245" t="str">
        <f>IFERROR(__xludf.DUMMYFUNCTION("""COMPUTED_VALUE"""),"enemy_chi_00001")</f>
        <v>enemy_chi_00001</v>
      </c>
      <c r="C18" s="246" t="str">
        <f>IFERROR(__xludf.DUMMYFUNCTION("""COMPUTED_VALUE"""),"_general")</f>
        <v>_general</v>
      </c>
      <c r="D18" s="246" t="str">
        <f>IFERROR(__xludf.DUMMYFUNCTION("""COMPUTED_VALUE"""),"e_chi_00001_general_Boss_Yellow")</f>
        <v>e_chi_00001_general_Boss_Yellow</v>
      </c>
      <c r="E18" s="247" t="str">
        <f>IFERROR(__xludf.DUMMYFUNCTION("""COMPUTED_VALUE"""),"チェンソーマン")</f>
        <v>チェンソーマン</v>
      </c>
      <c r="F18" s="247" t="str">
        <f>IFERROR(__xludf.DUMMYFUNCTION("""COMPUTED_VALUE"""),"ゾンビの悪魔")</f>
        <v>ゾンビの悪魔</v>
      </c>
      <c r="G18" s="247" t="str">
        <f>IFERROR(__xludf.DUMMYFUNCTION("""COMPUTED_VALUE"""),"ゾンビの悪魔_general")</f>
        <v>ゾンビの悪魔_general</v>
      </c>
      <c r="H18" s="248" t="str">
        <f>IFERROR(__xludf.DUMMYFUNCTION("""COMPUTED_VALUE"""),"Boss")</f>
        <v>Boss</v>
      </c>
      <c r="I18" s="248" t="str">
        <f>IFERROR(__xludf.DUMMYFUNCTION("""COMPUTED_VALUE"""),"Attack")</f>
        <v>Attack</v>
      </c>
      <c r="J18" s="248" t="str">
        <f>IFERROR(__xludf.DUMMYFUNCTION("""COMPUTED_VALUE"""),"Yellow")</f>
        <v>Yellow</v>
      </c>
      <c r="K18" s="248">
        <f>IFERROR(__xludf.DUMMYFUNCTION("""COMPUTED_VALUE"""),300000.0)</f>
        <v>300000</v>
      </c>
      <c r="L18" s="248">
        <f>IFERROR(__xludf.DUMMYFUNCTION("""COMPUTED_VALUE"""),1.0)</f>
        <v>1</v>
      </c>
      <c r="M18" s="248">
        <f>IFERROR(__xludf.DUMMYFUNCTION("""COMPUTED_VALUE"""),40.0)</f>
        <v>40</v>
      </c>
      <c r="N18" s="248">
        <f>IFERROR(__xludf.DUMMYFUNCTION("""COMPUTED_VALUE"""),0.3)</f>
        <v>0.3</v>
      </c>
      <c r="O18" s="248">
        <f>IFERROR(__xludf.DUMMYFUNCTION("""COMPUTED_VALUE"""),500.0)</f>
        <v>500</v>
      </c>
      <c r="P18" s="248">
        <f>IFERROR(__xludf.DUMMYFUNCTION("""COMPUTED_VALUE"""),0.0)</f>
        <v>0</v>
      </c>
      <c r="Q18" s="248">
        <f>IFERROR(__xludf.DUMMYFUNCTION("""COMPUTED_VALUE"""),0.4)</f>
        <v>0.4</v>
      </c>
      <c r="R18" s="248">
        <f>IFERROR(__xludf.DUMMYFUNCTION("""COMPUTED_VALUE"""),100.0)</f>
        <v>100</v>
      </c>
      <c r="S18" s="248">
        <f>IFERROR(__xludf.DUMMYFUNCTION("""COMPUTED_VALUE"""),50.0)</f>
        <v>50</v>
      </c>
      <c r="T18" s="249" t="str">
        <f>IFERROR(__xludf.DUMMYFUNCTION("""COMPUTED_VALUE"""),"1.13")</f>
        <v>1.13</v>
      </c>
      <c r="U18" s="250" t="str">
        <f>IFERROR(__xludf.DUMMYFUNCTION("""COMPUTED_VALUE"""),"0.20")</f>
        <v>0.20</v>
      </c>
      <c r="V18" s="250">
        <f>IFERROR(__xludf.DUMMYFUNCTION("""COMPUTED_VALUE"""),100.0)</f>
        <v>100</v>
      </c>
      <c r="W18" s="250" t="str">
        <f>IFERROR(__xludf.DUMMYFUNCTION("""COMPUTED_VALUE"""),"-")</f>
        <v>-</v>
      </c>
      <c r="X18" s="250" t="str">
        <f>IFERROR(__xludf.DUMMYFUNCTION("""COMPUTED_VALUE"""),"-")</f>
        <v>-</v>
      </c>
      <c r="Y18" s="250"/>
      <c r="Z18" s="250">
        <f>IFERROR(__xludf.DUMMYFUNCTION("""COMPUTED_VALUE"""),7.0)</f>
        <v>7</v>
      </c>
      <c r="AA18" s="235"/>
      <c r="AB18" s="235" t="str">
        <f>IFERROR(__xludf.DUMMYFUNCTION("""COMPUTED_VALUE"""),"dageki_2")</f>
        <v>dageki_2</v>
      </c>
      <c r="AC18" s="235"/>
    </row>
    <row r="19">
      <c r="A19" s="236"/>
      <c r="B19" s="245" t="str">
        <f>IFERROR(__xludf.DUMMYFUNCTION("""COMPUTED_VALUE"""),"enemy_chi_00101")</f>
        <v>enemy_chi_00101</v>
      </c>
      <c r="C19" s="246" t="str">
        <f>IFERROR(__xludf.DUMMYFUNCTION("""COMPUTED_VALUE"""),"_general")</f>
        <v>_general</v>
      </c>
      <c r="D19" s="246" t="str">
        <f>IFERROR(__xludf.DUMMYFUNCTION("""COMPUTED_VALUE"""),"e_chi_00101_general_Normal_Colorless")</f>
        <v>e_chi_00101_general_Normal_Colorless</v>
      </c>
      <c r="E19" s="247" t="str">
        <f>IFERROR(__xludf.DUMMYFUNCTION("""COMPUTED_VALUE"""),"チェンソーマン")</f>
        <v>チェンソーマン</v>
      </c>
      <c r="F19" s="247" t="str">
        <f>IFERROR(__xludf.DUMMYFUNCTION("""COMPUTED_VALUE"""),"ゾンビ")</f>
        <v>ゾンビ</v>
      </c>
      <c r="G19" s="247" t="str">
        <f>IFERROR(__xludf.DUMMYFUNCTION("""COMPUTED_VALUE"""),"ゾンビ_general")</f>
        <v>ゾンビ_general</v>
      </c>
      <c r="H19" s="248" t="str">
        <f>IFERROR(__xludf.DUMMYFUNCTION("""COMPUTED_VALUE"""),"Normal")</f>
        <v>Normal</v>
      </c>
      <c r="I19" s="248" t="str">
        <f>IFERROR(__xludf.DUMMYFUNCTION("""COMPUTED_VALUE"""),"Defense")</f>
        <v>Defense</v>
      </c>
      <c r="J19" s="248" t="str">
        <f>IFERROR(__xludf.DUMMYFUNCTION("""COMPUTED_VALUE"""),"Colorless")</f>
        <v>Colorless</v>
      </c>
      <c r="K19" s="248">
        <f>IFERROR(__xludf.DUMMYFUNCTION("""COMPUTED_VALUE"""),5000.0)</f>
        <v>5000</v>
      </c>
      <c r="L19" s="248">
        <f>IFERROR(__xludf.DUMMYFUNCTION("""COMPUTED_VALUE"""),1.0)</f>
        <v>1</v>
      </c>
      <c r="M19" s="248">
        <f>IFERROR(__xludf.DUMMYFUNCTION("""COMPUTED_VALUE"""),35.0)</f>
        <v>35</v>
      </c>
      <c r="N19" s="248">
        <f>IFERROR(__xludf.DUMMYFUNCTION("""COMPUTED_VALUE"""),0.11)</f>
        <v>0.11</v>
      </c>
      <c r="O19" s="248">
        <f>IFERROR(__xludf.DUMMYFUNCTION("""COMPUTED_VALUE"""),400.0)</f>
        <v>400</v>
      </c>
      <c r="P19" s="248">
        <f>IFERROR(__xludf.DUMMYFUNCTION("""COMPUTED_VALUE"""),0.0)</f>
        <v>0</v>
      </c>
      <c r="Q19" s="248">
        <f>IFERROR(__xludf.DUMMYFUNCTION("""COMPUTED_VALUE"""),0.2)</f>
        <v>0.2</v>
      </c>
      <c r="R19" s="248">
        <f>IFERROR(__xludf.DUMMYFUNCTION("""COMPUTED_VALUE"""),1.0)</f>
        <v>1</v>
      </c>
      <c r="S19" s="248">
        <f>IFERROR(__xludf.DUMMYFUNCTION("""COMPUTED_VALUE"""),50.0)</f>
        <v>50</v>
      </c>
      <c r="T19" s="249" t="str">
        <f>IFERROR(__xludf.DUMMYFUNCTION("""COMPUTED_VALUE"""),"1.90")</f>
        <v>1.90</v>
      </c>
      <c r="U19" s="250" t="str">
        <f>IFERROR(__xludf.DUMMYFUNCTION("""COMPUTED_VALUE"""),"0.66")</f>
        <v>0.66</v>
      </c>
      <c r="V19" s="250">
        <f>IFERROR(__xludf.DUMMYFUNCTION("""COMPUTED_VALUE"""),45.0)</f>
        <v>45</v>
      </c>
      <c r="W19" s="250" t="str">
        <f>IFERROR(__xludf.DUMMYFUNCTION("""COMPUTED_VALUE"""),"-")</f>
        <v>-</v>
      </c>
      <c r="X19" s="250" t="str">
        <f>IFERROR(__xludf.DUMMYFUNCTION("""COMPUTED_VALUE"""),"-")</f>
        <v>-</v>
      </c>
      <c r="Y19" s="250"/>
      <c r="Z19" s="250" t="str">
        <f>IFERROR(__xludf.DUMMYFUNCTION("""COMPUTED_VALUE"""),"-")</f>
        <v>-</v>
      </c>
      <c r="AA19" s="235"/>
      <c r="AB19" s="235" t="str">
        <f>IFERROR(__xludf.DUMMYFUNCTION("""COMPUTED_VALUE"""),"dageki_1")</f>
        <v>dageki_1</v>
      </c>
      <c r="AC19" s="235"/>
    </row>
    <row r="20">
      <c r="A20" s="236"/>
      <c r="B20" s="245" t="str">
        <f>IFERROR(__xludf.DUMMYFUNCTION("""COMPUTED_VALUE"""),"enemy_chi_00101")</f>
        <v>enemy_chi_00101</v>
      </c>
      <c r="C20" s="246" t="str">
        <f>IFERROR(__xludf.DUMMYFUNCTION("""COMPUTED_VALUE"""),"_general")</f>
        <v>_general</v>
      </c>
      <c r="D20" s="246" t="str">
        <f>IFERROR(__xludf.DUMMYFUNCTION("""COMPUTED_VALUE"""),"e_chi_00101_general_Normal_Yellow")</f>
        <v>e_chi_00101_general_Normal_Yellow</v>
      </c>
      <c r="E20" s="247" t="str">
        <f>IFERROR(__xludf.DUMMYFUNCTION("""COMPUTED_VALUE"""),"チェンソーマン")</f>
        <v>チェンソーマン</v>
      </c>
      <c r="F20" s="247" t="str">
        <f>IFERROR(__xludf.DUMMYFUNCTION("""COMPUTED_VALUE"""),"ゾンビ")</f>
        <v>ゾンビ</v>
      </c>
      <c r="G20" s="247" t="str">
        <f>IFERROR(__xludf.DUMMYFUNCTION("""COMPUTED_VALUE"""),"ゾンビ_general")</f>
        <v>ゾンビ_general</v>
      </c>
      <c r="H20" s="248" t="str">
        <f>IFERROR(__xludf.DUMMYFUNCTION("""COMPUTED_VALUE"""),"Normal")</f>
        <v>Normal</v>
      </c>
      <c r="I20" s="248" t="str">
        <f>IFERROR(__xludf.DUMMYFUNCTION("""COMPUTED_VALUE"""),"Technical")</f>
        <v>Technical</v>
      </c>
      <c r="J20" s="248" t="str">
        <f>IFERROR(__xludf.DUMMYFUNCTION("""COMPUTED_VALUE"""),"Yellow")</f>
        <v>Yellow</v>
      </c>
      <c r="K20" s="248">
        <f>IFERROR(__xludf.DUMMYFUNCTION("""COMPUTED_VALUE"""),13000.0)</f>
        <v>13000</v>
      </c>
      <c r="L20" s="248">
        <f>IFERROR(__xludf.DUMMYFUNCTION("""COMPUTED_VALUE"""),1.0)</f>
        <v>1</v>
      </c>
      <c r="M20" s="248">
        <f>IFERROR(__xludf.DUMMYFUNCTION("""COMPUTED_VALUE"""),35.0)</f>
        <v>35</v>
      </c>
      <c r="N20" s="248">
        <f>IFERROR(__xludf.DUMMYFUNCTION("""COMPUTED_VALUE"""),0.11)</f>
        <v>0.11</v>
      </c>
      <c r="O20" s="248">
        <f>IFERROR(__xludf.DUMMYFUNCTION("""COMPUTED_VALUE"""),900.0)</f>
        <v>900</v>
      </c>
      <c r="P20" s="248">
        <f>IFERROR(__xludf.DUMMYFUNCTION("""COMPUTED_VALUE"""),0.0)</f>
        <v>0</v>
      </c>
      <c r="Q20" s="248">
        <f>IFERROR(__xludf.DUMMYFUNCTION("""COMPUTED_VALUE"""),0.2)</f>
        <v>0.2</v>
      </c>
      <c r="R20" s="248">
        <f>IFERROR(__xludf.DUMMYFUNCTION("""COMPUTED_VALUE"""),1.0)</f>
        <v>1</v>
      </c>
      <c r="S20" s="248">
        <f>IFERROR(__xludf.DUMMYFUNCTION("""COMPUTED_VALUE"""),50.0)</f>
        <v>50</v>
      </c>
      <c r="T20" s="249" t="str">
        <f>IFERROR(__xludf.DUMMYFUNCTION("""COMPUTED_VALUE"""),"1.90")</f>
        <v>1.90</v>
      </c>
      <c r="U20" s="250" t="str">
        <f>IFERROR(__xludf.DUMMYFUNCTION("""COMPUTED_VALUE"""),"0.66")</f>
        <v>0.66</v>
      </c>
      <c r="V20" s="250">
        <f>IFERROR(__xludf.DUMMYFUNCTION("""COMPUTED_VALUE"""),45.0)</f>
        <v>45</v>
      </c>
      <c r="W20" s="250" t="str">
        <f>IFERROR(__xludf.DUMMYFUNCTION("""COMPUTED_VALUE"""),"-")</f>
        <v>-</v>
      </c>
      <c r="X20" s="250" t="str">
        <f>IFERROR(__xludf.DUMMYFUNCTION("""COMPUTED_VALUE"""),"-")</f>
        <v>-</v>
      </c>
      <c r="Y20" s="250"/>
      <c r="Z20" s="250" t="str">
        <f>IFERROR(__xludf.DUMMYFUNCTION("""COMPUTED_VALUE"""),"-")</f>
        <v>-</v>
      </c>
      <c r="AA20" s="235"/>
      <c r="AB20" s="235" t="str">
        <f>IFERROR(__xludf.DUMMYFUNCTION("""COMPUTED_VALUE"""),"dageki_1")</f>
        <v>dageki_1</v>
      </c>
      <c r="AC20" s="235"/>
    </row>
    <row r="21">
      <c r="A21" s="236"/>
      <c r="B21" s="245" t="str">
        <f>IFERROR(__xludf.DUMMYFUNCTION("""COMPUTED_VALUE"""),"enemy_chi_00201")</f>
        <v>enemy_chi_00201</v>
      </c>
      <c r="C21" s="246" t="str">
        <f>IFERROR(__xludf.DUMMYFUNCTION("""COMPUTED_VALUE"""),"_general")</f>
        <v>_general</v>
      </c>
      <c r="D21" s="246" t="str">
        <f>IFERROR(__xludf.DUMMYFUNCTION("""COMPUTED_VALUE"""),"e_chi_00201_general_Normal_Yellow")</f>
        <v>e_chi_00201_general_Normal_Yellow</v>
      </c>
      <c r="E21" s="247" t="str">
        <f>IFERROR(__xludf.DUMMYFUNCTION("""COMPUTED_VALUE"""),"チェンソーマン")</f>
        <v>チェンソーマン</v>
      </c>
      <c r="F21" s="247" t="str">
        <f>IFERROR(__xludf.DUMMYFUNCTION("""COMPUTED_VALUE"""),"コウモリの悪魔")</f>
        <v>コウモリの悪魔</v>
      </c>
      <c r="G21" s="247" t="str">
        <f>IFERROR(__xludf.DUMMYFUNCTION("""COMPUTED_VALUE"""),"コウモリの悪魔_general")</f>
        <v>コウモリの悪魔_general</v>
      </c>
      <c r="H21" s="248" t="str">
        <f>IFERROR(__xludf.DUMMYFUNCTION("""COMPUTED_VALUE"""),"Normal")</f>
        <v>Normal</v>
      </c>
      <c r="I21" s="248" t="str">
        <f>IFERROR(__xludf.DUMMYFUNCTION("""COMPUTED_VALUE"""),"Attack")</f>
        <v>Attack</v>
      </c>
      <c r="J21" s="248" t="str">
        <f>IFERROR(__xludf.DUMMYFUNCTION("""COMPUTED_VALUE"""),"Yellow")</f>
        <v>Yellow</v>
      </c>
      <c r="K21" s="248">
        <f>IFERROR(__xludf.DUMMYFUNCTION("""COMPUTED_VALUE"""),200000.0)</f>
        <v>200000</v>
      </c>
      <c r="L21" s="248">
        <f>IFERROR(__xludf.DUMMYFUNCTION("""COMPUTED_VALUE"""),6.0)</f>
        <v>6</v>
      </c>
      <c r="M21" s="248">
        <f>IFERROR(__xludf.DUMMYFUNCTION("""COMPUTED_VALUE"""),50.0)</f>
        <v>50</v>
      </c>
      <c r="N21" s="248">
        <f>IFERROR(__xludf.DUMMYFUNCTION("""COMPUTED_VALUE"""),0.2)</f>
        <v>0.2</v>
      </c>
      <c r="O21" s="248">
        <f>IFERROR(__xludf.DUMMYFUNCTION("""COMPUTED_VALUE"""),400.0)</f>
        <v>400</v>
      </c>
      <c r="P21" s="248">
        <f>IFERROR(__xludf.DUMMYFUNCTION("""COMPUTED_VALUE"""),0.0)</f>
        <v>0</v>
      </c>
      <c r="Q21" s="248">
        <f>IFERROR(__xludf.DUMMYFUNCTION("""COMPUTED_VALUE"""),0.3)</f>
        <v>0.3</v>
      </c>
      <c r="R21" s="248">
        <f>IFERROR(__xludf.DUMMYFUNCTION("""COMPUTED_VALUE"""),1.0)</f>
        <v>1</v>
      </c>
      <c r="S21" s="248">
        <f>IFERROR(__xludf.DUMMYFUNCTION("""COMPUTED_VALUE"""),50.0)</f>
        <v>50</v>
      </c>
      <c r="T21" s="249" t="str">
        <f>IFERROR(__xludf.DUMMYFUNCTION("""COMPUTED_VALUE"""),"1.34")</f>
        <v>1.34</v>
      </c>
      <c r="U21" s="250" t="str">
        <f>IFERROR(__xludf.DUMMYFUNCTION("""COMPUTED_VALUE"""),"0.33")</f>
        <v>0.33</v>
      </c>
      <c r="V21" s="250">
        <f>IFERROR(__xludf.DUMMYFUNCTION("""COMPUTED_VALUE"""),45.0)</f>
        <v>45</v>
      </c>
      <c r="W21" s="250" t="str">
        <f>IFERROR(__xludf.DUMMYFUNCTION("""COMPUTED_VALUE"""),"-")</f>
        <v>-</v>
      </c>
      <c r="X21" s="250" t="str">
        <f>IFERROR(__xludf.DUMMYFUNCTION("""COMPUTED_VALUE"""),"-")</f>
        <v>-</v>
      </c>
      <c r="Y21" s="250"/>
      <c r="Z21" s="250" t="str">
        <f>IFERROR(__xludf.DUMMYFUNCTION("""COMPUTED_VALUE"""),"-")</f>
        <v>-</v>
      </c>
      <c r="AA21" s="235"/>
      <c r="AB21" s="235" t="str">
        <f>IFERROR(__xludf.DUMMYFUNCTION("""COMPUTED_VALUE"""),"dageki_1")</f>
        <v>dageki_1</v>
      </c>
      <c r="AC21" s="235"/>
    </row>
    <row r="22">
      <c r="A22" s="236"/>
      <c r="B22" s="245" t="str">
        <f>IFERROR(__xludf.DUMMYFUNCTION("""COMPUTED_VALUE"""),"enemy_chi_00201")</f>
        <v>enemy_chi_00201</v>
      </c>
      <c r="C22" s="246" t="str">
        <f>IFERROR(__xludf.DUMMYFUNCTION("""COMPUTED_VALUE"""),"_general")</f>
        <v>_general</v>
      </c>
      <c r="D22" s="246" t="str">
        <f>IFERROR(__xludf.DUMMYFUNCTION("""COMPUTED_VALUE"""),"e_chi_00201_general_Boss_Yellow")</f>
        <v>e_chi_00201_general_Boss_Yellow</v>
      </c>
      <c r="E22" s="247" t="str">
        <f>IFERROR(__xludf.DUMMYFUNCTION("""COMPUTED_VALUE"""),"チェンソーマン")</f>
        <v>チェンソーマン</v>
      </c>
      <c r="F22" s="247" t="str">
        <f>IFERROR(__xludf.DUMMYFUNCTION("""COMPUTED_VALUE"""),"コウモリの悪魔")</f>
        <v>コウモリの悪魔</v>
      </c>
      <c r="G22" s="247" t="str">
        <f>IFERROR(__xludf.DUMMYFUNCTION("""COMPUTED_VALUE"""),"コウモリの悪魔_general")</f>
        <v>コウモリの悪魔_general</v>
      </c>
      <c r="H22" s="248" t="str">
        <f>IFERROR(__xludf.DUMMYFUNCTION("""COMPUTED_VALUE"""),"Boss")</f>
        <v>Boss</v>
      </c>
      <c r="I22" s="248" t="str">
        <f>IFERROR(__xludf.DUMMYFUNCTION("""COMPUTED_VALUE"""),"Attack")</f>
        <v>Attack</v>
      </c>
      <c r="J22" s="248" t="str">
        <f>IFERROR(__xludf.DUMMYFUNCTION("""COMPUTED_VALUE"""),"Yellow")</f>
        <v>Yellow</v>
      </c>
      <c r="K22" s="248">
        <f>IFERROR(__xludf.DUMMYFUNCTION("""COMPUTED_VALUE"""),500000.0)</f>
        <v>500000</v>
      </c>
      <c r="L22" s="248">
        <f>IFERROR(__xludf.DUMMYFUNCTION("""COMPUTED_VALUE"""),3.0)</f>
        <v>3</v>
      </c>
      <c r="M22" s="248">
        <f>IFERROR(__xludf.DUMMYFUNCTION("""COMPUTED_VALUE"""),50.0)</f>
        <v>50</v>
      </c>
      <c r="N22" s="248">
        <f>IFERROR(__xludf.DUMMYFUNCTION("""COMPUTED_VALUE"""),0.2)</f>
        <v>0.2</v>
      </c>
      <c r="O22" s="248">
        <f>IFERROR(__xludf.DUMMYFUNCTION("""COMPUTED_VALUE"""),400.0)</f>
        <v>400</v>
      </c>
      <c r="P22" s="248">
        <f>IFERROR(__xludf.DUMMYFUNCTION("""COMPUTED_VALUE"""),0.0)</f>
        <v>0</v>
      </c>
      <c r="Q22" s="248">
        <f>IFERROR(__xludf.DUMMYFUNCTION("""COMPUTED_VALUE"""),0.3)</f>
        <v>0.3</v>
      </c>
      <c r="R22" s="248">
        <f>IFERROR(__xludf.DUMMYFUNCTION("""COMPUTED_VALUE"""),1.0)</f>
        <v>1</v>
      </c>
      <c r="S22" s="248">
        <f>IFERROR(__xludf.DUMMYFUNCTION("""COMPUTED_VALUE"""),50.0)</f>
        <v>50</v>
      </c>
      <c r="T22" s="249" t="str">
        <f>IFERROR(__xludf.DUMMYFUNCTION("""COMPUTED_VALUE"""),"1.34")</f>
        <v>1.34</v>
      </c>
      <c r="U22" s="250" t="str">
        <f>IFERROR(__xludf.DUMMYFUNCTION("""COMPUTED_VALUE"""),"0.33")</f>
        <v>0.33</v>
      </c>
      <c r="V22" s="250">
        <f>IFERROR(__xludf.DUMMYFUNCTION("""COMPUTED_VALUE"""),75.0)</f>
        <v>75</v>
      </c>
      <c r="W22" s="250" t="str">
        <f>IFERROR(__xludf.DUMMYFUNCTION("""COMPUTED_VALUE"""),"-")</f>
        <v>-</v>
      </c>
      <c r="X22" s="250" t="str">
        <f>IFERROR(__xludf.DUMMYFUNCTION("""COMPUTED_VALUE"""),"-")</f>
        <v>-</v>
      </c>
      <c r="Y22" s="250"/>
      <c r="Z22" s="250">
        <f>IFERROR(__xludf.DUMMYFUNCTION("""COMPUTED_VALUE"""),7.0)</f>
        <v>7</v>
      </c>
      <c r="AA22" s="235"/>
      <c r="AB22" s="235" t="str">
        <f>IFERROR(__xludf.DUMMYFUNCTION("""COMPUTED_VALUE"""),"dageki_1")</f>
        <v>dageki_1</v>
      </c>
      <c r="AC22" s="235"/>
    </row>
    <row r="23">
      <c r="A23" s="236"/>
      <c r="B23" s="245" t="str">
        <f>IFERROR(__xludf.DUMMYFUNCTION("""COMPUTED_VALUE"""),"chara_chi_00201")</f>
        <v>chara_chi_00201</v>
      </c>
      <c r="C23" s="246" t="str">
        <f>IFERROR(__xludf.DUMMYFUNCTION("""COMPUTED_VALUE"""),"_general")</f>
        <v>_general</v>
      </c>
      <c r="D23" s="246" t="str">
        <f>IFERROR(__xludf.DUMMYFUNCTION("""COMPUTED_VALUE"""),"c_chi_00201_general_Boss_Yellow")</f>
        <v>c_chi_00201_general_Boss_Yellow</v>
      </c>
      <c r="E23" s="247" t="str">
        <f>IFERROR(__xludf.DUMMYFUNCTION("""COMPUTED_VALUE"""),"チェンソーマン")</f>
        <v>チェンソーマン</v>
      </c>
      <c r="F23" s="247" t="str">
        <f>IFERROR(__xludf.DUMMYFUNCTION("""COMPUTED_VALUE"""),"早川 アキ")</f>
        <v>早川 アキ</v>
      </c>
      <c r="G23" s="247" t="str">
        <f>IFERROR(__xludf.DUMMYFUNCTION("""COMPUTED_VALUE"""),"早川 アキ_general")</f>
        <v>早川 アキ_general</v>
      </c>
      <c r="H23" s="248" t="str">
        <f>IFERROR(__xludf.DUMMYFUNCTION("""COMPUTED_VALUE"""),"Boss")</f>
        <v>Boss</v>
      </c>
      <c r="I23" s="248" t="str">
        <f>IFERROR(__xludf.DUMMYFUNCTION("""COMPUTED_VALUE"""),"Attack")</f>
        <v>Attack</v>
      </c>
      <c r="J23" s="248" t="str">
        <f>IFERROR(__xludf.DUMMYFUNCTION("""COMPUTED_VALUE"""),"Yellow")</f>
        <v>Yellow</v>
      </c>
      <c r="K23" s="248">
        <f>IFERROR(__xludf.DUMMYFUNCTION("""COMPUTED_VALUE"""),400000.0)</f>
        <v>400000</v>
      </c>
      <c r="L23" s="248">
        <f>IFERROR(__xludf.DUMMYFUNCTION("""COMPUTED_VALUE"""),1.0)</f>
        <v>1</v>
      </c>
      <c r="M23" s="248">
        <f>IFERROR(__xludf.DUMMYFUNCTION("""COMPUTED_VALUE"""),45.0)</f>
        <v>45</v>
      </c>
      <c r="N23" s="248">
        <f>IFERROR(__xludf.DUMMYFUNCTION("""COMPUTED_VALUE"""),0.11)</f>
        <v>0.11</v>
      </c>
      <c r="O23" s="248">
        <f>IFERROR(__xludf.DUMMYFUNCTION("""COMPUTED_VALUE"""),700.0)</f>
        <v>700</v>
      </c>
      <c r="P23" s="248">
        <f>IFERROR(__xludf.DUMMYFUNCTION("""COMPUTED_VALUE"""),0.0)</f>
        <v>0</v>
      </c>
      <c r="Q23" s="248">
        <f>IFERROR(__xludf.DUMMYFUNCTION("""COMPUTED_VALUE"""),0.2)</f>
        <v>0.2</v>
      </c>
      <c r="R23" s="248">
        <f>IFERROR(__xludf.DUMMYFUNCTION("""COMPUTED_VALUE"""),1.0)</f>
        <v>1</v>
      </c>
      <c r="S23" s="248">
        <f>IFERROR(__xludf.DUMMYFUNCTION("""COMPUTED_VALUE"""),50.0)</f>
        <v>50</v>
      </c>
      <c r="T23" s="249" t="str">
        <f>IFERROR(__xludf.DUMMYFUNCTION("""COMPUTED_VALUE"""),"1.60")</f>
        <v>1.60</v>
      </c>
      <c r="U23" s="250" t="str">
        <f>IFERROR(__xludf.DUMMYFUNCTION("""COMPUTED_VALUE"""),"0.84")</f>
        <v>0.84</v>
      </c>
      <c r="V23" s="250">
        <f>IFERROR(__xludf.DUMMYFUNCTION("""COMPUTED_VALUE"""),50.0)</f>
        <v>50</v>
      </c>
      <c r="W23" s="250" t="str">
        <f>IFERROR(__xludf.DUMMYFUNCTION("""COMPUTED_VALUE"""),"2.44")</f>
        <v>2.44</v>
      </c>
      <c r="X23" s="250" t="str">
        <f>IFERROR(__xludf.DUMMYFUNCTION("""COMPUTED_VALUE"""),"1.64")</f>
        <v>1.64</v>
      </c>
      <c r="Y23" s="250" t="str">
        <f>IFERROR(__xludf.DUMMYFUNCTION("""COMPUTED_VALUE"""),"範囲攻撃+199秒間攻撃30%UP+100秒間被ダメージ10%カット")</f>
        <v>範囲攻撃+199秒間攻撃30%UP+100秒間被ダメージ10%カット</v>
      </c>
      <c r="Z23" s="250">
        <f>IFERROR(__xludf.DUMMYFUNCTION("""COMPUTED_VALUE"""),7.0)</f>
        <v>7</v>
      </c>
      <c r="AA23" s="235"/>
      <c r="AB23" s="235" t="str">
        <f>IFERROR(__xludf.DUMMYFUNCTION("""COMPUTED_VALUE"""),"dageki_1")</f>
        <v>dageki_1</v>
      </c>
      <c r="AC23" s="235"/>
    </row>
    <row r="24">
      <c r="A24" s="236"/>
      <c r="B24" s="245" t="str">
        <f>IFERROR(__xludf.DUMMYFUNCTION("""COMPUTED_VALUE"""),"chara_chi_00201")</f>
        <v>chara_chi_00201</v>
      </c>
      <c r="C24" s="246" t="str">
        <f>IFERROR(__xludf.DUMMYFUNCTION("""COMPUTED_VALUE"""),"_general")</f>
        <v>_general</v>
      </c>
      <c r="D24" s="246" t="str">
        <f>IFERROR(__xludf.DUMMYFUNCTION("""COMPUTED_VALUE"""),"c_chi_00201_general_Normal_Colorless")</f>
        <v>c_chi_00201_general_Normal_Colorless</v>
      </c>
      <c r="E24" s="247" t="str">
        <f>IFERROR(__xludf.DUMMYFUNCTION("""COMPUTED_VALUE"""),"チェンソーマン")</f>
        <v>チェンソーマン</v>
      </c>
      <c r="F24" s="247" t="str">
        <f>IFERROR(__xludf.DUMMYFUNCTION("""COMPUTED_VALUE"""),"早川 アキ")</f>
        <v>早川 アキ</v>
      </c>
      <c r="G24" s="247" t="str">
        <f>IFERROR(__xludf.DUMMYFUNCTION("""COMPUTED_VALUE"""),"早川 アキ_general")</f>
        <v>早川 アキ_general</v>
      </c>
      <c r="H24" s="248" t="str">
        <f>IFERROR(__xludf.DUMMYFUNCTION("""COMPUTED_VALUE"""),"Normal")</f>
        <v>Normal</v>
      </c>
      <c r="I24" s="248" t="str">
        <f>IFERROR(__xludf.DUMMYFUNCTION("""COMPUTED_VALUE"""),"Attack")</f>
        <v>Attack</v>
      </c>
      <c r="J24" s="248" t="str">
        <f>IFERROR(__xludf.DUMMYFUNCTION("""COMPUTED_VALUE"""),"Yellow")</f>
        <v>Yellow</v>
      </c>
      <c r="K24" s="248">
        <f>IFERROR(__xludf.DUMMYFUNCTION("""COMPUTED_VALUE"""),100000.0)</f>
        <v>100000</v>
      </c>
      <c r="L24" s="248">
        <f>IFERROR(__xludf.DUMMYFUNCTION("""COMPUTED_VALUE"""),3.0)</f>
        <v>3</v>
      </c>
      <c r="M24" s="248">
        <f>IFERROR(__xludf.DUMMYFUNCTION("""COMPUTED_VALUE"""),45.0)</f>
        <v>45</v>
      </c>
      <c r="N24" s="248">
        <f>IFERROR(__xludf.DUMMYFUNCTION("""COMPUTED_VALUE"""),0.11)</f>
        <v>0.11</v>
      </c>
      <c r="O24" s="248">
        <f>IFERROR(__xludf.DUMMYFUNCTION("""COMPUTED_VALUE"""),300.0)</f>
        <v>300</v>
      </c>
      <c r="P24" s="248">
        <f>IFERROR(__xludf.DUMMYFUNCTION("""COMPUTED_VALUE"""),0.0)</f>
        <v>0</v>
      </c>
      <c r="Q24" s="248">
        <f>IFERROR(__xludf.DUMMYFUNCTION("""COMPUTED_VALUE"""),0.4)</f>
        <v>0.4</v>
      </c>
      <c r="R24" s="248">
        <f>IFERROR(__xludf.DUMMYFUNCTION("""COMPUTED_VALUE"""),1.0)</f>
        <v>1</v>
      </c>
      <c r="S24" s="248">
        <f>IFERROR(__xludf.DUMMYFUNCTION("""COMPUTED_VALUE"""),50.0)</f>
        <v>50</v>
      </c>
      <c r="T24" s="249" t="str">
        <f>IFERROR(__xludf.DUMMYFUNCTION("""COMPUTED_VALUE"""),"1.60")</f>
        <v>1.60</v>
      </c>
      <c r="U24" s="250" t="str">
        <f>IFERROR(__xludf.DUMMYFUNCTION("""COMPUTED_VALUE"""),"0.84")</f>
        <v>0.84</v>
      </c>
      <c r="V24" s="250">
        <f>IFERROR(__xludf.DUMMYFUNCTION("""COMPUTED_VALUE"""),50.0)</f>
        <v>50</v>
      </c>
      <c r="W24" s="250" t="str">
        <f>IFERROR(__xludf.DUMMYFUNCTION("""COMPUTED_VALUE"""),"2.44")</f>
        <v>2.44</v>
      </c>
      <c r="X24" s="250" t="str">
        <f>IFERROR(__xludf.DUMMYFUNCTION("""COMPUTED_VALUE"""),"1.64")</f>
        <v>1.64</v>
      </c>
      <c r="Y24" s="250" t="str">
        <f>IFERROR(__xludf.DUMMYFUNCTION("""COMPUTED_VALUE"""),"範囲攻撃")</f>
        <v>範囲攻撃</v>
      </c>
      <c r="Z24" s="250">
        <f>IFERROR(__xludf.DUMMYFUNCTION("""COMPUTED_VALUE"""),7.0)</f>
        <v>7</v>
      </c>
      <c r="AA24" s="235"/>
      <c r="AB24" s="235" t="str">
        <f>IFERROR(__xludf.DUMMYFUNCTION("""COMPUTED_VALUE"""),"dageki_1")</f>
        <v>dageki_1</v>
      </c>
      <c r="AC24" s="235"/>
    </row>
    <row r="25">
      <c r="A25" s="236"/>
      <c r="B25" s="245" t="str">
        <f>IFERROR(__xludf.DUMMYFUNCTION("""COMPUTED_VALUE"""),"chara_chi_00201")</f>
        <v>chara_chi_00201</v>
      </c>
      <c r="C25" s="246" t="str">
        <f>IFERROR(__xludf.DUMMYFUNCTION("""COMPUTED_VALUE"""),"_general")</f>
        <v>_general</v>
      </c>
      <c r="D25" s="246" t="str">
        <f>IFERROR(__xludf.DUMMYFUNCTION("""COMPUTED_VALUE"""),"c_chi_00201_general_Normal_Yellow")</f>
        <v>c_chi_00201_general_Normal_Yellow</v>
      </c>
      <c r="E25" s="247" t="str">
        <f>IFERROR(__xludf.DUMMYFUNCTION("""COMPUTED_VALUE"""),"チェンソーマン")</f>
        <v>チェンソーマン</v>
      </c>
      <c r="F25" s="247" t="str">
        <f>IFERROR(__xludf.DUMMYFUNCTION("""COMPUTED_VALUE"""),"早川 アキ")</f>
        <v>早川 アキ</v>
      </c>
      <c r="G25" s="247" t="str">
        <f>IFERROR(__xludf.DUMMYFUNCTION("""COMPUTED_VALUE"""),"早川 アキ_general")</f>
        <v>早川 アキ_general</v>
      </c>
      <c r="H25" s="248" t="str">
        <f>IFERROR(__xludf.DUMMYFUNCTION("""COMPUTED_VALUE"""),"Normal")</f>
        <v>Normal</v>
      </c>
      <c r="I25" s="248" t="str">
        <f>IFERROR(__xludf.DUMMYFUNCTION("""COMPUTED_VALUE"""),"Attack")</f>
        <v>Attack</v>
      </c>
      <c r="J25" s="248" t="str">
        <f>IFERROR(__xludf.DUMMYFUNCTION("""COMPUTED_VALUE"""),"Yellow")</f>
        <v>Yellow</v>
      </c>
      <c r="K25" s="248">
        <f>IFERROR(__xludf.DUMMYFUNCTION("""COMPUTED_VALUE"""),100000.0)</f>
        <v>100000</v>
      </c>
      <c r="L25" s="248">
        <f>IFERROR(__xludf.DUMMYFUNCTION("""COMPUTED_VALUE"""),2.0)</f>
        <v>2</v>
      </c>
      <c r="M25" s="248">
        <f>IFERROR(__xludf.DUMMYFUNCTION("""COMPUTED_VALUE"""),45.0)</f>
        <v>45</v>
      </c>
      <c r="N25" s="248">
        <f>IFERROR(__xludf.DUMMYFUNCTION("""COMPUTED_VALUE"""),0.11)</f>
        <v>0.11</v>
      </c>
      <c r="O25" s="248">
        <f>IFERROR(__xludf.DUMMYFUNCTION("""COMPUTED_VALUE"""),300.0)</f>
        <v>300</v>
      </c>
      <c r="P25" s="248">
        <f>IFERROR(__xludf.DUMMYFUNCTION("""COMPUTED_VALUE"""),0.0)</f>
        <v>0</v>
      </c>
      <c r="Q25" s="248">
        <f>IFERROR(__xludf.DUMMYFUNCTION("""COMPUTED_VALUE"""),0.4)</f>
        <v>0.4</v>
      </c>
      <c r="R25" s="248">
        <f>IFERROR(__xludf.DUMMYFUNCTION("""COMPUTED_VALUE"""),1.0)</f>
        <v>1</v>
      </c>
      <c r="S25" s="248">
        <f>IFERROR(__xludf.DUMMYFUNCTION("""COMPUTED_VALUE"""),50.0)</f>
        <v>50</v>
      </c>
      <c r="T25" s="249" t="str">
        <f>IFERROR(__xludf.DUMMYFUNCTION("""COMPUTED_VALUE"""),"1.60")</f>
        <v>1.60</v>
      </c>
      <c r="U25" s="250" t="str">
        <f>IFERROR(__xludf.DUMMYFUNCTION("""COMPUTED_VALUE"""),"0.84")</f>
        <v>0.84</v>
      </c>
      <c r="V25" s="250">
        <f>IFERROR(__xludf.DUMMYFUNCTION("""COMPUTED_VALUE"""),30.0)</f>
        <v>30</v>
      </c>
      <c r="W25" s="250" t="str">
        <f>IFERROR(__xludf.DUMMYFUNCTION("""COMPUTED_VALUE"""),"2.44")</f>
        <v>2.44</v>
      </c>
      <c r="X25" s="250" t="str">
        <f>IFERROR(__xludf.DUMMYFUNCTION("""COMPUTED_VALUE"""),"1.64")</f>
        <v>1.64</v>
      </c>
      <c r="Y25" s="250" t="str">
        <f>IFERROR(__xludf.DUMMYFUNCTION("""COMPUTED_VALUE"""),"範囲攻撃")</f>
        <v>範囲攻撃</v>
      </c>
      <c r="Z25" s="250">
        <f>IFERROR(__xludf.DUMMYFUNCTION("""COMPUTED_VALUE"""),7.0)</f>
        <v>7</v>
      </c>
      <c r="AA25" s="235"/>
      <c r="AB25" s="235" t="str">
        <f>IFERROR(__xludf.DUMMYFUNCTION("""COMPUTED_VALUE"""),"dageki_1")</f>
        <v>dageki_1</v>
      </c>
      <c r="AC25" s="235"/>
    </row>
    <row r="26">
      <c r="A26" s="236"/>
      <c r="B26" s="245" t="str">
        <f>IFERROR(__xludf.DUMMYFUNCTION("""COMPUTED_VALUE"""),"chara_chi_00301")</f>
        <v>chara_chi_00301</v>
      </c>
      <c r="C26" s="246" t="str">
        <f>IFERROR(__xludf.DUMMYFUNCTION("""COMPUTED_VALUE"""),"_general")</f>
        <v>_general</v>
      </c>
      <c r="D26" s="246" t="str">
        <f>IFERROR(__xludf.DUMMYFUNCTION("""COMPUTED_VALUE"""),"c_chi_00301_general_Normal_Yellow")</f>
        <v>c_chi_00301_general_Normal_Yellow</v>
      </c>
      <c r="E26" s="247" t="str">
        <f>IFERROR(__xludf.DUMMYFUNCTION("""COMPUTED_VALUE"""),"チェンソーマン")</f>
        <v>チェンソーマン</v>
      </c>
      <c r="F26" s="247" t="str">
        <f>IFERROR(__xludf.DUMMYFUNCTION("""COMPUTED_VALUE"""),"パワー")</f>
        <v>パワー</v>
      </c>
      <c r="G26" s="247" t="str">
        <f>IFERROR(__xludf.DUMMYFUNCTION("""COMPUTED_VALUE"""),"パワー_general")</f>
        <v>パワー_general</v>
      </c>
      <c r="H26" s="248" t="str">
        <f>IFERROR(__xludf.DUMMYFUNCTION("""COMPUTED_VALUE"""),"Normal")</f>
        <v>Normal</v>
      </c>
      <c r="I26" s="248" t="str">
        <f>IFERROR(__xludf.DUMMYFUNCTION("""COMPUTED_VALUE"""),"Attack")</f>
        <v>Attack</v>
      </c>
      <c r="J26" s="248" t="str">
        <f>IFERROR(__xludf.DUMMYFUNCTION("""COMPUTED_VALUE"""),"Yellow")</f>
        <v>Yellow</v>
      </c>
      <c r="K26" s="248">
        <f>IFERROR(__xludf.DUMMYFUNCTION("""COMPUTED_VALUE"""),250000.0)</f>
        <v>250000</v>
      </c>
      <c r="L26" s="248">
        <f>IFERROR(__xludf.DUMMYFUNCTION("""COMPUTED_VALUE"""),2.0)</f>
        <v>2</v>
      </c>
      <c r="M26" s="248">
        <f>IFERROR(__xludf.DUMMYFUNCTION("""COMPUTED_VALUE"""),45.0)</f>
        <v>45</v>
      </c>
      <c r="N26" s="248">
        <f>IFERROR(__xludf.DUMMYFUNCTION("""COMPUTED_VALUE"""),0.2)</f>
        <v>0.2</v>
      </c>
      <c r="O26" s="248">
        <f>IFERROR(__xludf.DUMMYFUNCTION("""COMPUTED_VALUE"""),500.0)</f>
        <v>500</v>
      </c>
      <c r="P26" s="248">
        <f>IFERROR(__xludf.DUMMYFUNCTION("""COMPUTED_VALUE"""),0.0)</f>
        <v>0</v>
      </c>
      <c r="Q26" s="248">
        <f>IFERROR(__xludf.DUMMYFUNCTION("""COMPUTED_VALUE"""),0.3)</f>
        <v>0.3</v>
      </c>
      <c r="R26" s="248">
        <f>IFERROR(__xludf.DUMMYFUNCTION("""COMPUTED_VALUE"""),1.0)</f>
        <v>1</v>
      </c>
      <c r="S26" s="248">
        <f>IFERROR(__xludf.DUMMYFUNCTION("""COMPUTED_VALUE"""),50.0)</f>
        <v>50</v>
      </c>
      <c r="T26" s="249" t="str">
        <f>IFERROR(__xludf.DUMMYFUNCTION("""COMPUTED_VALUE"""),"1.50")</f>
        <v>1.50</v>
      </c>
      <c r="U26" s="250" t="str">
        <f>IFERROR(__xludf.DUMMYFUNCTION("""COMPUTED_VALUE"""),"0.58")</f>
        <v>0.58</v>
      </c>
      <c r="V26" s="250">
        <f>IFERROR(__xludf.DUMMYFUNCTION("""COMPUTED_VALUE"""),45.0)</f>
        <v>45</v>
      </c>
      <c r="W26" s="250" t="str">
        <f>IFERROR(__xludf.DUMMYFUNCTION("""COMPUTED_VALUE"""),"2.67")</f>
        <v>2.67</v>
      </c>
      <c r="X26" s="250" t="str">
        <f>IFERROR(__xludf.DUMMYFUNCTION("""COMPUTED_VALUE"""),"1.00")</f>
        <v>1.00</v>
      </c>
      <c r="Y26" s="250" t="str">
        <f>IFERROR(__xludf.DUMMYFUNCTION("""COMPUTED_VALUE"""),"中ノックバック+25%の確率で2秒スタン+20秒間、自身の攻撃50%UP")</f>
        <v>中ノックバック+25%の確率で2秒スタン+20秒間、自身の攻撃50%UP</v>
      </c>
      <c r="Z26" s="250">
        <f>IFERROR(__xludf.DUMMYFUNCTION("""COMPUTED_VALUE"""),7.0)</f>
        <v>7</v>
      </c>
      <c r="AA26" s="235"/>
      <c r="AB26" s="235" t="str">
        <f>IFERROR(__xludf.DUMMYFUNCTION("""COMPUTED_VALUE"""),"dageki_1")</f>
        <v>dageki_1</v>
      </c>
      <c r="AC26" s="235"/>
    </row>
    <row r="27">
      <c r="A27" s="236"/>
      <c r="B27" s="245" t="str">
        <f>IFERROR(__xludf.DUMMYFUNCTION("""COMPUTED_VALUE"""),"chara_chi_00002")</f>
        <v>chara_chi_00002</v>
      </c>
      <c r="C27" s="246" t="str">
        <f>IFERROR(__xludf.DUMMYFUNCTION("""COMPUTED_VALUE"""),"_general")</f>
        <v>_general</v>
      </c>
      <c r="D27" s="246" t="str">
        <f>IFERROR(__xludf.DUMMYFUNCTION("""COMPUTED_VALUE"""),"c_chi_00002_general_Boss_Yellow")</f>
        <v>c_chi_00002_general_Boss_Yellow</v>
      </c>
      <c r="E27" s="247" t="str">
        <f>IFERROR(__xludf.DUMMYFUNCTION("""COMPUTED_VALUE"""),"チェンソーマン")</f>
        <v>チェンソーマン</v>
      </c>
      <c r="F27" s="247" t="str">
        <f>IFERROR(__xludf.DUMMYFUNCTION("""COMPUTED_VALUE"""),"悪魔が恐れる悪魔 チェンソーマン")</f>
        <v>悪魔が恐れる悪魔 チェンソーマン</v>
      </c>
      <c r="G27" s="247" t="str">
        <f>IFERROR(__xludf.DUMMYFUNCTION("""COMPUTED_VALUE"""),"悪魔が恐れる悪魔 チェンソーマン_general")</f>
        <v>悪魔が恐れる悪魔 チェンソーマン_general</v>
      </c>
      <c r="H27" s="248" t="str">
        <f>IFERROR(__xludf.DUMMYFUNCTION("""COMPUTED_VALUE"""),"Boss")</f>
        <v>Boss</v>
      </c>
      <c r="I27" s="248" t="str">
        <f>IFERROR(__xludf.DUMMYFUNCTION("""COMPUTED_VALUE"""),"Technical")</f>
        <v>Technical</v>
      </c>
      <c r="J27" s="248" t="str">
        <f>IFERROR(__xludf.DUMMYFUNCTION("""COMPUTED_VALUE"""),"Yellow")</f>
        <v>Yellow</v>
      </c>
      <c r="K27" s="248">
        <f>IFERROR(__xludf.DUMMYFUNCTION("""COMPUTED_VALUE"""),500000.0)</f>
        <v>500000</v>
      </c>
      <c r="L27" s="248">
        <f>IFERROR(__xludf.DUMMYFUNCTION("""COMPUTED_VALUE"""),2.0)</f>
        <v>2</v>
      </c>
      <c r="M27" s="248">
        <f>IFERROR(__xludf.DUMMYFUNCTION("""COMPUTED_VALUE"""),50.0)</f>
        <v>50</v>
      </c>
      <c r="N27" s="248">
        <f>IFERROR(__xludf.DUMMYFUNCTION("""COMPUTED_VALUE"""),0.15)</f>
        <v>0.15</v>
      </c>
      <c r="O27" s="248">
        <f>IFERROR(__xludf.DUMMYFUNCTION("""COMPUTED_VALUE"""),1000.0)</f>
        <v>1000</v>
      </c>
      <c r="P27" s="248">
        <f>IFERROR(__xludf.DUMMYFUNCTION("""COMPUTED_VALUE"""),0.0)</f>
        <v>0</v>
      </c>
      <c r="Q27" s="248">
        <f>IFERROR(__xludf.DUMMYFUNCTION("""COMPUTED_VALUE"""),0.2)</f>
        <v>0.2</v>
      </c>
      <c r="R27" s="248">
        <f>IFERROR(__xludf.DUMMYFUNCTION("""COMPUTED_VALUE"""),1.0)</f>
        <v>1</v>
      </c>
      <c r="S27" s="248">
        <f>IFERROR(__xludf.DUMMYFUNCTION("""COMPUTED_VALUE"""),50.0)</f>
        <v>50</v>
      </c>
      <c r="T27" s="249" t="str">
        <f>IFERROR(__xludf.DUMMYFUNCTION("""COMPUTED_VALUE"""),"1.07")</f>
        <v>1.07</v>
      </c>
      <c r="U27" s="250" t="str">
        <f>IFERROR(__xludf.DUMMYFUNCTION("""COMPUTED_VALUE"""),"stop無:1回目 0.66")</f>
        <v>stop無:1回目 0.66</v>
      </c>
      <c r="V27" s="250">
        <f>IFERROR(__xludf.DUMMYFUNCTION("""COMPUTED_VALUE"""),35.0)</f>
        <v>35</v>
      </c>
      <c r="W27" s="250" t="str">
        <f>IFERROR(__xludf.DUMMYFUNCTION("""COMPUTED_VALUE"""),"3.74")</f>
        <v>3.74</v>
      </c>
      <c r="X27" s="250"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Y27" s="250" t="str">
        <f>IFERROR(__xludf.DUMMYFUNCTION("""COMPUTED_VALUE"""),"連続攻撃＋最後の1発（範囲攻撃）に小ノックバック+最後の1発（範囲攻撃）で与えたダメージの100%分回復")</f>
        <v>連続攻撃＋最後の1発（範囲攻撃）に小ノックバック+最後の1発（範囲攻撃）で与えたダメージの100%分回復</v>
      </c>
      <c r="Z27" s="250">
        <f>IFERROR(__xludf.DUMMYFUNCTION("""COMPUTED_VALUE"""),5.0)</f>
        <v>5</v>
      </c>
      <c r="AA27" s="235"/>
      <c r="AB27" s="235" t="str">
        <f>IFERROR(__xludf.DUMMYFUNCTION("""COMPUTED_VALUE"""),"zangeki_1")</f>
        <v>zangeki_1</v>
      </c>
      <c r="AC27" s="235"/>
    </row>
    <row r="28">
      <c r="A28" s="236"/>
      <c r="B28" s="245"/>
      <c r="C28" s="246"/>
      <c r="D28" s="246" t="str">
        <f>IFERROR(__xludf.DUMMYFUNCTION("""COMPUTED_VALUE"""),"___")</f>
        <v>___</v>
      </c>
      <c r="E28" s="247" t="str">
        <f>IFERROR(__xludf.DUMMYFUNCTION("""COMPUTED_VALUE"""),"none")</f>
        <v>none</v>
      </c>
      <c r="F28" s="247" t="str">
        <f>IFERROR(__xludf.DUMMYFUNCTION("""COMPUTED_VALUE"""),"none")</f>
        <v>none</v>
      </c>
      <c r="G28" s="247" t="str">
        <f>IFERROR(__xludf.DUMMYFUNCTION("""COMPUTED_VALUE"""),"none")</f>
        <v>none</v>
      </c>
      <c r="H28" s="248"/>
      <c r="I28" s="248" t="str">
        <f>IFERROR(__xludf.DUMMYFUNCTION("""COMPUTED_VALUE"""),"none")</f>
        <v>none</v>
      </c>
      <c r="J28" s="248"/>
      <c r="K28" s="248"/>
      <c r="L28" s="248"/>
      <c r="M28" s="248"/>
      <c r="N28" s="248"/>
      <c r="O28" s="248"/>
      <c r="P28" s="248"/>
      <c r="Q28" s="248"/>
      <c r="R28" s="248"/>
      <c r="S28" s="248"/>
      <c r="T28" s="249" t="str">
        <f>IFERROR(__xludf.DUMMYFUNCTION("""COMPUTED_VALUE"""),"none")</f>
        <v>none</v>
      </c>
      <c r="U28" s="250" t="str">
        <f>IFERROR(__xludf.DUMMYFUNCTION("""COMPUTED_VALUE"""),"none")</f>
        <v>none</v>
      </c>
      <c r="V28" s="250"/>
      <c r="W28" s="250" t="str">
        <f>IFERROR(__xludf.DUMMYFUNCTION("""COMPUTED_VALUE"""),"none")</f>
        <v>none</v>
      </c>
      <c r="X28" s="250" t="str">
        <f>IFERROR(__xludf.DUMMYFUNCTION("""COMPUTED_VALUE"""),"none")</f>
        <v>none</v>
      </c>
      <c r="Y28" s="250"/>
      <c r="Z28" s="250"/>
      <c r="AA28" s="235"/>
      <c r="AB28" s="235" t="str">
        <f>IFERROR(__xludf.DUMMYFUNCTION("""COMPUTED_VALUE"""),"none")</f>
        <v>none</v>
      </c>
      <c r="AC28" s="235"/>
    </row>
    <row r="29">
      <c r="A29" s="236"/>
      <c r="B29" s="245" t="str">
        <f>IFERROR(__xludf.DUMMYFUNCTION("""COMPUTED_VALUE"""),"enemy_glo_00001")</f>
        <v>enemy_glo_00001</v>
      </c>
      <c r="C29" s="246" t="str">
        <f>IFERROR(__xludf.DUMMYFUNCTION("""COMPUTED_VALUE"""),"_general_chi_vh")</f>
        <v>_general_chi_vh</v>
      </c>
      <c r="D29" s="246" t="str">
        <f>IFERROR(__xludf.DUMMYFUNCTION("""COMPUTED_VALUE"""),"e_glo_00001_general_chi_vh_Normal_Blue")</f>
        <v>e_glo_00001_general_chi_vh_Normal_Blue</v>
      </c>
      <c r="E29" s="247" t="str">
        <f>IFERROR(__xludf.DUMMYFUNCTION("""COMPUTED_VALUE"""),"GLOW")</f>
        <v>GLOW</v>
      </c>
      <c r="F29" s="247" t="str">
        <f>IFERROR(__xludf.DUMMYFUNCTION("""COMPUTED_VALUE"""),"ファントム")</f>
        <v>ファントム</v>
      </c>
      <c r="G29" s="247" t="str">
        <f>IFERROR(__xludf.DUMMYFUNCTION("""COMPUTED_VALUE"""),"ファントム_general_chi_vh")</f>
        <v>ファントム_general_chi_vh</v>
      </c>
      <c r="H29" s="248" t="str">
        <f>IFERROR(__xludf.DUMMYFUNCTION("""COMPUTED_VALUE"""),"Normal")</f>
        <v>Normal</v>
      </c>
      <c r="I29" s="248" t="str">
        <f>IFERROR(__xludf.DUMMYFUNCTION("""COMPUTED_VALUE"""),"Defense")</f>
        <v>Defense</v>
      </c>
      <c r="J29" s="248" t="str">
        <f>IFERROR(__xludf.DUMMYFUNCTION("""COMPUTED_VALUE"""),"Blue")</f>
        <v>Blue</v>
      </c>
      <c r="K29" s="248">
        <f>IFERROR(__xludf.DUMMYFUNCTION("""COMPUTED_VALUE"""),30000.0)</f>
        <v>30000</v>
      </c>
      <c r="L29" s="248">
        <f>IFERROR(__xludf.DUMMYFUNCTION("""COMPUTED_VALUE"""),2.0)</f>
        <v>2</v>
      </c>
      <c r="M29" s="248">
        <f>IFERROR(__xludf.DUMMYFUNCTION("""COMPUTED_VALUE"""),45.0)</f>
        <v>45</v>
      </c>
      <c r="N29" s="248">
        <f>IFERROR(__xludf.DUMMYFUNCTION("""COMPUTED_VALUE"""),0.11)</f>
        <v>0.11</v>
      </c>
      <c r="O29" s="248">
        <f>IFERROR(__xludf.DUMMYFUNCTION("""COMPUTED_VALUE"""),1000.0)</f>
        <v>1000</v>
      </c>
      <c r="P29" s="248">
        <f>IFERROR(__xludf.DUMMYFUNCTION("""COMPUTED_VALUE"""),0.0)</f>
        <v>0</v>
      </c>
      <c r="Q29" s="248"/>
      <c r="R29" s="248"/>
      <c r="S29" s="248">
        <f>IFERROR(__xludf.DUMMYFUNCTION("""COMPUTED_VALUE"""),0.0)</f>
        <v>0</v>
      </c>
      <c r="T29" s="249" t="str">
        <f>IFERROR(__xludf.DUMMYFUNCTION("""COMPUTED_VALUE"""),"1.00")</f>
        <v>1.00</v>
      </c>
      <c r="U29" s="250" t="str">
        <f>IFERROR(__xludf.DUMMYFUNCTION("""COMPUTED_VALUE"""),"0.50")</f>
        <v>0.50</v>
      </c>
      <c r="V29" s="250"/>
      <c r="W29" s="250"/>
      <c r="X29" s="250"/>
      <c r="Y29" s="250"/>
      <c r="Z29" s="250" t="str">
        <f>IFERROR(__xludf.DUMMYFUNCTION("""COMPUTED_VALUE"""),"-")</f>
        <v>-</v>
      </c>
      <c r="AA29" s="235"/>
      <c r="AB29" s="235"/>
      <c r="AC29" s="235"/>
    </row>
    <row r="30">
      <c r="A30" s="236"/>
      <c r="B30" s="245" t="str">
        <f>IFERROR(__xludf.DUMMYFUNCTION("""COMPUTED_VALUE"""),"enemy_glo_00001")</f>
        <v>enemy_glo_00001</v>
      </c>
      <c r="C30" s="246" t="str">
        <f>IFERROR(__xludf.DUMMYFUNCTION("""COMPUTED_VALUE"""),"_general_chi_vh")</f>
        <v>_general_chi_vh</v>
      </c>
      <c r="D30" s="246" t="str">
        <f>IFERROR(__xludf.DUMMYFUNCTION("""COMPUTED_VALUE"""),"e_glo_00001_general_chi_vh_Normal_Red")</f>
        <v>e_glo_00001_general_chi_vh_Normal_Red</v>
      </c>
      <c r="E30" s="247" t="str">
        <f>IFERROR(__xludf.DUMMYFUNCTION("""COMPUTED_VALUE"""),"GLOW")</f>
        <v>GLOW</v>
      </c>
      <c r="F30" s="247" t="str">
        <f>IFERROR(__xludf.DUMMYFUNCTION("""COMPUTED_VALUE"""),"ファントム")</f>
        <v>ファントム</v>
      </c>
      <c r="G30" s="247" t="str">
        <f>IFERROR(__xludf.DUMMYFUNCTION("""COMPUTED_VALUE"""),"ファントム_general_chi_vh")</f>
        <v>ファントム_general_chi_vh</v>
      </c>
      <c r="H30" s="248" t="str">
        <f>IFERROR(__xludf.DUMMYFUNCTION("""COMPUTED_VALUE"""),"Normal")</f>
        <v>Normal</v>
      </c>
      <c r="I30" s="248" t="str">
        <f>IFERROR(__xludf.DUMMYFUNCTION("""COMPUTED_VALUE"""),"Defense")</f>
        <v>Defense</v>
      </c>
      <c r="J30" s="248" t="str">
        <f>IFERROR(__xludf.DUMMYFUNCTION("""COMPUTED_VALUE"""),"Red")</f>
        <v>Red</v>
      </c>
      <c r="K30" s="248">
        <f>IFERROR(__xludf.DUMMYFUNCTION("""COMPUTED_VALUE"""),30000.0)</f>
        <v>30000</v>
      </c>
      <c r="L30" s="248">
        <f>IFERROR(__xludf.DUMMYFUNCTION("""COMPUTED_VALUE"""),2.0)</f>
        <v>2</v>
      </c>
      <c r="M30" s="248">
        <f>IFERROR(__xludf.DUMMYFUNCTION("""COMPUTED_VALUE"""),45.0)</f>
        <v>45</v>
      </c>
      <c r="N30" s="248">
        <f>IFERROR(__xludf.DUMMYFUNCTION("""COMPUTED_VALUE"""),0.11)</f>
        <v>0.11</v>
      </c>
      <c r="O30" s="248">
        <f>IFERROR(__xludf.DUMMYFUNCTION("""COMPUTED_VALUE"""),1000.0)</f>
        <v>1000</v>
      </c>
      <c r="P30" s="248">
        <f>IFERROR(__xludf.DUMMYFUNCTION("""COMPUTED_VALUE"""),0.0)</f>
        <v>0</v>
      </c>
      <c r="Q30" s="248"/>
      <c r="R30" s="248"/>
      <c r="S30" s="248">
        <f>IFERROR(__xludf.DUMMYFUNCTION("""COMPUTED_VALUE"""),0.0)</f>
        <v>0</v>
      </c>
      <c r="T30" s="249" t="str">
        <f>IFERROR(__xludf.DUMMYFUNCTION("""COMPUTED_VALUE"""),"1.00")</f>
        <v>1.00</v>
      </c>
      <c r="U30" s="250" t="str">
        <f>IFERROR(__xludf.DUMMYFUNCTION("""COMPUTED_VALUE"""),"0.50")</f>
        <v>0.50</v>
      </c>
      <c r="V30" s="250"/>
      <c r="W30" s="250"/>
      <c r="X30" s="250"/>
      <c r="Y30" s="250"/>
      <c r="Z30" s="250" t="str">
        <f>IFERROR(__xludf.DUMMYFUNCTION("""COMPUTED_VALUE"""),"-")</f>
        <v>-</v>
      </c>
      <c r="AA30" s="235"/>
      <c r="AB30" s="235"/>
      <c r="AC30" s="235"/>
    </row>
    <row r="31">
      <c r="A31" s="236"/>
      <c r="B31" s="245" t="str">
        <f>IFERROR(__xludf.DUMMYFUNCTION("""COMPUTED_VALUE"""),"enemy_glo_00001")</f>
        <v>enemy_glo_00001</v>
      </c>
      <c r="C31" s="246" t="str">
        <f>IFERROR(__xludf.DUMMYFUNCTION("""COMPUTED_VALUE"""),"_general_chi_vh")</f>
        <v>_general_chi_vh</v>
      </c>
      <c r="D31" s="246" t="str">
        <f>IFERROR(__xludf.DUMMYFUNCTION("""COMPUTED_VALUE"""),"e_glo_00001_general_chi_vh_Normal_Yellow")</f>
        <v>e_glo_00001_general_chi_vh_Normal_Yellow</v>
      </c>
      <c r="E31" s="247" t="str">
        <f>IFERROR(__xludf.DUMMYFUNCTION("""COMPUTED_VALUE"""),"GLOW")</f>
        <v>GLOW</v>
      </c>
      <c r="F31" s="247" t="str">
        <f>IFERROR(__xludf.DUMMYFUNCTION("""COMPUTED_VALUE"""),"ファントム")</f>
        <v>ファントム</v>
      </c>
      <c r="G31" s="247" t="str">
        <f>IFERROR(__xludf.DUMMYFUNCTION("""COMPUTED_VALUE"""),"ファントム_general_chi_vh")</f>
        <v>ファントム_general_chi_vh</v>
      </c>
      <c r="H31" s="248" t="str">
        <f>IFERROR(__xludf.DUMMYFUNCTION("""COMPUTED_VALUE"""),"Normal")</f>
        <v>Normal</v>
      </c>
      <c r="I31" s="248" t="str">
        <f>IFERROR(__xludf.DUMMYFUNCTION("""COMPUTED_VALUE"""),"Defense")</f>
        <v>Defense</v>
      </c>
      <c r="J31" s="248" t="str">
        <f>IFERROR(__xludf.DUMMYFUNCTION("""COMPUTED_VALUE"""),"Yellow")</f>
        <v>Yellow</v>
      </c>
      <c r="K31" s="248">
        <f>IFERROR(__xludf.DUMMYFUNCTION("""COMPUTED_VALUE"""),30000.0)</f>
        <v>30000</v>
      </c>
      <c r="L31" s="248">
        <f>IFERROR(__xludf.DUMMYFUNCTION("""COMPUTED_VALUE"""),2.0)</f>
        <v>2</v>
      </c>
      <c r="M31" s="248">
        <f>IFERROR(__xludf.DUMMYFUNCTION("""COMPUTED_VALUE"""),45.0)</f>
        <v>45</v>
      </c>
      <c r="N31" s="248">
        <f>IFERROR(__xludf.DUMMYFUNCTION("""COMPUTED_VALUE"""),0.11)</f>
        <v>0.11</v>
      </c>
      <c r="O31" s="248">
        <f>IFERROR(__xludf.DUMMYFUNCTION("""COMPUTED_VALUE"""),1000.0)</f>
        <v>1000</v>
      </c>
      <c r="P31" s="248">
        <f>IFERROR(__xludf.DUMMYFUNCTION("""COMPUTED_VALUE"""),0.0)</f>
        <v>0</v>
      </c>
      <c r="Q31" s="248"/>
      <c r="R31" s="248"/>
      <c r="S31" s="248">
        <f>IFERROR(__xludf.DUMMYFUNCTION("""COMPUTED_VALUE"""),0.0)</f>
        <v>0</v>
      </c>
      <c r="T31" s="249" t="str">
        <f>IFERROR(__xludf.DUMMYFUNCTION("""COMPUTED_VALUE"""),"1.00")</f>
        <v>1.00</v>
      </c>
      <c r="U31" s="250" t="str">
        <f>IFERROR(__xludf.DUMMYFUNCTION("""COMPUTED_VALUE"""),"0.50")</f>
        <v>0.50</v>
      </c>
      <c r="V31" s="250"/>
      <c r="W31" s="250"/>
      <c r="X31" s="250"/>
      <c r="Y31" s="250"/>
      <c r="Z31" s="250" t="str">
        <f>IFERROR(__xludf.DUMMYFUNCTION("""COMPUTED_VALUE"""),"-")</f>
        <v>-</v>
      </c>
      <c r="AA31" s="235"/>
      <c r="AB31" s="235"/>
      <c r="AC31" s="235"/>
    </row>
    <row r="32">
      <c r="A32" s="236"/>
      <c r="B32" s="251" t="str">
        <f>IFERROR(__xludf.DUMMYFUNCTION("""COMPUTED_VALUE"""),"enemy_glo_00001")</f>
        <v>enemy_glo_00001</v>
      </c>
      <c r="C32" s="246" t="str">
        <f>IFERROR(__xludf.DUMMYFUNCTION("""COMPUTED_VALUE"""),"_general_chi_vh")</f>
        <v>_general_chi_vh</v>
      </c>
      <c r="D32" s="246" t="str">
        <f>IFERROR(__xludf.DUMMYFUNCTION("""COMPUTED_VALUE"""),"e_glo_00001_general_chi_vh_Normal_Green")</f>
        <v>e_glo_00001_general_chi_vh_Normal_Green</v>
      </c>
      <c r="E32" s="246" t="str">
        <f>IFERROR(__xludf.DUMMYFUNCTION("""COMPUTED_VALUE"""),"GLOW")</f>
        <v>GLOW</v>
      </c>
      <c r="F32" s="247" t="str">
        <f>IFERROR(__xludf.DUMMYFUNCTION("""COMPUTED_VALUE"""),"ファントム")</f>
        <v>ファントム</v>
      </c>
      <c r="G32" s="247" t="str">
        <f>IFERROR(__xludf.DUMMYFUNCTION("""COMPUTED_VALUE"""),"ファントム_general_chi_vh")</f>
        <v>ファントム_general_chi_vh</v>
      </c>
      <c r="H32" s="248" t="str">
        <f>IFERROR(__xludf.DUMMYFUNCTION("""COMPUTED_VALUE"""),"Normal")</f>
        <v>Normal</v>
      </c>
      <c r="I32" s="248" t="str">
        <f>IFERROR(__xludf.DUMMYFUNCTION("""COMPUTED_VALUE"""),"Defense")</f>
        <v>Defense</v>
      </c>
      <c r="J32" s="248" t="str">
        <f>IFERROR(__xludf.DUMMYFUNCTION("""COMPUTED_VALUE"""),"Green")</f>
        <v>Green</v>
      </c>
      <c r="K32" s="248">
        <f>IFERROR(__xludf.DUMMYFUNCTION("""COMPUTED_VALUE"""),30000.0)</f>
        <v>30000</v>
      </c>
      <c r="L32" s="248">
        <f>IFERROR(__xludf.DUMMYFUNCTION("""COMPUTED_VALUE"""),2.0)</f>
        <v>2</v>
      </c>
      <c r="M32" s="248">
        <f>IFERROR(__xludf.DUMMYFUNCTION("""COMPUTED_VALUE"""),45.0)</f>
        <v>45</v>
      </c>
      <c r="N32" s="248">
        <f>IFERROR(__xludf.DUMMYFUNCTION("""COMPUTED_VALUE"""),0.11)</f>
        <v>0.11</v>
      </c>
      <c r="O32" s="248">
        <f>IFERROR(__xludf.DUMMYFUNCTION("""COMPUTED_VALUE"""),1000.0)</f>
        <v>1000</v>
      </c>
      <c r="P32" s="248">
        <f>IFERROR(__xludf.DUMMYFUNCTION("""COMPUTED_VALUE"""),0.0)</f>
        <v>0</v>
      </c>
      <c r="Q32" s="248"/>
      <c r="R32" s="248"/>
      <c r="S32" s="248">
        <f>IFERROR(__xludf.DUMMYFUNCTION("""COMPUTED_VALUE"""),0.0)</f>
        <v>0</v>
      </c>
      <c r="T32" s="249" t="str">
        <f>IFERROR(__xludf.DUMMYFUNCTION("""COMPUTED_VALUE"""),"1.00")</f>
        <v>1.00</v>
      </c>
      <c r="U32" s="250" t="str">
        <f>IFERROR(__xludf.DUMMYFUNCTION("""COMPUTED_VALUE"""),"0.50")</f>
        <v>0.50</v>
      </c>
      <c r="V32" s="250"/>
      <c r="W32" s="250"/>
      <c r="X32" s="250"/>
      <c r="Y32" s="250"/>
      <c r="Z32" s="250" t="str">
        <f>IFERROR(__xludf.DUMMYFUNCTION("""COMPUTED_VALUE"""),"-")</f>
        <v>-</v>
      </c>
      <c r="AA32" s="235"/>
      <c r="AB32" s="235"/>
      <c r="AC32" s="235"/>
    </row>
    <row r="33">
      <c r="A33" s="236"/>
      <c r="B33" s="251" t="str">
        <f>IFERROR(__xludf.DUMMYFUNCTION("""COMPUTED_VALUE"""),"enemy_glo_00001")</f>
        <v>enemy_glo_00001</v>
      </c>
      <c r="C33" s="246" t="str">
        <f>IFERROR(__xludf.DUMMYFUNCTION("""COMPUTED_VALUE"""),"_general_chi_vh")</f>
        <v>_general_chi_vh</v>
      </c>
      <c r="D33" s="246" t="str">
        <f>IFERROR(__xludf.DUMMYFUNCTION("""COMPUTED_VALUE"""),"e_glo_00001_general_chi_vh_Normal_Colorless")</f>
        <v>e_glo_00001_general_chi_vh_Normal_Colorless</v>
      </c>
      <c r="E33" s="246" t="str">
        <f>IFERROR(__xludf.DUMMYFUNCTION("""COMPUTED_VALUE"""),"GLOW")</f>
        <v>GLOW</v>
      </c>
      <c r="F33" s="247" t="str">
        <f>IFERROR(__xludf.DUMMYFUNCTION("""COMPUTED_VALUE"""),"ファントム")</f>
        <v>ファントム</v>
      </c>
      <c r="G33" s="247" t="str">
        <f>IFERROR(__xludf.DUMMYFUNCTION("""COMPUTED_VALUE"""),"ファントム_general_chi_vh")</f>
        <v>ファントム_general_chi_vh</v>
      </c>
      <c r="H33" s="248" t="str">
        <f>IFERROR(__xludf.DUMMYFUNCTION("""COMPUTED_VALUE"""),"Normal")</f>
        <v>Normal</v>
      </c>
      <c r="I33" s="248" t="str">
        <f>IFERROR(__xludf.DUMMYFUNCTION("""COMPUTED_VALUE"""),"Defense")</f>
        <v>Defense</v>
      </c>
      <c r="J33" s="248" t="str">
        <f>IFERROR(__xludf.DUMMYFUNCTION("""COMPUTED_VALUE"""),"Colorless")</f>
        <v>Colorless</v>
      </c>
      <c r="K33" s="248">
        <f>IFERROR(__xludf.DUMMYFUNCTION("""COMPUTED_VALUE"""),30000.0)</f>
        <v>30000</v>
      </c>
      <c r="L33" s="248">
        <f>IFERROR(__xludf.DUMMYFUNCTION("""COMPUTED_VALUE"""),2.0)</f>
        <v>2</v>
      </c>
      <c r="M33" s="248">
        <f>IFERROR(__xludf.DUMMYFUNCTION("""COMPUTED_VALUE"""),45.0)</f>
        <v>45</v>
      </c>
      <c r="N33" s="248">
        <f>IFERROR(__xludf.DUMMYFUNCTION("""COMPUTED_VALUE"""),0.11)</f>
        <v>0.11</v>
      </c>
      <c r="O33" s="248">
        <f>IFERROR(__xludf.DUMMYFUNCTION("""COMPUTED_VALUE"""),1000.0)</f>
        <v>1000</v>
      </c>
      <c r="P33" s="248">
        <f>IFERROR(__xludf.DUMMYFUNCTION("""COMPUTED_VALUE"""),0.0)</f>
        <v>0</v>
      </c>
      <c r="Q33" s="248"/>
      <c r="R33" s="248"/>
      <c r="S33" s="248">
        <f>IFERROR(__xludf.DUMMYFUNCTION("""COMPUTED_VALUE"""),0.0)</f>
        <v>0</v>
      </c>
      <c r="T33" s="249" t="str">
        <f>IFERROR(__xludf.DUMMYFUNCTION("""COMPUTED_VALUE"""),"1.00")</f>
        <v>1.00</v>
      </c>
      <c r="U33" s="250" t="str">
        <f>IFERROR(__xludf.DUMMYFUNCTION("""COMPUTED_VALUE"""),"0.50")</f>
        <v>0.50</v>
      </c>
      <c r="V33" s="250"/>
      <c r="W33" s="250"/>
      <c r="X33" s="250"/>
      <c r="Y33" s="250"/>
      <c r="Z33" s="250" t="str">
        <f>IFERROR(__xludf.DUMMYFUNCTION("""COMPUTED_VALUE"""),"-")</f>
        <v>-</v>
      </c>
      <c r="AA33" s="235"/>
      <c r="AB33" s="235"/>
      <c r="AC33" s="235"/>
    </row>
    <row r="34">
      <c r="A34" s="236"/>
      <c r="B34" s="251" t="str">
        <f>IFERROR(__xludf.DUMMYFUNCTION("""COMPUTED_VALUE"""),"enemy_glo_00001")</f>
        <v>enemy_glo_00001</v>
      </c>
      <c r="C34" s="246" t="str">
        <f>IFERROR(__xludf.DUMMYFUNCTION("""COMPUTED_VALUE"""),"_general_chi_vh_big")</f>
        <v>_general_chi_vh_big</v>
      </c>
      <c r="D34" s="246" t="str">
        <f>IFERROR(__xludf.DUMMYFUNCTION("""COMPUTED_VALUE"""),"e_glo_00001_general_chi_vh_big_Normal_Red")</f>
        <v>e_glo_00001_general_chi_vh_big_Normal_Red</v>
      </c>
      <c r="E34" s="246" t="str">
        <f>IFERROR(__xludf.DUMMYFUNCTION("""COMPUTED_VALUE"""),"GLOW")</f>
        <v>GLOW</v>
      </c>
      <c r="F34" s="247" t="str">
        <f>IFERROR(__xludf.DUMMYFUNCTION("""COMPUTED_VALUE"""),"ファントム")</f>
        <v>ファントム</v>
      </c>
      <c r="G34" s="247" t="str">
        <f>IFERROR(__xludf.DUMMYFUNCTION("""COMPUTED_VALUE"""),"ファントム_general_chi_vh_big")</f>
        <v>ファントム_general_chi_vh_big</v>
      </c>
      <c r="H34" s="248" t="str">
        <f>IFERROR(__xludf.DUMMYFUNCTION("""COMPUTED_VALUE"""),"Normal")</f>
        <v>Normal</v>
      </c>
      <c r="I34" s="248" t="str">
        <f>IFERROR(__xludf.DUMMYFUNCTION("""COMPUTED_VALUE"""),"Defense")</f>
        <v>Defense</v>
      </c>
      <c r="J34" s="248" t="str">
        <f>IFERROR(__xludf.DUMMYFUNCTION("""COMPUTED_VALUE"""),"Red")</f>
        <v>Red</v>
      </c>
      <c r="K34" s="248">
        <f>IFERROR(__xludf.DUMMYFUNCTION("""COMPUTED_VALUE"""),70000.0)</f>
        <v>70000</v>
      </c>
      <c r="L34" s="248">
        <f>IFERROR(__xludf.DUMMYFUNCTION("""COMPUTED_VALUE"""),2.0)</f>
        <v>2</v>
      </c>
      <c r="M34" s="248">
        <f>IFERROR(__xludf.DUMMYFUNCTION("""COMPUTED_VALUE"""),50.0)</f>
        <v>50</v>
      </c>
      <c r="N34" s="248">
        <f>IFERROR(__xludf.DUMMYFUNCTION("""COMPUTED_VALUE"""),0.2)</f>
        <v>0.2</v>
      </c>
      <c r="O34" s="248">
        <f>IFERROR(__xludf.DUMMYFUNCTION("""COMPUTED_VALUE"""),3000.0)</f>
        <v>3000</v>
      </c>
      <c r="P34" s="248">
        <f>IFERROR(__xludf.DUMMYFUNCTION("""COMPUTED_VALUE"""),0.0)</f>
        <v>0</v>
      </c>
      <c r="Q34" s="248"/>
      <c r="R34" s="248"/>
      <c r="S34" s="248">
        <f>IFERROR(__xludf.DUMMYFUNCTION("""COMPUTED_VALUE"""),0.0)</f>
        <v>0</v>
      </c>
      <c r="T34" s="249" t="str">
        <f>IFERROR(__xludf.DUMMYFUNCTION("""COMPUTED_VALUE"""),"1.00")</f>
        <v>1.00</v>
      </c>
      <c r="U34" s="250" t="str">
        <f>IFERROR(__xludf.DUMMYFUNCTION("""COMPUTED_VALUE"""),"0.50")</f>
        <v>0.50</v>
      </c>
      <c r="V34" s="250"/>
      <c r="W34" s="250"/>
      <c r="X34" s="250"/>
      <c r="Y34" s="250"/>
      <c r="Z34" s="250" t="str">
        <f>IFERROR(__xludf.DUMMYFUNCTION("""COMPUTED_VALUE"""),"-")</f>
        <v>-</v>
      </c>
      <c r="AA34" s="235"/>
      <c r="AB34" s="235"/>
      <c r="AC34" s="235"/>
    </row>
    <row r="35">
      <c r="A35" s="236"/>
      <c r="B35" s="251" t="str">
        <f>IFERROR(__xludf.DUMMYFUNCTION("""COMPUTED_VALUE"""),"enemy_glo_00001")</f>
        <v>enemy_glo_00001</v>
      </c>
      <c r="C35" s="246" t="str">
        <f>IFERROR(__xludf.DUMMYFUNCTION("""COMPUTED_VALUE"""),"_general_chi_vh_big")</f>
        <v>_general_chi_vh_big</v>
      </c>
      <c r="D35" s="246" t="str">
        <f>IFERROR(__xludf.DUMMYFUNCTION("""COMPUTED_VALUE"""),"e_glo_00001_general_chi_vh_big_Normal_Yellow")</f>
        <v>e_glo_00001_general_chi_vh_big_Normal_Yellow</v>
      </c>
      <c r="E35" s="246" t="str">
        <f>IFERROR(__xludf.DUMMYFUNCTION("""COMPUTED_VALUE"""),"GLOW")</f>
        <v>GLOW</v>
      </c>
      <c r="F35" s="247" t="str">
        <f>IFERROR(__xludf.DUMMYFUNCTION("""COMPUTED_VALUE"""),"ファントム")</f>
        <v>ファントム</v>
      </c>
      <c r="G35" s="247" t="str">
        <f>IFERROR(__xludf.DUMMYFUNCTION("""COMPUTED_VALUE"""),"ファントム_general_chi_vh_big")</f>
        <v>ファントム_general_chi_vh_big</v>
      </c>
      <c r="H35" s="248" t="str">
        <f>IFERROR(__xludf.DUMMYFUNCTION("""COMPUTED_VALUE"""),"Normal")</f>
        <v>Normal</v>
      </c>
      <c r="I35" s="248" t="str">
        <f>IFERROR(__xludf.DUMMYFUNCTION("""COMPUTED_VALUE"""),"Defense")</f>
        <v>Defense</v>
      </c>
      <c r="J35" s="248" t="str">
        <f>IFERROR(__xludf.DUMMYFUNCTION("""COMPUTED_VALUE"""),"Yellow")</f>
        <v>Yellow</v>
      </c>
      <c r="K35" s="248">
        <f>IFERROR(__xludf.DUMMYFUNCTION("""COMPUTED_VALUE"""),70000.0)</f>
        <v>70000</v>
      </c>
      <c r="L35" s="248">
        <f>IFERROR(__xludf.DUMMYFUNCTION("""COMPUTED_VALUE"""),2.0)</f>
        <v>2</v>
      </c>
      <c r="M35" s="248">
        <f>IFERROR(__xludf.DUMMYFUNCTION("""COMPUTED_VALUE"""),50.0)</f>
        <v>50</v>
      </c>
      <c r="N35" s="248">
        <f>IFERROR(__xludf.DUMMYFUNCTION("""COMPUTED_VALUE"""),0.2)</f>
        <v>0.2</v>
      </c>
      <c r="O35" s="248">
        <f>IFERROR(__xludf.DUMMYFUNCTION("""COMPUTED_VALUE"""),3000.0)</f>
        <v>3000</v>
      </c>
      <c r="P35" s="248">
        <f>IFERROR(__xludf.DUMMYFUNCTION("""COMPUTED_VALUE"""),0.0)</f>
        <v>0</v>
      </c>
      <c r="Q35" s="248"/>
      <c r="R35" s="248"/>
      <c r="S35" s="248">
        <f>IFERROR(__xludf.DUMMYFUNCTION("""COMPUTED_VALUE"""),0.0)</f>
        <v>0</v>
      </c>
      <c r="T35" s="249" t="str">
        <f>IFERROR(__xludf.DUMMYFUNCTION("""COMPUTED_VALUE"""),"1.00")</f>
        <v>1.00</v>
      </c>
      <c r="U35" s="250" t="str">
        <f>IFERROR(__xludf.DUMMYFUNCTION("""COMPUTED_VALUE"""),"0.50")</f>
        <v>0.50</v>
      </c>
      <c r="V35" s="250"/>
      <c r="W35" s="250"/>
      <c r="X35" s="250"/>
      <c r="Y35" s="250"/>
      <c r="Z35" s="250" t="str">
        <f>IFERROR(__xludf.DUMMYFUNCTION("""COMPUTED_VALUE"""),"-")</f>
        <v>-</v>
      </c>
      <c r="AA35" s="235"/>
      <c r="AB35" s="235"/>
      <c r="AC35" s="235"/>
    </row>
    <row r="36">
      <c r="A36" s="236"/>
      <c r="B36" s="251" t="str">
        <f>IFERROR(__xludf.DUMMYFUNCTION("""COMPUTED_VALUE"""),"enemy_chi_00001")</f>
        <v>enemy_chi_00001</v>
      </c>
      <c r="C36" s="246" t="str">
        <f>IFERROR(__xludf.DUMMYFUNCTION("""COMPUTED_VALUE"""),"_general_chi_vh")</f>
        <v>_general_chi_vh</v>
      </c>
      <c r="D36" s="246" t="str">
        <f>IFERROR(__xludf.DUMMYFUNCTION("""COMPUTED_VALUE"""),"e_chi_00001_general_chi_vh_Normal_Red")</f>
        <v>e_chi_00001_general_chi_vh_Normal_Red</v>
      </c>
      <c r="E36" s="246" t="str">
        <f>IFERROR(__xludf.DUMMYFUNCTION("""COMPUTED_VALUE"""),"チェンソーマン")</f>
        <v>チェンソーマン</v>
      </c>
      <c r="F36" s="247" t="str">
        <f>IFERROR(__xludf.DUMMYFUNCTION("""COMPUTED_VALUE"""),"ゾンビの悪魔")</f>
        <v>ゾンビの悪魔</v>
      </c>
      <c r="G36" s="247" t="str">
        <f>IFERROR(__xludf.DUMMYFUNCTION("""COMPUTED_VALUE"""),"ゾンビの悪魔_general_chi_vh")</f>
        <v>ゾンビの悪魔_general_chi_vh</v>
      </c>
      <c r="H36" s="248" t="str">
        <f>IFERROR(__xludf.DUMMYFUNCTION("""COMPUTED_VALUE"""),"Normal")</f>
        <v>Normal</v>
      </c>
      <c r="I36" s="248" t="str">
        <f>IFERROR(__xludf.DUMMYFUNCTION("""COMPUTED_VALUE"""),"Technical")</f>
        <v>Technical</v>
      </c>
      <c r="J36" s="248" t="str">
        <f>IFERROR(__xludf.DUMMYFUNCTION("""COMPUTED_VALUE"""),"Red")</f>
        <v>Red</v>
      </c>
      <c r="K36" s="248">
        <f>IFERROR(__xludf.DUMMYFUNCTION("""COMPUTED_VALUE"""),500000.0)</f>
        <v>500000</v>
      </c>
      <c r="L36" s="248">
        <f>IFERROR(__xludf.DUMMYFUNCTION("""COMPUTED_VALUE"""),1.0)</f>
        <v>1</v>
      </c>
      <c r="M36" s="248">
        <f>IFERROR(__xludf.DUMMYFUNCTION("""COMPUTED_VALUE"""),40.0)</f>
        <v>40</v>
      </c>
      <c r="N36" s="248">
        <f>IFERROR(__xludf.DUMMYFUNCTION("""COMPUTED_VALUE"""),0.3)</f>
        <v>0.3</v>
      </c>
      <c r="O36" s="248">
        <f>IFERROR(__xludf.DUMMYFUNCTION("""COMPUTED_VALUE"""),500.0)</f>
        <v>500</v>
      </c>
      <c r="P36" s="248">
        <f>IFERROR(__xludf.DUMMYFUNCTION("""COMPUTED_VALUE"""),0.0)</f>
        <v>0</v>
      </c>
      <c r="Q36" s="248"/>
      <c r="R36" s="248"/>
      <c r="S36" s="248">
        <f>IFERROR(__xludf.DUMMYFUNCTION("""COMPUTED_VALUE"""),0.0)</f>
        <v>0</v>
      </c>
      <c r="T36" s="249" t="str">
        <f>IFERROR(__xludf.DUMMYFUNCTION("""COMPUTED_VALUE"""),"1.13")</f>
        <v>1.13</v>
      </c>
      <c r="U36" s="250" t="str">
        <f>IFERROR(__xludf.DUMMYFUNCTION("""COMPUTED_VALUE"""),"0.20")</f>
        <v>0.20</v>
      </c>
      <c r="V36" s="250"/>
      <c r="W36" s="250" t="str">
        <f>IFERROR(__xludf.DUMMYFUNCTION("""COMPUTED_VALUE"""),"-")</f>
        <v>-</v>
      </c>
      <c r="X36" s="250" t="str">
        <f>IFERROR(__xludf.DUMMYFUNCTION("""COMPUTED_VALUE"""),"-")</f>
        <v>-</v>
      </c>
      <c r="Y36" s="250"/>
      <c r="Z36" s="250">
        <f>IFERROR(__xludf.DUMMYFUNCTION("""COMPUTED_VALUE"""),5.0)</f>
        <v>5</v>
      </c>
      <c r="AA36" s="235"/>
      <c r="AB36" s="235" t="str">
        <f>IFERROR(__xludf.DUMMYFUNCTION("""COMPUTED_VALUE"""),"dageki_2")</f>
        <v>dageki_2</v>
      </c>
      <c r="AC36" s="235"/>
    </row>
    <row r="37">
      <c r="A37" s="236"/>
      <c r="B37" s="251" t="str">
        <f>IFERROR(__xludf.DUMMYFUNCTION("""COMPUTED_VALUE"""),"enemy_chi_00001")</f>
        <v>enemy_chi_00001</v>
      </c>
      <c r="C37" s="246" t="str">
        <f>IFERROR(__xludf.DUMMYFUNCTION("""COMPUTED_VALUE"""),"_general_chi_vh2")</f>
        <v>_general_chi_vh2</v>
      </c>
      <c r="D37" s="246" t="str">
        <f>IFERROR(__xludf.DUMMYFUNCTION("""COMPUTED_VALUE"""),"e_chi_00001_general_chi_vh2_Boss_Yellow")</f>
        <v>e_chi_00001_general_chi_vh2_Boss_Yellow</v>
      </c>
      <c r="E37" s="246" t="str">
        <f>IFERROR(__xludf.DUMMYFUNCTION("""COMPUTED_VALUE"""),"チェンソーマン")</f>
        <v>チェンソーマン</v>
      </c>
      <c r="F37" s="247" t="str">
        <f>IFERROR(__xludf.DUMMYFUNCTION("""COMPUTED_VALUE"""),"ゾンビの悪魔")</f>
        <v>ゾンビの悪魔</v>
      </c>
      <c r="G37" s="247" t="str">
        <f>IFERROR(__xludf.DUMMYFUNCTION("""COMPUTED_VALUE"""),"ゾンビの悪魔_general_chi_vh2")</f>
        <v>ゾンビの悪魔_general_chi_vh2</v>
      </c>
      <c r="H37" s="248" t="str">
        <f>IFERROR(__xludf.DUMMYFUNCTION("""COMPUTED_VALUE"""),"Boss")</f>
        <v>Boss</v>
      </c>
      <c r="I37" s="248" t="str">
        <f>IFERROR(__xludf.DUMMYFUNCTION("""COMPUTED_VALUE"""),"Technical")</f>
        <v>Technical</v>
      </c>
      <c r="J37" s="248" t="str">
        <f>IFERROR(__xludf.DUMMYFUNCTION("""COMPUTED_VALUE"""),"Yellow")</f>
        <v>Yellow</v>
      </c>
      <c r="K37" s="248">
        <f>IFERROR(__xludf.DUMMYFUNCTION("""COMPUTED_VALUE"""),800000.0)</f>
        <v>800000</v>
      </c>
      <c r="L37" s="248">
        <f>IFERROR(__xludf.DUMMYFUNCTION("""COMPUTED_VALUE"""),1.0)</f>
        <v>1</v>
      </c>
      <c r="M37" s="248">
        <f>IFERROR(__xludf.DUMMYFUNCTION("""COMPUTED_VALUE"""),40.0)</f>
        <v>40</v>
      </c>
      <c r="N37" s="248">
        <f>IFERROR(__xludf.DUMMYFUNCTION("""COMPUTED_VALUE"""),0.3)</f>
        <v>0.3</v>
      </c>
      <c r="O37" s="248">
        <f>IFERROR(__xludf.DUMMYFUNCTION("""COMPUTED_VALUE"""),500.0)</f>
        <v>500</v>
      </c>
      <c r="P37" s="248">
        <f>IFERROR(__xludf.DUMMYFUNCTION("""COMPUTED_VALUE"""),0.0)</f>
        <v>0</v>
      </c>
      <c r="Q37" s="248"/>
      <c r="R37" s="248"/>
      <c r="S37" s="248">
        <f>IFERROR(__xludf.DUMMYFUNCTION("""COMPUTED_VALUE"""),0.0)</f>
        <v>0</v>
      </c>
      <c r="T37" s="249" t="str">
        <f>IFERROR(__xludf.DUMMYFUNCTION("""COMPUTED_VALUE"""),"1.13")</f>
        <v>1.13</v>
      </c>
      <c r="U37" s="250" t="str">
        <f>IFERROR(__xludf.DUMMYFUNCTION("""COMPUTED_VALUE"""),"0.20")</f>
        <v>0.20</v>
      </c>
      <c r="V37" s="250"/>
      <c r="W37" s="250" t="str">
        <f>IFERROR(__xludf.DUMMYFUNCTION("""COMPUTED_VALUE"""),"-")</f>
        <v>-</v>
      </c>
      <c r="X37" s="250" t="str">
        <f>IFERROR(__xludf.DUMMYFUNCTION("""COMPUTED_VALUE"""),"-")</f>
        <v>-</v>
      </c>
      <c r="Y37" s="250"/>
      <c r="Z37" s="250">
        <f>IFERROR(__xludf.DUMMYFUNCTION("""COMPUTED_VALUE"""),5.0)</f>
        <v>5</v>
      </c>
      <c r="AA37" s="235"/>
      <c r="AB37" s="235" t="str">
        <f>IFERROR(__xludf.DUMMYFUNCTION("""COMPUTED_VALUE"""),"dageki_2")</f>
        <v>dageki_2</v>
      </c>
      <c r="AC37" s="235"/>
    </row>
    <row r="38">
      <c r="A38" s="236"/>
      <c r="B38" s="251" t="str">
        <f>IFERROR(__xludf.DUMMYFUNCTION("""COMPUTED_VALUE"""),"enemy_chi_00001")</f>
        <v>enemy_chi_00001</v>
      </c>
      <c r="C38" s="246" t="str">
        <f>IFERROR(__xludf.DUMMYFUNCTION("""COMPUTED_VALUE"""),"_general_chi_vh")</f>
        <v>_general_chi_vh</v>
      </c>
      <c r="D38" s="246" t="str">
        <f>IFERROR(__xludf.DUMMYFUNCTION("""COMPUTED_VALUE"""),"e_chi_00001_general_chi_vh_Normal_Yellow")</f>
        <v>e_chi_00001_general_chi_vh_Normal_Yellow</v>
      </c>
      <c r="E38" s="246" t="str">
        <f>IFERROR(__xludf.DUMMYFUNCTION("""COMPUTED_VALUE"""),"チェンソーマン")</f>
        <v>チェンソーマン</v>
      </c>
      <c r="F38" s="247" t="str">
        <f>IFERROR(__xludf.DUMMYFUNCTION("""COMPUTED_VALUE"""),"ゾンビの悪魔")</f>
        <v>ゾンビの悪魔</v>
      </c>
      <c r="G38" s="247" t="str">
        <f>IFERROR(__xludf.DUMMYFUNCTION("""COMPUTED_VALUE"""),"ゾンビの悪魔_general_chi_vh")</f>
        <v>ゾンビの悪魔_general_chi_vh</v>
      </c>
      <c r="H38" s="248" t="str">
        <f>IFERROR(__xludf.DUMMYFUNCTION("""COMPUTED_VALUE"""),"Normal")</f>
        <v>Normal</v>
      </c>
      <c r="I38" s="248" t="str">
        <f>IFERROR(__xludf.DUMMYFUNCTION("""COMPUTED_VALUE"""),"Technical")</f>
        <v>Technical</v>
      </c>
      <c r="J38" s="248" t="str">
        <f>IFERROR(__xludf.DUMMYFUNCTION("""COMPUTED_VALUE"""),"Yellow")</f>
        <v>Yellow</v>
      </c>
      <c r="K38" s="248">
        <f>IFERROR(__xludf.DUMMYFUNCTION("""COMPUTED_VALUE"""),800000.0)</f>
        <v>800000</v>
      </c>
      <c r="L38" s="248">
        <f>IFERROR(__xludf.DUMMYFUNCTION("""COMPUTED_VALUE"""),1.0)</f>
        <v>1</v>
      </c>
      <c r="M38" s="248">
        <f>IFERROR(__xludf.DUMMYFUNCTION("""COMPUTED_VALUE"""),40.0)</f>
        <v>40</v>
      </c>
      <c r="N38" s="248">
        <f>IFERROR(__xludf.DUMMYFUNCTION("""COMPUTED_VALUE"""),0.3)</f>
        <v>0.3</v>
      </c>
      <c r="O38" s="248">
        <f>IFERROR(__xludf.DUMMYFUNCTION("""COMPUTED_VALUE"""),500.0)</f>
        <v>500</v>
      </c>
      <c r="P38" s="248">
        <f>IFERROR(__xludf.DUMMYFUNCTION("""COMPUTED_VALUE"""),0.0)</f>
        <v>0</v>
      </c>
      <c r="Q38" s="248"/>
      <c r="R38" s="248"/>
      <c r="S38" s="248">
        <f>IFERROR(__xludf.DUMMYFUNCTION("""COMPUTED_VALUE"""),0.0)</f>
        <v>0</v>
      </c>
      <c r="T38" s="249" t="str">
        <f>IFERROR(__xludf.DUMMYFUNCTION("""COMPUTED_VALUE"""),"1.13")</f>
        <v>1.13</v>
      </c>
      <c r="U38" s="250" t="str">
        <f>IFERROR(__xludf.DUMMYFUNCTION("""COMPUTED_VALUE"""),"0.20")</f>
        <v>0.20</v>
      </c>
      <c r="V38" s="250"/>
      <c r="W38" s="250" t="str">
        <f>IFERROR(__xludf.DUMMYFUNCTION("""COMPUTED_VALUE"""),"-")</f>
        <v>-</v>
      </c>
      <c r="X38" s="250" t="str">
        <f>IFERROR(__xludf.DUMMYFUNCTION("""COMPUTED_VALUE"""),"-")</f>
        <v>-</v>
      </c>
      <c r="Y38" s="250"/>
      <c r="Z38" s="250">
        <f>IFERROR(__xludf.DUMMYFUNCTION("""COMPUTED_VALUE"""),5.0)</f>
        <v>5</v>
      </c>
      <c r="AA38" s="235"/>
      <c r="AB38" s="235" t="str">
        <f>IFERROR(__xludf.DUMMYFUNCTION("""COMPUTED_VALUE"""),"dageki_2")</f>
        <v>dageki_2</v>
      </c>
      <c r="AC38" s="235"/>
    </row>
    <row r="39">
      <c r="A39" s="236"/>
      <c r="B39" s="251" t="str">
        <f>IFERROR(__xludf.DUMMYFUNCTION("""COMPUTED_VALUE"""),"enemy_chi_00001")</f>
        <v>enemy_chi_00001</v>
      </c>
      <c r="C39" s="246" t="str">
        <f>IFERROR(__xludf.DUMMYFUNCTION("""COMPUTED_VALUE"""),"_general_chi_vh")</f>
        <v>_general_chi_vh</v>
      </c>
      <c r="D39" s="246" t="str">
        <f>IFERROR(__xludf.DUMMYFUNCTION("""COMPUTED_VALUE"""),"e_chi_00001_general_chi_vh_Boss_Yellow")</f>
        <v>e_chi_00001_general_chi_vh_Boss_Yellow</v>
      </c>
      <c r="E39" s="246" t="str">
        <f>IFERROR(__xludf.DUMMYFUNCTION("""COMPUTED_VALUE"""),"チェンソーマン")</f>
        <v>チェンソーマン</v>
      </c>
      <c r="F39" s="247" t="str">
        <f>IFERROR(__xludf.DUMMYFUNCTION("""COMPUTED_VALUE"""),"ゾンビの悪魔")</f>
        <v>ゾンビの悪魔</v>
      </c>
      <c r="G39" s="247" t="str">
        <f>IFERROR(__xludf.DUMMYFUNCTION("""COMPUTED_VALUE"""),"ゾンビの悪魔_general_chi_vh")</f>
        <v>ゾンビの悪魔_general_chi_vh</v>
      </c>
      <c r="H39" s="248" t="str">
        <f>IFERROR(__xludf.DUMMYFUNCTION("""COMPUTED_VALUE"""),"Boss")</f>
        <v>Boss</v>
      </c>
      <c r="I39" s="248" t="str">
        <f>IFERROR(__xludf.DUMMYFUNCTION("""COMPUTED_VALUE"""),"Technical")</f>
        <v>Technical</v>
      </c>
      <c r="J39" s="248" t="str">
        <f>IFERROR(__xludf.DUMMYFUNCTION("""COMPUTED_VALUE"""),"Yellow")</f>
        <v>Yellow</v>
      </c>
      <c r="K39" s="248">
        <f>IFERROR(__xludf.DUMMYFUNCTION("""COMPUTED_VALUE"""),800000.0)</f>
        <v>800000</v>
      </c>
      <c r="L39" s="248">
        <f>IFERROR(__xludf.DUMMYFUNCTION("""COMPUTED_VALUE"""),1.0)</f>
        <v>1</v>
      </c>
      <c r="M39" s="248">
        <f>IFERROR(__xludf.DUMMYFUNCTION("""COMPUTED_VALUE"""),40.0)</f>
        <v>40</v>
      </c>
      <c r="N39" s="248">
        <f>IFERROR(__xludf.DUMMYFUNCTION("""COMPUTED_VALUE"""),0.3)</f>
        <v>0.3</v>
      </c>
      <c r="O39" s="248">
        <f>IFERROR(__xludf.DUMMYFUNCTION("""COMPUTED_VALUE"""),500.0)</f>
        <v>500</v>
      </c>
      <c r="P39" s="248">
        <f>IFERROR(__xludf.DUMMYFUNCTION("""COMPUTED_VALUE"""),0.0)</f>
        <v>0</v>
      </c>
      <c r="Q39" s="248"/>
      <c r="R39" s="248"/>
      <c r="S39" s="248">
        <f>IFERROR(__xludf.DUMMYFUNCTION("""COMPUTED_VALUE"""),0.0)</f>
        <v>0</v>
      </c>
      <c r="T39" s="249" t="str">
        <f>IFERROR(__xludf.DUMMYFUNCTION("""COMPUTED_VALUE"""),"1.13")</f>
        <v>1.13</v>
      </c>
      <c r="U39" s="250" t="str">
        <f>IFERROR(__xludf.DUMMYFUNCTION("""COMPUTED_VALUE"""),"0.20")</f>
        <v>0.20</v>
      </c>
      <c r="V39" s="250"/>
      <c r="W39" s="250" t="str">
        <f>IFERROR(__xludf.DUMMYFUNCTION("""COMPUTED_VALUE"""),"-")</f>
        <v>-</v>
      </c>
      <c r="X39" s="250" t="str">
        <f>IFERROR(__xludf.DUMMYFUNCTION("""COMPUTED_VALUE"""),"-")</f>
        <v>-</v>
      </c>
      <c r="Y39" s="250"/>
      <c r="Z39" s="250">
        <f>IFERROR(__xludf.DUMMYFUNCTION("""COMPUTED_VALUE"""),5.0)</f>
        <v>5</v>
      </c>
      <c r="AA39" s="235" t="str">
        <f>IFERROR(__xludf.DUMMYFUNCTION("""COMPUTED_VALUE"""),"根性3回")</f>
        <v>根性3回</v>
      </c>
      <c r="AB39" s="235" t="str">
        <f>IFERROR(__xludf.DUMMYFUNCTION("""COMPUTED_VALUE"""),"dageki_2")</f>
        <v>dageki_2</v>
      </c>
      <c r="AC39" s="235" t="str">
        <f>IFERROR(__xludf.DUMMYFUNCTION("""COMPUTED_VALUE"""),"通常攻撃時100%の確率で20%の毒(3.5秒)")</f>
        <v>通常攻撃時100%の確率で20%の毒(3.5秒)</v>
      </c>
    </row>
    <row r="40">
      <c r="A40" s="236"/>
      <c r="B40" s="248" t="str">
        <f>IFERROR(__xludf.DUMMYFUNCTION("""COMPUTED_VALUE"""),"enemy_chi_00101")</f>
        <v>enemy_chi_00101</v>
      </c>
      <c r="C40" s="246" t="str">
        <f>IFERROR(__xludf.DUMMYFUNCTION("""COMPUTED_VALUE"""),"_general_chi_vh")</f>
        <v>_general_chi_vh</v>
      </c>
      <c r="D40" s="246" t="str">
        <f>IFERROR(__xludf.DUMMYFUNCTION("""COMPUTED_VALUE"""),"e_chi_00101_general_chi_vh_Normal_Green")</f>
        <v>e_chi_00101_general_chi_vh_Normal_Green</v>
      </c>
      <c r="E40" s="246" t="str">
        <f>IFERROR(__xludf.DUMMYFUNCTION("""COMPUTED_VALUE"""),"チェンソーマン")</f>
        <v>チェンソーマン</v>
      </c>
      <c r="F40" s="247" t="str">
        <f>IFERROR(__xludf.DUMMYFUNCTION("""COMPUTED_VALUE"""),"ゾンビ")</f>
        <v>ゾンビ</v>
      </c>
      <c r="G40" s="247" t="str">
        <f>IFERROR(__xludf.DUMMYFUNCTION("""COMPUTED_VALUE"""),"ゾンビ_general_chi_vh")</f>
        <v>ゾンビ_general_chi_vh</v>
      </c>
      <c r="H40" s="248" t="str">
        <f>IFERROR(__xludf.DUMMYFUNCTION("""COMPUTED_VALUE"""),"Normal")</f>
        <v>Normal</v>
      </c>
      <c r="I40" s="248" t="str">
        <f>IFERROR(__xludf.DUMMYFUNCTION("""COMPUTED_VALUE"""),"Attack")</f>
        <v>Attack</v>
      </c>
      <c r="J40" s="248" t="str">
        <f>IFERROR(__xludf.DUMMYFUNCTION("""COMPUTED_VALUE"""),"Green")</f>
        <v>Green</v>
      </c>
      <c r="K40" s="248">
        <f>IFERROR(__xludf.DUMMYFUNCTION("""COMPUTED_VALUE"""),30000.0)</f>
        <v>30000</v>
      </c>
      <c r="L40" s="248">
        <f>IFERROR(__xludf.DUMMYFUNCTION("""COMPUTED_VALUE"""),2.0)</f>
        <v>2</v>
      </c>
      <c r="M40" s="248">
        <f>IFERROR(__xludf.DUMMYFUNCTION("""COMPUTED_VALUE"""),35.0)</f>
        <v>35</v>
      </c>
      <c r="N40" s="248">
        <f>IFERROR(__xludf.DUMMYFUNCTION("""COMPUTED_VALUE"""),0.11)</f>
        <v>0.11</v>
      </c>
      <c r="O40" s="248">
        <f>IFERROR(__xludf.DUMMYFUNCTION("""COMPUTED_VALUE"""),1000.0)</f>
        <v>1000</v>
      </c>
      <c r="P40" s="248">
        <f>IFERROR(__xludf.DUMMYFUNCTION("""COMPUTED_VALUE"""),0.0)</f>
        <v>0</v>
      </c>
      <c r="Q40" s="248"/>
      <c r="R40" s="248"/>
      <c r="S40" s="248">
        <f>IFERROR(__xludf.DUMMYFUNCTION("""COMPUTED_VALUE"""),0.0)</f>
        <v>0</v>
      </c>
      <c r="T40" s="249" t="str">
        <f>IFERROR(__xludf.DUMMYFUNCTION("""COMPUTED_VALUE"""),"1.90")</f>
        <v>1.90</v>
      </c>
      <c r="U40" s="250" t="str">
        <f>IFERROR(__xludf.DUMMYFUNCTION("""COMPUTED_VALUE"""),"0.66")</f>
        <v>0.66</v>
      </c>
      <c r="V40" s="250"/>
      <c r="W40" s="250" t="str">
        <f>IFERROR(__xludf.DUMMYFUNCTION("""COMPUTED_VALUE"""),"-")</f>
        <v>-</v>
      </c>
      <c r="X40" s="250" t="str">
        <f>IFERROR(__xludf.DUMMYFUNCTION("""COMPUTED_VALUE"""),"-")</f>
        <v>-</v>
      </c>
      <c r="Y40" s="250"/>
      <c r="Z40" s="250" t="str">
        <f>IFERROR(__xludf.DUMMYFUNCTION("""COMPUTED_VALUE"""),"-")</f>
        <v>-</v>
      </c>
      <c r="AA40" s="235" t="str">
        <f>IFERROR(__xludf.DUMMYFUNCTION("""COMPUTED_VALUE"""),"根性1回")</f>
        <v>根性1回</v>
      </c>
      <c r="AB40" s="235" t="str">
        <f>IFERROR(__xludf.DUMMYFUNCTION("""COMPUTED_VALUE"""),"dageki_1")</f>
        <v>dageki_1</v>
      </c>
      <c r="AC40" s="235"/>
    </row>
    <row r="41">
      <c r="A41" s="236"/>
      <c r="B41" s="248" t="str">
        <f>IFERROR(__xludf.DUMMYFUNCTION("""COMPUTED_VALUE"""),"enemy_chi_00101")</f>
        <v>enemy_chi_00101</v>
      </c>
      <c r="C41" s="246" t="str">
        <f>IFERROR(__xludf.DUMMYFUNCTION("""COMPUTED_VALUE"""),"_general_chi_vh")</f>
        <v>_general_chi_vh</v>
      </c>
      <c r="D41" s="246" t="str">
        <f>IFERROR(__xludf.DUMMYFUNCTION("""COMPUTED_VALUE"""),"e_chi_00101_general_chi_vh_Normal_Blue")</f>
        <v>e_chi_00101_general_chi_vh_Normal_Blue</v>
      </c>
      <c r="E41" s="246" t="str">
        <f>IFERROR(__xludf.DUMMYFUNCTION("""COMPUTED_VALUE"""),"チェンソーマン")</f>
        <v>チェンソーマン</v>
      </c>
      <c r="F41" s="247" t="str">
        <f>IFERROR(__xludf.DUMMYFUNCTION("""COMPUTED_VALUE"""),"ゾンビ")</f>
        <v>ゾンビ</v>
      </c>
      <c r="G41" s="247" t="str">
        <f>IFERROR(__xludf.DUMMYFUNCTION("""COMPUTED_VALUE"""),"ゾンビ_general_chi_vh")</f>
        <v>ゾンビ_general_chi_vh</v>
      </c>
      <c r="H41" s="248" t="str">
        <f>IFERROR(__xludf.DUMMYFUNCTION("""COMPUTED_VALUE"""),"Normal")</f>
        <v>Normal</v>
      </c>
      <c r="I41" s="248" t="str">
        <f>IFERROR(__xludf.DUMMYFUNCTION("""COMPUTED_VALUE"""),"Attack")</f>
        <v>Attack</v>
      </c>
      <c r="J41" s="248" t="str">
        <f>IFERROR(__xludf.DUMMYFUNCTION("""COMPUTED_VALUE"""),"Blue")</f>
        <v>Blue</v>
      </c>
      <c r="K41" s="248">
        <f>IFERROR(__xludf.DUMMYFUNCTION("""COMPUTED_VALUE"""),30000.0)</f>
        <v>30000</v>
      </c>
      <c r="L41" s="248">
        <f>IFERROR(__xludf.DUMMYFUNCTION("""COMPUTED_VALUE"""),2.0)</f>
        <v>2</v>
      </c>
      <c r="M41" s="248">
        <f>IFERROR(__xludf.DUMMYFUNCTION("""COMPUTED_VALUE"""),35.0)</f>
        <v>35</v>
      </c>
      <c r="N41" s="248">
        <f>IFERROR(__xludf.DUMMYFUNCTION("""COMPUTED_VALUE"""),0.11)</f>
        <v>0.11</v>
      </c>
      <c r="O41" s="248">
        <f>IFERROR(__xludf.DUMMYFUNCTION("""COMPUTED_VALUE"""),1000.0)</f>
        <v>1000</v>
      </c>
      <c r="P41" s="248">
        <f>IFERROR(__xludf.DUMMYFUNCTION("""COMPUTED_VALUE"""),0.0)</f>
        <v>0</v>
      </c>
      <c r="Q41" s="248"/>
      <c r="R41" s="248"/>
      <c r="S41" s="248">
        <f>IFERROR(__xludf.DUMMYFUNCTION("""COMPUTED_VALUE"""),0.0)</f>
        <v>0</v>
      </c>
      <c r="T41" s="249" t="str">
        <f>IFERROR(__xludf.DUMMYFUNCTION("""COMPUTED_VALUE"""),"1.90")</f>
        <v>1.90</v>
      </c>
      <c r="U41" s="250" t="str">
        <f>IFERROR(__xludf.DUMMYFUNCTION("""COMPUTED_VALUE"""),"0.66")</f>
        <v>0.66</v>
      </c>
      <c r="V41" s="250"/>
      <c r="W41" s="250" t="str">
        <f>IFERROR(__xludf.DUMMYFUNCTION("""COMPUTED_VALUE"""),"-")</f>
        <v>-</v>
      </c>
      <c r="X41" s="250" t="str">
        <f>IFERROR(__xludf.DUMMYFUNCTION("""COMPUTED_VALUE"""),"-")</f>
        <v>-</v>
      </c>
      <c r="Y41" s="250"/>
      <c r="Z41" s="250" t="str">
        <f>IFERROR(__xludf.DUMMYFUNCTION("""COMPUTED_VALUE"""),"-")</f>
        <v>-</v>
      </c>
      <c r="AA41" s="235" t="str">
        <f>IFERROR(__xludf.DUMMYFUNCTION("""COMPUTED_VALUE"""),"根性1回")</f>
        <v>根性1回</v>
      </c>
      <c r="AB41" s="235" t="str">
        <f>IFERROR(__xludf.DUMMYFUNCTION("""COMPUTED_VALUE"""),"dageki_1")</f>
        <v>dageki_1</v>
      </c>
      <c r="AC41" s="235"/>
    </row>
    <row r="42">
      <c r="A42" s="236"/>
      <c r="B42" s="248" t="str">
        <f>IFERROR(__xludf.DUMMYFUNCTION("""COMPUTED_VALUE"""),"enemy_chi_00101")</f>
        <v>enemy_chi_00101</v>
      </c>
      <c r="C42" s="246" t="str">
        <f>IFERROR(__xludf.DUMMYFUNCTION("""COMPUTED_VALUE"""),"_general_chi_vh")</f>
        <v>_general_chi_vh</v>
      </c>
      <c r="D42" s="246" t="str">
        <f>IFERROR(__xludf.DUMMYFUNCTION("""COMPUTED_VALUE"""),"e_chi_00101_general_chi_vh_Normal_Red")</f>
        <v>e_chi_00101_general_chi_vh_Normal_Red</v>
      </c>
      <c r="E42" s="246" t="str">
        <f>IFERROR(__xludf.DUMMYFUNCTION("""COMPUTED_VALUE"""),"チェンソーマン")</f>
        <v>チェンソーマン</v>
      </c>
      <c r="F42" s="247" t="str">
        <f>IFERROR(__xludf.DUMMYFUNCTION("""COMPUTED_VALUE"""),"ゾンビ")</f>
        <v>ゾンビ</v>
      </c>
      <c r="G42" s="247" t="str">
        <f>IFERROR(__xludf.DUMMYFUNCTION("""COMPUTED_VALUE"""),"ゾンビ_general_chi_vh")</f>
        <v>ゾンビ_general_chi_vh</v>
      </c>
      <c r="H42" s="248" t="str">
        <f>IFERROR(__xludf.DUMMYFUNCTION("""COMPUTED_VALUE"""),"Normal")</f>
        <v>Normal</v>
      </c>
      <c r="I42" s="248" t="str">
        <f>IFERROR(__xludf.DUMMYFUNCTION("""COMPUTED_VALUE"""),"Attack")</f>
        <v>Attack</v>
      </c>
      <c r="J42" s="248" t="str">
        <f>IFERROR(__xludf.DUMMYFUNCTION("""COMPUTED_VALUE"""),"Red")</f>
        <v>Red</v>
      </c>
      <c r="K42" s="248">
        <f>IFERROR(__xludf.DUMMYFUNCTION("""COMPUTED_VALUE"""),30000.0)</f>
        <v>30000</v>
      </c>
      <c r="L42" s="248">
        <f>IFERROR(__xludf.DUMMYFUNCTION("""COMPUTED_VALUE"""),2.0)</f>
        <v>2</v>
      </c>
      <c r="M42" s="248">
        <f>IFERROR(__xludf.DUMMYFUNCTION("""COMPUTED_VALUE"""),35.0)</f>
        <v>35</v>
      </c>
      <c r="N42" s="248">
        <f>IFERROR(__xludf.DUMMYFUNCTION("""COMPUTED_VALUE"""),0.11)</f>
        <v>0.11</v>
      </c>
      <c r="O42" s="248">
        <f>IFERROR(__xludf.DUMMYFUNCTION("""COMPUTED_VALUE"""),1000.0)</f>
        <v>1000</v>
      </c>
      <c r="P42" s="248">
        <f>IFERROR(__xludf.DUMMYFUNCTION("""COMPUTED_VALUE"""),0.0)</f>
        <v>0</v>
      </c>
      <c r="Q42" s="248"/>
      <c r="R42" s="248"/>
      <c r="S42" s="248">
        <f>IFERROR(__xludf.DUMMYFUNCTION("""COMPUTED_VALUE"""),0.0)</f>
        <v>0</v>
      </c>
      <c r="T42" s="249" t="str">
        <f>IFERROR(__xludf.DUMMYFUNCTION("""COMPUTED_VALUE"""),"1.90")</f>
        <v>1.90</v>
      </c>
      <c r="U42" s="250" t="str">
        <f>IFERROR(__xludf.DUMMYFUNCTION("""COMPUTED_VALUE"""),"0.66")</f>
        <v>0.66</v>
      </c>
      <c r="V42" s="250"/>
      <c r="W42" s="250" t="str">
        <f>IFERROR(__xludf.DUMMYFUNCTION("""COMPUTED_VALUE"""),"-")</f>
        <v>-</v>
      </c>
      <c r="X42" s="250" t="str">
        <f>IFERROR(__xludf.DUMMYFUNCTION("""COMPUTED_VALUE"""),"-")</f>
        <v>-</v>
      </c>
      <c r="Y42" s="250"/>
      <c r="Z42" s="250" t="str">
        <f>IFERROR(__xludf.DUMMYFUNCTION("""COMPUTED_VALUE"""),"-")</f>
        <v>-</v>
      </c>
      <c r="AA42" s="235" t="str">
        <f>IFERROR(__xludf.DUMMYFUNCTION("""COMPUTED_VALUE"""),"根性1回")</f>
        <v>根性1回</v>
      </c>
      <c r="AB42" s="235" t="str">
        <f>IFERROR(__xludf.DUMMYFUNCTION("""COMPUTED_VALUE"""),"dageki_1")</f>
        <v>dageki_1</v>
      </c>
      <c r="AC42" s="235"/>
    </row>
    <row r="43">
      <c r="A43" s="236"/>
      <c r="B43" s="248" t="str">
        <f>IFERROR(__xludf.DUMMYFUNCTION("""COMPUTED_VALUE"""),"enemy_chi_00101")</f>
        <v>enemy_chi_00101</v>
      </c>
      <c r="C43" s="246" t="str">
        <f>IFERROR(__xludf.DUMMYFUNCTION("""COMPUTED_VALUE"""),"_general_chi_vh_big")</f>
        <v>_general_chi_vh_big</v>
      </c>
      <c r="D43" s="246" t="str">
        <f>IFERROR(__xludf.DUMMYFUNCTION("""COMPUTED_VALUE"""),"e_chi_00101_general_chi_vh_big_Normal_Yellow")</f>
        <v>e_chi_00101_general_chi_vh_big_Normal_Yellow</v>
      </c>
      <c r="E43" s="246" t="str">
        <f>IFERROR(__xludf.DUMMYFUNCTION("""COMPUTED_VALUE"""),"チェンソーマン")</f>
        <v>チェンソーマン</v>
      </c>
      <c r="F43" s="247" t="str">
        <f>IFERROR(__xludf.DUMMYFUNCTION("""COMPUTED_VALUE"""),"ゾンビ")</f>
        <v>ゾンビ</v>
      </c>
      <c r="G43" s="247" t="str">
        <f>IFERROR(__xludf.DUMMYFUNCTION("""COMPUTED_VALUE"""),"ゾンビ_general_chi_vh_big")</f>
        <v>ゾンビ_general_chi_vh_big</v>
      </c>
      <c r="H43" s="248" t="str">
        <f>IFERROR(__xludf.DUMMYFUNCTION("""COMPUTED_VALUE"""),"Normal")</f>
        <v>Normal</v>
      </c>
      <c r="I43" s="248" t="str">
        <f>IFERROR(__xludf.DUMMYFUNCTION("""COMPUTED_VALUE"""),"Attack")</f>
        <v>Attack</v>
      </c>
      <c r="J43" s="248" t="str">
        <f>IFERROR(__xludf.DUMMYFUNCTION("""COMPUTED_VALUE"""),"Yellow")</f>
        <v>Yellow</v>
      </c>
      <c r="K43" s="248">
        <f>IFERROR(__xludf.DUMMYFUNCTION("""COMPUTED_VALUE"""),30000.0)</f>
        <v>30000</v>
      </c>
      <c r="L43" s="248">
        <f>IFERROR(__xludf.DUMMYFUNCTION("""COMPUTED_VALUE"""),2.0)</f>
        <v>2</v>
      </c>
      <c r="M43" s="248">
        <f>IFERROR(__xludf.DUMMYFUNCTION("""COMPUTED_VALUE"""),35.0)</f>
        <v>35</v>
      </c>
      <c r="N43" s="248">
        <f>IFERROR(__xludf.DUMMYFUNCTION("""COMPUTED_VALUE"""),0.11)</f>
        <v>0.11</v>
      </c>
      <c r="O43" s="248">
        <f>IFERROR(__xludf.DUMMYFUNCTION("""COMPUTED_VALUE"""),1000.0)</f>
        <v>1000</v>
      </c>
      <c r="P43" s="248">
        <f>IFERROR(__xludf.DUMMYFUNCTION("""COMPUTED_VALUE"""),0.0)</f>
        <v>0</v>
      </c>
      <c r="Q43" s="248"/>
      <c r="R43" s="248"/>
      <c r="S43" s="248">
        <f>IFERROR(__xludf.DUMMYFUNCTION("""COMPUTED_VALUE"""),0.0)</f>
        <v>0</v>
      </c>
      <c r="T43" s="249" t="str">
        <f>IFERROR(__xludf.DUMMYFUNCTION("""COMPUTED_VALUE"""),"1.90")</f>
        <v>1.90</v>
      </c>
      <c r="U43" s="250" t="str">
        <f>IFERROR(__xludf.DUMMYFUNCTION("""COMPUTED_VALUE"""),"0.66")</f>
        <v>0.66</v>
      </c>
      <c r="V43" s="250"/>
      <c r="W43" s="250" t="str">
        <f>IFERROR(__xludf.DUMMYFUNCTION("""COMPUTED_VALUE"""),"-")</f>
        <v>-</v>
      </c>
      <c r="X43" s="250" t="str">
        <f>IFERROR(__xludf.DUMMYFUNCTION("""COMPUTED_VALUE"""),"-")</f>
        <v>-</v>
      </c>
      <c r="Y43" s="250"/>
      <c r="Z43" s="250" t="str">
        <f>IFERROR(__xludf.DUMMYFUNCTION("""COMPUTED_VALUE"""),"-")</f>
        <v>-</v>
      </c>
      <c r="AA43" s="235" t="str">
        <f>IFERROR(__xludf.DUMMYFUNCTION("""COMPUTED_VALUE"""),"根性3回")</f>
        <v>根性3回</v>
      </c>
      <c r="AB43" s="235" t="str">
        <f>IFERROR(__xludf.DUMMYFUNCTION("""COMPUTED_VALUE"""),"dageki_1")</f>
        <v>dageki_1</v>
      </c>
      <c r="AC43" s="235"/>
    </row>
    <row r="44">
      <c r="A44" s="236"/>
      <c r="B44" s="248" t="str">
        <f>IFERROR(__xludf.DUMMYFUNCTION("""COMPUTED_VALUE"""),"enemy_chi_00101")</f>
        <v>enemy_chi_00101</v>
      </c>
      <c r="C44" s="246" t="str">
        <f>IFERROR(__xludf.DUMMYFUNCTION("""COMPUTED_VALUE"""),"_general_chi_vh_big")</f>
        <v>_general_chi_vh_big</v>
      </c>
      <c r="D44" s="246" t="str">
        <f>IFERROR(__xludf.DUMMYFUNCTION("""COMPUTED_VALUE"""),"e_chi_00101_general_chi_vh_big_Normal_Red")</f>
        <v>e_chi_00101_general_chi_vh_big_Normal_Red</v>
      </c>
      <c r="E44" s="246" t="str">
        <f>IFERROR(__xludf.DUMMYFUNCTION("""COMPUTED_VALUE"""),"チェンソーマン")</f>
        <v>チェンソーマン</v>
      </c>
      <c r="F44" s="247" t="str">
        <f>IFERROR(__xludf.DUMMYFUNCTION("""COMPUTED_VALUE"""),"ゾンビ")</f>
        <v>ゾンビ</v>
      </c>
      <c r="G44" s="247" t="str">
        <f>IFERROR(__xludf.DUMMYFUNCTION("""COMPUTED_VALUE"""),"ゾンビ_general_chi_vh_big")</f>
        <v>ゾンビ_general_chi_vh_big</v>
      </c>
      <c r="H44" s="248" t="str">
        <f>IFERROR(__xludf.DUMMYFUNCTION("""COMPUTED_VALUE"""),"Normal")</f>
        <v>Normal</v>
      </c>
      <c r="I44" s="248" t="str">
        <f>IFERROR(__xludf.DUMMYFUNCTION("""COMPUTED_VALUE"""),"Attack")</f>
        <v>Attack</v>
      </c>
      <c r="J44" s="248" t="str">
        <f>IFERROR(__xludf.DUMMYFUNCTION("""COMPUTED_VALUE"""),"Red")</f>
        <v>Red</v>
      </c>
      <c r="K44" s="248">
        <f>IFERROR(__xludf.DUMMYFUNCTION("""COMPUTED_VALUE"""),30000.0)</f>
        <v>30000</v>
      </c>
      <c r="L44" s="248">
        <f>IFERROR(__xludf.DUMMYFUNCTION("""COMPUTED_VALUE"""),2.0)</f>
        <v>2</v>
      </c>
      <c r="M44" s="248">
        <f>IFERROR(__xludf.DUMMYFUNCTION("""COMPUTED_VALUE"""),35.0)</f>
        <v>35</v>
      </c>
      <c r="N44" s="248">
        <f>IFERROR(__xludf.DUMMYFUNCTION("""COMPUTED_VALUE"""),0.11)</f>
        <v>0.11</v>
      </c>
      <c r="O44" s="248">
        <f>IFERROR(__xludf.DUMMYFUNCTION("""COMPUTED_VALUE"""),1000.0)</f>
        <v>1000</v>
      </c>
      <c r="P44" s="248">
        <f>IFERROR(__xludf.DUMMYFUNCTION("""COMPUTED_VALUE"""),0.0)</f>
        <v>0</v>
      </c>
      <c r="Q44" s="248"/>
      <c r="R44" s="248"/>
      <c r="S44" s="248">
        <f>IFERROR(__xludf.DUMMYFUNCTION("""COMPUTED_VALUE"""),0.0)</f>
        <v>0</v>
      </c>
      <c r="T44" s="249" t="str">
        <f>IFERROR(__xludf.DUMMYFUNCTION("""COMPUTED_VALUE"""),"1.90")</f>
        <v>1.90</v>
      </c>
      <c r="U44" s="250" t="str">
        <f>IFERROR(__xludf.DUMMYFUNCTION("""COMPUTED_VALUE"""),"0.66")</f>
        <v>0.66</v>
      </c>
      <c r="V44" s="250"/>
      <c r="W44" s="250" t="str">
        <f>IFERROR(__xludf.DUMMYFUNCTION("""COMPUTED_VALUE"""),"-")</f>
        <v>-</v>
      </c>
      <c r="X44" s="250" t="str">
        <f>IFERROR(__xludf.DUMMYFUNCTION("""COMPUTED_VALUE"""),"-")</f>
        <v>-</v>
      </c>
      <c r="Y44" s="250"/>
      <c r="Z44" s="250" t="str">
        <f>IFERROR(__xludf.DUMMYFUNCTION("""COMPUTED_VALUE"""),"-")</f>
        <v>-</v>
      </c>
      <c r="AA44" s="235" t="str">
        <f>IFERROR(__xludf.DUMMYFUNCTION("""COMPUTED_VALUE"""),"根性3回")</f>
        <v>根性3回</v>
      </c>
      <c r="AB44" s="235" t="str">
        <f>IFERROR(__xludf.DUMMYFUNCTION("""COMPUTED_VALUE"""),"dageki_1")</f>
        <v>dageki_1</v>
      </c>
      <c r="AC44" s="235"/>
    </row>
    <row r="45">
      <c r="A45" s="236"/>
      <c r="B45" s="248" t="str">
        <f>IFERROR(__xludf.DUMMYFUNCTION("""COMPUTED_VALUE"""),"enemy_chi_00101")</f>
        <v>enemy_chi_00101</v>
      </c>
      <c r="C45" s="246" t="str">
        <f>IFERROR(__xludf.DUMMYFUNCTION("""COMPUTED_VALUE"""),"_general_chi_vh_big")</f>
        <v>_general_chi_vh_big</v>
      </c>
      <c r="D45" s="246" t="str">
        <f>IFERROR(__xludf.DUMMYFUNCTION("""COMPUTED_VALUE"""),"e_chi_00101_general_chi_vh_big_Normal_Blue")</f>
        <v>e_chi_00101_general_chi_vh_big_Normal_Blue</v>
      </c>
      <c r="E45" s="246" t="str">
        <f>IFERROR(__xludf.DUMMYFUNCTION("""COMPUTED_VALUE"""),"チェンソーマン")</f>
        <v>チェンソーマン</v>
      </c>
      <c r="F45" s="247" t="str">
        <f>IFERROR(__xludf.DUMMYFUNCTION("""COMPUTED_VALUE"""),"ゾンビ")</f>
        <v>ゾンビ</v>
      </c>
      <c r="G45" s="247" t="str">
        <f>IFERROR(__xludf.DUMMYFUNCTION("""COMPUTED_VALUE"""),"ゾンビ_general_chi_vh_big")</f>
        <v>ゾンビ_general_chi_vh_big</v>
      </c>
      <c r="H45" s="248" t="str">
        <f>IFERROR(__xludf.DUMMYFUNCTION("""COMPUTED_VALUE"""),"Normal")</f>
        <v>Normal</v>
      </c>
      <c r="I45" s="248" t="str">
        <f>IFERROR(__xludf.DUMMYFUNCTION("""COMPUTED_VALUE"""),"Attack")</f>
        <v>Attack</v>
      </c>
      <c r="J45" s="248" t="str">
        <f>IFERROR(__xludf.DUMMYFUNCTION("""COMPUTED_VALUE"""),"Blue")</f>
        <v>Blue</v>
      </c>
      <c r="K45" s="248">
        <f>IFERROR(__xludf.DUMMYFUNCTION("""COMPUTED_VALUE"""),30000.0)</f>
        <v>30000</v>
      </c>
      <c r="L45" s="248">
        <f>IFERROR(__xludf.DUMMYFUNCTION("""COMPUTED_VALUE"""),2.0)</f>
        <v>2</v>
      </c>
      <c r="M45" s="248">
        <f>IFERROR(__xludf.DUMMYFUNCTION("""COMPUTED_VALUE"""),35.0)</f>
        <v>35</v>
      </c>
      <c r="N45" s="248">
        <f>IFERROR(__xludf.DUMMYFUNCTION("""COMPUTED_VALUE"""),0.11)</f>
        <v>0.11</v>
      </c>
      <c r="O45" s="248">
        <f>IFERROR(__xludf.DUMMYFUNCTION("""COMPUTED_VALUE"""),1000.0)</f>
        <v>1000</v>
      </c>
      <c r="P45" s="248">
        <f>IFERROR(__xludf.DUMMYFUNCTION("""COMPUTED_VALUE"""),0.0)</f>
        <v>0</v>
      </c>
      <c r="Q45" s="248"/>
      <c r="R45" s="248"/>
      <c r="S45" s="248">
        <f>IFERROR(__xludf.DUMMYFUNCTION("""COMPUTED_VALUE"""),0.0)</f>
        <v>0</v>
      </c>
      <c r="T45" s="249" t="str">
        <f>IFERROR(__xludf.DUMMYFUNCTION("""COMPUTED_VALUE"""),"1.90")</f>
        <v>1.90</v>
      </c>
      <c r="U45" s="250" t="str">
        <f>IFERROR(__xludf.DUMMYFUNCTION("""COMPUTED_VALUE"""),"0.66")</f>
        <v>0.66</v>
      </c>
      <c r="V45" s="250"/>
      <c r="W45" s="250" t="str">
        <f>IFERROR(__xludf.DUMMYFUNCTION("""COMPUTED_VALUE"""),"-")</f>
        <v>-</v>
      </c>
      <c r="X45" s="250" t="str">
        <f>IFERROR(__xludf.DUMMYFUNCTION("""COMPUTED_VALUE"""),"-")</f>
        <v>-</v>
      </c>
      <c r="Y45" s="250"/>
      <c r="Z45" s="250" t="str">
        <f>IFERROR(__xludf.DUMMYFUNCTION("""COMPUTED_VALUE"""),"-")</f>
        <v>-</v>
      </c>
      <c r="AA45" s="235" t="str">
        <f>IFERROR(__xludf.DUMMYFUNCTION("""COMPUTED_VALUE"""),"根性3回")</f>
        <v>根性3回</v>
      </c>
      <c r="AB45" s="235" t="str">
        <f>IFERROR(__xludf.DUMMYFUNCTION("""COMPUTED_VALUE"""),"dageki_1")</f>
        <v>dageki_1</v>
      </c>
      <c r="AC45" s="235"/>
    </row>
    <row r="46">
      <c r="A46" s="236"/>
      <c r="B46" s="248" t="str">
        <f>IFERROR(__xludf.DUMMYFUNCTION("""COMPUTED_VALUE"""),"enemy_chi_00201")</f>
        <v>enemy_chi_00201</v>
      </c>
      <c r="C46" s="246" t="str">
        <f>IFERROR(__xludf.DUMMYFUNCTION("""COMPUTED_VALUE"""),"_general_chi_vh")</f>
        <v>_general_chi_vh</v>
      </c>
      <c r="D46" s="246" t="str">
        <f>IFERROR(__xludf.DUMMYFUNCTION("""COMPUTED_VALUE"""),"e_chi_00201_general_chi_vh_Normal_Blue")</f>
        <v>e_chi_00201_general_chi_vh_Normal_Blue</v>
      </c>
      <c r="E46" s="246" t="str">
        <f>IFERROR(__xludf.DUMMYFUNCTION("""COMPUTED_VALUE"""),"チェンソーマン")</f>
        <v>チェンソーマン</v>
      </c>
      <c r="F46" s="247" t="str">
        <f>IFERROR(__xludf.DUMMYFUNCTION("""COMPUTED_VALUE"""),"コウモリの悪魔")</f>
        <v>コウモリの悪魔</v>
      </c>
      <c r="G46" s="247" t="str">
        <f>IFERROR(__xludf.DUMMYFUNCTION("""COMPUTED_VALUE"""),"コウモリの悪魔_general_chi_vh")</f>
        <v>コウモリの悪魔_general_chi_vh</v>
      </c>
      <c r="H46" s="248" t="str">
        <f>IFERROR(__xludf.DUMMYFUNCTION("""COMPUTED_VALUE"""),"Normal")</f>
        <v>Normal</v>
      </c>
      <c r="I46" s="248" t="str">
        <f>IFERROR(__xludf.DUMMYFUNCTION("""COMPUTED_VALUE"""),"Attack")</f>
        <v>Attack</v>
      </c>
      <c r="J46" s="248" t="str">
        <f>IFERROR(__xludf.DUMMYFUNCTION("""COMPUTED_VALUE"""),"Blue")</f>
        <v>Blue</v>
      </c>
      <c r="K46" s="248">
        <f>IFERROR(__xludf.DUMMYFUNCTION("""COMPUTED_VALUE"""),500000.0)</f>
        <v>500000</v>
      </c>
      <c r="L46" s="248">
        <f>IFERROR(__xludf.DUMMYFUNCTION("""COMPUTED_VALUE"""),3.0)</f>
        <v>3</v>
      </c>
      <c r="M46" s="248">
        <f>IFERROR(__xludf.DUMMYFUNCTION("""COMPUTED_VALUE"""),50.0)</f>
        <v>50</v>
      </c>
      <c r="N46" s="248">
        <f>IFERROR(__xludf.DUMMYFUNCTION("""COMPUTED_VALUE"""),0.2)</f>
        <v>0.2</v>
      </c>
      <c r="O46" s="248">
        <f>IFERROR(__xludf.DUMMYFUNCTION("""COMPUTED_VALUE"""),2000.0)</f>
        <v>2000</v>
      </c>
      <c r="P46" s="248">
        <f>IFERROR(__xludf.DUMMYFUNCTION("""COMPUTED_VALUE"""),0.0)</f>
        <v>0</v>
      </c>
      <c r="Q46" s="248"/>
      <c r="R46" s="248"/>
      <c r="S46" s="248">
        <f>IFERROR(__xludf.DUMMYFUNCTION("""COMPUTED_VALUE"""),0.0)</f>
        <v>0</v>
      </c>
      <c r="T46" s="249" t="str">
        <f>IFERROR(__xludf.DUMMYFUNCTION("""COMPUTED_VALUE"""),"1.34")</f>
        <v>1.34</v>
      </c>
      <c r="U46" s="250" t="str">
        <f>IFERROR(__xludf.DUMMYFUNCTION("""COMPUTED_VALUE"""),"0.33")</f>
        <v>0.33</v>
      </c>
      <c r="V46" s="250"/>
      <c r="W46" s="250" t="str">
        <f>IFERROR(__xludf.DUMMYFUNCTION("""COMPUTED_VALUE"""),"-")</f>
        <v>-</v>
      </c>
      <c r="X46" s="250" t="str">
        <f>IFERROR(__xludf.DUMMYFUNCTION("""COMPUTED_VALUE"""),"-")</f>
        <v>-</v>
      </c>
      <c r="Y46" s="250"/>
      <c r="Z46" s="250" t="str">
        <f>IFERROR(__xludf.DUMMYFUNCTION("""COMPUTED_VALUE"""),"-")</f>
        <v>-</v>
      </c>
      <c r="AA46" s="235"/>
      <c r="AB46" s="235" t="str">
        <f>IFERROR(__xludf.DUMMYFUNCTION("""COMPUTED_VALUE"""),"dageki_1")</f>
        <v>dageki_1</v>
      </c>
      <c r="AC46" s="235"/>
    </row>
    <row r="47">
      <c r="A47" s="236"/>
      <c r="B47" s="248" t="str">
        <f>IFERROR(__xludf.DUMMYFUNCTION("""COMPUTED_VALUE"""),"enemy_chi_00201")</f>
        <v>enemy_chi_00201</v>
      </c>
      <c r="C47" s="246" t="str">
        <f>IFERROR(__xludf.DUMMYFUNCTION("""COMPUTED_VALUE"""),"_general_chi_vh")</f>
        <v>_general_chi_vh</v>
      </c>
      <c r="D47" s="246" t="str">
        <f>IFERROR(__xludf.DUMMYFUNCTION("""COMPUTED_VALUE"""),"e_chi_00201_general_chi_vh_Boss_Blue")</f>
        <v>e_chi_00201_general_chi_vh_Boss_Blue</v>
      </c>
      <c r="E47" s="246" t="str">
        <f>IFERROR(__xludf.DUMMYFUNCTION("""COMPUTED_VALUE"""),"チェンソーマン")</f>
        <v>チェンソーマン</v>
      </c>
      <c r="F47" s="247" t="str">
        <f>IFERROR(__xludf.DUMMYFUNCTION("""COMPUTED_VALUE"""),"コウモリの悪魔")</f>
        <v>コウモリの悪魔</v>
      </c>
      <c r="G47" s="247" t="str">
        <f>IFERROR(__xludf.DUMMYFUNCTION("""COMPUTED_VALUE"""),"コウモリの悪魔_general_chi_vh")</f>
        <v>コウモリの悪魔_general_chi_vh</v>
      </c>
      <c r="H47" s="248" t="str">
        <f>IFERROR(__xludf.DUMMYFUNCTION("""COMPUTED_VALUE"""),"Boss")</f>
        <v>Boss</v>
      </c>
      <c r="I47" s="248" t="str">
        <f>IFERROR(__xludf.DUMMYFUNCTION("""COMPUTED_VALUE"""),"Attack")</f>
        <v>Attack</v>
      </c>
      <c r="J47" s="248" t="str">
        <f>IFERROR(__xludf.DUMMYFUNCTION("""COMPUTED_VALUE"""),"Blue")</f>
        <v>Blue</v>
      </c>
      <c r="K47" s="248">
        <f>IFERROR(__xludf.DUMMYFUNCTION("""COMPUTED_VALUE"""),1000000.0)</f>
        <v>1000000</v>
      </c>
      <c r="L47" s="248">
        <f>IFERROR(__xludf.DUMMYFUNCTION("""COMPUTED_VALUE"""),3.0)</f>
        <v>3</v>
      </c>
      <c r="M47" s="248">
        <f>IFERROR(__xludf.DUMMYFUNCTION("""COMPUTED_VALUE"""),50.0)</f>
        <v>50</v>
      </c>
      <c r="N47" s="248">
        <f>IFERROR(__xludf.DUMMYFUNCTION("""COMPUTED_VALUE"""),0.2)</f>
        <v>0.2</v>
      </c>
      <c r="O47" s="248">
        <f>IFERROR(__xludf.DUMMYFUNCTION("""COMPUTED_VALUE"""),3000.0)</f>
        <v>3000</v>
      </c>
      <c r="P47" s="248">
        <f>IFERROR(__xludf.DUMMYFUNCTION("""COMPUTED_VALUE"""),0.0)</f>
        <v>0</v>
      </c>
      <c r="Q47" s="248"/>
      <c r="R47" s="248"/>
      <c r="S47" s="248">
        <f>IFERROR(__xludf.DUMMYFUNCTION("""COMPUTED_VALUE"""),0.0)</f>
        <v>0</v>
      </c>
      <c r="T47" s="249" t="str">
        <f>IFERROR(__xludf.DUMMYFUNCTION("""COMPUTED_VALUE"""),"1.34")</f>
        <v>1.34</v>
      </c>
      <c r="U47" s="250" t="str">
        <f>IFERROR(__xludf.DUMMYFUNCTION("""COMPUTED_VALUE"""),"0.33")</f>
        <v>0.33</v>
      </c>
      <c r="V47" s="250"/>
      <c r="W47" s="250" t="str">
        <f>IFERROR(__xludf.DUMMYFUNCTION("""COMPUTED_VALUE"""),"-")</f>
        <v>-</v>
      </c>
      <c r="X47" s="250" t="str">
        <f>IFERROR(__xludf.DUMMYFUNCTION("""COMPUTED_VALUE"""),"-")</f>
        <v>-</v>
      </c>
      <c r="Y47" s="250"/>
      <c r="Z47" s="250" t="str">
        <f>IFERROR(__xludf.DUMMYFUNCTION("""COMPUTED_VALUE"""),"-")</f>
        <v>-</v>
      </c>
      <c r="AA47" s="235"/>
      <c r="AB47" s="235" t="str">
        <f>IFERROR(__xludf.DUMMYFUNCTION("""COMPUTED_VALUE"""),"dageki_1")</f>
        <v>dageki_1</v>
      </c>
      <c r="AC47" s="235"/>
    </row>
    <row r="48">
      <c r="A48" s="236"/>
      <c r="B48" s="248" t="str">
        <f>IFERROR(__xludf.DUMMYFUNCTION("""COMPUTED_VALUE"""),"enemy_chi_00201")</f>
        <v>enemy_chi_00201</v>
      </c>
      <c r="C48" s="246" t="str">
        <f>IFERROR(__xludf.DUMMYFUNCTION("""COMPUTED_VALUE"""),"_general_chi_vh")</f>
        <v>_general_chi_vh</v>
      </c>
      <c r="D48" s="246" t="str">
        <f>IFERROR(__xludf.DUMMYFUNCTION("""COMPUTED_VALUE"""),"e_chi_00201_general_chi_vh_Normal_Yellow")</f>
        <v>e_chi_00201_general_chi_vh_Normal_Yellow</v>
      </c>
      <c r="E48" s="246" t="str">
        <f>IFERROR(__xludf.DUMMYFUNCTION("""COMPUTED_VALUE"""),"チェンソーマン")</f>
        <v>チェンソーマン</v>
      </c>
      <c r="F48" s="247" t="str">
        <f>IFERROR(__xludf.DUMMYFUNCTION("""COMPUTED_VALUE"""),"コウモリの悪魔")</f>
        <v>コウモリの悪魔</v>
      </c>
      <c r="G48" s="247" t="str">
        <f>IFERROR(__xludf.DUMMYFUNCTION("""COMPUTED_VALUE"""),"コウモリの悪魔_general_chi_vh")</f>
        <v>コウモリの悪魔_general_chi_vh</v>
      </c>
      <c r="H48" s="248" t="str">
        <f>IFERROR(__xludf.DUMMYFUNCTION("""COMPUTED_VALUE"""),"Normal")</f>
        <v>Normal</v>
      </c>
      <c r="I48" s="248" t="str">
        <f>IFERROR(__xludf.DUMMYFUNCTION("""COMPUTED_VALUE"""),"Attack")</f>
        <v>Attack</v>
      </c>
      <c r="J48" s="248" t="str">
        <f>IFERROR(__xludf.DUMMYFUNCTION("""COMPUTED_VALUE"""),"Yellow")</f>
        <v>Yellow</v>
      </c>
      <c r="K48" s="248">
        <f>IFERROR(__xludf.DUMMYFUNCTION("""COMPUTED_VALUE"""),500000.0)</f>
        <v>500000</v>
      </c>
      <c r="L48" s="248">
        <f>IFERROR(__xludf.DUMMYFUNCTION("""COMPUTED_VALUE"""),3.0)</f>
        <v>3</v>
      </c>
      <c r="M48" s="248">
        <f>IFERROR(__xludf.DUMMYFUNCTION("""COMPUTED_VALUE"""),50.0)</f>
        <v>50</v>
      </c>
      <c r="N48" s="248">
        <f>IFERROR(__xludf.DUMMYFUNCTION("""COMPUTED_VALUE"""),0.2)</f>
        <v>0.2</v>
      </c>
      <c r="O48" s="248">
        <f>IFERROR(__xludf.DUMMYFUNCTION("""COMPUTED_VALUE"""),2000.0)</f>
        <v>2000</v>
      </c>
      <c r="P48" s="248">
        <f>IFERROR(__xludf.DUMMYFUNCTION("""COMPUTED_VALUE"""),0.0)</f>
        <v>0</v>
      </c>
      <c r="Q48" s="248"/>
      <c r="R48" s="248"/>
      <c r="S48" s="248">
        <f>IFERROR(__xludf.DUMMYFUNCTION("""COMPUTED_VALUE"""),0.0)</f>
        <v>0</v>
      </c>
      <c r="T48" s="249" t="str">
        <f>IFERROR(__xludf.DUMMYFUNCTION("""COMPUTED_VALUE"""),"1.34")</f>
        <v>1.34</v>
      </c>
      <c r="U48" s="250" t="str">
        <f>IFERROR(__xludf.DUMMYFUNCTION("""COMPUTED_VALUE"""),"0.33")</f>
        <v>0.33</v>
      </c>
      <c r="V48" s="250"/>
      <c r="W48" s="250" t="str">
        <f>IFERROR(__xludf.DUMMYFUNCTION("""COMPUTED_VALUE"""),"-")</f>
        <v>-</v>
      </c>
      <c r="X48" s="250" t="str">
        <f>IFERROR(__xludf.DUMMYFUNCTION("""COMPUTED_VALUE"""),"-")</f>
        <v>-</v>
      </c>
      <c r="Y48" s="250"/>
      <c r="Z48" s="250" t="str">
        <f>IFERROR(__xludf.DUMMYFUNCTION("""COMPUTED_VALUE"""),"-")</f>
        <v>-</v>
      </c>
      <c r="AA48" s="235"/>
      <c r="AB48" s="235" t="str">
        <f>IFERROR(__xludf.DUMMYFUNCTION("""COMPUTED_VALUE"""),"dageki_1")</f>
        <v>dageki_1</v>
      </c>
      <c r="AC48" s="235"/>
    </row>
    <row r="49">
      <c r="A49" s="236"/>
      <c r="B49" s="248" t="str">
        <f>IFERROR(__xludf.DUMMYFUNCTION("""COMPUTED_VALUE"""),"enemy_chi_00201")</f>
        <v>enemy_chi_00201</v>
      </c>
      <c r="C49" s="246" t="str">
        <f>IFERROR(__xludf.DUMMYFUNCTION("""COMPUTED_VALUE"""),"_general_chi_vh2")</f>
        <v>_general_chi_vh2</v>
      </c>
      <c r="D49" s="246" t="str">
        <f>IFERROR(__xludf.DUMMYFUNCTION("""COMPUTED_VALUE"""),"e_chi_00201_general_chi_vh2_Normal_Yellow")</f>
        <v>e_chi_00201_general_chi_vh2_Normal_Yellow</v>
      </c>
      <c r="E49" s="246" t="str">
        <f>IFERROR(__xludf.DUMMYFUNCTION("""COMPUTED_VALUE"""),"チェンソーマン")</f>
        <v>チェンソーマン</v>
      </c>
      <c r="F49" s="247" t="str">
        <f>IFERROR(__xludf.DUMMYFUNCTION("""COMPUTED_VALUE"""),"コウモリの悪魔")</f>
        <v>コウモリの悪魔</v>
      </c>
      <c r="G49" s="247" t="str">
        <f>IFERROR(__xludf.DUMMYFUNCTION("""COMPUTED_VALUE"""),"コウモリの悪魔_general_chi_vh2")</f>
        <v>コウモリの悪魔_general_chi_vh2</v>
      </c>
      <c r="H49" s="248" t="str">
        <f>IFERROR(__xludf.DUMMYFUNCTION("""COMPUTED_VALUE"""),"Normal")</f>
        <v>Normal</v>
      </c>
      <c r="I49" s="248" t="str">
        <f>IFERROR(__xludf.DUMMYFUNCTION("""COMPUTED_VALUE"""),"Attack")</f>
        <v>Attack</v>
      </c>
      <c r="J49" s="248" t="str">
        <f>IFERROR(__xludf.DUMMYFUNCTION("""COMPUTED_VALUE"""),"Yellow")</f>
        <v>Yellow</v>
      </c>
      <c r="K49" s="248">
        <f>IFERROR(__xludf.DUMMYFUNCTION("""COMPUTED_VALUE"""),500000.0)</f>
        <v>500000</v>
      </c>
      <c r="L49" s="248">
        <f>IFERROR(__xludf.DUMMYFUNCTION("""COMPUTED_VALUE"""),3.0)</f>
        <v>3</v>
      </c>
      <c r="M49" s="248">
        <f>IFERROR(__xludf.DUMMYFUNCTION("""COMPUTED_VALUE"""),50.0)</f>
        <v>50</v>
      </c>
      <c r="N49" s="248">
        <f>IFERROR(__xludf.DUMMYFUNCTION("""COMPUTED_VALUE"""),0.2)</f>
        <v>0.2</v>
      </c>
      <c r="O49" s="248">
        <f>IFERROR(__xludf.DUMMYFUNCTION("""COMPUTED_VALUE"""),2000.0)</f>
        <v>2000</v>
      </c>
      <c r="P49" s="248">
        <f>IFERROR(__xludf.DUMMYFUNCTION("""COMPUTED_VALUE"""),0.0)</f>
        <v>0</v>
      </c>
      <c r="Q49" s="248"/>
      <c r="R49" s="248"/>
      <c r="S49" s="248">
        <f>IFERROR(__xludf.DUMMYFUNCTION("""COMPUTED_VALUE"""),0.0)</f>
        <v>0</v>
      </c>
      <c r="T49" s="249" t="str">
        <f>IFERROR(__xludf.DUMMYFUNCTION("""COMPUTED_VALUE"""),"1.34")</f>
        <v>1.34</v>
      </c>
      <c r="U49" s="250" t="str">
        <f>IFERROR(__xludf.DUMMYFUNCTION("""COMPUTED_VALUE"""),"0.33")</f>
        <v>0.33</v>
      </c>
      <c r="V49" s="250"/>
      <c r="W49" s="250" t="str">
        <f>IFERROR(__xludf.DUMMYFUNCTION("""COMPUTED_VALUE"""),"-")</f>
        <v>-</v>
      </c>
      <c r="X49" s="250" t="str">
        <f>IFERROR(__xludf.DUMMYFUNCTION("""COMPUTED_VALUE"""),"-")</f>
        <v>-</v>
      </c>
      <c r="Y49" s="250"/>
      <c r="Z49" s="250" t="str">
        <f>IFERROR(__xludf.DUMMYFUNCTION("""COMPUTED_VALUE"""),"-")</f>
        <v>-</v>
      </c>
      <c r="AA49" s="235"/>
      <c r="AB49" s="235" t="str">
        <f>IFERROR(__xludf.DUMMYFUNCTION("""COMPUTED_VALUE"""),"dageki_1")</f>
        <v>dageki_1</v>
      </c>
      <c r="AC49" s="235"/>
    </row>
    <row r="50">
      <c r="A50" s="236"/>
      <c r="B50" s="248" t="str">
        <f>IFERROR(__xludf.DUMMYFUNCTION("""COMPUTED_VALUE"""),"enemy_chi_00201")</f>
        <v>enemy_chi_00201</v>
      </c>
      <c r="C50" s="246" t="str">
        <f>IFERROR(__xludf.DUMMYFUNCTION("""COMPUTED_VALUE"""),"_general_chi_vh")</f>
        <v>_general_chi_vh</v>
      </c>
      <c r="D50" s="246" t="str">
        <f>IFERROR(__xludf.DUMMYFUNCTION("""COMPUTED_VALUE"""),"e_chi_00201_general_chi_vh_Boss_Yellow")</f>
        <v>e_chi_00201_general_chi_vh_Boss_Yellow</v>
      </c>
      <c r="E50" s="246" t="str">
        <f>IFERROR(__xludf.DUMMYFUNCTION("""COMPUTED_VALUE"""),"チェンソーマン")</f>
        <v>チェンソーマン</v>
      </c>
      <c r="F50" s="247" t="str">
        <f>IFERROR(__xludf.DUMMYFUNCTION("""COMPUTED_VALUE"""),"コウモリの悪魔")</f>
        <v>コウモリの悪魔</v>
      </c>
      <c r="G50" s="247" t="str">
        <f>IFERROR(__xludf.DUMMYFUNCTION("""COMPUTED_VALUE"""),"コウモリの悪魔_general_chi_vh")</f>
        <v>コウモリの悪魔_general_chi_vh</v>
      </c>
      <c r="H50" s="248" t="str">
        <f>IFERROR(__xludf.DUMMYFUNCTION("""COMPUTED_VALUE"""),"Boss")</f>
        <v>Boss</v>
      </c>
      <c r="I50" s="248" t="str">
        <f>IFERROR(__xludf.DUMMYFUNCTION("""COMPUTED_VALUE"""),"Attack")</f>
        <v>Attack</v>
      </c>
      <c r="J50" s="248" t="str">
        <f>IFERROR(__xludf.DUMMYFUNCTION("""COMPUTED_VALUE"""),"Yellow")</f>
        <v>Yellow</v>
      </c>
      <c r="K50" s="248">
        <f>IFERROR(__xludf.DUMMYFUNCTION("""COMPUTED_VALUE"""),1000000.0)</f>
        <v>1000000</v>
      </c>
      <c r="L50" s="248">
        <f>IFERROR(__xludf.DUMMYFUNCTION("""COMPUTED_VALUE"""),3.0)</f>
        <v>3</v>
      </c>
      <c r="M50" s="248">
        <f>IFERROR(__xludf.DUMMYFUNCTION("""COMPUTED_VALUE"""),50.0)</f>
        <v>50</v>
      </c>
      <c r="N50" s="248">
        <f>IFERROR(__xludf.DUMMYFUNCTION("""COMPUTED_VALUE"""),0.2)</f>
        <v>0.2</v>
      </c>
      <c r="O50" s="248">
        <f>IFERROR(__xludf.DUMMYFUNCTION("""COMPUTED_VALUE"""),3000.0)</f>
        <v>3000</v>
      </c>
      <c r="P50" s="248">
        <f>IFERROR(__xludf.DUMMYFUNCTION("""COMPUTED_VALUE"""),0.0)</f>
        <v>0</v>
      </c>
      <c r="Q50" s="248"/>
      <c r="R50" s="248"/>
      <c r="S50" s="248">
        <f>IFERROR(__xludf.DUMMYFUNCTION("""COMPUTED_VALUE"""),0.0)</f>
        <v>0</v>
      </c>
      <c r="T50" s="249" t="str">
        <f>IFERROR(__xludf.DUMMYFUNCTION("""COMPUTED_VALUE"""),"1.34")</f>
        <v>1.34</v>
      </c>
      <c r="U50" s="250" t="str">
        <f>IFERROR(__xludf.DUMMYFUNCTION("""COMPUTED_VALUE"""),"0.33")</f>
        <v>0.33</v>
      </c>
      <c r="V50" s="250"/>
      <c r="W50" s="250" t="str">
        <f>IFERROR(__xludf.DUMMYFUNCTION("""COMPUTED_VALUE"""),"-")</f>
        <v>-</v>
      </c>
      <c r="X50" s="250" t="str">
        <f>IFERROR(__xludf.DUMMYFUNCTION("""COMPUTED_VALUE"""),"-")</f>
        <v>-</v>
      </c>
      <c r="Y50" s="250"/>
      <c r="Z50" s="250" t="str">
        <f>IFERROR(__xludf.DUMMYFUNCTION("""COMPUTED_VALUE"""),"-")</f>
        <v>-</v>
      </c>
      <c r="AA50" s="235"/>
      <c r="AB50" s="235" t="str">
        <f>IFERROR(__xludf.DUMMYFUNCTION("""COMPUTED_VALUE"""),"dageki_1")</f>
        <v>dageki_1</v>
      </c>
      <c r="AC50" s="235"/>
    </row>
    <row r="51">
      <c r="A51" s="236"/>
      <c r="B51" s="248" t="str">
        <f>IFERROR(__xludf.DUMMYFUNCTION("""COMPUTED_VALUE"""),"chara_chi_00201")</f>
        <v>chara_chi_00201</v>
      </c>
      <c r="C51" s="246" t="str">
        <f>IFERROR(__xludf.DUMMYFUNCTION("""COMPUTED_VALUE"""),"_general_chi_vh")</f>
        <v>_general_chi_vh</v>
      </c>
      <c r="D51" s="246" t="str">
        <f>IFERROR(__xludf.DUMMYFUNCTION("""COMPUTED_VALUE"""),"c_chi_00201_general_chi_vh_Normal_Green")</f>
        <v>c_chi_00201_general_chi_vh_Normal_Green</v>
      </c>
      <c r="E51" s="246" t="str">
        <f>IFERROR(__xludf.DUMMYFUNCTION("""COMPUTED_VALUE"""),"チェンソーマン")</f>
        <v>チェンソーマン</v>
      </c>
      <c r="F51" s="247" t="str">
        <f>IFERROR(__xludf.DUMMYFUNCTION("""COMPUTED_VALUE"""),"早川 アキ")</f>
        <v>早川 アキ</v>
      </c>
      <c r="G51" s="247" t="str">
        <f>IFERROR(__xludf.DUMMYFUNCTION("""COMPUTED_VALUE"""),"早川 アキ_general_chi_vh")</f>
        <v>早川 アキ_general_chi_vh</v>
      </c>
      <c r="H51" s="248" t="str">
        <f>IFERROR(__xludf.DUMMYFUNCTION("""COMPUTED_VALUE"""),"Normal")</f>
        <v>Normal</v>
      </c>
      <c r="I51" s="248" t="str">
        <f>IFERROR(__xludf.DUMMYFUNCTION("""COMPUTED_VALUE"""),"Attack")</f>
        <v>Attack</v>
      </c>
      <c r="J51" s="248" t="str">
        <f>IFERROR(__xludf.DUMMYFUNCTION("""COMPUTED_VALUE"""),"Green")</f>
        <v>Green</v>
      </c>
      <c r="K51" s="248">
        <f>IFERROR(__xludf.DUMMYFUNCTION("""COMPUTED_VALUE"""),400000.0)</f>
        <v>400000</v>
      </c>
      <c r="L51" s="248">
        <f>IFERROR(__xludf.DUMMYFUNCTION("""COMPUTED_VALUE"""),1.0)</f>
        <v>1</v>
      </c>
      <c r="M51" s="248">
        <f>IFERROR(__xludf.DUMMYFUNCTION("""COMPUTED_VALUE"""),45.0)</f>
        <v>45</v>
      </c>
      <c r="N51" s="248">
        <f>IFERROR(__xludf.DUMMYFUNCTION("""COMPUTED_VALUE"""),0.11)</f>
        <v>0.11</v>
      </c>
      <c r="O51" s="248">
        <f>IFERROR(__xludf.DUMMYFUNCTION("""COMPUTED_VALUE"""),700.0)</f>
        <v>700</v>
      </c>
      <c r="P51" s="248">
        <f>IFERROR(__xludf.DUMMYFUNCTION("""COMPUTED_VALUE"""),0.0)</f>
        <v>0</v>
      </c>
      <c r="Q51" s="248"/>
      <c r="R51" s="248"/>
      <c r="S51" s="248">
        <f>IFERROR(__xludf.DUMMYFUNCTION("""COMPUTED_VALUE"""),0.0)</f>
        <v>0</v>
      </c>
      <c r="T51" s="249" t="str">
        <f>IFERROR(__xludf.DUMMYFUNCTION("""COMPUTED_VALUE"""),"1.60")</f>
        <v>1.60</v>
      </c>
      <c r="U51" s="250" t="str">
        <f>IFERROR(__xludf.DUMMYFUNCTION("""COMPUTED_VALUE"""),"0.84")</f>
        <v>0.84</v>
      </c>
      <c r="V51" s="250"/>
      <c r="W51" s="250" t="str">
        <f>IFERROR(__xludf.DUMMYFUNCTION("""COMPUTED_VALUE"""),"2.44")</f>
        <v>2.44</v>
      </c>
      <c r="X51" s="250" t="str">
        <f>IFERROR(__xludf.DUMMYFUNCTION("""COMPUTED_VALUE"""),"1.64")</f>
        <v>1.64</v>
      </c>
      <c r="Y51" s="250"/>
      <c r="Z51" s="250">
        <f>IFERROR(__xludf.DUMMYFUNCTION("""COMPUTED_VALUE"""),7.0)</f>
        <v>7</v>
      </c>
      <c r="AA51" s="235"/>
      <c r="AB51" s="235" t="str">
        <f>IFERROR(__xludf.DUMMYFUNCTION("""COMPUTED_VALUE"""),"dageki_1")</f>
        <v>dageki_1</v>
      </c>
      <c r="AC51" s="235"/>
    </row>
    <row r="52">
      <c r="A52" s="236"/>
      <c r="B52" s="248" t="str">
        <f>IFERROR(__xludf.DUMMYFUNCTION("""COMPUTED_VALUE"""),"chara_chi_00201")</f>
        <v>chara_chi_00201</v>
      </c>
      <c r="C52" s="246" t="str">
        <f>IFERROR(__xludf.DUMMYFUNCTION("""COMPUTED_VALUE"""),"_general_chi_vh")</f>
        <v>_general_chi_vh</v>
      </c>
      <c r="D52" s="246" t="str">
        <f>IFERROR(__xludf.DUMMYFUNCTION("""COMPUTED_VALUE"""),"c_chi_00201_general_chi_vh_Boss_Red")</f>
        <v>c_chi_00201_general_chi_vh_Boss_Red</v>
      </c>
      <c r="E52" s="246" t="str">
        <f>IFERROR(__xludf.DUMMYFUNCTION("""COMPUTED_VALUE"""),"チェンソーマン")</f>
        <v>チェンソーマン</v>
      </c>
      <c r="F52" s="247" t="str">
        <f>IFERROR(__xludf.DUMMYFUNCTION("""COMPUTED_VALUE"""),"早川 アキ")</f>
        <v>早川 アキ</v>
      </c>
      <c r="G52" s="247" t="str">
        <f>IFERROR(__xludf.DUMMYFUNCTION("""COMPUTED_VALUE"""),"早川 アキ_general_chi_vh")</f>
        <v>早川 アキ_general_chi_vh</v>
      </c>
      <c r="H52" s="248" t="str">
        <f>IFERROR(__xludf.DUMMYFUNCTION("""COMPUTED_VALUE"""),"Boss")</f>
        <v>Boss</v>
      </c>
      <c r="I52" s="248" t="str">
        <f>IFERROR(__xludf.DUMMYFUNCTION("""COMPUTED_VALUE"""),"Attack")</f>
        <v>Attack</v>
      </c>
      <c r="J52" s="248" t="str">
        <f>IFERROR(__xludf.DUMMYFUNCTION("""COMPUTED_VALUE"""),"Red")</f>
        <v>Red</v>
      </c>
      <c r="K52" s="248">
        <f>IFERROR(__xludf.DUMMYFUNCTION("""COMPUTED_VALUE"""),100000.0)</f>
        <v>100000</v>
      </c>
      <c r="L52" s="248">
        <f>IFERROR(__xludf.DUMMYFUNCTION("""COMPUTED_VALUE"""),3.0)</f>
        <v>3</v>
      </c>
      <c r="M52" s="248">
        <f>IFERROR(__xludf.DUMMYFUNCTION("""COMPUTED_VALUE"""),45.0)</f>
        <v>45</v>
      </c>
      <c r="N52" s="248">
        <f>IFERROR(__xludf.DUMMYFUNCTION("""COMPUTED_VALUE"""),0.11)</f>
        <v>0.11</v>
      </c>
      <c r="O52" s="248">
        <f>IFERROR(__xludf.DUMMYFUNCTION("""COMPUTED_VALUE"""),300.0)</f>
        <v>300</v>
      </c>
      <c r="P52" s="248">
        <f>IFERROR(__xludf.DUMMYFUNCTION("""COMPUTED_VALUE"""),0.0)</f>
        <v>0</v>
      </c>
      <c r="Q52" s="248"/>
      <c r="R52" s="248"/>
      <c r="S52" s="248">
        <f>IFERROR(__xludf.DUMMYFUNCTION("""COMPUTED_VALUE"""),0.0)</f>
        <v>0</v>
      </c>
      <c r="T52" s="249" t="str">
        <f>IFERROR(__xludf.DUMMYFUNCTION("""COMPUTED_VALUE"""),"1.60")</f>
        <v>1.60</v>
      </c>
      <c r="U52" s="250" t="str">
        <f>IFERROR(__xludf.DUMMYFUNCTION("""COMPUTED_VALUE"""),"0.84")</f>
        <v>0.84</v>
      </c>
      <c r="V52" s="250"/>
      <c r="W52" s="250" t="str">
        <f>IFERROR(__xludf.DUMMYFUNCTION("""COMPUTED_VALUE"""),"2.44")</f>
        <v>2.44</v>
      </c>
      <c r="X52" s="250" t="str">
        <f>IFERROR(__xludf.DUMMYFUNCTION("""COMPUTED_VALUE"""),"1.64")</f>
        <v>1.64</v>
      </c>
      <c r="Y52" s="250" t="str">
        <f>IFERROR(__xludf.DUMMYFUNCTION("""COMPUTED_VALUE"""),"単体に100000%ダメージ")</f>
        <v>単体に100000%ダメージ</v>
      </c>
      <c r="Z52" s="250">
        <f>IFERROR(__xludf.DUMMYFUNCTION("""COMPUTED_VALUE"""),7.0)</f>
        <v>7</v>
      </c>
      <c r="AA52" s="235"/>
      <c r="AB52" s="235" t="str">
        <f>IFERROR(__xludf.DUMMYFUNCTION("""COMPUTED_VALUE"""),"dageki_1")</f>
        <v>dageki_1</v>
      </c>
      <c r="AC52" s="235"/>
    </row>
    <row r="53">
      <c r="A53" s="236"/>
      <c r="B53" s="248" t="str">
        <f>IFERROR(__xludf.DUMMYFUNCTION("""COMPUTED_VALUE"""),"chara_chi_00201")</f>
        <v>chara_chi_00201</v>
      </c>
      <c r="C53" s="246" t="str">
        <f>IFERROR(__xludf.DUMMYFUNCTION("""COMPUTED_VALUE"""),"_general_chi_vh")</f>
        <v>_general_chi_vh</v>
      </c>
      <c r="D53" s="246" t="str">
        <f>IFERROR(__xludf.DUMMYFUNCTION("""COMPUTED_VALUE"""),"c_chi_00201_general_chi_vh_Normal_Yellow")</f>
        <v>c_chi_00201_general_chi_vh_Normal_Yellow</v>
      </c>
      <c r="E53" s="246" t="str">
        <f>IFERROR(__xludf.DUMMYFUNCTION("""COMPUTED_VALUE"""),"チェンソーマン")</f>
        <v>チェンソーマン</v>
      </c>
      <c r="F53" s="247" t="str">
        <f>IFERROR(__xludf.DUMMYFUNCTION("""COMPUTED_VALUE"""),"早川 アキ")</f>
        <v>早川 アキ</v>
      </c>
      <c r="G53" s="247" t="str">
        <f>IFERROR(__xludf.DUMMYFUNCTION("""COMPUTED_VALUE"""),"早川 アキ_general_chi_vh")</f>
        <v>早川 アキ_general_chi_vh</v>
      </c>
      <c r="H53" s="248" t="str">
        <f>IFERROR(__xludf.DUMMYFUNCTION("""COMPUTED_VALUE"""),"Normal")</f>
        <v>Normal</v>
      </c>
      <c r="I53" s="248" t="str">
        <f>IFERROR(__xludf.DUMMYFUNCTION("""COMPUTED_VALUE"""),"Attack")</f>
        <v>Attack</v>
      </c>
      <c r="J53" s="248" t="str">
        <f>IFERROR(__xludf.DUMMYFUNCTION("""COMPUTED_VALUE"""),"Yellow")</f>
        <v>Yellow</v>
      </c>
      <c r="K53" s="248">
        <f>IFERROR(__xludf.DUMMYFUNCTION("""COMPUTED_VALUE"""),100000.0)</f>
        <v>100000</v>
      </c>
      <c r="L53" s="248">
        <f>IFERROR(__xludf.DUMMYFUNCTION("""COMPUTED_VALUE"""),2.0)</f>
        <v>2</v>
      </c>
      <c r="M53" s="248">
        <f>IFERROR(__xludf.DUMMYFUNCTION("""COMPUTED_VALUE"""),45.0)</f>
        <v>45</v>
      </c>
      <c r="N53" s="248">
        <f>IFERROR(__xludf.DUMMYFUNCTION("""COMPUTED_VALUE"""),0.11)</f>
        <v>0.11</v>
      </c>
      <c r="O53" s="248">
        <f>IFERROR(__xludf.DUMMYFUNCTION("""COMPUTED_VALUE"""),300.0)</f>
        <v>300</v>
      </c>
      <c r="P53" s="248">
        <f>IFERROR(__xludf.DUMMYFUNCTION("""COMPUTED_VALUE"""),0.0)</f>
        <v>0</v>
      </c>
      <c r="Q53" s="248"/>
      <c r="R53" s="248"/>
      <c r="S53" s="248">
        <f>IFERROR(__xludf.DUMMYFUNCTION("""COMPUTED_VALUE"""),0.0)</f>
        <v>0</v>
      </c>
      <c r="T53" s="249" t="str">
        <f>IFERROR(__xludf.DUMMYFUNCTION("""COMPUTED_VALUE"""),"1.60")</f>
        <v>1.60</v>
      </c>
      <c r="U53" s="250" t="str">
        <f>IFERROR(__xludf.DUMMYFUNCTION("""COMPUTED_VALUE"""),"0.84")</f>
        <v>0.84</v>
      </c>
      <c r="V53" s="250"/>
      <c r="W53" s="250" t="str">
        <f>IFERROR(__xludf.DUMMYFUNCTION("""COMPUTED_VALUE"""),"2.44")</f>
        <v>2.44</v>
      </c>
      <c r="X53" s="250" t="str">
        <f>IFERROR(__xludf.DUMMYFUNCTION("""COMPUTED_VALUE"""),"1.64")</f>
        <v>1.64</v>
      </c>
      <c r="Y53" s="250"/>
      <c r="Z53" s="250">
        <f>IFERROR(__xludf.DUMMYFUNCTION("""COMPUTED_VALUE"""),7.0)</f>
        <v>7</v>
      </c>
      <c r="AA53" s="235"/>
      <c r="AB53" s="235" t="str">
        <f>IFERROR(__xludf.DUMMYFUNCTION("""COMPUTED_VALUE"""),"dageki_1")</f>
        <v>dageki_1</v>
      </c>
      <c r="AC53" s="235"/>
    </row>
    <row r="54">
      <c r="A54" s="236"/>
      <c r="B54" s="248" t="str">
        <f>IFERROR(__xludf.DUMMYFUNCTION("""COMPUTED_VALUE"""),"chara_chi_00301")</f>
        <v>chara_chi_00301</v>
      </c>
      <c r="C54" s="246" t="str">
        <f>IFERROR(__xludf.DUMMYFUNCTION("""COMPUTED_VALUE"""),"_general_chi_vh")</f>
        <v>_general_chi_vh</v>
      </c>
      <c r="D54" s="246" t="str">
        <f>IFERROR(__xludf.DUMMYFUNCTION("""COMPUTED_VALUE"""),"c_chi_00301_general_chi_vh_Normal_Green")</f>
        <v>c_chi_00301_general_chi_vh_Normal_Green</v>
      </c>
      <c r="E54" s="246" t="str">
        <f>IFERROR(__xludf.DUMMYFUNCTION("""COMPUTED_VALUE"""),"チェンソーマン")</f>
        <v>チェンソーマン</v>
      </c>
      <c r="F54" s="247" t="str">
        <f>IFERROR(__xludf.DUMMYFUNCTION("""COMPUTED_VALUE"""),"パワー")</f>
        <v>パワー</v>
      </c>
      <c r="G54" s="247" t="str">
        <f>IFERROR(__xludf.DUMMYFUNCTION("""COMPUTED_VALUE"""),"パワー_general_chi_vh")</f>
        <v>パワー_general_chi_vh</v>
      </c>
      <c r="H54" s="248" t="str">
        <f>IFERROR(__xludf.DUMMYFUNCTION("""COMPUTED_VALUE"""),"Normal")</f>
        <v>Normal</v>
      </c>
      <c r="I54" s="248" t="str">
        <f>IFERROR(__xludf.DUMMYFUNCTION("""COMPUTED_VALUE"""),"Attack")</f>
        <v>Attack</v>
      </c>
      <c r="J54" s="248" t="str">
        <f>IFERROR(__xludf.DUMMYFUNCTION("""COMPUTED_VALUE"""),"Green")</f>
        <v>Green</v>
      </c>
      <c r="K54" s="248">
        <f>IFERROR(__xludf.DUMMYFUNCTION("""COMPUTED_VALUE"""),250000.0)</f>
        <v>250000</v>
      </c>
      <c r="L54" s="248">
        <f>IFERROR(__xludf.DUMMYFUNCTION("""COMPUTED_VALUE"""),2.0)</f>
        <v>2</v>
      </c>
      <c r="M54" s="248">
        <f>IFERROR(__xludf.DUMMYFUNCTION("""COMPUTED_VALUE"""),45.0)</f>
        <v>45</v>
      </c>
      <c r="N54" s="248">
        <f>IFERROR(__xludf.DUMMYFUNCTION("""COMPUTED_VALUE"""),0.2)</f>
        <v>0.2</v>
      </c>
      <c r="O54" s="248">
        <f>IFERROR(__xludf.DUMMYFUNCTION("""COMPUTED_VALUE"""),500.0)</f>
        <v>500</v>
      </c>
      <c r="P54" s="248">
        <f>IFERROR(__xludf.DUMMYFUNCTION("""COMPUTED_VALUE"""),0.0)</f>
        <v>0</v>
      </c>
      <c r="Q54" s="248"/>
      <c r="R54" s="248"/>
      <c r="S54" s="248">
        <f>IFERROR(__xludf.DUMMYFUNCTION("""COMPUTED_VALUE"""),0.0)</f>
        <v>0</v>
      </c>
      <c r="T54" s="249" t="str">
        <f>IFERROR(__xludf.DUMMYFUNCTION("""COMPUTED_VALUE"""),"1.50")</f>
        <v>1.50</v>
      </c>
      <c r="U54" s="250" t="str">
        <f>IFERROR(__xludf.DUMMYFUNCTION("""COMPUTED_VALUE"""),"0.58")</f>
        <v>0.58</v>
      </c>
      <c r="V54" s="250"/>
      <c r="W54" s="250" t="str">
        <f>IFERROR(__xludf.DUMMYFUNCTION("""COMPUTED_VALUE"""),"2.67")</f>
        <v>2.67</v>
      </c>
      <c r="X54" s="250" t="str">
        <f>IFERROR(__xludf.DUMMYFUNCTION("""COMPUTED_VALUE"""),"1.00")</f>
        <v>1.00</v>
      </c>
      <c r="Y54" s="250" t="str">
        <f>IFERROR(__xludf.DUMMYFUNCTION("""COMPUTED_VALUE"""),"100%の確率で3秒間スタン")</f>
        <v>100%の確率で3秒間スタン</v>
      </c>
      <c r="Z54" s="250">
        <f>IFERROR(__xludf.DUMMYFUNCTION("""COMPUTED_VALUE"""),7.0)</f>
        <v>7</v>
      </c>
      <c r="AA54" s="235"/>
      <c r="AB54" s="235" t="str">
        <f>IFERROR(__xludf.DUMMYFUNCTION("""COMPUTED_VALUE"""),"dageki_1")</f>
        <v>dageki_1</v>
      </c>
      <c r="AC54" s="235"/>
    </row>
    <row r="55">
      <c r="A55" s="236"/>
      <c r="B55" s="248" t="str">
        <f>IFERROR(__xludf.DUMMYFUNCTION("""COMPUTED_VALUE"""),"chara_chi_00002")</f>
        <v>chara_chi_00002</v>
      </c>
      <c r="C55" s="246" t="str">
        <f>IFERROR(__xludf.DUMMYFUNCTION("""COMPUTED_VALUE"""),"_general_chi_vh")</f>
        <v>_general_chi_vh</v>
      </c>
      <c r="D55" s="246" t="str">
        <f>IFERROR(__xludf.DUMMYFUNCTION("""COMPUTED_VALUE"""),"c_chi_00002_general_chi_vh_Boss_Blue")</f>
        <v>c_chi_00002_general_chi_vh_Boss_Blue</v>
      </c>
      <c r="E55" s="246" t="str">
        <f>IFERROR(__xludf.DUMMYFUNCTION("""COMPUTED_VALUE"""),"チェンソーマン")</f>
        <v>チェンソーマン</v>
      </c>
      <c r="F55" s="247" t="str">
        <f>IFERROR(__xludf.DUMMYFUNCTION("""COMPUTED_VALUE"""),"悪魔が恐れる悪魔 チェンソーマン")</f>
        <v>悪魔が恐れる悪魔 チェンソーマン</v>
      </c>
      <c r="G55" s="247" t="str">
        <f>IFERROR(__xludf.DUMMYFUNCTION("""COMPUTED_VALUE"""),"悪魔が恐れる悪魔 チェンソーマン_general_chi_vh")</f>
        <v>悪魔が恐れる悪魔 チェンソーマン_general_chi_vh</v>
      </c>
      <c r="H55" s="248" t="str">
        <f>IFERROR(__xludf.DUMMYFUNCTION("""COMPUTED_VALUE"""),"Boss")</f>
        <v>Boss</v>
      </c>
      <c r="I55" s="248" t="str">
        <f>IFERROR(__xludf.DUMMYFUNCTION("""COMPUTED_VALUE"""),"Technical")</f>
        <v>Technical</v>
      </c>
      <c r="J55" s="248" t="str">
        <f>IFERROR(__xludf.DUMMYFUNCTION("""COMPUTED_VALUE"""),"Blue")</f>
        <v>Blue</v>
      </c>
      <c r="K55" s="248">
        <f>IFERROR(__xludf.DUMMYFUNCTION("""COMPUTED_VALUE"""),500000.0)</f>
        <v>500000</v>
      </c>
      <c r="L55" s="248">
        <f>IFERROR(__xludf.DUMMYFUNCTION("""COMPUTED_VALUE"""),2.0)</f>
        <v>2</v>
      </c>
      <c r="M55" s="248">
        <f>IFERROR(__xludf.DUMMYFUNCTION("""COMPUTED_VALUE"""),50.0)</f>
        <v>50</v>
      </c>
      <c r="N55" s="248">
        <f>IFERROR(__xludf.DUMMYFUNCTION("""COMPUTED_VALUE"""),0.15)</f>
        <v>0.15</v>
      </c>
      <c r="O55" s="248">
        <f>IFERROR(__xludf.DUMMYFUNCTION("""COMPUTED_VALUE"""),1000.0)</f>
        <v>1000</v>
      </c>
      <c r="P55" s="248">
        <f>IFERROR(__xludf.DUMMYFUNCTION("""COMPUTED_VALUE"""),0.0)</f>
        <v>0</v>
      </c>
      <c r="Q55" s="248"/>
      <c r="R55" s="248"/>
      <c r="S55" s="248">
        <f>IFERROR(__xludf.DUMMYFUNCTION("""COMPUTED_VALUE"""),0.0)</f>
        <v>0</v>
      </c>
      <c r="T55" s="249" t="str">
        <f>IFERROR(__xludf.DUMMYFUNCTION("""COMPUTED_VALUE"""),"1.07")</f>
        <v>1.07</v>
      </c>
      <c r="U55" s="250" t="str">
        <f>IFERROR(__xludf.DUMMYFUNCTION("""COMPUTED_VALUE"""),"stop無:1回目 0.66")</f>
        <v>stop無:1回目 0.66</v>
      </c>
      <c r="V55" s="250"/>
      <c r="W55" s="250" t="str">
        <f>IFERROR(__xludf.DUMMYFUNCTION("""COMPUTED_VALUE"""),"3.74")</f>
        <v>3.74</v>
      </c>
      <c r="X55" s="250"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Y55" s="250"/>
      <c r="Z55" s="250">
        <f>IFERROR(__xludf.DUMMYFUNCTION("""COMPUTED_VALUE"""),5.0)</f>
        <v>5</v>
      </c>
      <c r="AA55" s="235"/>
      <c r="AB55" s="235" t="str">
        <f>IFERROR(__xludf.DUMMYFUNCTION("""COMPUTED_VALUE"""),"zangeki_1")</f>
        <v>zangeki_1</v>
      </c>
      <c r="AC55" s="235"/>
    </row>
    <row r="56">
      <c r="A56" s="236"/>
      <c r="B56" s="248" t="str">
        <f>IFERROR(__xludf.DUMMYFUNCTION("""COMPUTED_VALUE"""),"chara_chi_00001")</f>
        <v>chara_chi_00001</v>
      </c>
      <c r="C56" s="246" t="str">
        <f>IFERROR(__xludf.DUMMYFUNCTION("""COMPUTED_VALUE"""),"_general_chi_vh2")</f>
        <v>_general_chi_vh2</v>
      </c>
      <c r="D56" s="246" t="str">
        <f>IFERROR(__xludf.DUMMYFUNCTION("""COMPUTED_VALUE"""),"c_chi_00001_general_chi_vh2_Normal_Blue")</f>
        <v>c_chi_00001_general_chi_vh2_Normal_Blue</v>
      </c>
      <c r="E56" s="246" t="str">
        <f>IFERROR(__xludf.DUMMYFUNCTION("""COMPUTED_VALUE"""),"チェンソーマン")</f>
        <v>チェンソーマン</v>
      </c>
      <c r="F56" s="247" t="str">
        <f>IFERROR(__xludf.DUMMYFUNCTION("""COMPUTED_VALUE"""),"デンジ")</f>
        <v>デンジ</v>
      </c>
      <c r="G56" s="247" t="str">
        <f>IFERROR(__xludf.DUMMYFUNCTION("""COMPUTED_VALUE"""),"デンジ_general_chi_vh2")</f>
        <v>デンジ_general_chi_vh2</v>
      </c>
      <c r="H56" s="248" t="str">
        <f>IFERROR(__xludf.DUMMYFUNCTION("""COMPUTED_VALUE"""),"Normal")</f>
        <v>Normal</v>
      </c>
      <c r="I56" s="248" t="str">
        <f>IFERROR(__xludf.DUMMYFUNCTION("""COMPUTED_VALUE"""),"Attack")</f>
        <v>Attack</v>
      </c>
      <c r="J56" s="248" t="str">
        <f>IFERROR(__xludf.DUMMYFUNCTION("""COMPUTED_VALUE"""),"Yellow")</f>
        <v>Yellow</v>
      </c>
      <c r="K56" s="248">
        <f>IFERROR(__xludf.DUMMYFUNCTION("""COMPUTED_VALUE"""),500000.0)</f>
        <v>500000</v>
      </c>
      <c r="L56" s="248">
        <f>IFERROR(__xludf.DUMMYFUNCTION("""COMPUTED_VALUE"""),2.0)</f>
        <v>2</v>
      </c>
      <c r="M56" s="248">
        <f>IFERROR(__xludf.DUMMYFUNCTION("""COMPUTED_VALUE"""),50.0)</f>
        <v>50</v>
      </c>
      <c r="N56" s="248">
        <f>IFERROR(__xludf.DUMMYFUNCTION("""COMPUTED_VALUE"""),0.15)</f>
        <v>0.15</v>
      </c>
      <c r="O56" s="248">
        <f>IFERROR(__xludf.DUMMYFUNCTION("""COMPUTED_VALUE"""),1000.0)</f>
        <v>1000</v>
      </c>
      <c r="P56" s="248">
        <f>IFERROR(__xludf.DUMMYFUNCTION("""COMPUTED_VALUE"""),0.0)</f>
        <v>0</v>
      </c>
      <c r="Q56" s="248"/>
      <c r="R56" s="248"/>
      <c r="S56" s="248">
        <f>IFERROR(__xludf.DUMMYFUNCTION("""COMPUTED_VALUE"""),0.0)</f>
        <v>0</v>
      </c>
      <c r="T56" s="249" t="str">
        <f>IFERROR(__xludf.DUMMYFUNCTION("""COMPUTED_VALUE"""),"1.40")</f>
        <v>1.40</v>
      </c>
      <c r="U56" s="250" t="str">
        <f>IFERROR(__xludf.DUMMYFUNCTION("""COMPUTED_VALUE"""),"0.53")</f>
        <v>0.53</v>
      </c>
      <c r="V56" s="250"/>
      <c r="W56" s="250" t="str">
        <f>IFERROR(__xludf.DUMMYFUNCTION("""COMPUTED_VALUE"""),"3.37")</f>
        <v>3.37</v>
      </c>
      <c r="X56" s="250" t="str">
        <f>IFERROR(__xludf.DUMMYFUNCTION("""COMPUTED_VALUE"""),"1.57")</f>
        <v>1.57</v>
      </c>
      <c r="Y56" s="250" t="str">
        <f>IFERROR(__xludf.DUMMYFUNCTION("""COMPUTED_VALUE"""),"大ノックバック")</f>
        <v>大ノックバック</v>
      </c>
      <c r="Z56" s="250">
        <f>IFERROR(__xludf.DUMMYFUNCTION("""COMPUTED_VALUE"""),5.0)</f>
        <v>5</v>
      </c>
      <c r="AA56" s="235"/>
      <c r="AB56" s="235" t="str">
        <f>IFERROR(__xludf.DUMMYFUNCTION("""COMPUTED_VALUE"""),"zangeki_1")</f>
        <v>zangeki_1</v>
      </c>
      <c r="AC56" s="235"/>
    </row>
    <row r="57">
      <c r="A57" s="236"/>
      <c r="B57" s="248" t="str">
        <f>IFERROR(__xludf.DUMMYFUNCTION("""COMPUTED_VALUE"""),"chara_chi_00001")</f>
        <v>chara_chi_00001</v>
      </c>
      <c r="C57" s="246" t="str">
        <f>IFERROR(__xludf.DUMMYFUNCTION("""COMPUTED_VALUE"""),"_general_chi_vh")</f>
        <v>_general_chi_vh</v>
      </c>
      <c r="D57" s="246" t="str">
        <f>IFERROR(__xludf.DUMMYFUNCTION("""COMPUTED_VALUE"""),"c_chi_00001_general_chi_vh_Boss_Blue")</f>
        <v>c_chi_00001_general_chi_vh_Boss_Blue</v>
      </c>
      <c r="E57" s="246" t="str">
        <f>IFERROR(__xludf.DUMMYFUNCTION("""COMPUTED_VALUE"""),"チェンソーマン")</f>
        <v>チェンソーマン</v>
      </c>
      <c r="F57" s="247" t="str">
        <f>IFERROR(__xludf.DUMMYFUNCTION("""COMPUTED_VALUE"""),"デンジ")</f>
        <v>デンジ</v>
      </c>
      <c r="G57" s="247" t="str">
        <f>IFERROR(__xludf.DUMMYFUNCTION("""COMPUTED_VALUE"""),"デンジ_general_chi_vh")</f>
        <v>デンジ_general_chi_vh</v>
      </c>
      <c r="H57" s="248" t="str">
        <f>IFERROR(__xludf.DUMMYFUNCTION("""COMPUTED_VALUE"""),"Boss")</f>
        <v>Boss</v>
      </c>
      <c r="I57" s="248" t="str">
        <f>IFERROR(__xludf.DUMMYFUNCTION("""COMPUTED_VALUE"""),"Attack")</f>
        <v>Attack</v>
      </c>
      <c r="J57" s="248" t="str">
        <f>IFERROR(__xludf.DUMMYFUNCTION("""COMPUTED_VALUE"""),"Blue")</f>
        <v>Blue</v>
      </c>
      <c r="K57" s="248">
        <f>IFERROR(__xludf.DUMMYFUNCTION("""COMPUTED_VALUE"""),500000.0)</f>
        <v>500000</v>
      </c>
      <c r="L57" s="248">
        <f>IFERROR(__xludf.DUMMYFUNCTION("""COMPUTED_VALUE"""),2.0)</f>
        <v>2</v>
      </c>
      <c r="M57" s="248">
        <f>IFERROR(__xludf.DUMMYFUNCTION("""COMPUTED_VALUE"""),50.0)</f>
        <v>50</v>
      </c>
      <c r="N57" s="248">
        <f>IFERROR(__xludf.DUMMYFUNCTION("""COMPUTED_VALUE"""),0.15)</f>
        <v>0.15</v>
      </c>
      <c r="O57" s="248">
        <f>IFERROR(__xludf.DUMMYFUNCTION("""COMPUTED_VALUE"""),1000.0)</f>
        <v>1000</v>
      </c>
      <c r="P57" s="248">
        <f>IFERROR(__xludf.DUMMYFUNCTION("""COMPUTED_VALUE"""),0.0)</f>
        <v>0</v>
      </c>
      <c r="Q57" s="248"/>
      <c r="R57" s="248"/>
      <c r="S57" s="248">
        <f>IFERROR(__xludf.DUMMYFUNCTION("""COMPUTED_VALUE"""),0.0)</f>
        <v>0</v>
      </c>
      <c r="T57" s="249" t="str">
        <f>IFERROR(__xludf.DUMMYFUNCTION("""COMPUTED_VALUE"""),"1.40")</f>
        <v>1.40</v>
      </c>
      <c r="U57" s="250" t="str">
        <f>IFERROR(__xludf.DUMMYFUNCTION("""COMPUTED_VALUE"""),"0.53")</f>
        <v>0.53</v>
      </c>
      <c r="V57" s="250"/>
      <c r="W57" s="250" t="str">
        <f>IFERROR(__xludf.DUMMYFUNCTION("""COMPUTED_VALUE"""),"3.37")</f>
        <v>3.37</v>
      </c>
      <c r="X57" s="250" t="str">
        <f>IFERROR(__xludf.DUMMYFUNCTION("""COMPUTED_VALUE"""),"1.57")</f>
        <v>1.57</v>
      </c>
      <c r="Y57" s="250" t="str">
        <f>IFERROR(__xludf.DUMMYFUNCTION("""COMPUTED_VALUE"""),"大ノックバック")</f>
        <v>大ノックバック</v>
      </c>
      <c r="Z57" s="250">
        <f>IFERROR(__xludf.DUMMYFUNCTION("""COMPUTED_VALUE"""),5.0)</f>
        <v>5</v>
      </c>
      <c r="AA57" s="235"/>
      <c r="AB57" s="235" t="str">
        <f>IFERROR(__xludf.DUMMYFUNCTION("""COMPUTED_VALUE"""),"zangeki_1")</f>
        <v>zangeki_1</v>
      </c>
      <c r="AC57" s="235"/>
    </row>
    <row r="58">
      <c r="A58" s="236"/>
      <c r="B58" s="248"/>
      <c r="C58" s="246"/>
      <c r="D58" s="246" t="str">
        <f>IFERROR(__xludf.DUMMYFUNCTION("""COMPUTED_VALUE"""),"___")</f>
        <v>___</v>
      </c>
      <c r="E58" s="246" t="str">
        <f>IFERROR(__xludf.DUMMYFUNCTION("""COMPUTED_VALUE"""),"none")</f>
        <v>none</v>
      </c>
      <c r="F58" s="247" t="str">
        <f>IFERROR(__xludf.DUMMYFUNCTION("""COMPUTED_VALUE"""),"none")</f>
        <v>none</v>
      </c>
      <c r="G58" s="247" t="str">
        <f>IFERROR(__xludf.DUMMYFUNCTION("""COMPUTED_VALUE"""),"none")</f>
        <v>none</v>
      </c>
      <c r="H58" s="248"/>
      <c r="I58" s="248" t="str">
        <f>IFERROR(__xludf.DUMMYFUNCTION("""COMPUTED_VALUE"""),"none")</f>
        <v>none</v>
      </c>
      <c r="J58" s="248"/>
      <c r="K58" s="248"/>
      <c r="L58" s="248"/>
      <c r="M58" s="248"/>
      <c r="N58" s="248"/>
      <c r="O58" s="248"/>
      <c r="P58" s="248"/>
      <c r="Q58" s="248"/>
      <c r="R58" s="248"/>
      <c r="S58" s="248"/>
      <c r="T58" s="249" t="str">
        <f>IFERROR(__xludf.DUMMYFUNCTION("""COMPUTED_VALUE"""),"none")</f>
        <v>none</v>
      </c>
      <c r="U58" s="250" t="str">
        <f>IFERROR(__xludf.DUMMYFUNCTION("""COMPUTED_VALUE"""),"none")</f>
        <v>none</v>
      </c>
      <c r="V58" s="250"/>
      <c r="W58" s="250" t="str">
        <f>IFERROR(__xludf.DUMMYFUNCTION("""COMPUTED_VALUE"""),"none")</f>
        <v>none</v>
      </c>
      <c r="X58" s="250" t="str">
        <f>IFERROR(__xludf.DUMMYFUNCTION("""COMPUTED_VALUE"""),"none")</f>
        <v>none</v>
      </c>
      <c r="Y58" s="250"/>
      <c r="Z58" s="250"/>
      <c r="AA58" s="235"/>
      <c r="AB58" s="235" t="str">
        <f>IFERROR(__xludf.DUMMYFUNCTION("""COMPUTED_VALUE"""),"none")</f>
        <v>none</v>
      </c>
      <c r="AC58" s="235"/>
    </row>
    <row r="59">
      <c r="A59" s="236"/>
      <c r="B59" s="248" t="str">
        <f>IFERROR(__xludf.DUMMYFUNCTION("""COMPUTED_VALUE"""),"enemy_sur_00101")</f>
        <v>enemy_sur_00101</v>
      </c>
      <c r="C59" s="246" t="str">
        <f>IFERROR(__xludf.DUMMYFUNCTION("""COMPUTED_VALUE"""),"_general")</f>
        <v>_general</v>
      </c>
      <c r="D59" s="246" t="str">
        <f>IFERROR(__xludf.DUMMYFUNCTION("""COMPUTED_VALUE"""),"e_sur_00101_general_Normal_Colorless")</f>
        <v>e_sur_00101_general_Normal_Colorless</v>
      </c>
      <c r="E59" s="246" t="str">
        <f>IFERROR(__xludf.DUMMYFUNCTION("""COMPUTED_VALUE"""),"魔都精兵のスレイブ")</f>
        <v>魔都精兵のスレイブ</v>
      </c>
      <c r="F59" s="247" t="str">
        <f>IFERROR(__xludf.DUMMYFUNCTION("""COMPUTED_VALUE"""),"醜鬼")</f>
        <v>醜鬼</v>
      </c>
      <c r="G59" s="247" t="str">
        <f>IFERROR(__xludf.DUMMYFUNCTION("""COMPUTED_VALUE"""),"醜鬼_general")</f>
        <v>醜鬼_general</v>
      </c>
      <c r="H59" s="248" t="str">
        <f>IFERROR(__xludf.DUMMYFUNCTION("""COMPUTED_VALUE"""),"Normal")</f>
        <v>Normal</v>
      </c>
      <c r="I59" s="248" t="str">
        <f>IFERROR(__xludf.DUMMYFUNCTION("""COMPUTED_VALUE"""),"Defense")</f>
        <v>Defense</v>
      </c>
      <c r="J59" s="248" t="str">
        <f>IFERROR(__xludf.DUMMYFUNCTION("""COMPUTED_VALUE"""),"Colorless")</f>
        <v>Colorless</v>
      </c>
      <c r="K59" s="248">
        <f>IFERROR(__xludf.DUMMYFUNCTION("""COMPUTED_VALUE"""),3000.0)</f>
        <v>3000</v>
      </c>
      <c r="L59" s="248">
        <f>IFERROR(__xludf.DUMMYFUNCTION("""COMPUTED_VALUE"""),1.0)</f>
        <v>1</v>
      </c>
      <c r="M59" s="248">
        <f>IFERROR(__xludf.DUMMYFUNCTION("""COMPUTED_VALUE"""),35.0)</f>
        <v>35</v>
      </c>
      <c r="N59" s="248">
        <f>IFERROR(__xludf.DUMMYFUNCTION("""COMPUTED_VALUE"""),0.2)</f>
        <v>0.2</v>
      </c>
      <c r="O59" s="248">
        <f>IFERROR(__xludf.DUMMYFUNCTION("""COMPUTED_VALUE"""),100.0)</f>
        <v>100</v>
      </c>
      <c r="P59" s="248">
        <f>IFERROR(__xludf.DUMMYFUNCTION("""COMPUTED_VALUE"""),0.0)</f>
        <v>0</v>
      </c>
      <c r="Q59" s="248">
        <f>IFERROR(__xludf.DUMMYFUNCTION("""COMPUTED_VALUE"""),0.3)</f>
        <v>0.3</v>
      </c>
      <c r="R59" s="248">
        <f>IFERROR(__xludf.DUMMYFUNCTION("""COMPUTED_VALUE"""),1.0)</f>
        <v>1</v>
      </c>
      <c r="S59" s="248">
        <f>IFERROR(__xludf.DUMMYFUNCTION("""COMPUTED_VALUE"""),10.0)</f>
        <v>10</v>
      </c>
      <c r="T59" s="249" t="str">
        <f>IFERROR(__xludf.DUMMYFUNCTION("""COMPUTED_VALUE"""),"0.80")</f>
        <v>0.80</v>
      </c>
      <c r="U59" s="250" t="str">
        <f>IFERROR(__xludf.DUMMYFUNCTION("""COMPUTED_VALUE"""),"0.30")</f>
        <v>0.30</v>
      </c>
      <c r="V59" s="250">
        <f>IFERROR(__xludf.DUMMYFUNCTION("""COMPUTED_VALUE"""),35.0)</f>
        <v>35</v>
      </c>
      <c r="W59" s="250" t="str">
        <f>IFERROR(__xludf.DUMMYFUNCTION("""COMPUTED_VALUE"""),"-")</f>
        <v>-</v>
      </c>
      <c r="X59" s="250" t="str">
        <f>IFERROR(__xludf.DUMMYFUNCTION("""COMPUTED_VALUE"""),"-")</f>
        <v>-</v>
      </c>
      <c r="Y59" s="250"/>
      <c r="Z59" s="250" t="str">
        <f>IFERROR(__xludf.DUMMYFUNCTION("""COMPUTED_VALUE"""),"-")</f>
        <v>-</v>
      </c>
      <c r="AA59" s="235"/>
      <c r="AB59" s="235" t="str">
        <f>IFERROR(__xludf.DUMMYFUNCTION("""COMPUTED_VALUE"""),"dageki_1")</f>
        <v>dageki_1</v>
      </c>
      <c r="AC59" s="235"/>
    </row>
    <row r="60">
      <c r="A60" s="236"/>
      <c r="B60" s="248" t="str">
        <f>IFERROR(__xludf.DUMMYFUNCTION("""COMPUTED_VALUE"""),"enemy_sur_00101")</f>
        <v>enemy_sur_00101</v>
      </c>
      <c r="C60" s="246" t="str">
        <f>IFERROR(__xludf.DUMMYFUNCTION("""COMPUTED_VALUE"""),"_general")</f>
        <v>_general</v>
      </c>
      <c r="D60" s="246" t="str">
        <f>IFERROR(__xludf.DUMMYFUNCTION("""COMPUTED_VALUE"""),"e_sur_00101_general_Normal_Blue")</f>
        <v>e_sur_00101_general_Normal_Blue</v>
      </c>
      <c r="E60" s="246" t="str">
        <f>IFERROR(__xludf.DUMMYFUNCTION("""COMPUTED_VALUE"""),"魔都精兵のスレイブ")</f>
        <v>魔都精兵のスレイブ</v>
      </c>
      <c r="F60" s="247" t="str">
        <f>IFERROR(__xludf.DUMMYFUNCTION("""COMPUTED_VALUE"""),"醜鬼")</f>
        <v>醜鬼</v>
      </c>
      <c r="G60" s="247" t="str">
        <f>IFERROR(__xludf.DUMMYFUNCTION("""COMPUTED_VALUE"""),"醜鬼_general")</f>
        <v>醜鬼_general</v>
      </c>
      <c r="H60" s="248" t="str">
        <f>IFERROR(__xludf.DUMMYFUNCTION("""COMPUTED_VALUE"""),"Normal")</f>
        <v>Normal</v>
      </c>
      <c r="I60" s="248" t="str">
        <f>IFERROR(__xludf.DUMMYFUNCTION("""COMPUTED_VALUE"""),"Attack")</f>
        <v>Attack</v>
      </c>
      <c r="J60" s="248" t="str">
        <f>IFERROR(__xludf.DUMMYFUNCTION("""COMPUTED_VALUE"""),"Blue")</f>
        <v>Blue</v>
      </c>
      <c r="K60" s="248">
        <f>IFERROR(__xludf.DUMMYFUNCTION("""COMPUTED_VALUE"""),15000.0)</f>
        <v>15000</v>
      </c>
      <c r="L60" s="248">
        <f>IFERROR(__xludf.DUMMYFUNCTION("""COMPUTED_VALUE"""),1.0)</f>
        <v>1</v>
      </c>
      <c r="M60" s="248">
        <f>IFERROR(__xludf.DUMMYFUNCTION("""COMPUTED_VALUE"""),40.0)</f>
        <v>40</v>
      </c>
      <c r="N60" s="248">
        <f>IFERROR(__xludf.DUMMYFUNCTION("""COMPUTED_VALUE"""),0.2)</f>
        <v>0.2</v>
      </c>
      <c r="O60" s="248">
        <f>IFERROR(__xludf.DUMMYFUNCTION("""COMPUTED_VALUE"""),300.0)</f>
        <v>300</v>
      </c>
      <c r="P60" s="248">
        <f>IFERROR(__xludf.DUMMYFUNCTION("""COMPUTED_VALUE"""),0.0)</f>
        <v>0</v>
      </c>
      <c r="Q60" s="248">
        <f>IFERROR(__xludf.DUMMYFUNCTION("""COMPUTED_VALUE"""),0.3)</f>
        <v>0.3</v>
      </c>
      <c r="R60" s="248">
        <f>IFERROR(__xludf.DUMMYFUNCTION("""COMPUTED_VALUE"""),1.0)</f>
        <v>1</v>
      </c>
      <c r="S60" s="248">
        <f>IFERROR(__xludf.DUMMYFUNCTION("""COMPUTED_VALUE"""),10.0)</f>
        <v>10</v>
      </c>
      <c r="T60" s="249" t="str">
        <f>IFERROR(__xludf.DUMMYFUNCTION("""COMPUTED_VALUE"""),"0.80")</f>
        <v>0.80</v>
      </c>
      <c r="U60" s="250" t="str">
        <f>IFERROR(__xludf.DUMMYFUNCTION("""COMPUTED_VALUE"""),"0.30")</f>
        <v>0.30</v>
      </c>
      <c r="V60" s="250">
        <f>IFERROR(__xludf.DUMMYFUNCTION("""COMPUTED_VALUE"""),35.0)</f>
        <v>35</v>
      </c>
      <c r="W60" s="250" t="str">
        <f>IFERROR(__xludf.DUMMYFUNCTION("""COMPUTED_VALUE"""),"-")</f>
        <v>-</v>
      </c>
      <c r="X60" s="250" t="str">
        <f>IFERROR(__xludf.DUMMYFUNCTION("""COMPUTED_VALUE"""),"-")</f>
        <v>-</v>
      </c>
      <c r="Y60" s="250"/>
      <c r="Z60" s="250" t="str">
        <f>IFERROR(__xludf.DUMMYFUNCTION("""COMPUTED_VALUE"""),"-")</f>
        <v>-</v>
      </c>
      <c r="AA60" s="235"/>
      <c r="AB60" s="235" t="str">
        <f>IFERROR(__xludf.DUMMYFUNCTION("""COMPUTED_VALUE"""),"dageki_1")</f>
        <v>dageki_1</v>
      </c>
      <c r="AC60" s="235"/>
    </row>
    <row r="61">
      <c r="A61" s="236"/>
      <c r="B61" s="248" t="str">
        <f>IFERROR(__xludf.DUMMYFUNCTION("""COMPUTED_VALUE"""),"enemy_sur_00101")</f>
        <v>enemy_sur_00101</v>
      </c>
      <c r="C61" s="246" t="str">
        <f>IFERROR(__xludf.DUMMYFUNCTION("""COMPUTED_VALUE"""),"_general")</f>
        <v>_general</v>
      </c>
      <c r="D61" s="246" t="str">
        <f>IFERROR(__xludf.DUMMYFUNCTION("""COMPUTED_VALUE"""),"e_sur_00101_general_Normal_Green")</f>
        <v>e_sur_00101_general_Normal_Green</v>
      </c>
      <c r="E61" s="246" t="str">
        <f>IFERROR(__xludf.DUMMYFUNCTION("""COMPUTED_VALUE"""),"魔都精兵のスレイブ")</f>
        <v>魔都精兵のスレイブ</v>
      </c>
      <c r="F61" s="247" t="str">
        <f>IFERROR(__xludf.DUMMYFUNCTION("""COMPUTED_VALUE"""),"醜鬼")</f>
        <v>醜鬼</v>
      </c>
      <c r="G61" s="247" t="str">
        <f>IFERROR(__xludf.DUMMYFUNCTION("""COMPUTED_VALUE"""),"醜鬼_general")</f>
        <v>醜鬼_general</v>
      </c>
      <c r="H61" s="248" t="str">
        <f>IFERROR(__xludf.DUMMYFUNCTION("""COMPUTED_VALUE"""),"Normal")</f>
        <v>Normal</v>
      </c>
      <c r="I61" s="248" t="str">
        <f>IFERROR(__xludf.DUMMYFUNCTION("""COMPUTED_VALUE"""),"Attack")</f>
        <v>Attack</v>
      </c>
      <c r="J61" s="248" t="str">
        <f>IFERROR(__xludf.DUMMYFUNCTION("""COMPUTED_VALUE"""),"Green")</f>
        <v>Green</v>
      </c>
      <c r="K61" s="248">
        <f>IFERROR(__xludf.DUMMYFUNCTION("""COMPUTED_VALUE"""),25000.0)</f>
        <v>25000</v>
      </c>
      <c r="L61" s="248">
        <f>IFERROR(__xludf.DUMMYFUNCTION("""COMPUTED_VALUE"""),1.0)</f>
        <v>1</v>
      </c>
      <c r="M61" s="248">
        <f>IFERROR(__xludf.DUMMYFUNCTION("""COMPUTED_VALUE"""),50.0)</f>
        <v>50</v>
      </c>
      <c r="N61" s="248">
        <f>IFERROR(__xludf.DUMMYFUNCTION("""COMPUTED_VALUE"""),0.2)</f>
        <v>0.2</v>
      </c>
      <c r="O61" s="248">
        <f>IFERROR(__xludf.DUMMYFUNCTION("""COMPUTED_VALUE"""),500.0)</f>
        <v>500</v>
      </c>
      <c r="P61" s="248">
        <f>IFERROR(__xludf.DUMMYFUNCTION("""COMPUTED_VALUE"""),0.0)</f>
        <v>0</v>
      </c>
      <c r="Q61" s="248">
        <f>IFERROR(__xludf.DUMMYFUNCTION("""COMPUTED_VALUE"""),0.3)</f>
        <v>0.3</v>
      </c>
      <c r="R61" s="248">
        <f>IFERROR(__xludf.DUMMYFUNCTION("""COMPUTED_VALUE"""),1.0)</f>
        <v>1</v>
      </c>
      <c r="S61" s="248">
        <f>IFERROR(__xludf.DUMMYFUNCTION("""COMPUTED_VALUE"""),10.0)</f>
        <v>10</v>
      </c>
      <c r="T61" s="249" t="str">
        <f>IFERROR(__xludf.DUMMYFUNCTION("""COMPUTED_VALUE"""),"0.80")</f>
        <v>0.80</v>
      </c>
      <c r="U61" s="250" t="str">
        <f>IFERROR(__xludf.DUMMYFUNCTION("""COMPUTED_VALUE"""),"0.30")</f>
        <v>0.30</v>
      </c>
      <c r="V61" s="250">
        <f>IFERROR(__xludf.DUMMYFUNCTION("""COMPUTED_VALUE"""),35.0)</f>
        <v>35</v>
      </c>
      <c r="W61" s="250" t="str">
        <f>IFERROR(__xludf.DUMMYFUNCTION("""COMPUTED_VALUE"""),"-")</f>
        <v>-</v>
      </c>
      <c r="X61" s="250" t="str">
        <f>IFERROR(__xludf.DUMMYFUNCTION("""COMPUTED_VALUE"""),"-")</f>
        <v>-</v>
      </c>
      <c r="Y61" s="250"/>
      <c r="Z61" s="250" t="str">
        <f>IFERROR(__xludf.DUMMYFUNCTION("""COMPUTED_VALUE"""),"-")</f>
        <v>-</v>
      </c>
      <c r="AA61" s="235"/>
      <c r="AB61" s="235" t="str">
        <f>IFERROR(__xludf.DUMMYFUNCTION("""COMPUTED_VALUE"""),"dageki_1")</f>
        <v>dageki_1</v>
      </c>
      <c r="AC61" s="235"/>
    </row>
    <row r="62">
      <c r="A62" s="236"/>
      <c r="B62" s="248" t="str">
        <f>IFERROR(__xludf.DUMMYFUNCTION("""COMPUTED_VALUE"""),"enemy_sur_00101")</f>
        <v>enemy_sur_00101</v>
      </c>
      <c r="C62" s="246" t="str">
        <f>IFERROR(__xludf.DUMMYFUNCTION("""COMPUTED_VALUE"""),"_general")</f>
        <v>_general</v>
      </c>
      <c r="D62" s="246" t="str">
        <f>IFERROR(__xludf.DUMMYFUNCTION("""COMPUTED_VALUE"""),"e_sur_00101_general_Boss_Green")</f>
        <v>e_sur_00101_general_Boss_Green</v>
      </c>
      <c r="E62" s="246" t="str">
        <f>IFERROR(__xludf.DUMMYFUNCTION("""COMPUTED_VALUE"""),"魔都精兵のスレイブ")</f>
        <v>魔都精兵のスレイブ</v>
      </c>
      <c r="F62" s="247" t="str">
        <f>IFERROR(__xludf.DUMMYFUNCTION("""COMPUTED_VALUE"""),"醜鬼")</f>
        <v>醜鬼</v>
      </c>
      <c r="G62" s="247" t="str">
        <f>IFERROR(__xludf.DUMMYFUNCTION("""COMPUTED_VALUE"""),"醜鬼_general")</f>
        <v>醜鬼_general</v>
      </c>
      <c r="H62" s="248" t="str">
        <f>IFERROR(__xludf.DUMMYFUNCTION("""COMPUTED_VALUE"""),"Boss")</f>
        <v>Boss</v>
      </c>
      <c r="I62" s="248" t="str">
        <f>IFERROR(__xludf.DUMMYFUNCTION("""COMPUTED_VALUE"""),"Attack")</f>
        <v>Attack</v>
      </c>
      <c r="J62" s="248" t="str">
        <f>IFERROR(__xludf.DUMMYFUNCTION("""COMPUTED_VALUE"""),"Green")</f>
        <v>Green</v>
      </c>
      <c r="K62" s="248">
        <f>IFERROR(__xludf.DUMMYFUNCTION("""COMPUTED_VALUE"""),400000.0)</f>
        <v>400000</v>
      </c>
      <c r="L62" s="248">
        <f>IFERROR(__xludf.DUMMYFUNCTION("""COMPUTED_VALUE"""),3.0)</f>
        <v>3</v>
      </c>
      <c r="M62" s="248">
        <f>IFERROR(__xludf.DUMMYFUNCTION("""COMPUTED_VALUE"""),45.0)</f>
        <v>45</v>
      </c>
      <c r="N62" s="248">
        <f>IFERROR(__xludf.DUMMYFUNCTION("""COMPUTED_VALUE"""),0.2)</f>
        <v>0.2</v>
      </c>
      <c r="O62" s="248">
        <f>IFERROR(__xludf.DUMMYFUNCTION("""COMPUTED_VALUE"""),1000.0)</f>
        <v>1000</v>
      </c>
      <c r="P62" s="248">
        <f>IFERROR(__xludf.DUMMYFUNCTION("""COMPUTED_VALUE"""),0.0)</f>
        <v>0</v>
      </c>
      <c r="Q62" s="248">
        <f>IFERROR(__xludf.DUMMYFUNCTION("""COMPUTED_VALUE"""),0.3)</f>
        <v>0.3</v>
      </c>
      <c r="R62" s="248">
        <f>IFERROR(__xludf.DUMMYFUNCTION("""COMPUTED_VALUE"""),1.0)</f>
        <v>1</v>
      </c>
      <c r="S62" s="248">
        <f>IFERROR(__xludf.DUMMYFUNCTION("""COMPUTED_VALUE"""),10.0)</f>
        <v>10</v>
      </c>
      <c r="T62" s="249" t="str">
        <f>IFERROR(__xludf.DUMMYFUNCTION("""COMPUTED_VALUE"""),"0.80")</f>
        <v>0.80</v>
      </c>
      <c r="U62" s="250" t="str">
        <f>IFERROR(__xludf.DUMMYFUNCTION("""COMPUTED_VALUE"""),"0.30")</f>
        <v>0.30</v>
      </c>
      <c r="V62" s="250">
        <f>IFERROR(__xludf.DUMMYFUNCTION("""COMPUTED_VALUE"""),200.0)</f>
        <v>200</v>
      </c>
      <c r="W62" s="250" t="str">
        <f>IFERROR(__xludf.DUMMYFUNCTION("""COMPUTED_VALUE"""),"-")</f>
        <v>-</v>
      </c>
      <c r="X62" s="250" t="str">
        <f>IFERROR(__xludf.DUMMYFUNCTION("""COMPUTED_VALUE"""),"-")</f>
        <v>-</v>
      </c>
      <c r="Y62" s="250"/>
      <c r="Z62" s="250" t="str">
        <f>IFERROR(__xludf.DUMMYFUNCTION("""COMPUTED_VALUE"""),"-")</f>
        <v>-</v>
      </c>
      <c r="AA62" s="235"/>
      <c r="AB62" s="235" t="str">
        <f>IFERROR(__xludf.DUMMYFUNCTION("""COMPUTED_VALUE"""),"dageki_1")</f>
        <v>dageki_1</v>
      </c>
      <c r="AC62" s="235"/>
    </row>
    <row r="63">
      <c r="A63" s="236"/>
      <c r="B63" s="248" t="str">
        <f>IFERROR(__xludf.DUMMYFUNCTION("""COMPUTED_VALUE"""),"enemy_sur_00001")</f>
        <v>enemy_sur_00001</v>
      </c>
      <c r="C63" s="246" t="str">
        <f>IFERROR(__xludf.DUMMYFUNCTION("""COMPUTED_VALUE"""),"_general")</f>
        <v>_general</v>
      </c>
      <c r="D63" s="246" t="str">
        <f>IFERROR(__xludf.DUMMYFUNCTION("""COMPUTED_VALUE"""),"e_sur_00001_general_Boss_Green")</f>
        <v>e_sur_00001_general_Boss_Green</v>
      </c>
      <c r="E63" s="246" t="str">
        <f>IFERROR(__xludf.DUMMYFUNCTION("""COMPUTED_VALUE"""),"魔都精兵のスレイブ")</f>
        <v>魔都精兵のスレイブ</v>
      </c>
      <c r="F63" s="247" t="str">
        <f>IFERROR(__xludf.DUMMYFUNCTION("""COMPUTED_VALUE"""),"和倉 青羽")</f>
        <v>和倉 青羽</v>
      </c>
      <c r="G63" s="247" t="str">
        <f>IFERROR(__xludf.DUMMYFUNCTION("""COMPUTED_VALUE"""),"和倉 青羽_general")</f>
        <v>和倉 青羽_general</v>
      </c>
      <c r="H63" s="248" t="str">
        <f>IFERROR(__xludf.DUMMYFUNCTION("""COMPUTED_VALUE"""),"Boss")</f>
        <v>Boss</v>
      </c>
      <c r="I63" s="248" t="str">
        <f>IFERROR(__xludf.DUMMYFUNCTION("""COMPUTED_VALUE"""),"Attack")</f>
        <v>Attack</v>
      </c>
      <c r="J63" s="248" t="str">
        <f>IFERROR(__xludf.DUMMYFUNCTION("""COMPUTED_VALUE"""),"Green")</f>
        <v>Green</v>
      </c>
      <c r="K63" s="248">
        <f>IFERROR(__xludf.DUMMYFUNCTION("""COMPUTED_VALUE"""),300000.0)</f>
        <v>300000</v>
      </c>
      <c r="L63" s="248">
        <f>IFERROR(__xludf.DUMMYFUNCTION("""COMPUTED_VALUE"""),2.0)</f>
        <v>2</v>
      </c>
      <c r="M63" s="248">
        <f>IFERROR(__xludf.DUMMYFUNCTION("""COMPUTED_VALUE"""),45.0)</f>
        <v>45</v>
      </c>
      <c r="N63" s="248">
        <f>IFERROR(__xludf.DUMMYFUNCTION("""COMPUTED_VALUE"""),0.3)</f>
        <v>0.3</v>
      </c>
      <c r="O63" s="248">
        <f>IFERROR(__xludf.DUMMYFUNCTION("""COMPUTED_VALUE"""),600.0)</f>
        <v>600</v>
      </c>
      <c r="P63" s="248">
        <f>IFERROR(__xludf.DUMMYFUNCTION("""COMPUTED_VALUE"""),0.0)</f>
        <v>0</v>
      </c>
      <c r="Q63" s="248">
        <f>IFERROR(__xludf.DUMMYFUNCTION("""COMPUTED_VALUE"""),0.4)</f>
        <v>0.4</v>
      </c>
      <c r="R63" s="248">
        <f>IFERROR(__xludf.DUMMYFUNCTION("""COMPUTED_VALUE"""),1.0)</f>
        <v>1</v>
      </c>
      <c r="S63" s="248">
        <f>IFERROR(__xludf.DUMMYFUNCTION("""COMPUTED_VALUE"""),10.0)</f>
        <v>10</v>
      </c>
      <c r="T63" s="249" t="str">
        <f>IFERROR(__xludf.DUMMYFUNCTION("""COMPUTED_VALUE"""),"1.24")</f>
        <v>1.24</v>
      </c>
      <c r="U63" s="250" t="str">
        <f>IFERROR(__xludf.DUMMYFUNCTION("""COMPUTED_VALUE"""),"stop有:1回目 0.50")</f>
        <v>stop有:1回目 0.50</v>
      </c>
      <c r="V63" s="250">
        <f>IFERROR(__xludf.DUMMYFUNCTION("""COMPUTED_VALUE"""),45.0)</f>
        <v>45</v>
      </c>
      <c r="W63" s="250" t="str">
        <f>IFERROR(__xludf.DUMMYFUNCTION("""COMPUTED_VALUE"""),"-")</f>
        <v>-</v>
      </c>
      <c r="X63" s="250" t="str">
        <f>IFERROR(__xludf.DUMMYFUNCTION("""COMPUTED_VALUE"""),"-")</f>
        <v>-</v>
      </c>
      <c r="Y63" s="250" t="str">
        <f>IFERROR(__xludf.DUMMYFUNCTION("""COMPUTED_VALUE"""),"範囲攻撃")</f>
        <v>範囲攻撃</v>
      </c>
      <c r="Z63" s="250">
        <f>IFERROR(__xludf.DUMMYFUNCTION("""COMPUTED_VALUE"""),7.0)</f>
        <v>7</v>
      </c>
      <c r="AA63" s="235"/>
      <c r="AB63" s="235" t="str">
        <f>IFERROR(__xludf.DUMMYFUNCTION("""COMPUTED_VALUE"""),"dageki_1")</f>
        <v>dageki_1</v>
      </c>
      <c r="AC63" s="235"/>
    </row>
    <row r="64">
      <c r="A64" s="236"/>
      <c r="B64" s="248" t="str">
        <f>IFERROR(__xludf.DUMMYFUNCTION("""COMPUTED_VALUE"""),"enemy_sur_00001")</f>
        <v>enemy_sur_00001</v>
      </c>
      <c r="C64" s="246" t="str">
        <f>IFERROR(__xludf.DUMMYFUNCTION("""COMPUTED_VALUE"""),"_general")</f>
        <v>_general</v>
      </c>
      <c r="D64" s="246" t="str">
        <f>IFERROR(__xludf.DUMMYFUNCTION("""COMPUTED_VALUE"""),"e_sur_00001_general_Normal_Green")</f>
        <v>e_sur_00001_general_Normal_Green</v>
      </c>
      <c r="E64" s="246" t="str">
        <f>IFERROR(__xludf.DUMMYFUNCTION("""COMPUTED_VALUE"""),"魔都精兵のスレイブ")</f>
        <v>魔都精兵のスレイブ</v>
      </c>
      <c r="F64" s="247" t="str">
        <f>IFERROR(__xludf.DUMMYFUNCTION("""COMPUTED_VALUE"""),"和倉 青羽")</f>
        <v>和倉 青羽</v>
      </c>
      <c r="G64" s="247" t="str">
        <f>IFERROR(__xludf.DUMMYFUNCTION("""COMPUTED_VALUE"""),"和倉 青羽_general")</f>
        <v>和倉 青羽_general</v>
      </c>
      <c r="H64" s="248" t="str">
        <f>IFERROR(__xludf.DUMMYFUNCTION("""COMPUTED_VALUE"""),"Normal")</f>
        <v>Normal</v>
      </c>
      <c r="I64" s="248" t="str">
        <f>IFERROR(__xludf.DUMMYFUNCTION("""COMPUTED_VALUE"""),"Attack")</f>
        <v>Attack</v>
      </c>
      <c r="J64" s="248" t="str">
        <f>IFERROR(__xludf.DUMMYFUNCTION("""COMPUTED_VALUE"""),"Green")</f>
        <v>Green</v>
      </c>
      <c r="K64" s="248">
        <f>IFERROR(__xludf.DUMMYFUNCTION("""COMPUTED_VALUE"""),150000.0)</f>
        <v>150000</v>
      </c>
      <c r="L64" s="248">
        <f>IFERROR(__xludf.DUMMYFUNCTION("""COMPUTED_VALUE"""),2.0)</f>
        <v>2</v>
      </c>
      <c r="M64" s="248">
        <f>IFERROR(__xludf.DUMMYFUNCTION("""COMPUTED_VALUE"""),45.0)</f>
        <v>45</v>
      </c>
      <c r="N64" s="248">
        <f>IFERROR(__xludf.DUMMYFUNCTION("""COMPUTED_VALUE"""),0.3)</f>
        <v>0.3</v>
      </c>
      <c r="O64" s="248">
        <f>IFERROR(__xludf.DUMMYFUNCTION("""COMPUTED_VALUE"""),600.0)</f>
        <v>600</v>
      </c>
      <c r="P64" s="248">
        <f>IFERROR(__xludf.DUMMYFUNCTION("""COMPUTED_VALUE"""),0.0)</f>
        <v>0</v>
      </c>
      <c r="Q64" s="248">
        <f>IFERROR(__xludf.DUMMYFUNCTION("""COMPUTED_VALUE"""),0.4)</f>
        <v>0.4</v>
      </c>
      <c r="R64" s="248">
        <f>IFERROR(__xludf.DUMMYFUNCTION("""COMPUTED_VALUE"""),1.0)</f>
        <v>1</v>
      </c>
      <c r="S64" s="248">
        <f>IFERROR(__xludf.DUMMYFUNCTION("""COMPUTED_VALUE"""),10.0)</f>
        <v>10</v>
      </c>
      <c r="T64" s="249" t="str">
        <f>IFERROR(__xludf.DUMMYFUNCTION("""COMPUTED_VALUE"""),"1.24")</f>
        <v>1.24</v>
      </c>
      <c r="U64" s="250" t="str">
        <f>IFERROR(__xludf.DUMMYFUNCTION("""COMPUTED_VALUE"""),"stop有:1回目 0.50")</f>
        <v>stop有:1回目 0.50</v>
      </c>
      <c r="V64" s="250">
        <f>IFERROR(__xludf.DUMMYFUNCTION("""COMPUTED_VALUE"""),45.0)</f>
        <v>45</v>
      </c>
      <c r="W64" s="250" t="str">
        <f>IFERROR(__xludf.DUMMYFUNCTION("""COMPUTED_VALUE"""),"-")</f>
        <v>-</v>
      </c>
      <c r="X64" s="250" t="str">
        <f>IFERROR(__xludf.DUMMYFUNCTION("""COMPUTED_VALUE"""),"-")</f>
        <v>-</v>
      </c>
      <c r="Y64" s="250"/>
      <c r="Z64" s="250" t="str">
        <f>IFERROR(__xludf.DUMMYFUNCTION("""COMPUTED_VALUE"""),"-")</f>
        <v>-</v>
      </c>
      <c r="AA64" s="235"/>
      <c r="AB64" s="235" t="str">
        <f>IFERROR(__xludf.DUMMYFUNCTION("""COMPUTED_VALUE"""),"dageki_1")</f>
        <v>dageki_1</v>
      </c>
      <c r="AC64" s="235"/>
    </row>
    <row r="65">
      <c r="A65" s="236"/>
      <c r="B65" s="248" t="str">
        <f>IFERROR(__xludf.DUMMYFUNCTION("""COMPUTED_VALUE"""),"chara_sur_00101")</f>
        <v>chara_sur_00101</v>
      </c>
      <c r="C65" s="246" t="str">
        <f>IFERROR(__xludf.DUMMYFUNCTION("""COMPUTED_VALUE"""),"_general")</f>
        <v>_general</v>
      </c>
      <c r="D65" s="246" t="str">
        <f>IFERROR(__xludf.DUMMYFUNCTION("""COMPUTED_VALUE"""),"c_sur_00101_general_Boss_Blue")</f>
        <v>c_sur_00101_general_Boss_Blue</v>
      </c>
      <c r="E65" s="246" t="str">
        <f>IFERROR(__xludf.DUMMYFUNCTION("""COMPUTED_VALUE"""),"魔都精兵のスレイブ")</f>
        <v>魔都精兵のスレイブ</v>
      </c>
      <c r="F65" s="247" t="str">
        <f>IFERROR(__xludf.DUMMYFUNCTION("""COMPUTED_VALUE"""),"誇り高き魔都の剣姫 羽前 京香")</f>
        <v>誇り高き魔都の剣姫 羽前 京香</v>
      </c>
      <c r="G65" s="247" t="str">
        <f>IFERROR(__xludf.DUMMYFUNCTION("""COMPUTED_VALUE"""),"誇り高き魔都の剣姫 羽前京香_general")</f>
        <v>誇り高き魔都の剣姫 羽前京香_general</v>
      </c>
      <c r="H65" s="248" t="str">
        <f>IFERROR(__xludf.DUMMYFUNCTION("""COMPUTED_VALUE"""),"Boss")</f>
        <v>Boss</v>
      </c>
      <c r="I65" s="248" t="str">
        <f>IFERROR(__xludf.DUMMYFUNCTION("""COMPUTED_VALUE"""),"Attack")</f>
        <v>Attack</v>
      </c>
      <c r="J65" s="248" t="str">
        <f>IFERROR(__xludf.DUMMYFUNCTION("""COMPUTED_VALUE"""),"Blue")</f>
        <v>Blue</v>
      </c>
      <c r="K65" s="248">
        <f>IFERROR(__xludf.DUMMYFUNCTION("""COMPUTED_VALUE"""),400000.0)</f>
        <v>400000</v>
      </c>
      <c r="L65" s="248">
        <f>IFERROR(__xludf.DUMMYFUNCTION("""COMPUTED_VALUE"""),2.0)</f>
        <v>2</v>
      </c>
      <c r="M65" s="248">
        <f>IFERROR(__xludf.DUMMYFUNCTION("""COMPUTED_VALUE"""),45.0)</f>
        <v>45</v>
      </c>
      <c r="N65" s="248">
        <f>IFERROR(__xludf.DUMMYFUNCTION("""COMPUTED_VALUE"""),0.2)</f>
        <v>0.2</v>
      </c>
      <c r="O65" s="248">
        <f>IFERROR(__xludf.DUMMYFUNCTION("""COMPUTED_VALUE"""),800.0)</f>
        <v>800</v>
      </c>
      <c r="P65" s="248">
        <f>IFERROR(__xludf.DUMMYFUNCTION("""COMPUTED_VALUE"""),0.0)</f>
        <v>0</v>
      </c>
      <c r="Q65" s="248">
        <f>IFERROR(__xludf.DUMMYFUNCTION("""COMPUTED_VALUE"""),0.3)</f>
        <v>0.3</v>
      </c>
      <c r="R65" s="248">
        <f>IFERROR(__xludf.DUMMYFUNCTION("""COMPUTED_VALUE"""),1.0)</f>
        <v>1</v>
      </c>
      <c r="S65" s="248">
        <f>IFERROR(__xludf.DUMMYFUNCTION("""COMPUTED_VALUE"""),10.0)</f>
        <v>10</v>
      </c>
      <c r="T65" s="249" t="str">
        <f>IFERROR(__xludf.DUMMYFUNCTION("""COMPUTED_VALUE"""),"1.40")</f>
        <v>1.40</v>
      </c>
      <c r="U65" s="250" t="str">
        <f>IFERROR(__xludf.DUMMYFUNCTION("""COMPUTED_VALUE"""),"stop無:1回目 0.33")</f>
        <v>stop無:1回目 0.33</v>
      </c>
      <c r="V65" s="250">
        <f>IFERROR(__xludf.DUMMYFUNCTION("""COMPUTED_VALUE"""),45.0)</f>
        <v>45</v>
      </c>
      <c r="W65" s="250" t="str">
        <f>IFERROR(__xludf.DUMMYFUNCTION("""COMPUTED_VALUE"""),"2.67")</f>
        <v>2.67</v>
      </c>
      <c r="X65" s="25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65" s="250" t="str">
        <f>IFERROR(__xludf.DUMMYFUNCTION("""COMPUTED_VALUE"""),"単体攻撃+小ノックバック攻撃")</f>
        <v>単体攻撃+小ノックバック攻撃</v>
      </c>
      <c r="Z65" s="250">
        <f>IFERROR(__xludf.DUMMYFUNCTION("""COMPUTED_VALUE"""),7.0)</f>
        <v>7</v>
      </c>
      <c r="AA65" s="235"/>
      <c r="AB65" s="235" t="str">
        <f>IFERROR(__xludf.DUMMYFUNCTION("""COMPUTED_VALUE"""),"zangeki_1")</f>
        <v>zangeki_1</v>
      </c>
      <c r="AC65" s="235"/>
    </row>
    <row r="66">
      <c r="A66" s="236"/>
      <c r="B66" s="248" t="str">
        <f>IFERROR(__xludf.DUMMYFUNCTION("""COMPUTED_VALUE"""),"chara_sur_00201")</f>
        <v>chara_sur_00201</v>
      </c>
      <c r="C66" s="246" t="str">
        <f>IFERROR(__xludf.DUMMYFUNCTION("""COMPUTED_VALUE"""),"_general")</f>
        <v>_general</v>
      </c>
      <c r="D66" s="246" t="str">
        <f>IFERROR(__xludf.DUMMYFUNCTION("""COMPUTED_VALUE"""),"c_sur_00201_general_Normal_Blue")</f>
        <v>c_sur_00201_general_Normal_Blue</v>
      </c>
      <c r="E66" s="246" t="str">
        <f>IFERROR(__xludf.DUMMYFUNCTION("""COMPUTED_VALUE"""),"魔都精兵のスレイブ")</f>
        <v>魔都精兵のスレイブ</v>
      </c>
      <c r="F66" s="247" t="str">
        <f>IFERROR(__xludf.DUMMYFUNCTION("""COMPUTED_VALUE"""),"東 日万凛")</f>
        <v>東 日万凛</v>
      </c>
      <c r="G66" s="247" t="str">
        <f>IFERROR(__xludf.DUMMYFUNCTION("""COMPUTED_VALUE"""),"東 日万凛_general")</f>
        <v>東 日万凛_general</v>
      </c>
      <c r="H66" s="248" t="str">
        <f>IFERROR(__xludf.DUMMYFUNCTION("""COMPUTED_VALUE"""),"Normal")</f>
        <v>Normal</v>
      </c>
      <c r="I66" s="248" t="str">
        <f>IFERROR(__xludf.DUMMYFUNCTION("""COMPUTED_VALUE"""),"Attack")</f>
        <v>Attack</v>
      </c>
      <c r="J66" s="248" t="str">
        <f>IFERROR(__xludf.DUMMYFUNCTION("""COMPUTED_VALUE"""),"Blue")</f>
        <v>Blue</v>
      </c>
      <c r="K66" s="248">
        <f>IFERROR(__xludf.DUMMYFUNCTION("""COMPUTED_VALUE"""),150000.0)</f>
        <v>150000</v>
      </c>
      <c r="L66" s="248">
        <f>IFERROR(__xludf.DUMMYFUNCTION("""COMPUTED_VALUE"""),2.0)</f>
        <v>2</v>
      </c>
      <c r="M66" s="248">
        <f>IFERROR(__xludf.DUMMYFUNCTION("""COMPUTED_VALUE"""),35.0)</f>
        <v>35</v>
      </c>
      <c r="N66" s="248">
        <f>IFERROR(__xludf.DUMMYFUNCTION("""COMPUTED_VALUE"""),0.2)</f>
        <v>0.2</v>
      </c>
      <c r="O66" s="248">
        <f>IFERROR(__xludf.DUMMYFUNCTION("""COMPUTED_VALUE"""),500.0)</f>
        <v>500</v>
      </c>
      <c r="P66" s="248">
        <f>IFERROR(__xludf.DUMMYFUNCTION("""COMPUTED_VALUE"""),0.0)</f>
        <v>0</v>
      </c>
      <c r="Q66" s="248">
        <f>IFERROR(__xludf.DUMMYFUNCTION("""COMPUTED_VALUE"""),0.3)</f>
        <v>0.3</v>
      </c>
      <c r="R66" s="248">
        <f>IFERROR(__xludf.DUMMYFUNCTION("""COMPUTED_VALUE"""),1.0)</f>
        <v>1</v>
      </c>
      <c r="S66" s="248">
        <f>IFERROR(__xludf.DUMMYFUNCTION("""COMPUTED_VALUE"""),10.0)</f>
        <v>10</v>
      </c>
      <c r="T66" s="249" t="str">
        <f>IFERROR(__xludf.DUMMYFUNCTION("""COMPUTED_VALUE"""),"1.47")</f>
        <v>1.47</v>
      </c>
      <c r="U66" s="250" t="str">
        <f>IFERROR(__xludf.DUMMYFUNCTION("""COMPUTED_VALUE"""),"stop無:1回目 0.37")</f>
        <v>stop無:1回目 0.37</v>
      </c>
      <c r="V66" s="250">
        <f>IFERROR(__xludf.DUMMYFUNCTION("""COMPUTED_VALUE"""),45.0)</f>
        <v>45</v>
      </c>
      <c r="W66" s="250" t="str">
        <f>IFERROR(__xludf.DUMMYFUNCTION("""COMPUTED_VALUE"""),"2.67")</f>
        <v>2.67</v>
      </c>
      <c r="X66" s="250"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66" s="250" t="str">
        <f>IFERROR(__xludf.DUMMYFUNCTION("""COMPUTED_VALUE"""),"範囲攻撃")</f>
        <v>範囲攻撃</v>
      </c>
      <c r="Z66" s="250">
        <f>IFERROR(__xludf.DUMMYFUNCTION("""COMPUTED_VALUE"""),5.0)</f>
        <v>5</v>
      </c>
      <c r="AA66" s="235"/>
      <c r="AB66" s="235" t="str">
        <f>IFERROR(__xludf.DUMMYFUNCTION("""COMPUTED_VALUE"""),"shageki_1")</f>
        <v>shageki_1</v>
      </c>
      <c r="AC66" s="235"/>
    </row>
    <row r="67">
      <c r="A67" s="236"/>
      <c r="B67" s="248" t="str">
        <f>IFERROR(__xludf.DUMMYFUNCTION("""COMPUTED_VALUE"""),"chara_sur_00301")</f>
        <v>chara_sur_00301</v>
      </c>
      <c r="C67" s="246" t="str">
        <f>IFERROR(__xludf.DUMMYFUNCTION("""COMPUTED_VALUE"""),"_general")</f>
        <v>_general</v>
      </c>
      <c r="D67" s="246" t="str">
        <f>IFERROR(__xludf.DUMMYFUNCTION("""COMPUTED_VALUE"""),"c_sur_00301_general_Normal_Blue")</f>
        <v>c_sur_00301_general_Normal_Blue</v>
      </c>
      <c r="E67" s="246" t="str">
        <f>IFERROR(__xludf.DUMMYFUNCTION("""COMPUTED_VALUE"""),"魔都精兵のスレイブ")</f>
        <v>魔都精兵のスレイブ</v>
      </c>
      <c r="F67" s="247" t="str">
        <f>IFERROR(__xludf.DUMMYFUNCTION("""COMPUTED_VALUE"""),"駿河 朱々")</f>
        <v>駿河 朱々</v>
      </c>
      <c r="G67" s="247" t="str">
        <f>IFERROR(__xludf.DUMMYFUNCTION("""COMPUTED_VALUE"""),"駿河 朱々_general")</f>
        <v>駿河 朱々_general</v>
      </c>
      <c r="H67" s="248" t="str">
        <f>IFERROR(__xludf.DUMMYFUNCTION("""COMPUTED_VALUE"""),"Normal")</f>
        <v>Normal</v>
      </c>
      <c r="I67" s="248" t="str">
        <f>IFERROR(__xludf.DUMMYFUNCTION("""COMPUTED_VALUE"""),"Defense")</f>
        <v>Defense</v>
      </c>
      <c r="J67" s="248" t="str">
        <f>IFERROR(__xludf.DUMMYFUNCTION("""COMPUTED_VALUE"""),"Blue")</f>
        <v>Blue</v>
      </c>
      <c r="K67" s="248">
        <f>IFERROR(__xludf.DUMMYFUNCTION("""COMPUTED_VALUE"""),300000.0)</f>
        <v>300000</v>
      </c>
      <c r="L67" s="248">
        <f>IFERROR(__xludf.DUMMYFUNCTION("""COMPUTED_VALUE"""),1.0)</f>
        <v>1</v>
      </c>
      <c r="M67" s="248">
        <f>IFERROR(__xludf.DUMMYFUNCTION("""COMPUTED_VALUE"""),40.0)</f>
        <v>40</v>
      </c>
      <c r="N67" s="248">
        <f>IFERROR(__xludf.DUMMYFUNCTION("""COMPUTED_VALUE"""),0.11)</f>
        <v>0.11</v>
      </c>
      <c r="O67" s="248">
        <f>IFERROR(__xludf.DUMMYFUNCTION("""COMPUTED_VALUE"""),300.0)</f>
        <v>300</v>
      </c>
      <c r="P67" s="248">
        <f>IFERROR(__xludf.DUMMYFUNCTION("""COMPUTED_VALUE"""),0.0)</f>
        <v>0</v>
      </c>
      <c r="Q67" s="248">
        <f>IFERROR(__xludf.DUMMYFUNCTION("""COMPUTED_VALUE"""),0.3)</f>
        <v>0.3</v>
      </c>
      <c r="R67" s="248">
        <f>IFERROR(__xludf.DUMMYFUNCTION("""COMPUTED_VALUE"""),1.0)</f>
        <v>1</v>
      </c>
      <c r="S67" s="248">
        <f>IFERROR(__xludf.DUMMYFUNCTION("""COMPUTED_VALUE"""),10.0)</f>
        <v>10</v>
      </c>
      <c r="T67" s="249" t="str">
        <f>IFERROR(__xludf.DUMMYFUNCTION("""COMPUTED_VALUE"""),"1.56")</f>
        <v>1.56</v>
      </c>
      <c r="U67" s="250" t="str">
        <f>IFERROR(__xludf.DUMMYFUNCTION("""COMPUTED_VALUE"""),"0.66")</f>
        <v>0.66</v>
      </c>
      <c r="V67" s="250">
        <f>IFERROR(__xludf.DUMMYFUNCTION("""COMPUTED_VALUE"""),60.0)</f>
        <v>60</v>
      </c>
      <c r="W67" s="250" t="str">
        <f>IFERROR(__xludf.DUMMYFUNCTION("""COMPUTED_VALUE"""),"1.91")</f>
        <v>1.91</v>
      </c>
      <c r="X67" s="250" t="str">
        <f>IFERROR(__xludf.DUMMYFUNCTION("""COMPUTED_VALUE"""),"0.73")</f>
        <v>0.73</v>
      </c>
      <c r="Y67" s="250" t="str">
        <f>IFERROR(__xludf.DUMMYFUNCTION("""COMPUTED_VALUE"""),"単体攻撃")</f>
        <v>単体攻撃</v>
      </c>
      <c r="Z67" s="250">
        <f>IFERROR(__xludf.DUMMYFUNCTION("""COMPUTED_VALUE"""),7.0)</f>
        <v>7</v>
      </c>
      <c r="AA67" s="235"/>
      <c r="AB67" s="235" t="str">
        <f>IFERROR(__xludf.DUMMYFUNCTION("""COMPUTED_VALUE"""),"dageki_1")</f>
        <v>dageki_1</v>
      </c>
      <c r="AC67" s="235"/>
    </row>
    <row r="68">
      <c r="A68" s="236"/>
      <c r="B68" s="248" t="str">
        <f>IFERROR(__xludf.DUMMYFUNCTION("""COMPUTED_VALUE"""),"chara_sur_00001")</f>
        <v>chara_sur_00001</v>
      </c>
      <c r="C68" s="246" t="str">
        <f>IFERROR(__xludf.DUMMYFUNCTION("""COMPUTED_VALUE"""),"_general")</f>
        <v>_general</v>
      </c>
      <c r="D68" s="246" t="str">
        <f>IFERROR(__xludf.DUMMYFUNCTION("""COMPUTED_VALUE"""),"c_sur_00001_general_Normal_Blue")</f>
        <v>c_sur_00001_general_Normal_Blue</v>
      </c>
      <c r="E68" s="246" t="str">
        <f>IFERROR(__xludf.DUMMYFUNCTION("""COMPUTED_VALUE"""),"魔都精兵のスレイブ")</f>
        <v>魔都精兵のスレイブ</v>
      </c>
      <c r="F68" s="247" t="str">
        <f>IFERROR(__xludf.DUMMYFUNCTION("""COMPUTED_VALUE"""),"和倉 優希")</f>
        <v>和倉 優希</v>
      </c>
      <c r="G68" s="247" t="str">
        <f>IFERROR(__xludf.DUMMYFUNCTION("""COMPUTED_VALUE"""),"和倉 優希_general")</f>
        <v>和倉 優希_general</v>
      </c>
      <c r="H68" s="248" t="str">
        <f>IFERROR(__xludf.DUMMYFUNCTION("""COMPUTED_VALUE"""),"Normal")</f>
        <v>Normal</v>
      </c>
      <c r="I68" s="248" t="str">
        <f>IFERROR(__xludf.DUMMYFUNCTION("""COMPUTED_VALUE"""),"Support")</f>
        <v>Support</v>
      </c>
      <c r="J68" s="248" t="str">
        <f>IFERROR(__xludf.DUMMYFUNCTION("""COMPUTED_VALUE"""),"Blue")</f>
        <v>Blue</v>
      </c>
      <c r="K68" s="248">
        <f>IFERROR(__xludf.DUMMYFUNCTION("""COMPUTED_VALUE"""),50000.0)</f>
        <v>50000</v>
      </c>
      <c r="L68" s="248">
        <f>IFERROR(__xludf.DUMMYFUNCTION("""COMPUTED_VALUE"""),2.0)</f>
        <v>2</v>
      </c>
      <c r="M68" s="248">
        <f>IFERROR(__xludf.DUMMYFUNCTION("""COMPUTED_VALUE"""),45.0)</f>
        <v>45</v>
      </c>
      <c r="N68" s="248">
        <f>IFERROR(__xludf.DUMMYFUNCTION("""COMPUTED_VALUE"""),0.2)</f>
        <v>0.2</v>
      </c>
      <c r="O68" s="248">
        <f>IFERROR(__xludf.DUMMYFUNCTION("""COMPUTED_VALUE"""),500.0)</f>
        <v>500</v>
      </c>
      <c r="P68" s="248">
        <f>IFERROR(__xludf.DUMMYFUNCTION("""COMPUTED_VALUE"""),0.0)</f>
        <v>0</v>
      </c>
      <c r="Q68" s="248">
        <f>IFERROR(__xludf.DUMMYFUNCTION("""COMPUTED_VALUE"""),0.3)</f>
        <v>0.3</v>
      </c>
      <c r="R68" s="248">
        <f>IFERROR(__xludf.DUMMYFUNCTION("""COMPUTED_VALUE"""),1.0)</f>
        <v>1</v>
      </c>
      <c r="S68" s="248">
        <f>IFERROR(__xludf.DUMMYFUNCTION("""COMPUTED_VALUE"""),10.0)</f>
        <v>10</v>
      </c>
      <c r="T68" s="249" t="str">
        <f>IFERROR(__xludf.DUMMYFUNCTION("""COMPUTED_VALUE"""),"1.17")</f>
        <v>1.17</v>
      </c>
      <c r="U68" s="250" t="str">
        <f>IFERROR(__xludf.DUMMYFUNCTION("""COMPUTED_VALUE"""),"stop有:1回目 0.30")</f>
        <v>stop有:1回目 0.30</v>
      </c>
      <c r="V68" s="250">
        <f>IFERROR(__xludf.DUMMYFUNCTION("""COMPUTED_VALUE"""),25.0)</f>
        <v>25</v>
      </c>
      <c r="W68" s="250" t="str">
        <f>IFERROR(__xludf.DUMMYFUNCTION("""COMPUTED_VALUE"""),"2.80")</f>
        <v>2.80</v>
      </c>
      <c r="X68" s="250" t="str">
        <f>IFERROR(__xludf.DUMMYFUNCTION("""COMPUTED_VALUE"""),"stop無:1回目 2.00")</f>
        <v>stop無:1回目 2.00</v>
      </c>
      <c r="Y68" s="250" t="str">
        <f>IFERROR(__xludf.DUMMYFUNCTION("""COMPUTED_VALUE"""),"敵全体に10秒間、20%攻撃UP")</f>
        <v>敵全体に10秒間、20%攻撃UP</v>
      </c>
      <c r="Z68" s="250">
        <f>IFERROR(__xludf.DUMMYFUNCTION("""COMPUTED_VALUE"""),7.0)</f>
        <v>7</v>
      </c>
      <c r="AA68" s="235"/>
      <c r="AB68" s="235" t="str">
        <f>IFERROR(__xludf.DUMMYFUNCTION("""COMPUTED_VALUE"""),"dageki_2")</f>
        <v>dageki_2</v>
      </c>
      <c r="AC68" s="235"/>
    </row>
    <row r="69">
      <c r="A69" s="236"/>
      <c r="B69" s="248"/>
      <c r="C69" s="246"/>
      <c r="D69" s="246" t="str">
        <f>IFERROR(__xludf.DUMMYFUNCTION("""COMPUTED_VALUE"""),"___")</f>
        <v>___</v>
      </c>
      <c r="E69" s="246" t="str">
        <f>IFERROR(__xludf.DUMMYFUNCTION("""COMPUTED_VALUE"""),"none")</f>
        <v>none</v>
      </c>
      <c r="F69" s="247" t="str">
        <f>IFERROR(__xludf.DUMMYFUNCTION("""COMPUTED_VALUE"""),"none")</f>
        <v>none</v>
      </c>
      <c r="G69" s="247" t="str">
        <f>IFERROR(__xludf.DUMMYFUNCTION("""COMPUTED_VALUE"""),"none")</f>
        <v>none</v>
      </c>
      <c r="H69" s="248"/>
      <c r="I69" s="248" t="str">
        <f>IFERROR(__xludf.DUMMYFUNCTION("""COMPUTED_VALUE"""),"none")</f>
        <v>none</v>
      </c>
      <c r="J69" s="248"/>
      <c r="K69" s="248"/>
      <c r="L69" s="248"/>
      <c r="M69" s="248"/>
      <c r="N69" s="248"/>
      <c r="O69" s="248"/>
      <c r="P69" s="248"/>
      <c r="Q69" s="248"/>
      <c r="R69" s="248"/>
      <c r="S69" s="248"/>
      <c r="T69" s="249" t="str">
        <f>IFERROR(__xludf.DUMMYFUNCTION("""COMPUTED_VALUE"""),"none")</f>
        <v>none</v>
      </c>
      <c r="U69" s="250" t="str">
        <f>IFERROR(__xludf.DUMMYFUNCTION("""COMPUTED_VALUE"""),"none")</f>
        <v>none</v>
      </c>
      <c r="V69" s="250"/>
      <c r="W69" s="250" t="str">
        <f>IFERROR(__xludf.DUMMYFUNCTION("""COMPUTED_VALUE"""),"none")</f>
        <v>none</v>
      </c>
      <c r="X69" s="250" t="str">
        <f>IFERROR(__xludf.DUMMYFUNCTION("""COMPUTED_VALUE"""),"none")</f>
        <v>none</v>
      </c>
      <c r="Y69" s="250"/>
      <c r="Z69" s="250"/>
      <c r="AA69" s="235"/>
      <c r="AB69" s="235"/>
      <c r="AC69" s="235"/>
    </row>
    <row r="70">
      <c r="A70" s="236"/>
      <c r="B70" s="248" t="str">
        <f>IFERROR(__xludf.DUMMYFUNCTION("""COMPUTED_VALUE"""),"enemy_glo_00001")</f>
        <v>enemy_glo_00001</v>
      </c>
      <c r="C70" s="246" t="str">
        <f>IFERROR(__xludf.DUMMYFUNCTION("""COMPUTED_VALUE"""),"_general_sur_vh")</f>
        <v>_general_sur_vh</v>
      </c>
      <c r="D70" s="246" t="str">
        <f>IFERROR(__xludf.DUMMYFUNCTION("""COMPUTED_VALUE"""),"e_glo_00001_general_sur_vh_Normal_Colorless")</f>
        <v>e_glo_00001_general_sur_vh_Normal_Colorless</v>
      </c>
      <c r="E70" s="246" t="str">
        <f>IFERROR(__xludf.DUMMYFUNCTION("""COMPUTED_VALUE"""),"GLOW")</f>
        <v>GLOW</v>
      </c>
      <c r="F70" s="247" t="str">
        <f>IFERROR(__xludf.DUMMYFUNCTION("""COMPUTED_VALUE"""),"ファントム")</f>
        <v>ファントム</v>
      </c>
      <c r="G70" s="247" t="str">
        <f>IFERROR(__xludf.DUMMYFUNCTION("""COMPUTED_VALUE"""),"ファントム_general_sur_vh")</f>
        <v>ファントム_general_sur_vh</v>
      </c>
      <c r="H70" s="248" t="str">
        <f>IFERROR(__xludf.DUMMYFUNCTION("""COMPUTED_VALUE"""),"Normal")</f>
        <v>Normal</v>
      </c>
      <c r="I70" s="248" t="str">
        <f>IFERROR(__xludf.DUMMYFUNCTION("""COMPUTED_VALUE"""),"Technical")</f>
        <v>Technical</v>
      </c>
      <c r="J70" s="248" t="str">
        <f>IFERROR(__xludf.DUMMYFUNCTION("""COMPUTED_VALUE"""),"Colorless")</f>
        <v>Colorless</v>
      </c>
      <c r="K70" s="248">
        <f>IFERROR(__xludf.DUMMYFUNCTION("""COMPUTED_VALUE"""),30000.0)</f>
        <v>30000</v>
      </c>
      <c r="L70" s="248">
        <f>IFERROR(__xludf.DUMMYFUNCTION("""COMPUTED_VALUE"""),2.0)</f>
        <v>2</v>
      </c>
      <c r="M70" s="248">
        <f>IFERROR(__xludf.DUMMYFUNCTION("""COMPUTED_VALUE"""),45.0)</f>
        <v>45</v>
      </c>
      <c r="N70" s="248">
        <f>IFERROR(__xludf.DUMMYFUNCTION("""COMPUTED_VALUE"""),0.11)</f>
        <v>0.11</v>
      </c>
      <c r="O70" s="248">
        <f>IFERROR(__xludf.DUMMYFUNCTION("""COMPUTED_VALUE"""),1000.0)</f>
        <v>1000</v>
      </c>
      <c r="P70" s="248">
        <f>IFERROR(__xludf.DUMMYFUNCTION("""COMPUTED_VALUE"""),0.0)</f>
        <v>0</v>
      </c>
      <c r="Q70" s="248"/>
      <c r="R70" s="248"/>
      <c r="S70" s="248">
        <f>IFERROR(__xludf.DUMMYFUNCTION("""COMPUTED_VALUE"""),1.0)</f>
        <v>1</v>
      </c>
      <c r="T70" s="249" t="str">
        <f>IFERROR(__xludf.DUMMYFUNCTION("""COMPUTED_VALUE"""),"1.00")</f>
        <v>1.00</v>
      </c>
      <c r="U70" s="250" t="str">
        <f>IFERROR(__xludf.DUMMYFUNCTION("""COMPUTED_VALUE"""),"0.50")</f>
        <v>0.50</v>
      </c>
      <c r="V70" s="250"/>
      <c r="W70" s="250"/>
      <c r="X70" s="250"/>
      <c r="Y70" s="250"/>
      <c r="Z70" s="250" t="str">
        <f>IFERROR(__xludf.DUMMYFUNCTION("""COMPUTED_VALUE"""),"-")</f>
        <v>-</v>
      </c>
      <c r="AA70" s="235"/>
      <c r="AB70" s="235"/>
      <c r="AC70" s="235"/>
    </row>
    <row r="71">
      <c r="A71" s="236"/>
      <c r="B71" s="248" t="str">
        <f>IFERROR(__xludf.DUMMYFUNCTION("""COMPUTED_VALUE"""),"enemy_glo_00001")</f>
        <v>enemy_glo_00001</v>
      </c>
      <c r="C71" s="246" t="str">
        <f>IFERROR(__xludf.DUMMYFUNCTION("""COMPUTED_VALUE"""),"_general_sur_vh")</f>
        <v>_general_sur_vh</v>
      </c>
      <c r="D71" s="246" t="str">
        <f>IFERROR(__xludf.DUMMYFUNCTION("""COMPUTED_VALUE"""),"e_glo_00001_general_sur_vh_Normal_Red")</f>
        <v>e_glo_00001_general_sur_vh_Normal_Red</v>
      </c>
      <c r="E71" s="246" t="str">
        <f>IFERROR(__xludf.DUMMYFUNCTION("""COMPUTED_VALUE"""),"GLOW")</f>
        <v>GLOW</v>
      </c>
      <c r="F71" s="247" t="str">
        <f>IFERROR(__xludf.DUMMYFUNCTION("""COMPUTED_VALUE"""),"ファントム")</f>
        <v>ファントム</v>
      </c>
      <c r="G71" s="247" t="str">
        <f>IFERROR(__xludf.DUMMYFUNCTION("""COMPUTED_VALUE"""),"ファントム_general_sur_vh")</f>
        <v>ファントム_general_sur_vh</v>
      </c>
      <c r="H71" s="248" t="str">
        <f>IFERROR(__xludf.DUMMYFUNCTION("""COMPUTED_VALUE"""),"Normal")</f>
        <v>Normal</v>
      </c>
      <c r="I71" s="248" t="str">
        <f>IFERROR(__xludf.DUMMYFUNCTION("""COMPUTED_VALUE"""),"Technical")</f>
        <v>Technical</v>
      </c>
      <c r="J71" s="248" t="str">
        <f>IFERROR(__xludf.DUMMYFUNCTION("""COMPUTED_VALUE"""),"Red")</f>
        <v>Red</v>
      </c>
      <c r="K71" s="248">
        <f>IFERROR(__xludf.DUMMYFUNCTION("""COMPUTED_VALUE"""),30000.0)</f>
        <v>30000</v>
      </c>
      <c r="L71" s="248">
        <f>IFERROR(__xludf.DUMMYFUNCTION("""COMPUTED_VALUE"""),2.0)</f>
        <v>2</v>
      </c>
      <c r="M71" s="248">
        <f>IFERROR(__xludf.DUMMYFUNCTION("""COMPUTED_VALUE"""),45.0)</f>
        <v>45</v>
      </c>
      <c r="N71" s="248">
        <f>IFERROR(__xludf.DUMMYFUNCTION("""COMPUTED_VALUE"""),0.11)</f>
        <v>0.11</v>
      </c>
      <c r="O71" s="248">
        <f>IFERROR(__xludf.DUMMYFUNCTION("""COMPUTED_VALUE"""),1000.0)</f>
        <v>1000</v>
      </c>
      <c r="P71" s="248">
        <f>IFERROR(__xludf.DUMMYFUNCTION("""COMPUTED_VALUE"""),0.0)</f>
        <v>0</v>
      </c>
      <c r="Q71" s="248"/>
      <c r="R71" s="248"/>
      <c r="S71" s="248">
        <f>IFERROR(__xludf.DUMMYFUNCTION("""COMPUTED_VALUE"""),1.0)</f>
        <v>1</v>
      </c>
      <c r="T71" s="249" t="str">
        <f>IFERROR(__xludf.DUMMYFUNCTION("""COMPUTED_VALUE"""),"1.00")</f>
        <v>1.00</v>
      </c>
      <c r="U71" s="250" t="str">
        <f>IFERROR(__xludf.DUMMYFUNCTION("""COMPUTED_VALUE"""),"0.50")</f>
        <v>0.50</v>
      </c>
      <c r="V71" s="250"/>
      <c r="W71" s="250"/>
      <c r="X71" s="250"/>
      <c r="Y71" s="250"/>
      <c r="Z71" s="250" t="str">
        <f>IFERROR(__xludf.DUMMYFUNCTION("""COMPUTED_VALUE"""),"-")</f>
        <v>-</v>
      </c>
      <c r="AA71" s="235"/>
      <c r="AB71" s="235"/>
      <c r="AC71" s="235"/>
    </row>
    <row r="72">
      <c r="A72" s="236"/>
      <c r="B72" s="248" t="str">
        <f>IFERROR(__xludf.DUMMYFUNCTION("""COMPUTED_VALUE"""),"enemy_glo_00001")</f>
        <v>enemy_glo_00001</v>
      </c>
      <c r="C72" s="246" t="str">
        <f>IFERROR(__xludf.DUMMYFUNCTION("""COMPUTED_VALUE"""),"_general_sur_vh")</f>
        <v>_general_sur_vh</v>
      </c>
      <c r="D72" s="246" t="str">
        <f>IFERROR(__xludf.DUMMYFUNCTION("""COMPUTED_VALUE"""),"e_glo_00001_general_sur_vh_Normal_Blue")</f>
        <v>e_glo_00001_general_sur_vh_Normal_Blue</v>
      </c>
      <c r="E72" s="246" t="str">
        <f>IFERROR(__xludf.DUMMYFUNCTION("""COMPUTED_VALUE"""),"GLOW")</f>
        <v>GLOW</v>
      </c>
      <c r="F72" s="247" t="str">
        <f>IFERROR(__xludf.DUMMYFUNCTION("""COMPUTED_VALUE"""),"ファントム")</f>
        <v>ファントム</v>
      </c>
      <c r="G72" s="247" t="str">
        <f>IFERROR(__xludf.DUMMYFUNCTION("""COMPUTED_VALUE"""),"ファントム_general_sur_vh")</f>
        <v>ファントム_general_sur_vh</v>
      </c>
      <c r="H72" s="248" t="str">
        <f>IFERROR(__xludf.DUMMYFUNCTION("""COMPUTED_VALUE"""),"Normal")</f>
        <v>Normal</v>
      </c>
      <c r="I72" s="248" t="str">
        <f>IFERROR(__xludf.DUMMYFUNCTION("""COMPUTED_VALUE"""),"Technical")</f>
        <v>Technical</v>
      </c>
      <c r="J72" s="248" t="str">
        <f>IFERROR(__xludf.DUMMYFUNCTION("""COMPUTED_VALUE"""),"Blue")</f>
        <v>Blue</v>
      </c>
      <c r="K72" s="248">
        <f>IFERROR(__xludf.DUMMYFUNCTION("""COMPUTED_VALUE"""),30000.0)</f>
        <v>30000</v>
      </c>
      <c r="L72" s="248">
        <f>IFERROR(__xludf.DUMMYFUNCTION("""COMPUTED_VALUE"""),2.0)</f>
        <v>2</v>
      </c>
      <c r="M72" s="248">
        <f>IFERROR(__xludf.DUMMYFUNCTION("""COMPUTED_VALUE"""),45.0)</f>
        <v>45</v>
      </c>
      <c r="N72" s="248">
        <f>IFERROR(__xludf.DUMMYFUNCTION("""COMPUTED_VALUE"""),0.11)</f>
        <v>0.11</v>
      </c>
      <c r="O72" s="248">
        <f>IFERROR(__xludf.DUMMYFUNCTION("""COMPUTED_VALUE"""),1000.0)</f>
        <v>1000</v>
      </c>
      <c r="P72" s="248">
        <f>IFERROR(__xludf.DUMMYFUNCTION("""COMPUTED_VALUE"""),0.0)</f>
        <v>0</v>
      </c>
      <c r="Q72" s="248"/>
      <c r="R72" s="248"/>
      <c r="S72" s="248">
        <f>IFERROR(__xludf.DUMMYFUNCTION("""COMPUTED_VALUE"""),1.0)</f>
        <v>1</v>
      </c>
      <c r="T72" s="249" t="str">
        <f>IFERROR(__xludf.DUMMYFUNCTION("""COMPUTED_VALUE"""),"1.00")</f>
        <v>1.00</v>
      </c>
      <c r="U72" s="250" t="str">
        <f>IFERROR(__xludf.DUMMYFUNCTION("""COMPUTED_VALUE"""),"0.50")</f>
        <v>0.50</v>
      </c>
      <c r="V72" s="250"/>
      <c r="W72" s="250"/>
      <c r="X72" s="250"/>
      <c r="Y72" s="250"/>
      <c r="Z72" s="250" t="str">
        <f>IFERROR(__xludf.DUMMYFUNCTION("""COMPUTED_VALUE"""),"-")</f>
        <v>-</v>
      </c>
      <c r="AA72" s="235"/>
      <c r="AB72" s="235"/>
      <c r="AC72" s="235"/>
    </row>
    <row r="73">
      <c r="A73" s="236"/>
      <c r="B73" s="248" t="str">
        <f>IFERROR(__xludf.DUMMYFUNCTION("""COMPUTED_VALUE"""),"enemy_glo_00001")</f>
        <v>enemy_glo_00001</v>
      </c>
      <c r="C73" s="246" t="str">
        <f>IFERROR(__xludf.DUMMYFUNCTION("""COMPUTED_VALUE"""),"_general_sur_vh")</f>
        <v>_general_sur_vh</v>
      </c>
      <c r="D73" s="246" t="str">
        <f>IFERROR(__xludf.DUMMYFUNCTION("""COMPUTED_VALUE"""),"e_glo_00001_general_sur_vh_Normal_Green")</f>
        <v>e_glo_00001_general_sur_vh_Normal_Green</v>
      </c>
      <c r="E73" s="246" t="str">
        <f>IFERROR(__xludf.DUMMYFUNCTION("""COMPUTED_VALUE"""),"GLOW")</f>
        <v>GLOW</v>
      </c>
      <c r="F73" s="247" t="str">
        <f>IFERROR(__xludf.DUMMYFUNCTION("""COMPUTED_VALUE"""),"ファントム")</f>
        <v>ファントム</v>
      </c>
      <c r="G73" s="247" t="str">
        <f>IFERROR(__xludf.DUMMYFUNCTION("""COMPUTED_VALUE"""),"ファントム_general_sur_vh")</f>
        <v>ファントム_general_sur_vh</v>
      </c>
      <c r="H73" s="248" t="str">
        <f>IFERROR(__xludf.DUMMYFUNCTION("""COMPUTED_VALUE"""),"Normal")</f>
        <v>Normal</v>
      </c>
      <c r="I73" s="248" t="str">
        <f>IFERROR(__xludf.DUMMYFUNCTION("""COMPUTED_VALUE"""),"Defense")</f>
        <v>Defense</v>
      </c>
      <c r="J73" s="248" t="str">
        <f>IFERROR(__xludf.DUMMYFUNCTION("""COMPUTED_VALUE"""),"Green")</f>
        <v>Green</v>
      </c>
      <c r="K73" s="248">
        <f>IFERROR(__xludf.DUMMYFUNCTION("""COMPUTED_VALUE"""),30000.0)</f>
        <v>30000</v>
      </c>
      <c r="L73" s="248">
        <f>IFERROR(__xludf.DUMMYFUNCTION("""COMPUTED_VALUE"""),2.0)</f>
        <v>2</v>
      </c>
      <c r="M73" s="248">
        <f>IFERROR(__xludf.DUMMYFUNCTION("""COMPUTED_VALUE"""),45.0)</f>
        <v>45</v>
      </c>
      <c r="N73" s="248">
        <f>IFERROR(__xludf.DUMMYFUNCTION("""COMPUTED_VALUE"""),0.11)</f>
        <v>0.11</v>
      </c>
      <c r="O73" s="248">
        <f>IFERROR(__xludf.DUMMYFUNCTION("""COMPUTED_VALUE"""),1000.0)</f>
        <v>1000</v>
      </c>
      <c r="P73" s="248">
        <f>IFERROR(__xludf.DUMMYFUNCTION("""COMPUTED_VALUE"""),0.0)</f>
        <v>0</v>
      </c>
      <c r="Q73" s="248"/>
      <c r="R73" s="248"/>
      <c r="S73" s="248">
        <f>IFERROR(__xludf.DUMMYFUNCTION("""COMPUTED_VALUE"""),1.0)</f>
        <v>1</v>
      </c>
      <c r="T73" s="249" t="str">
        <f>IFERROR(__xludf.DUMMYFUNCTION("""COMPUTED_VALUE"""),"1.00")</f>
        <v>1.00</v>
      </c>
      <c r="U73" s="250" t="str">
        <f>IFERROR(__xludf.DUMMYFUNCTION("""COMPUTED_VALUE"""),"0.50")</f>
        <v>0.50</v>
      </c>
      <c r="V73" s="250"/>
      <c r="W73" s="250"/>
      <c r="X73" s="250"/>
      <c r="Y73" s="250"/>
      <c r="Z73" s="250" t="str">
        <f>IFERROR(__xludf.DUMMYFUNCTION("""COMPUTED_VALUE"""),"-")</f>
        <v>-</v>
      </c>
      <c r="AA73" s="235"/>
      <c r="AB73" s="235"/>
      <c r="AC73" s="235"/>
    </row>
    <row r="74">
      <c r="A74" s="236"/>
      <c r="B74" s="248" t="str">
        <f>IFERROR(__xludf.DUMMYFUNCTION("""COMPUTED_VALUE"""),"enemy_glo_00001")</f>
        <v>enemy_glo_00001</v>
      </c>
      <c r="C74" s="246" t="str">
        <f>IFERROR(__xludf.DUMMYFUNCTION("""COMPUTED_VALUE"""),"_general_sur_vh_big")</f>
        <v>_general_sur_vh_big</v>
      </c>
      <c r="D74" s="246" t="str">
        <f>IFERROR(__xludf.DUMMYFUNCTION("""COMPUTED_VALUE"""),"e_glo_00001_general_sur_vh_big_Normal_Red")</f>
        <v>e_glo_00001_general_sur_vh_big_Normal_Red</v>
      </c>
      <c r="E74" s="246" t="str">
        <f>IFERROR(__xludf.DUMMYFUNCTION("""COMPUTED_VALUE"""),"GLOW")</f>
        <v>GLOW</v>
      </c>
      <c r="F74" s="247" t="str">
        <f>IFERROR(__xludf.DUMMYFUNCTION("""COMPUTED_VALUE"""),"ボスファントム")</f>
        <v>ボスファントム</v>
      </c>
      <c r="G74" s="247" t="str">
        <f>IFERROR(__xludf.DUMMYFUNCTION("""COMPUTED_VALUE"""),"ファントム_general_sur_vh_big")</f>
        <v>ファントム_general_sur_vh_big</v>
      </c>
      <c r="H74" s="248" t="str">
        <f>IFERROR(__xludf.DUMMYFUNCTION("""COMPUTED_VALUE"""),"Normal")</f>
        <v>Normal</v>
      </c>
      <c r="I74" s="248" t="str">
        <f>IFERROR(__xludf.DUMMYFUNCTION("""COMPUTED_VALUE"""),"Defense")</f>
        <v>Defense</v>
      </c>
      <c r="J74" s="248" t="str">
        <f>IFERROR(__xludf.DUMMYFUNCTION("""COMPUTED_VALUE"""),"Red")</f>
        <v>Red</v>
      </c>
      <c r="K74" s="248">
        <f>IFERROR(__xludf.DUMMYFUNCTION("""COMPUTED_VALUE"""),70000.0)</f>
        <v>70000</v>
      </c>
      <c r="L74" s="248">
        <f>IFERROR(__xludf.DUMMYFUNCTION("""COMPUTED_VALUE"""),2.0)</f>
        <v>2</v>
      </c>
      <c r="M74" s="248">
        <f>IFERROR(__xludf.DUMMYFUNCTION("""COMPUTED_VALUE"""),50.0)</f>
        <v>50</v>
      </c>
      <c r="N74" s="248">
        <f>IFERROR(__xludf.DUMMYFUNCTION("""COMPUTED_VALUE"""),0.2)</f>
        <v>0.2</v>
      </c>
      <c r="O74" s="248">
        <f>IFERROR(__xludf.DUMMYFUNCTION("""COMPUTED_VALUE"""),3000.0)</f>
        <v>3000</v>
      </c>
      <c r="P74" s="248">
        <f>IFERROR(__xludf.DUMMYFUNCTION("""COMPUTED_VALUE"""),0.0)</f>
        <v>0</v>
      </c>
      <c r="Q74" s="248"/>
      <c r="R74" s="248"/>
      <c r="S74" s="248">
        <f>IFERROR(__xludf.DUMMYFUNCTION("""COMPUTED_VALUE"""),1.0)</f>
        <v>1</v>
      </c>
      <c r="T74" s="249" t="str">
        <f>IFERROR(__xludf.DUMMYFUNCTION("""COMPUTED_VALUE"""),"1.00")</f>
        <v>1.00</v>
      </c>
      <c r="U74" s="250" t="str">
        <f>IFERROR(__xludf.DUMMYFUNCTION("""COMPUTED_VALUE"""),"0.50")</f>
        <v>0.50</v>
      </c>
      <c r="V74" s="250"/>
      <c r="W74" s="250"/>
      <c r="X74" s="250"/>
      <c r="Y74" s="250"/>
      <c r="Z74" s="250" t="str">
        <f>IFERROR(__xludf.DUMMYFUNCTION("""COMPUTED_VALUE"""),"-")</f>
        <v>-</v>
      </c>
      <c r="AA74" s="235"/>
      <c r="AB74" s="235"/>
      <c r="AC74" s="235"/>
    </row>
    <row r="75">
      <c r="A75" s="236"/>
      <c r="B75" s="248" t="str">
        <f>IFERROR(__xludf.DUMMYFUNCTION("""COMPUTED_VALUE"""),"enemy_glo_00001")</f>
        <v>enemy_glo_00001</v>
      </c>
      <c r="C75" s="246" t="str">
        <f>IFERROR(__xludf.DUMMYFUNCTION("""COMPUTED_VALUE"""),"_general_sur_vh_big")</f>
        <v>_general_sur_vh_big</v>
      </c>
      <c r="D75" s="246" t="str">
        <f>IFERROR(__xludf.DUMMYFUNCTION("""COMPUTED_VALUE"""),"e_glo_00001_general_sur_vh_big_Normal_Blue")</f>
        <v>e_glo_00001_general_sur_vh_big_Normal_Blue</v>
      </c>
      <c r="E75" s="246" t="str">
        <f>IFERROR(__xludf.DUMMYFUNCTION("""COMPUTED_VALUE"""),"GLOW")</f>
        <v>GLOW</v>
      </c>
      <c r="F75" s="247" t="str">
        <f>IFERROR(__xludf.DUMMYFUNCTION("""COMPUTED_VALUE"""),"ファントム")</f>
        <v>ファントム</v>
      </c>
      <c r="G75" s="247" t="str">
        <f>IFERROR(__xludf.DUMMYFUNCTION("""COMPUTED_VALUE"""),"ファントム_general_sur_vh_big")</f>
        <v>ファントム_general_sur_vh_big</v>
      </c>
      <c r="H75" s="248" t="str">
        <f>IFERROR(__xludf.DUMMYFUNCTION("""COMPUTED_VALUE"""),"Normal")</f>
        <v>Normal</v>
      </c>
      <c r="I75" s="248" t="str">
        <f>IFERROR(__xludf.DUMMYFUNCTION("""COMPUTED_VALUE"""),"Defense")</f>
        <v>Defense</v>
      </c>
      <c r="J75" s="248" t="str">
        <f>IFERROR(__xludf.DUMMYFUNCTION("""COMPUTED_VALUE"""),"Blue")</f>
        <v>Blue</v>
      </c>
      <c r="K75" s="248">
        <f>IFERROR(__xludf.DUMMYFUNCTION("""COMPUTED_VALUE"""),70000.0)</f>
        <v>70000</v>
      </c>
      <c r="L75" s="248">
        <f>IFERROR(__xludf.DUMMYFUNCTION("""COMPUTED_VALUE"""),2.0)</f>
        <v>2</v>
      </c>
      <c r="M75" s="248">
        <f>IFERROR(__xludf.DUMMYFUNCTION("""COMPUTED_VALUE"""),50.0)</f>
        <v>50</v>
      </c>
      <c r="N75" s="248">
        <f>IFERROR(__xludf.DUMMYFUNCTION("""COMPUTED_VALUE"""),0.2)</f>
        <v>0.2</v>
      </c>
      <c r="O75" s="248">
        <f>IFERROR(__xludf.DUMMYFUNCTION("""COMPUTED_VALUE"""),3000.0)</f>
        <v>3000</v>
      </c>
      <c r="P75" s="248">
        <f>IFERROR(__xludf.DUMMYFUNCTION("""COMPUTED_VALUE"""),0.0)</f>
        <v>0</v>
      </c>
      <c r="Q75" s="248"/>
      <c r="R75" s="248"/>
      <c r="S75" s="248">
        <f>IFERROR(__xludf.DUMMYFUNCTION("""COMPUTED_VALUE"""),1.0)</f>
        <v>1</v>
      </c>
      <c r="T75" s="249" t="str">
        <f>IFERROR(__xludf.DUMMYFUNCTION("""COMPUTED_VALUE"""),"1.00")</f>
        <v>1.00</v>
      </c>
      <c r="U75" s="250" t="str">
        <f>IFERROR(__xludf.DUMMYFUNCTION("""COMPUTED_VALUE"""),"0.50")</f>
        <v>0.50</v>
      </c>
      <c r="V75" s="250"/>
      <c r="W75" s="250"/>
      <c r="X75" s="250"/>
      <c r="Y75" s="250"/>
      <c r="Z75" s="250" t="str">
        <f>IFERROR(__xludf.DUMMYFUNCTION("""COMPUTED_VALUE"""),"-")</f>
        <v>-</v>
      </c>
      <c r="AA75" s="235"/>
      <c r="AB75" s="235"/>
      <c r="AC75" s="235"/>
    </row>
    <row r="76">
      <c r="A76" s="236"/>
      <c r="B76" s="248" t="str">
        <f>IFERROR(__xludf.DUMMYFUNCTION("""COMPUTED_VALUE"""),"enemy_glo_00001")</f>
        <v>enemy_glo_00001</v>
      </c>
      <c r="C76" s="246" t="str">
        <f>IFERROR(__xludf.DUMMYFUNCTION("""COMPUTED_VALUE"""),"_general_sur_vh_big")</f>
        <v>_general_sur_vh_big</v>
      </c>
      <c r="D76" s="246" t="str">
        <f>IFERROR(__xludf.DUMMYFUNCTION("""COMPUTED_VALUE"""),"e_glo_00001_general_sur_vh_big_Normal_Green")</f>
        <v>e_glo_00001_general_sur_vh_big_Normal_Green</v>
      </c>
      <c r="E76" s="246" t="str">
        <f>IFERROR(__xludf.DUMMYFUNCTION("""COMPUTED_VALUE"""),"GLOW")</f>
        <v>GLOW</v>
      </c>
      <c r="F76" s="247" t="str">
        <f>IFERROR(__xludf.DUMMYFUNCTION("""COMPUTED_VALUE"""),"ファントム")</f>
        <v>ファントム</v>
      </c>
      <c r="G76" s="247" t="str">
        <f>IFERROR(__xludf.DUMMYFUNCTION("""COMPUTED_VALUE"""),"ファントム_general_sur_vh_big")</f>
        <v>ファントム_general_sur_vh_big</v>
      </c>
      <c r="H76" s="248" t="str">
        <f>IFERROR(__xludf.DUMMYFUNCTION("""COMPUTED_VALUE"""),"Normal")</f>
        <v>Normal</v>
      </c>
      <c r="I76" s="248" t="str">
        <f>IFERROR(__xludf.DUMMYFUNCTION("""COMPUTED_VALUE"""),"Defense")</f>
        <v>Defense</v>
      </c>
      <c r="J76" s="248" t="str">
        <f>IFERROR(__xludf.DUMMYFUNCTION("""COMPUTED_VALUE"""),"Green")</f>
        <v>Green</v>
      </c>
      <c r="K76" s="248">
        <f>IFERROR(__xludf.DUMMYFUNCTION("""COMPUTED_VALUE"""),70000.0)</f>
        <v>70000</v>
      </c>
      <c r="L76" s="248">
        <f>IFERROR(__xludf.DUMMYFUNCTION("""COMPUTED_VALUE"""),2.0)</f>
        <v>2</v>
      </c>
      <c r="M76" s="248">
        <f>IFERROR(__xludf.DUMMYFUNCTION("""COMPUTED_VALUE"""),50.0)</f>
        <v>50</v>
      </c>
      <c r="N76" s="248">
        <f>IFERROR(__xludf.DUMMYFUNCTION("""COMPUTED_VALUE"""),0.2)</f>
        <v>0.2</v>
      </c>
      <c r="O76" s="248">
        <f>IFERROR(__xludf.DUMMYFUNCTION("""COMPUTED_VALUE"""),3000.0)</f>
        <v>3000</v>
      </c>
      <c r="P76" s="248">
        <f>IFERROR(__xludf.DUMMYFUNCTION("""COMPUTED_VALUE"""),0.0)</f>
        <v>0</v>
      </c>
      <c r="Q76" s="248"/>
      <c r="R76" s="248"/>
      <c r="S76" s="248">
        <f>IFERROR(__xludf.DUMMYFUNCTION("""COMPUTED_VALUE"""),1.0)</f>
        <v>1</v>
      </c>
      <c r="T76" s="249" t="str">
        <f>IFERROR(__xludf.DUMMYFUNCTION("""COMPUTED_VALUE"""),"1.00")</f>
        <v>1.00</v>
      </c>
      <c r="U76" s="250" t="str">
        <f>IFERROR(__xludf.DUMMYFUNCTION("""COMPUTED_VALUE"""),"0.50")</f>
        <v>0.50</v>
      </c>
      <c r="V76" s="250"/>
      <c r="W76" s="250"/>
      <c r="X76" s="250"/>
      <c r="Y76" s="250"/>
      <c r="Z76" s="250" t="str">
        <f>IFERROR(__xludf.DUMMYFUNCTION("""COMPUTED_VALUE"""),"-")</f>
        <v>-</v>
      </c>
      <c r="AA76" s="235"/>
      <c r="AB76" s="235"/>
      <c r="AC76" s="235"/>
    </row>
    <row r="77">
      <c r="A77" s="236"/>
      <c r="B77" s="248" t="str">
        <f>IFERROR(__xludf.DUMMYFUNCTION("""COMPUTED_VALUE"""),"enemy_sur_00101")</f>
        <v>enemy_sur_00101</v>
      </c>
      <c r="C77" s="246" t="str">
        <f>IFERROR(__xludf.DUMMYFUNCTION("""COMPUTED_VALUE"""),"_general_sur_vh")</f>
        <v>_general_sur_vh</v>
      </c>
      <c r="D77" s="246" t="str">
        <f>IFERROR(__xludf.DUMMYFUNCTION("""COMPUTED_VALUE"""),"e_sur_00101_general_sur_vh_Normal_Red")</f>
        <v>e_sur_00101_general_sur_vh_Normal_Red</v>
      </c>
      <c r="E77" s="246" t="str">
        <f>IFERROR(__xludf.DUMMYFUNCTION("""COMPUTED_VALUE"""),"魔都精兵のスレイブ")</f>
        <v>魔都精兵のスレイブ</v>
      </c>
      <c r="F77" s="247" t="str">
        <f>IFERROR(__xludf.DUMMYFUNCTION("""COMPUTED_VALUE"""),"醜鬼")</f>
        <v>醜鬼</v>
      </c>
      <c r="G77" s="247" t="str">
        <f>IFERROR(__xludf.DUMMYFUNCTION("""COMPUTED_VALUE"""),"醜鬼_general_sur_vh")</f>
        <v>醜鬼_general_sur_vh</v>
      </c>
      <c r="H77" s="248" t="str">
        <f>IFERROR(__xludf.DUMMYFUNCTION("""COMPUTED_VALUE"""),"Normal")</f>
        <v>Normal</v>
      </c>
      <c r="I77" s="248" t="str">
        <f>IFERROR(__xludf.DUMMYFUNCTION("""COMPUTED_VALUE"""),"Attack")</f>
        <v>Attack</v>
      </c>
      <c r="J77" s="248" t="str">
        <f>IFERROR(__xludf.DUMMYFUNCTION("""COMPUTED_VALUE"""),"Red")</f>
        <v>Red</v>
      </c>
      <c r="K77" s="248">
        <f>IFERROR(__xludf.DUMMYFUNCTION("""COMPUTED_VALUE"""),15000.0)</f>
        <v>15000</v>
      </c>
      <c r="L77" s="248">
        <f>IFERROR(__xludf.DUMMYFUNCTION("""COMPUTED_VALUE"""),1.0)</f>
        <v>1</v>
      </c>
      <c r="M77" s="248">
        <f>IFERROR(__xludf.DUMMYFUNCTION("""COMPUTED_VALUE"""),40.0)</f>
        <v>40</v>
      </c>
      <c r="N77" s="248">
        <f>IFERROR(__xludf.DUMMYFUNCTION("""COMPUTED_VALUE"""),0.2)</f>
        <v>0.2</v>
      </c>
      <c r="O77" s="248">
        <f>IFERROR(__xludf.DUMMYFUNCTION("""COMPUTED_VALUE"""),300.0)</f>
        <v>300</v>
      </c>
      <c r="P77" s="248">
        <f>IFERROR(__xludf.DUMMYFUNCTION("""COMPUTED_VALUE"""),0.0)</f>
        <v>0</v>
      </c>
      <c r="Q77" s="248"/>
      <c r="R77" s="248"/>
      <c r="S77" s="248">
        <f>IFERROR(__xludf.DUMMYFUNCTION("""COMPUTED_VALUE"""),1.0)</f>
        <v>1</v>
      </c>
      <c r="T77" s="249" t="str">
        <f>IFERROR(__xludf.DUMMYFUNCTION("""COMPUTED_VALUE"""),"0.80")</f>
        <v>0.80</v>
      </c>
      <c r="U77" s="250" t="str">
        <f>IFERROR(__xludf.DUMMYFUNCTION("""COMPUTED_VALUE"""),"0.30")</f>
        <v>0.30</v>
      </c>
      <c r="V77" s="250"/>
      <c r="W77" s="250" t="str">
        <f>IFERROR(__xludf.DUMMYFUNCTION("""COMPUTED_VALUE"""),"-")</f>
        <v>-</v>
      </c>
      <c r="X77" s="250" t="str">
        <f>IFERROR(__xludf.DUMMYFUNCTION("""COMPUTED_VALUE"""),"-")</f>
        <v>-</v>
      </c>
      <c r="Y77" s="250"/>
      <c r="Z77" s="250" t="str">
        <f>IFERROR(__xludf.DUMMYFUNCTION("""COMPUTED_VALUE"""),"-")</f>
        <v>-</v>
      </c>
      <c r="AA77" s="235"/>
      <c r="AB77" s="235"/>
      <c r="AC77" s="235"/>
    </row>
    <row r="78">
      <c r="A78" s="236"/>
      <c r="B78" s="248" t="str">
        <f>IFERROR(__xludf.DUMMYFUNCTION("""COMPUTED_VALUE"""),"enemy_sur_00101")</f>
        <v>enemy_sur_00101</v>
      </c>
      <c r="C78" s="246" t="str">
        <f>IFERROR(__xludf.DUMMYFUNCTION("""COMPUTED_VALUE"""),"_general_sur_vh")</f>
        <v>_general_sur_vh</v>
      </c>
      <c r="D78" s="246" t="str">
        <f>IFERROR(__xludf.DUMMYFUNCTION("""COMPUTED_VALUE"""),"e_sur_00101_general_sur_vh_Normal_Blue")</f>
        <v>e_sur_00101_general_sur_vh_Normal_Blue</v>
      </c>
      <c r="E78" s="246" t="str">
        <f>IFERROR(__xludf.DUMMYFUNCTION("""COMPUTED_VALUE"""),"魔都精兵のスレイブ")</f>
        <v>魔都精兵のスレイブ</v>
      </c>
      <c r="F78" s="247" t="str">
        <f>IFERROR(__xludf.DUMMYFUNCTION("""COMPUTED_VALUE"""),"醜鬼")</f>
        <v>醜鬼</v>
      </c>
      <c r="G78" s="247" t="str">
        <f>IFERROR(__xludf.DUMMYFUNCTION("""COMPUTED_VALUE"""),"醜鬼_general_sur_vh")</f>
        <v>醜鬼_general_sur_vh</v>
      </c>
      <c r="H78" s="248" t="str">
        <f>IFERROR(__xludf.DUMMYFUNCTION("""COMPUTED_VALUE"""),"Normal")</f>
        <v>Normal</v>
      </c>
      <c r="I78" s="248" t="str">
        <f>IFERROR(__xludf.DUMMYFUNCTION("""COMPUTED_VALUE"""),"Defense")</f>
        <v>Defense</v>
      </c>
      <c r="J78" s="248" t="str">
        <f>IFERROR(__xludf.DUMMYFUNCTION("""COMPUTED_VALUE"""),"Blue")</f>
        <v>Blue</v>
      </c>
      <c r="K78" s="248">
        <f>IFERROR(__xludf.DUMMYFUNCTION("""COMPUTED_VALUE"""),25000.0)</f>
        <v>25000</v>
      </c>
      <c r="L78" s="248">
        <f>IFERROR(__xludf.DUMMYFUNCTION("""COMPUTED_VALUE"""),1.0)</f>
        <v>1</v>
      </c>
      <c r="M78" s="248">
        <f>IFERROR(__xludf.DUMMYFUNCTION("""COMPUTED_VALUE"""),50.0)</f>
        <v>50</v>
      </c>
      <c r="N78" s="248">
        <f>IFERROR(__xludf.DUMMYFUNCTION("""COMPUTED_VALUE"""),0.2)</f>
        <v>0.2</v>
      </c>
      <c r="O78" s="248">
        <f>IFERROR(__xludf.DUMMYFUNCTION("""COMPUTED_VALUE"""),500.0)</f>
        <v>500</v>
      </c>
      <c r="P78" s="248">
        <f>IFERROR(__xludf.DUMMYFUNCTION("""COMPUTED_VALUE"""),0.0)</f>
        <v>0</v>
      </c>
      <c r="Q78" s="248"/>
      <c r="R78" s="248"/>
      <c r="S78" s="248">
        <f>IFERROR(__xludf.DUMMYFUNCTION("""COMPUTED_VALUE"""),1.0)</f>
        <v>1</v>
      </c>
      <c r="T78" s="249" t="str">
        <f>IFERROR(__xludf.DUMMYFUNCTION("""COMPUTED_VALUE"""),"0.80")</f>
        <v>0.80</v>
      </c>
      <c r="U78" s="250" t="str">
        <f>IFERROR(__xludf.DUMMYFUNCTION("""COMPUTED_VALUE"""),"0.30")</f>
        <v>0.30</v>
      </c>
      <c r="V78" s="250"/>
      <c r="W78" s="250" t="str">
        <f>IFERROR(__xludf.DUMMYFUNCTION("""COMPUTED_VALUE"""),"-")</f>
        <v>-</v>
      </c>
      <c r="X78" s="250" t="str">
        <f>IFERROR(__xludf.DUMMYFUNCTION("""COMPUTED_VALUE"""),"-")</f>
        <v>-</v>
      </c>
      <c r="Y78" s="250"/>
      <c r="Z78" s="250" t="str">
        <f>IFERROR(__xludf.DUMMYFUNCTION("""COMPUTED_VALUE"""),"-")</f>
        <v>-</v>
      </c>
      <c r="AA78" s="235"/>
      <c r="AB78" s="235"/>
      <c r="AC78" s="235"/>
    </row>
    <row r="79">
      <c r="A79" s="236"/>
      <c r="B79" s="248" t="str">
        <f>IFERROR(__xludf.DUMMYFUNCTION("""COMPUTED_VALUE"""),"enemy_sur_00101")</f>
        <v>enemy_sur_00101</v>
      </c>
      <c r="C79" s="246" t="str">
        <f>IFERROR(__xludf.DUMMYFUNCTION("""COMPUTED_VALUE"""),"_general_sur_vh")</f>
        <v>_general_sur_vh</v>
      </c>
      <c r="D79" s="246" t="str">
        <f>IFERROR(__xludf.DUMMYFUNCTION("""COMPUTED_VALUE"""),"e_sur_00101_general_sur_vh_Normal_Green")</f>
        <v>e_sur_00101_general_sur_vh_Normal_Green</v>
      </c>
      <c r="E79" s="246" t="str">
        <f>IFERROR(__xludf.DUMMYFUNCTION("""COMPUTED_VALUE"""),"魔都精兵のスレイブ")</f>
        <v>魔都精兵のスレイブ</v>
      </c>
      <c r="F79" s="247" t="str">
        <f>IFERROR(__xludf.DUMMYFUNCTION("""COMPUTED_VALUE"""),"醜鬼")</f>
        <v>醜鬼</v>
      </c>
      <c r="G79" s="247" t="str">
        <f>IFERROR(__xludf.DUMMYFUNCTION("""COMPUTED_VALUE"""),"醜鬼_general_sur_vh")</f>
        <v>醜鬼_general_sur_vh</v>
      </c>
      <c r="H79" s="248" t="str">
        <f>IFERROR(__xludf.DUMMYFUNCTION("""COMPUTED_VALUE"""),"Normal")</f>
        <v>Normal</v>
      </c>
      <c r="I79" s="248" t="str">
        <f>IFERROR(__xludf.DUMMYFUNCTION("""COMPUTED_VALUE"""),"Attack")</f>
        <v>Attack</v>
      </c>
      <c r="J79" s="248" t="str">
        <f>IFERROR(__xludf.DUMMYFUNCTION("""COMPUTED_VALUE"""),"Green")</f>
        <v>Green</v>
      </c>
      <c r="K79" s="248">
        <f>IFERROR(__xludf.DUMMYFUNCTION("""COMPUTED_VALUE"""),400000.0)</f>
        <v>400000</v>
      </c>
      <c r="L79" s="248">
        <f>IFERROR(__xludf.DUMMYFUNCTION("""COMPUTED_VALUE"""),3.0)</f>
        <v>3</v>
      </c>
      <c r="M79" s="248">
        <f>IFERROR(__xludf.DUMMYFUNCTION("""COMPUTED_VALUE"""),45.0)</f>
        <v>45</v>
      </c>
      <c r="N79" s="248">
        <f>IFERROR(__xludf.DUMMYFUNCTION("""COMPUTED_VALUE"""),0.2)</f>
        <v>0.2</v>
      </c>
      <c r="O79" s="248">
        <f>IFERROR(__xludf.DUMMYFUNCTION("""COMPUTED_VALUE"""),1000.0)</f>
        <v>1000</v>
      </c>
      <c r="P79" s="248">
        <f>IFERROR(__xludf.DUMMYFUNCTION("""COMPUTED_VALUE"""),0.0)</f>
        <v>0</v>
      </c>
      <c r="Q79" s="248"/>
      <c r="R79" s="248"/>
      <c r="S79" s="248">
        <f>IFERROR(__xludf.DUMMYFUNCTION("""COMPUTED_VALUE"""),1.0)</f>
        <v>1</v>
      </c>
      <c r="T79" s="249" t="str">
        <f>IFERROR(__xludf.DUMMYFUNCTION("""COMPUTED_VALUE"""),"0.80")</f>
        <v>0.80</v>
      </c>
      <c r="U79" s="250" t="str">
        <f>IFERROR(__xludf.DUMMYFUNCTION("""COMPUTED_VALUE"""),"0.30")</f>
        <v>0.30</v>
      </c>
      <c r="V79" s="250"/>
      <c r="W79" s="250" t="str">
        <f>IFERROR(__xludf.DUMMYFUNCTION("""COMPUTED_VALUE"""),"-")</f>
        <v>-</v>
      </c>
      <c r="X79" s="250" t="str">
        <f>IFERROR(__xludf.DUMMYFUNCTION("""COMPUTED_VALUE"""),"-")</f>
        <v>-</v>
      </c>
      <c r="Y79" s="250"/>
      <c r="Z79" s="250" t="str">
        <f>IFERROR(__xludf.DUMMYFUNCTION("""COMPUTED_VALUE"""),"-")</f>
        <v>-</v>
      </c>
      <c r="AA79" s="235"/>
      <c r="AB79" s="235"/>
      <c r="AC79" s="235"/>
    </row>
    <row r="80">
      <c r="A80" s="236"/>
      <c r="B80" s="248" t="str">
        <f>IFERROR(__xludf.DUMMYFUNCTION("""COMPUTED_VALUE"""),"enemy_sur_00001")</f>
        <v>enemy_sur_00001</v>
      </c>
      <c r="C80" s="246" t="str">
        <f>IFERROR(__xludf.DUMMYFUNCTION("""COMPUTED_VALUE"""),"_general_sur_vh")</f>
        <v>_general_sur_vh</v>
      </c>
      <c r="D80" s="246" t="str">
        <f>IFERROR(__xludf.DUMMYFUNCTION("""COMPUTED_VALUE"""),"e_sur_00001_general_sur_vh_Normal_Red")</f>
        <v>e_sur_00001_general_sur_vh_Normal_Red</v>
      </c>
      <c r="E80" s="246" t="str">
        <f>IFERROR(__xludf.DUMMYFUNCTION("""COMPUTED_VALUE"""),"魔都精兵のスレイブ")</f>
        <v>魔都精兵のスレイブ</v>
      </c>
      <c r="F80" s="247" t="str">
        <f>IFERROR(__xludf.DUMMYFUNCTION("""COMPUTED_VALUE"""),"和倉 青羽")</f>
        <v>和倉 青羽</v>
      </c>
      <c r="G80" s="247" t="str">
        <f>IFERROR(__xludf.DUMMYFUNCTION("""COMPUTED_VALUE"""),"和倉 青羽_general_sur_vh")</f>
        <v>和倉 青羽_general_sur_vh</v>
      </c>
      <c r="H80" s="248" t="str">
        <f>IFERROR(__xludf.DUMMYFUNCTION("""COMPUTED_VALUE"""),"Normal")</f>
        <v>Normal</v>
      </c>
      <c r="I80" s="248" t="str">
        <f>IFERROR(__xludf.DUMMYFUNCTION("""COMPUTED_VALUE"""),"Attack")</f>
        <v>Attack</v>
      </c>
      <c r="J80" s="248" t="str">
        <f>IFERROR(__xludf.DUMMYFUNCTION("""COMPUTED_VALUE"""),"Red")</f>
        <v>Red</v>
      </c>
      <c r="K80" s="248">
        <f>IFERROR(__xludf.DUMMYFUNCTION("""COMPUTED_VALUE"""),300000.0)</f>
        <v>300000</v>
      </c>
      <c r="L80" s="248">
        <f>IFERROR(__xludf.DUMMYFUNCTION("""COMPUTED_VALUE"""),2.0)</f>
        <v>2</v>
      </c>
      <c r="M80" s="248">
        <f>IFERROR(__xludf.DUMMYFUNCTION("""COMPUTED_VALUE"""),45.0)</f>
        <v>45</v>
      </c>
      <c r="N80" s="248">
        <f>IFERROR(__xludf.DUMMYFUNCTION("""COMPUTED_VALUE"""),0.3)</f>
        <v>0.3</v>
      </c>
      <c r="O80" s="248">
        <f>IFERROR(__xludf.DUMMYFUNCTION("""COMPUTED_VALUE"""),600.0)</f>
        <v>600</v>
      </c>
      <c r="P80" s="248">
        <f>IFERROR(__xludf.DUMMYFUNCTION("""COMPUTED_VALUE"""),0.0)</f>
        <v>0</v>
      </c>
      <c r="Q80" s="248"/>
      <c r="R80" s="248"/>
      <c r="S80" s="248">
        <f>IFERROR(__xludf.DUMMYFUNCTION("""COMPUTED_VALUE"""),1.0)</f>
        <v>1</v>
      </c>
      <c r="T80" s="249" t="str">
        <f>IFERROR(__xludf.DUMMYFUNCTION("""COMPUTED_VALUE"""),"1.24")</f>
        <v>1.24</v>
      </c>
      <c r="U80" s="250" t="str">
        <f>IFERROR(__xludf.DUMMYFUNCTION("""COMPUTED_VALUE"""),"stop有:1回目 0.50")</f>
        <v>stop有:1回目 0.50</v>
      </c>
      <c r="V80" s="250"/>
      <c r="W80" s="250" t="str">
        <f>IFERROR(__xludf.DUMMYFUNCTION("""COMPUTED_VALUE"""),"-")</f>
        <v>-</v>
      </c>
      <c r="X80" s="250" t="str">
        <f>IFERROR(__xludf.DUMMYFUNCTION("""COMPUTED_VALUE"""),"-")</f>
        <v>-</v>
      </c>
      <c r="Y80" s="250"/>
      <c r="Z80" s="250" t="str">
        <f>IFERROR(__xludf.DUMMYFUNCTION("""COMPUTED_VALUE"""),"-")</f>
        <v>-</v>
      </c>
      <c r="AA80" s="235"/>
      <c r="AB80" s="235"/>
      <c r="AC80" s="235" t="str">
        <f>IFERROR(__xludf.DUMMYFUNCTION("""COMPUTED_VALUE"""),"通常攻撃で100%の確率で5%自身の攻撃UP(20秒間)")</f>
        <v>通常攻撃で100%の確率で5%自身の攻撃UP(20秒間)</v>
      </c>
    </row>
    <row r="81">
      <c r="A81" s="236"/>
      <c r="B81" s="248" t="str">
        <f>IFERROR(__xludf.DUMMYFUNCTION("""COMPUTED_VALUE"""),"enemy_sur_00001")</f>
        <v>enemy_sur_00001</v>
      </c>
      <c r="C81" s="246" t="str">
        <f>IFERROR(__xludf.DUMMYFUNCTION("""COMPUTED_VALUE"""),"_general_sur_vh")</f>
        <v>_general_sur_vh</v>
      </c>
      <c r="D81" s="246" t="str">
        <f>IFERROR(__xludf.DUMMYFUNCTION("""COMPUTED_VALUE"""),"e_sur_00001_general_sur_vh_Boss_Red")</f>
        <v>e_sur_00001_general_sur_vh_Boss_Red</v>
      </c>
      <c r="E81" s="246" t="str">
        <f>IFERROR(__xludf.DUMMYFUNCTION("""COMPUTED_VALUE"""),"魔都精兵のスレイブ")</f>
        <v>魔都精兵のスレイブ</v>
      </c>
      <c r="F81" s="247" t="str">
        <f>IFERROR(__xludf.DUMMYFUNCTION("""COMPUTED_VALUE"""),"和倉 青羽")</f>
        <v>和倉 青羽</v>
      </c>
      <c r="G81" s="247" t="str">
        <f>IFERROR(__xludf.DUMMYFUNCTION("""COMPUTED_VALUE"""),"和倉 青羽_general_sur_vh")</f>
        <v>和倉 青羽_general_sur_vh</v>
      </c>
      <c r="H81" s="248" t="str">
        <f>IFERROR(__xludf.DUMMYFUNCTION("""COMPUTED_VALUE"""),"Boss")</f>
        <v>Boss</v>
      </c>
      <c r="I81" s="248" t="str">
        <f>IFERROR(__xludf.DUMMYFUNCTION("""COMPUTED_VALUE"""),"Attack")</f>
        <v>Attack</v>
      </c>
      <c r="J81" s="248" t="str">
        <f>IFERROR(__xludf.DUMMYFUNCTION("""COMPUTED_VALUE"""),"Red")</f>
        <v>Red</v>
      </c>
      <c r="K81" s="248">
        <f>IFERROR(__xludf.DUMMYFUNCTION("""COMPUTED_VALUE"""),150000.0)</f>
        <v>150000</v>
      </c>
      <c r="L81" s="248">
        <f>IFERROR(__xludf.DUMMYFUNCTION("""COMPUTED_VALUE"""),2.0)</f>
        <v>2</v>
      </c>
      <c r="M81" s="248">
        <f>IFERROR(__xludf.DUMMYFUNCTION("""COMPUTED_VALUE"""),45.0)</f>
        <v>45</v>
      </c>
      <c r="N81" s="248">
        <f>IFERROR(__xludf.DUMMYFUNCTION("""COMPUTED_VALUE"""),0.3)</f>
        <v>0.3</v>
      </c>
      <c r="O81" s="248">
        <f>IFERROR(__xludf.DUMMYFUNCTION("""COMPUTED_VALUE"""),600.0)</f>
        <v>600</v>
      </c>
      <c r="P81" s="248">
        <f>IFERROR(__xludf.DUMMYFUNCTION("""COMPUTED_VALUE"""),0.0)</f>
        <v>0</v>
      </c>
      <c r="Q81" s="248"/>
      <c r="R81" s="248"/>
      <c r="S81" s="248">
        <f>IFERROR(__xludf.DUMMYFUNCTION("""COMPUTED_VALUE"""),1.0)</f>
        <v>1</v>
      </c>
      <c r="T81" s="249" t="str">
        <f>IFERROR(__xludf.DUMMYFUNCTION("""COMPUTED_VALUE"""),"1.24")</f>
        <v>1.24</v>
      </c>
      <c r="U81" s="250" t="str">
        <f>IFERROR(__xludf.DUMMYFUNCTION("""COMPUTED_VALUE"""),"stop有:1回目 0.50")</f>
        <v>stop有:1回目 0.50</v>
      </c>
      <c r="V81" s="250"/>
      <c r="W81" s="250" t="str">
        <f>IFERROR(__xludf.DUMMYFUNCTION("""COMPUTED_VALUE"""),"-")</f>
        <v>-</v>
      </c>
      <c r="X81" s="250" t="str">
        <f>IFERROR(__xludf.DUMMYFUNCTION("""COMPUTED_VALUE"""),"-")</f>
        <v>-</v>
      </c>
      <c r="Y81" s="250" t="str">
        <f>IFERROR(__xludf.DUMMYFUNCTION("""COMPUTED_VALUE"""),"ダメージ＋味方全体5％回復")</f>
        <v>ダメージ＋味方全体5％回復</v>
      </c>
      <c r="Z81" s="250">
        <f>IFERROR(__xludf.DUMMYFUNCTION("""COMPUTED_VALUE"""),5.0)</f>
        <v>5</v>
      </c>
      <c r="AA81" s="235"/>
      <c r="AB81" s="235"/>
      <c r="AC81" s="235"/>
    </row>
    <row r="82">
      <c r="A82" s="236"/>
      <c r="B82" s="248" t="str">
        <f>IFERROR(__xludf.DUMMYFUNCTION("""COMPUTED_VALUE"""),"enemy_sur_00001")</f>
        <v>enemy_sur_00001</v>
      </c>
      <c r="C82" s="246" t="str">
        <f>IFERROR(__xludf.DUMMYFUNCTION("""COMPUTED_VALUE"""),"_general_sur_vh2")</f>
        <v>_general_sur_vh2</v>
      </c>
      <c r="D82" s="246" t="str">
        <f>IFERROR(__xludf.DUMMYFUNCTION("""COMPUTED_VALUE"""),"e_sur_00001_general_sur_vh2_Normal_Red")</f>
        <v>e_sur_00001_general_sur_vh2_Normal_Red</v>
      </c>
      <c r="E82" s="246" t="str">
        <f>IFERROR(__xludf.DUMMYFUNCTION("""COMPUTED_VALUE"""),"魔都精兵のスレイブ")</f>
        <v>魔都精兵のスレイブ</v>
      </c>
      <c r="F82" s="247" t="str">
        <f>IFERROR(__xludf.DUMMYFUNCTION("""COMPUTED_VALUE"""),"和倉 青羽")</f>
        <v>和倉 青羽</v>
      </c>
      <c r="G82" s="247" t="str">
        <f>IFERROR(__xludf.DUMMYFUNCTION("""COMPUTED_VALUE"""),"和倉 青羽_general_sur_vh2")</f>
        <v>和倉 青羽_general_sur_vh2</v>
      </c>
      <c r="H82" s="248" t="str">
        <f>IFERROR(__xludf.DUMMYFUNCTION("""COMPUTED_VALUE"""),"Normal")</f>
        <v>Normal</v>
      </c>
      <c r="I82" s="248" t="str">
        <f>IFERROR(__xludf.DUMMYFUNCTION("""COMPUTED_VALUE"""),"Attack")</f>
        <v>Attack</v>
      </c>
      <c r="J82" s="248" t="str">
        <f>IFERROR(__xludf.DUMMYFUNCTION("""COMPUTED_VALUE"""),"Red")</f>
        <v>Red</v>
      </c>
      <c r="K82" s="248">
        <f>IFERROR(__xludf.DUMMYFUNCTION("""COMPUTED_VALUE"""),150000.0)</f>
        <v>150000</v>
      </c>
      <c r="L82" s="248">
        <f>IFERROR(__xludf.DUMMYFUNCTION("""COMPUTED_VALUE"""),2.0)</f>
        <v>2</v>
      </c>
      <c r="M82" s="248">
        <f>IFERROR(__xludf.DUMMYFUNCTION("""COMPUTED_VALUE"""),45.0)</f>
        <v>45</v>
      </c>
      <c r="N82" s="248">
        <f>IFERROR(__xludf.DUMMYFUNCTION("""COMPUTED_VALUE"""),0.3)</f>
        <v>0.3</v>
      </c>
      <c r="O82" s="248">
        <f>IFERROR(__xludf.DUMMYFUNCTION("""COMPUTED_VALUE"""),600.0)</f>
        <v>600</v>
      </c>
      <c r="P82" s="248">
        <f>IFERROR(__xludf.DUMMYFUNCTION("""COMPUTED_VALUE"""),0.0)</f>
        <v>0</v>
      </c>
      <c r="Q82" s="248"/>
      <c r="R82" s="248"/>
      <c r="S82" s="248">
        <f>IFERROR(__xludf.DUMMYFUNCTION("""COMPUTED_VALUE"""),1.0)</f>
        <v>1</v>
      </c>
      <c r="T82" s="249" t="str">
        <f>IFERROR(__xludf.DUMMYFUNCTION("""COMPUTED_VALUE"""),"1.24")</f>
        <v>1.24</v>
      </c>
      <c r="U82" s="250" t="str">
        <f>IFERROR(__xludf.DUMMYFUNCTION("""COMPUTED_VALUE"""),"stop有:1回目 0.50")</f>
        <v>stop有:1回目 0.50</v>
      </c>
      <c r="V82" s="250"/>
      <c r="W82" s="250" t="str">
        <f>IFERROR(__xludf.DUMMYFUNCTION("""COMPUTED_VALUE"""),"-")</f>
        <v>-</v>
      </c>
      <c r="X82" s="250" t="str">
        <f>IFERROR(__xludf.DUMMYFUNCTION("""COMPUTED_VALUE"""),"-")</f>
        <v>-</v>
      </c>
      <c r="Y82" s="250" t="str">
        <f>IFERROR(__xludf.DUMMYFUNCTION("""COMPUTED_VALUE"""),"ダメージ＋味方全体5％回復")</f>
        <v>ダメージ＋味方全体5％回復</v>
      </c>
      <c r="Z82" s="250">
        <f>IFERROR(__xludf.DUMMYFUNCTION("""COMPUTED_VALUE"""),5.0)</f>
        <v>5</v>
      </c>
      <c r="AA82" s="235"/>
      <c r="AB82" s="235"/>
      <c r="AC82" s="235"/>
    </row>
    <row r="83">
      <c r="A83" s="236"/>
      <c r="B83" s="248" t="str">
        <f>IFERROR(__xludf.DUMMYFUNCTION("""COMPUTED_VALUE"""),"chara_sur_00101")</f>
        <v>chara_sur_00101</v>
      </c>
      <c r="C83" s="246" t="str">
        <f>IFERROR(__xludf.DUMMYFUNCTION("""COMPUTED_VALUE"""),"_general_sur_vh")</f>
        <v>_general_sur_vh</v>
      </c>
      <c r="D83" s="246" t="str">
        <f>IFERROR(__xludf.DUMMYFUNCTION("""COMPUTED_VALUE"""),"c_sur_00101_general_sur_vh_Boss_Green")</f>
        <v>c_sur_00101_general_sur_vh_Boss_Green</v>
      </c>
      <c r="E83" s="246" t="str">
        <f>IFERROR(__xludf.DUMMYFUNCTION("""COMPUTED_VALUE"""),"魔都精兵のスレイブ")</f>
        <v>魔都精兵のスレイブ</v>
      </c>
      <c r="F83" s="247" t="str">
        <f>IFERROR(__xludf.DUMMYFUNCTION("""COMPUTED_VALUE"""),"誇り高き魔都の剣姫 羽前 京香")</f>
        <v>誇り高き魔都の剣姫 羽前 京香</v>
      </c>
      <c r="G83" s="247" t="str">
        <f>IFERROR(__xludf.DUMMYFUNCTION("""COMPUTED_VALUE"""),"誇り高き魔都の剣姫 羽前京香_general_sur_vh")</f>
        <v>誇り高き魔都の剣姫 羽前京香_general_sur_vh</v>
      </c>
      <c r="H83" s="248" t="str">
        <f>IFERROR(__xludf.DUMMYFUNCTION("""COMPUTED_VALUE"""),"Boss")</f>
        <v>Boss</v>
      </c>
      <c r="I83" s="248" t="str">
        <f>IFERROR(__xludf.DUMMYFUNCTION("""COMPUTED_VALUE"""),"Attack")</f>
        <v>Attack</v>
      </c>
      <c r="J83" s="248" t="str">
        <f>IFERROR(__xludf.DUMMYFUNCTION("""COMPUTED_VALUE"""),"Green")</f>
        <v>Green</v>
      </c>
      <c r="K83" s="248">
        <f>IFERROR(__xludf.DUMMYFUNCTION("""COMPUTED_VALUE"""),400000.0)</f>
        <v>400000</v>
      </c>
      <c r="L83" s="248">
        <f>IFERROR(__xludf.DUMMYFUNCTION("""COMPUTED_VALUE"""),2.0)</f>
        <v>2</v>
      </c>
      <c r="M83" s="248">
        <f>IFERROR(__xludf.DUMMYFUNCTION("""COMPUTED_VALUE"""),45.0)</f>
        <v>45</v>
      </c>
      <c r="N83" s="248">
        <f>IFERROR(__xludf.DUMMYFUNCTION("""COMPUTED_VALUE"""),0.2)</f>
        <v>0.2</v>
      </c>
      <c r="O83" s="248">
        <f>IFERROR(__xludf.DUMMYFUNCTION("""COMPUTED_VALUE"""),800.0)</f>
        <v>800</v>
      </c>
      <c r="P83" s="248">
        <f>IFERROR(__xludf.DUMMYFUNCTION("""COMPUTED_VALUE"""),0.0)</f>
        <v>0</v>
      </c>
      <c r="Q83" s="248"/>
      <c r="R83" s="248"/>
      <c r="S83" s="248">
        <f>IFERROR(__xludf.DUMMYFUNCTION("""COMPUTED_VALUE"""),1.0)</f>
        <v>1</v>
      </c>
      <c r="T83" s="249" t="str">
        <f>IFERROR(__xludf.DUMMYFUNCTION("""COMPUTED_VALUE"""),"1.40")</f>
        <v>1.40</v>
      </c>
      <c r="U83" s="250" t="str">
        <f>IFERROR(__xludf.DUMMYFUNCTION("""COMPUTED_VALUE"""),"stop無:1回目 0.33")</f>
        <v>stop無:1回目 0.33</v>
      </c>
      <c r="V83" s="250"/>
      <c r="W83" s="250" t="str">
        <f>IFERROR(__xludf.DUMMYFUNCTION("""COMPUTED_VALUE"""),"2.67")</f>
        <v>2.67</v>
      </c>
      <c r="X83" s="25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83" s="250" t="str">
        <f>IFERROR(__xludf.DUMMYFUNCTION("""COMPUTED_VALUE"""),"199秒間、自身の攻撃を5%UP")</f>
        <v>199秒間、自身の攻撃を5%UP</v>
      </c>
      <c r="Z83" s="250">
        <f>IFERROR(__xludf.DUMMYFUNCTION("""COMPUTED_VALUE"""),7.0)</f>
        <v>7</v>
      </c>
      <c r="AA83" s="235"/>
      <c r="AB83" s="235"/>
      <c r="AC83" s="235"/>
    </row>
    <row r="84">
      <c r="A84" s="236"/>
      <c r="B84" s="248" t="str">
        <f>IFERROR(__xludf.DUMMYFUNCTION("""COMPUTED_VALUE"""),"chara_sur_00201")</f>
        <v>chara_sur_00201</v>
      </c>
      <c r="C84" s="246" t="str">
        <f>IFERROR(__xludf.DUMMYFUNCTION("""COMPUTED_VALUE"""),"_general_sur_vh")</f>
        <v>_general_sur_vh</v>
      </c>
      <c r="D84" s="246" t="str">
        <f>IFERROR(__xludf.DUMMYFUNCTION("""COMPUTED_VALUE"""),"c_sur_00201_general_sur_vh_Normal_Red")</f>
        <v>c_sur_00201_general_sur_vh_Normal_Red</v>
      </c>
      <c r="E84" s="246" t="str">
        <f>IFERROR(__xludf.DUMMYFUNCTION("""COMPUTED_VALUE"""),"魔都精兵のスレイブ")</f>
        <v>魔都精兵のスレイブ</v>
      </c>
      <c r="F84" s="247" t="str">
        <f>IFERROR(__xludf.DUMMYFUNCTION("""COMPUTED_VALUE"""),"東 日万凛")</f>
        <v>東 日万凛</v>
      </c>
      <c r="G84" s="247" t="str">
        <f>IFERROR(__xludf.DUMMYFUNCTION("""COMPUTED_VALUE"""),"東 日万凛_general_sur_vh")</f>
        <v>東 日万凛_general_sur_vh</v>
      </c>
      <c r="H84" s="248" t="str">
        <f>IFERROR(__xludf.DUMMYFUNCTION("""COMPUTED_VALUE"""),"Normal")</f>
        <v>Normal</v>
      </c>
      <c r="I84" s="248" t="str">
        <f>IFERROR(__xludf.DUMMYFUNCTION("""COMPUTED_VALUE"""),"Attack")</f>
        <v>Attack</v>
      </c>
      <c r="J84" s="248" t="str">
        <f>IFERROR(__xludf.DUMMYFUNCTION("""COMPUTED_VALUE"""),"Red")</f>
        <v>Red</v>
      </c>
      <c r="K84" s="248">
        <f>IFERROR(__xludf.DUMMYFUNCTION("""COMPUTED_VALUE"""),150000.0)</f>
        <v>150000</v>
      </c>
      <c r="L84" s="248">
        <f>IFERROR(__xludf.DUMMYFUNCTION("""COMPUTED_VALUE"""),2.0)</f>
        <v>2</v>
      </c>
      <c r="M84" s="248">
        <f>IFERROR(__xludf.DUMMYFUNCTION("""COMPUTED_VALUE"""),35.0)</f>
        <v>35</v>
      </c>
      <c r="N84" s="248">
        <f>IFERROR(__xludf.DUMMYFUNCTION("""COMPUTED_VALUE"""),0.2)</f>
        <v>0.2</v>
      </c>
      <c r="O84" s="248">
        <f>IFERROR(__xludf.DUMMYFUNCTION("""COMPUTED_VALUE"""),500.0)</f>
        <v>500</v>
      </c>
      <c r="P84" s="248">
        <f>IFERROR(__xludf.DUMMYFUNCTION("""COMPUTED_VALUE"""),0.0)</f>
        <v>0</v>
      </c>
      <c r="Q84" s="248"/>
      <c r="R84" s="248"/>
      <c r="S84" s="248">
        <f>IFERROR(__xludf.DUMMYFUNCTION("""COMPUTED_VALUE"""),1.0)</f>
        <v>1</v>
      </c>
      <c r="T84" s="249" t="str">
        <f>IFERROR(__xludf.DUMMYFUNCTION("""COMPUTED_VALUE"""),"1.47")</f>
        <v>1.47</v>
      </c>
      <c r="U84" s="250" t="str">
        <f>IFERROR(__xludf.DUMMYFUNCTION("""COMPUTED_VALUE"""),"stop無:1回目 0.37")</f>
        <v>stop無:1回目 0.37</v>
      </c>
      <c r="V84" s="250"/>
      <c r="W84" s="250" t="str">
        <f>IFERROR(__xludf.DUMMYFUNCTION("""COMPUTED_VALUE"""),"2.67")</f>
        <v>2.67</v>
      </c>
      <c r="X84" s="250"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84" s="250" t="str">
        <f>IFERROR(__xludf.DUMMYFUNCTION("""COMPUTED_VALUE"""),"範囲攻撃+小ノックバック+20秒間味方の45%攻撃DOWN")</f>
        <v>範囲攻撃+小ノックバック+20秒間味方の45%攻撃DOWN</v>
      </c>
      <c r="Z84" s="250">
        <f>IFERROR(__xludf.DUMMYFUNCTION("""COMPUTED_VALUE"""),5.0)</f>
        <v>5</v>
      </c>
      <c r="AA84" s="235"/>
      <c r="AB84" s="235"/>
      <c r="AC84" s="235"/>
    </row>
    <row r="85">
      <c r="A85" s="236"/>
      <c r="B85" s="248" t="str">
        <f>IFERROR(__xludf.DUMMYFUNCTION("""COMPUTED_VALUE"""),"chara_sur_00301")</f>
        <v>chara_sur_00301</v>
      </c>
      <c r="C85" s="246" t="str">
        <f>IFERROR(__xludf.DUMMYFUNCTION("""COMPUTED_VALUE"""),"_general_sur_vh")</f>
        <v>_general_sur_vh</v>
      </c>
      <c r="D85" s="246" t="str">
        <f>IFERROR(__xludf.DUMMYFUNCTION("""COMPUTED_VALUE"""),"c_sur_00301_general_sur_vh_Normal_Red")</f>
        <v>c_sur_00301_general_sur_vh_Normal_Red</v>
      </c>
      <c r="E85" s="246" t="str">
        <f>IFERROR(__xludf.DUMMYFUNCTION("""COMPUTED_VALUE"""),"魔都精兵のスレイブ")</f>
        <v>魔都精兵のスレイブ</v>
      </c>
      <c r="F85" s="247" t="str">
        <f>IFERROR(__xludf.DUMMYFUNCTION("""COMPUTED_VALUE"""),"駿河 朱々")</f>
        <v>駿河 朱々</v>
      </c>
      <c r="G85" s="247" t="str">
        <f>IFERROR(__xludf.DUMMYFUNCTION("""COMPUTED_VALUE"""),"駿河 朱々_general_sur_vh")</f>
        <v>駿河 朱々_general_sur_vh</v>
      </c>
      <c r="H85" s="248" t="str">
        <f>IFERROR(__xludf.DUMMYFUNCTION("""COMPUTED_VALUE"""),"Normal")</f>
        <v>Normal</v>
      </c>
      <c r="I85" s="248" t="str">
        <f>IFERROR(__xludf.DUMMYFUNCTION("""COMPUTED_VALUE"""),"Defense")</f>
        <v>Defense</v>
      </c>
      <c r="J85" s="248" t="str">
        <f>IFERROR(__xludf.DUMMYFUNCTION("""COMPUTED_VALUE"""),"Red")</f>
        <v>Red</v>
      </c>
      <c r="K85" s="248">
        <f>IFERROR(__xludf.DUMMYFUNCTION("""COMPUTED_VALUE"""),300000.0)</f>
        <v>300000</v>
      </c>
      <c r="L85" s="248">
        <f>IFERROR(__xludf.DUMMYFUNCTION("""COMPUTED_VALUE"""),1.0)</f>
        <v>1</v>
      </c>
      <c r="M85" s="248">
        <f>IFERROR(__xludf.DUMMYFUNCTION("""COMPUTED_VALUE"""),40.0)</f>
        <v>40</v>
      </c>
      <c r="N85" s="248">
        <f>IFERROR(__xludf.DUMMYFUNCTION("""COMPUTED_VALUE"""),0.11)</f>
        <v>0.11</v>
      </c>
      <c r="O85" s="248">
        <f>IFERROR(__xludf.DUMMYFUNCTION("""COMPUTED_VALUE"""),300.0)</f>
        <v>300</v>
      </c>
      <c r="P85" s="248">
        <f>IFERROR(__xludf.DUMMYFUNCTION("""COMPUTED_VALUE"""),0.0)</f>
        <v>0</v>
      </c>
      <c r="Q85" s="248"/>
      <c r="R85" s="248"/>
      <c r="S85" s="248">
        <f>IFERROR(__xludf.DUMMYFUNCTION("""COMPUTED_VALUE"""),1.0)</f>
        <v>1</v>
      </c>
      <c r="T85" s="249" t="str">
        <f>IFERROR(__xludf.DUMMYFUNCTION("""COMPUTED_VALUE"""),"1.56")</f>
        <v>1.56</v>
      </c>
      <c r="U85" s="250" t="str">
        <f>IFERROR(__xludf.DUMMYFUNCTION("""COMPUTED_VALUE"""),"0.66")</f>
        <v>0.66</v>
      </c>
      <c r="V85" s="250"/>
      <c r="W85" s="250" t="str">
        <f>IFERROR(__xludf.DUMMYFUNCTION("""COMPUTED_VALUE"""),"1.91")</f>
        <v>1.91</v>
      </c>
      <c r="X85" s="250" t="str">
        <f>IFERROR(__xludf.DUMMYFUNCTION("""COMPUTED_VALUE"""),"0.73")</f>
        <v>0.73</v>
      </c>
      <c r="Y85" s="250" t="str">
        <f>IFERROR(__xludf.DUMMYFUNCTION("""COMPUTED_VALUE"""),"単体攻撃")</f>
        <v>単体攻撃</v>
      </c>
      <c r="Z85" s="250">
        <f>IFERROR(__xludf.DUMMYFUNCTION("""COMPUTED_VALUE"""),7.0)</f>
        <v>7</v>
      </c>
      <c r="AA85" s="235"/>
      <c r="AB85" s="235"/>
      <c r="AC85" s="235"/>
    </row>
    <row r="86">
      <c r="A86" s="236"/>
      <c r="B86" s="248" t="str">
        <f>IFERROR(__xludf.DUMMYFUNCTION("""COMPUTED_VALUE"""),"chara_sur_00001")</f>
        <v>chara_sur_00001</v>
      </c>
      <c r="C86" s="246" t="str">
        <f>IFERROR(__xludf.DUMMYFUNCTION("""COMPUTED_VALUE"""),"_general_sur_vh")</f>
        <v>_general_sur_vh</v>
      </c>
      <c r="D86" s="246" t="str">
        <f>IFERROR(__xludf.DUMMYFUNCTION("""COMPUTED_VALUE"""),"c_sur_00001_general_sur_vh_Normal_Green")</f>
        <v>c_sur_00001_general_sur_vh_Normal_Green</v>
      </c>
      <c r="E86" s="246" t="str">
        <f>IFERROR(__xludf.DUMMYFUNCTION("""COMPUTED_VALUE"""),"魔都精兵のスレイブ")</f>
        <v>魔都精兵のスレイブ</v>
      </c>
      <c r="F86" s="247" t="str">
        <f>IFERROR(__xludf.DUMMYFUNCTION("""COMPUTED_VALUE"""),"和倉 優希")</f>
        <v>和倉 優希</v>
      </c>
      <c r="G86" s="247" t="str">
        <f>IFERROR(__xludf.DUMMYFUNCTION("""COMPUTED_VALUE"""),"和倉 優希_general_sur_vh")</f>
        <v>和倉 優希_general_sur_vh</v>
      </c>
      <c r="H86" s="248" t="str">
        <f>IFERROR(__xludf.DUMMYFUNCTION("""COMPUTED_VALUE"""),"Normal")</f>
        <v>Normal</v>
      </c>
      <c r="I86" s="248" t="str">
        <f>IFERROR(__xludf.DUMMYFUNCTION("""COMPUTED_VALUE"""),"Support")</f>
        <v>Support</v>
      </c>
      <c r="J86" s="248" t="str">
        <f>IFERROR(__xludf.DUMMYFUNCTION("""COMPUTED_VALUE"""),"Green")</f>
        <v>Green</v>
      </c>
      <c r="K86" s="248">
        <f>IFERROR(__xludf.DUMMYFUNCTION("""COMPUTED_VALUE"""),50000.0)</f>
        <v>50000</v>
      </c>
      <c r="L86" s="248">
        <f>IFERROR(__xludf.DUMMYFUNCTION("""COMPUTED_VALUE"""),2.0)</f>
        <v>2</v>
      </c>
      <c r="M86" s="248">
        <f>IFERROR(__xludf.DUMMYFUNCTION("""COMPUTED_VALUE"""),45.0)</f>
        <v>45</v>
      </c>
      <c r="N86" s="248">
        <f>IFERROR(__xludf.DUMMYFUNCTION("""COMPUTED_VALUE"""),0.2)</f>
        <v>0.2</v>
      </c>
      <c r="O86" s="248">
        <f>IFERROR(__xludf.DUMMYFUNCTION("""COMPUTED_VALUE"""),500.0)</f>
        <v>500</v>
      </c>
      <c r="P86" s="248">
        <f>IFERROR(__xludf.DUMMYFUNCTION("""COMPUTED_VALUE"""),0.0)</f>
        <v>0</v>
      </c>
      <c r="Q86" s="248"/>
      <c r="R86" s="248"/>
      <c r="S86" s="248">
        <f>IFERROR(__xludf.DUMMYFUNCTION("""COMPUTED_VALUE"""),1.0)</f>
        <v>1</v>
      </c>
      <c r="T86" s="249" t="str">
        <f>IFERROR(__xludf.DUMMYFUNCTION("""COMPUTED_VALUE"""),"1.17")</f>
        <v>1.17</v>
      </c>
      <c r="U86" s="250" t="str">
        <f>IFERROR(__xludf.DUMMYFUNCTION("""COMPUTED_VALUE"""),"stop有:1回目 0.30")</f>
        <v>stop有:1回目 0.30</v>
      </c>
      <c r="V86" s="250"/>
      <c r="W86" s="250" t="str">
        <f>IFERROR(__xludf.DUMMYFUNCTION("""COMPUTED_VALUE"""),"2.80")</f>
        <v>2.80</v>
      </c>
      <c r="X86" s="250" t="str">
        <f>IFERROR(__xludf.DUMMYFUNCTION("""COMPUTED_VALUE"""),"stop無:1回目 2.00")</f>
        <v>stop無:1回目 2.00</v>
      </c>
      <c r="Y86" s="250" t="str">
        <f>IFERROR(__xludf.DUMMYFUNCTION("""COMPUTED_VALUE"""),"自身のコマと1個前のコマにいる敵を6秒間、80%被ダメージカット")</f>
        <v>自身のコマと1個前のコマにいる敵を6秒間、80%被ダメージカット</v>
      </c>
      <c r="Z86" s="250">
        <f>IFERROR(__xludf.DUMMYFUNCTION("""COMPUTED_VALUE"""),7.0)</f>
        <v>7</v>
      </c>
      <c r="AA86" s="235"/>
      <c r="AB86" s="235"/>
      <c r="AC86" s="235"/>
    </row>
    <row r="87">
      <c r="A87" s="236"/>
      <c r="B87" s="248"/>
      <c r="C87" s="246"/>
      <c r="D87" s="246" t="str">
        <f>IFERROR(__xludf.DUMMYFUNCTION("""COMPUTED_VALUE"""),"___")</f>
        <v>___</v>
      </c>
      <c r="E87" s="246" t="str">
        <f>IFERROR(__xludf.DUMMYFUNCTION("""COMPUTED_VALUE"""),"none")</f>
        <v>none</v>
      </c>
      <c r="F87" s="247" t="str">
        <f>IFERROR(__xludf.DUMMYFUNCTION("""COMPUTED_VALUE"""),"none")</f>
        <v>none</v>
      </c>
      <c r="G87" s="247" t="str">
        <f>IFERROR(__xludf.DUMMYFUNCTION("""COMPUTED_VALUE"""),"none")</f>
        <v>none</v>
      </c>
      <c r="H87" s="248"/>
      <c r="I87" s="248" t="str">
        <f>IFERROR(__xludf.DUMMYFUNCTION("""COMPUTED_VALUE"""),"none")</f>
        <v>none</v>
      </c>
      <c r="J87" s="248"/>
      <c r="K87" s="248"/>
      <c r="L87" s="248"/>
      <c r="M87" s="248"/>
      <c r="N87" s="248"/>
      <c r="O87" s="248"/>
      <c r="P87" s="248"/>
      <c r="Q87" s="248"/>
      <c r="R87" s="248"/>
      <c r="S87" s="248"/>
      <c r="T87" s="249" t="str">
        <f>IFERROR(__xludf.DUMMYFUNCTION("""COMPUTED_VALUE"""),"none")</f>
        <v>none</v>
      </c>
      <c r="U87" s="250" t="str">
        <f>IFERROR(__xludf.DUMMYFUNCTION("""COMPUTED_VALUE"""),"none")</f>
        <v>none</v>
      </c>
      <c r="V87" s="250"/>
      <c r="W87" s="250" t="str">
        <f>IFERROR(__xludf.DUMMYFUNCTION("""COMPUTED_VALUE"""),"none")</f>
        <v>none</v>
      </c>
      <c r="X87" s="250" t="str">
        <f>IFERROR(__xludf.DUMMYFUNCTION("""COMPUTED_VALUE"""),"none")</f>
        <v>none</v>
      </c>
      <c r="Y87" s="250"/>
      <c r="Z87" s="250"/>
      <c r="AA87" s="235"/>
      <c r="AB87" s="235"/>
      <c r="AC87" s="235"/>
    </row>
    <row r="88">
      <c r="A88" s="236"/>
      <c r="B88" s="248" t="str">
        <f>IFERROR(__xludf.DUMMYFUNCTION("""COMPUTED_VALUE"""),"chara_rik_00001")</f>
        <v>chara_rik_00001</v>
      </c>
      <c r="C88" s="246" t="str">
        <f>IFERROR(__xludf.DUMMYFUNCTION("""COMPUTED_VALUE"""),"_general")</f>
        <v>_general</v>
      </c>
      <c r="D88" s="246" t="str">
        <f>IFERROR(__xludf.DUMMYFUNCTION("""COMPUTED_VALUE"""),"c_rik_00001_general_Normal_Colorless")</f>
        <v>c_rik_00001_general_Normal_Colorless</v>
      </c>
      <c r="E88" s="246" t="str">
        <f>IFERROR(__xludf.DUMMYFUNCTION("""COMPUTED_VALUE"""),"トマトイプーのリコピン")</f>
        <v>トマトイプーのリコピン</v>
      </c>
      <c r="F88" s="247" t="str">
        <f>IFERROR(__xludf.DUMMYFUNCTION("""COMPUTED_VALUE"""),"リコピン")</f>
        <v>リコピン</v>
      </c>
      <c r="G88" s="247" t="str">
        <f>IFERROR(__xludf.DUMMYFUNCTION("""COMPUTED_VALUE"""),"リコピン_general")</f>
        <v>リコピン_general</v>
      </c>
      <c r="H88" s="248" t="str">
        <f>IFERROR(__xludf.DUMMYFUNCTION("""COMPUTED_VALUE"""),"Normal")</f>
        <v>Normal</v>
      </c>
      <c r="I88" s="248" t="str">
        <f>IFERROR(__xludf.DUMMYFUNCTION("""COMPUTED_VALUE"""),"Attack")</f>
        <v>Attack</v>
      </c>
      <c r="J88" s="248" t="str">
        <f>IFERROR(__xludf.DUMMYFUNCTION("""COMPUTED_VALUE"""),"Colorless")</f>
        <v>Colorless</v>
      </c>
      <c r="K88" s="248">
        <f>IFERROR(__xludf.DUMMYFUNCTION("""COMPUTED_VALUE"""),12000.0)</f>
        <v>12000</v>
      </c>
      <c r="L88" s="248">
        <f>IFERROR(__xludf.DUMMYFUNCTION("""COMPUTED_VALUE"""),1.0)</f>
        <v>1</v>
      </c>
      <c r="M88" s="248">
        <f>IFERROR(__xludf.DUMMYFUNCTION("""COMPUTED_VALUE"""),50.0)</f>
        <v>50</v>
      </c>
      <c r="N88" s="248">
        <f>IFERROR(__xludf.DUMMYFUNCTION("""COMPUTED_VALUE"""),0.2)</f>
        <v>0.2</v>
      </c>
      <c r="O88" s="248">
        <f>IFERROR(__xludf.DUMMYFUNCTION("""COMPUTED_VALUE"""),500.0)</f>
        <v>500</v>
      </c>
      <c r="P88" s="248">
        <f>IFERROR(__xludf.DUMMYFUNCTION("""COMPUTED_VALUE"""),0.0)</f>
        <v>0</v>
      </c>
      <c r="Q88" s="248">
        <f>IFERROR(__xludf.DUMMYFUNCTION("""COMPUTED_VALUE"""),0.3)</f>
        <v>0.3</v>
      </c>
      <c r="R88" s="248">
        <f>IFERROR(__xludf.DUMMYFUNCTION("""COMPUTED_VALUE"""),1.0)</f>
        <v>1</v>
      </c>
      <c r="S88" s="248">
        <f>IFERROR(__xludf.DUMMYFUNCTION("""COMPUTED_VALUE"""),10.0)</f>
        <v>10</v>
      </c>
      <c r="T88" s="249" t="str">
        <f>IFERROR(__xludf.DUMMYFUNCTION("""COMPUTED_VALUE"""),"1.64")</f>
        <v>1.64</v>
      </c>
      <c r="U88" s="250" t="str">
        <f>IFERROR(__xludf.DUMMYFUNCTION("""COMPUTED_VALUE"""),"0.93")</f>
        <v>0.93</v>
      </c>
      <c r="V88" s="250">
        <f>IFERROR(__xludf.DUMMYFUNCTION("""COMPUTED_VALUE"""),35.0)</f>
        <v>35</v>
      </c>
      <c r="W88" s="250" t="str">
        <f>IFERROR(__xludf.DUMMYFUNCTION("""COMPUTED_VALUE"""),"4.01")</f>
        <v>4.01</v>
      </c>
      <c r="X88" s="250" t="str">
        <f>IFERROR(__xludf.DUMMYFUNCTION("""COMPUTED_VALUE"""),"1回目：0.83
2回目：1.84
3回目：2.67")</f>
        <v>1回目：0.83
2回目：1.84
3回目：2.67</v>
      </c>
      <c r="Y88" s="250"/>
      <c r="Z88" s="250" t="str">
        <f>IFERROR(__xludf.DUMMYFUNCTION("""COMPUTED_VALUE"""),"-")</f>
        <v>-</v>
      </c>
      <c r="AA88" s="235"/>
      <c r="AB88" s="235" t="str">
        <f>IFERROR(__xludf.DUMMYFUNCTION("""COMPUTED_VALUE"""),"dageki_2")</f>
        <v>dageki_2</v>
      </c>
      <c r="AC88" s="235"/>
    </row>
    <row r="89">
      <c r="A89" s="236"/>
      <c r="B89" s="248" t="str">
        <f>IFERROR(__xludf.DUMMYFUNCTION("""COMPUTED_VALUE"""),"chara_rik_00001")</f>
        <v>chara_rik_00001</v>
      </c>
      <c r="C89" s="246" t="str">
        <f>IFERROR(__xludf.DUMMYFUNCTION("""COMPUTED_VALUE"""),"_general")</f>
        <v>_general</v>
      </c>
      <c r="D89" s="246" t="str">
        <f>IFERROR(__xludf.DUMMYFUNCTION("""COMPUTED_VALUE"""),"c_rik_00001_general_Normal_Red")</f>
        <v>c_rik_00001_general_Normal_Red</v>
      </c>
      <c r="E89" s="246" t="str">
        <f>IFERROR(__xludf.DUMMYFUNCTION("""COMPUTED_VALUE"""),"トマトイプーのリコピン")</f>
        <v>トマトイプーのリコピン</v>
      </c>
      <c r="F89" s="247" t="str">
        <f>IFERROR(__xludf.DUMMYFUNCTION("""COMPUTED_VALUE"""),"リコピン")</f>
        <v>リコピン</v>
      </c>
      <c r="G89" s="247" t="str">
        <f>IFERROR(__xludf.DUMMYFUNCTION("""COMPUTED_VALUE"""),"リコピン_general")</f>
        <v>リコピン_general</v>
      </c>
      <c r="H89" s="248" t="str">
        <f>IFERROR(__xludf.DUMMYFUNCTION("""COMPUTED_VALUE"""),"Normal")</f>
        <v>Normal</v>
      </c>
      <c r="I89" s="248" t="str">
        <f>IFERROR(__xludf.DUMMYFUNCTION("""COMPUTED_VALUE"""),"Attack")</f>
        <v>Attack</v>
      </c>
      <c r="J89" s="248" t="str">
        <f>IFERROR(__xludf.DUMMYFUNCTION("""COMPUTED_VALUE"""),"Red")</f>
        <v>Red</v>
      </c>
      <c r="K89" s="248">
        <f>IFERROR(__xludf.DUMMYFUNCTION("""COMPUTED_VALUE"""),80000.0)</f>
        <v>80000</v>
      </c>
      <c r="L89" s="248">
        <f>IFERROR(__xludf.DUMMYFUNCTION("""COMPUTED_VALUE"""),1.0)</f>
        <v>1</v>
      </c>
      <c r="M89" s="248">
        <f>IFERROR(__xludf.DUMMYFUNCTION("""COMPUTED_VALUE"""),50.0)</f>
        <v>50</v>
      </c>
      <c r="N89" s="248">
        <f>IFERROR(__xludf.DUMMYFUNCTION("""COMPUTED_VALUE"""),0.2)</f>
        <v>0.2</v>
      </c>
      <c r="O89" s="248">
        <f>IFERROR(__xludf.DUMMYFUNCTION("""COMPUTED_VALUE"""),400.0)</f>
        <v>400</v>
      </c>
      <c r="P89" s="248">
        <f>IFERROR(__xludf.DUMMYFUNCTION("""COMPUTED_VALUE"""),0.0)</f>
        <v>0</v>
      </c>
      <c r="Q89" s="248">
        <f>IFERROR(__xludf.DUMMYFUNCTION("""COMPUTED_VALUE"""),0.3)</f>
        <v>0.3</v>
      </c>
      <c r="R89" s="248">
        <f>IFERROR(__xludf.DUMMYFUNCTION("""COMPUTED_VALUE"""),1.0)</f>
        <v>1</v>
      </c>
      <c r="S89" s="248">
        <f>IFERROR(__xludf.DUMMYFUNCTION("""COMPUTED_VALUE"""),10.0)</f>
        <v>10</v>
      </c>
      <c r="T89" s="249" t="str">
        <f>IFERROR(__xludf.DUMMYFUNCTION("""COMPUTED_VALUE"""),"1.64")</f>
        <v>1.64</v>
      </c>
      <c r="U89" s="250" t="str">
        <f>IFERROR(__xludf.DUMMYFUNCTION("""COMPUTED_VALUE"""),"0.93")</f>
        <v>0.93</v>
      </c>
      <c r="V89" s="250">
        <f>IFERROR(__xludf.DUMMYFUNCTION("""COMPUTED_VALUE"""),35.0)</f>
        <v>35</v>
      </c>
      <c r="W89" s="250" t="str">
        <f>IFERROR(__xludf.DUMMYFUNCTION("""COMPUTED_VALUE"""),"4.01")</f>
        <v>4.01</v>
      </c>
      <c r="X89" s="250" t="str">
        <f>IFERROR(__xludf.DUMMYFUNCTION("""COMPUTED_VALUE"""),"1回目：0.83
2回目：1.84
3回目：2.67")</f>
        <v>1回目：0.83
2回目：1.84
3回目：2.67</v>
      </c>
      <c r="Y89" s="250"/>
      <c r="Z89" s="250" t="str">
        <f>IFERROR(__xludf.DUMMYFUNCTION("""COMPUTED_VALUE"""),"-")</f>
        <v>-</v>
      </c>
      <c r="AA89" s="235"/>
      <c r="AB89" s="235" t="str">
        <f>IFERROR(__xludf.DUMMYFUNCTION("""COMPUTED_VALUE"""),"dageki_2")</f>
        <v>dageki_2</v>
      </c>
      <c r="AC89" s="235"/>
    </row>
    <row r="90">
      <c r="A90" s="236"/>
      <c r="B90" s="248" t="str">
        <f>IFERROR(__xludf.DUMMYFUNCTION("""COMPUTED_VALUE"""),"chara_rik_00001")</f>
        <v>chara_rik_00001</v>
      </c>
      <c r="C90" s="246" t="str">
        <f>IFERROR(__xludf.DUMMYFUNCTION("""COMPUTED_VALUE"""),"_general")</f>
        <v>_general</v>
      </c>
      <c r="D90" s="246" t="str">
        <f>IFERROR(__xludf.DUMMYFUNCTION("""COMPUTED_VALUE"""),"c_rik_00001_general_Boss_Red")</f>
        <v>c_rik_00001_general_Boss_Red</v>
      </c>
      <c r="E90" s="246" t="str">
        <f>IFERROR(__xludf.DUMMYFUNCTION("""COMPUTED_VALUE"""),"トマトイプーのリコピン")</f>
        <v>トマトイプーのリコピン</v>
      </c>
      <c r="F90" s="247" t="str">
        <f>IFERROR(__xludf.DUMMYFUNCTION("""COMPUTED_VALUE"""),"リコピン")</f>
        <v>リコピン</v>
      </c>
      <c r="G90" s="247" t="str">
        <f>IFERROR(__xludf.DUMMYFUNCTION("""COMPUTED_VALUE"""),"リコピン_general")</f>
        <v>リコピン_general</v>
      </c>
      <c r="H90" s="248" t="str">
        <f>IFERROR(__xludf.DUMMYFUNCTION("""COMPUTED_VALUE"""),"Boss")</f>
        <v>Boss</v>
      </c>
      <c r="I90" s="248" t="str">
        <f>IFERROR(__xludf.DUMMYFUNCTION("""COMPUTED_VALUE"""),"Attack")</f>
        <v>Attack</v>
      </c>
      <c r="J90" s="248" t="str">
        <f>IFERROR(__xludf.DUMMYFUNCTION("""COMPUTED_VALUE"""),"Red")</f>
        <v>Red</v>
      </c>
      <c r="K90" s="248">
        <f>IFERROR(__xludf.DUMMYFUNCTION("""COMPUTED_VALUE"""),300000.0)</f>
        <v>300000</v>
      </c>
      <c r="L90" s="248">
        <f>IFERROR(__xludf.DUMMYFUNCTION("""COMPUTED_VALUE"""),2.0)</f>
        <v>2</v>
      </c>
      <c r="M90" s="248">
        <f>IFERROR(__xludf.DUMMYFUNCTION("""COMPUTED_VALUE"""),45.0)</f>
        <v>45</v>
      </c>
      <c r="N90" s="248">
        <f>IFERROR(__xludf.DUMMYFUNCTION("""COMPUTED_VALUE"""),0.2)</f>
        <v>0.2</v>
      </c>
      <c r="O90" s="248">
        <f>IFERROR(__xludf.DUMMYFUNCTION("""COMPUTED_VALUE"""),700.0)</f>
        <v>700</v>
      </c>
      <c r="P90" s="248">
        <f>IFERROR(__xludf.DUMMYFUNCTION("""COMPUTED_VALUE"""),0.0)</f>
        <v>0</v>
      </c>
      <c r="Q90" s="248">
        <f>IFERROR(__xludf.DUMMYFUNCTION("""COMPUTED_VALUE"""),0.3)</f>
        <v>0.3</v>
      </c>
      <c r="R90" s="248">
        <f>IFERROR(__xludf.DUMMYFUNCTION("""COMPUTED_VALUE"""),1.0)</f>
        <v>1</v>
      </c>
      <c r="S90" s="248">
        <f>IFERROR(__xludf.DUMMYFUNCTION("""COMPUTED_VALUE"""),10.0)</f>
        <v>10</v>
      </c>
      <c r="T90" s="249" t="str">
        <f>IFERROR(__xludf.DUMMYFUNCTION("""COMPUTED_VALUE"""),"1.64")</f>
        <v>1.64</v>
      </c>
      <c r="U90" s="250" t="str">
        <f>IFERROR(__xludf.DUMMYFUNCTION("""COMPUTED_VALUE"""),"0.93")</f>
        <v>0.93</v>
      </c>
      <c r="V90" s="250">
        <f>IFERROR(__xludf.DUMMYFUNCTION("""COMPUTED_VALUE"""),35.0)</f>
        <v>35</v>
      </c>
      <c r="W90" s="250" t="str">
        <f>IFERROR(__xludf.DUMMYFUNCTION("""COMPUTED_VALUE"""),"4.01")</f>
        <v>4.01</v>
      </c>
      <c r="X90" s="250" t="str">
        <f>IFERROR(__xludf.DUMMYFUNCTION("""COMPUTED_VALUE"""),"1回目：0.83
2回目：1.84
3回目：2.67")</f>
        <v>1回目：0.83
2回目：1.84
3回目：2.67</v>
      </c>
      <c r="Y90" s="250" t="str">
        <f>IFERROR(__xludf.DUMMYFUNCTION("""COMPUTED_VALUE"""),"連続3回攻撃")</f>
        <v>連続3回攻撃</v>
      </c>
      <c r="Z90" s="250">
        <f>IFERROR(__xludf.DUMMYFUNCTION("""COMPUTED_VALUE"""),5.0)</f>
        <v>5</v>
      </c>
      <c r="AA90" s="235"/>
      <c r="AB90" s="235" t="str">
        <f>IFERROR(__xludf.DUMMYFUNCTION("""COMPUTED_VALUE"""),"dageki_2")</f>
        <v>dageki_2</v>
      </c>
      <c r="AC90" s="235" t="str">
        <f>IFERROR(__xludf.DUMMYFUNCTION("""COMPUTED_VALUE"""),"通常攻撃時100%の確率で小ノックバック")</f>
        <v>通常攻撃時100%の確率で小ノックバック</v>
      </c>
    </row>
    <row r="91">
      <c r="A91" s="236"/>
      <c r="B91" s="248" t="str">
        <f>IFERROR(__xludf.DUMMYFUNCTION("""COMPUTED_VALUE"""),"chara_rik_00101")</f>
        <v>chara_rik_00101</v>
      </c>
      <c r="C91" s="246" t="str">
        <f>IFERROR(__xludf.DUMMYFUNCTION("""COMPUTED_VALUE"""),"_general")</f>
        <v>_general</v>
      </c>
      <c r="D91" s="246" t="str">
        <f>IFERROR(__xludf.DUMMYFUNCTION("""COMPUTED_VALUE"""),"c_rik_00101_general_Boss_Red")</f>
        <v>c_rik_00101_general_Boss_Red</v>
      </c>
      <c r="E91" s="246" t="str">
        <f>IFERROR(__xludf.DUMMYFUNCTION("""COMPUTED_VALUE"""),"トマトイプーのリコピン")</f>
        <v>トマトイプーのリコピン</v>
      </c>
      <c r="F91" s="247" t="str">
        <f>IFERROR(__xludf.DUMMYFUNCTION("""COMPUTED_VALUE"""),"甘戸 めめ")</f>
        <v>甘戸 めめ</v>
      </c>
      <c r="G91" s="247" t="str">
        <f>IFERROR(__xludf.DUMMYFUNCTION("""COMPUTED_VALUE"""),"甘戸 めめ_general")</f>
        <v>甘戸 めめ_general</v>
      </c>
      <c r="H91" s="248" t="str">
        <f>IFERROR(__xludf.DUMMYFUNCTION("""COMPUTED_VALUE"""),"Boss")</f>
        <v>Boss</v>
      </c>
      <c r="I91" s="248" t="str">
        <f>IFERROR(__xludf.DUMMYFUNCTION("""COMPUTED_VALUE"""),"Support")</f>
        <v>Support</v>
      </c>
      <c r="J91" s="248" t="str">
        <f>IFERROR(__xludf.DUMMYFUNCTION("""COMPUTED_VALUE"""),"Red")</f>
        <v>Red</v>
      </c>
      <c r="K91" s="248">
        <f>IFERROR(__xludf.DUMMYFUNCTION("""COMPUTED_VALUE"""),200000.0)</f>
        <v>200000</v>
      </c>
      <c r="L91" s="248">
        <f>IFERROR(__xludf.DUMMYFUNCTION("""COMPUTED_VALUE"""),2.0)</f>
        <v>2</v>
      </c>
      <c r="M91" s="248">
        <f>IFERROR(__xludf.DUMMYFUNCTION("""COMPUTED_VALUE"""),35.0)</f>
        <v>35</v>
      </c>
      <c r="N91" s="248">
        <f>IFERROR(__xludf.DUMMYFUNCTION("""COMPUTED_VALUE"""),0.5)</f>
        <v>0.5</v>
      </c>
      <c r="O91" s="248">
        <f>IFERROR(__xludf.DUMMYFUNCTION("""COMPUTED_VALUE"""),400.0)</f>
        <v>400</v>
      </c>
      <c r="P91" s="248">
        <f>IFERROR(__xludf.DUMMYFUNCTION("""COMPUTED_VALUE"""),0.0)</f>
        <v>0</v>
      </c>
      <c r="Q91" s="248">
        <f>IFERROR(__xludf.DUMMYFUNCTION("""COMPUTED_VALUE"""),0.6)</f>
        <v>0.6</v>
      </c>
      <c r="R91" s="248">
        <f>IFERROR(__xludf.DUMMYFUNCTION("""COMPUTED_VALUE"""),100.0)</f>
        <v>100</v>
      </c>
      <c r="S91" s="248">
        <f>IFERROR(__xludf.DUMMYFUNCTION("""COMPUTED_VALUE"""),10.0)</f>
        <v>10</v>
      </c>
      <c r="T91" s="249" t="str">
        <f>IFERROR(__xludf.DUMMYFUNCTION("""COMPUTED_VALUE"""),"1.57")</f>
        <v>1.57</v>
      </c>
      <c r="U91" s="250" t="str">
        <f>IFERROR(__xludf.DUMMYFUNCTION("""COMPUTED_VALUE"""),"0.87")</f>
        <v>0.87</v>
      </c>
      <c r="V91" s="250">
        <f>IFERROR(__xludf.DUMMYFUNCTION("""COMPUTED_VALUE"""),100.0)</f>
        <v>100</v>
      </c>
      <c r="W91" s="250" t="str">
        <f>IFERROR(__xludf.DUMMYFUNCTION("""COMPUTED_VALUE"""),"2.67")</f>
        <v>2.67</v>
      </c>
      <c r="X91" s="250" t="str">
        <f>IFERROR(__xludf.DUMMYFUNCTION("""COMPUTED_VALUE"""),"stop無:1.00")</f>
        <v>stop無:1.00</v>
      </c>
      <c r="Y91" s="250" t="str">
        <f>IFERROR(__xludf.DUMMYFUNCTION("""COMPUTED_VALUE"""),"敵全体の攻撃力を10秒間100%UP")</f>
        <v>敵全体の攻撃力を10秒間100%UP</v>
      </c>
      <c r="Z91" s="250">
        <f>IFERROR(__xludf.DUMMYFUNCTION("""COMPUTED_VALUE"""),5.0)</f>
        <v>5</v>
      </c>
      <c r="AA91" s="235"/>
      <c r="AB91" s="235" t="str">
        <f>IFERROR(__xludf.DUMMYFUNCTION("""COMPUTED_VALUE"""),"dageki_2")</f>
        <v>dageki_2</v>
      </c>
      <c r="AC91" s="235"/>
    </row>
    <row r="92">
      <c r="A92" s="236"/>
      <c r="B92" s="248"/>
      <c r="C92" s="246"/>
      <c r="D92" s="246" t="str">
        <f>IFERROR(__xludf.DUMMYFUNCTION("""COMPUTED_VALUE"""),"___")</f>
        <v>___</v>
      </c>
      <c r="E92" s="246" t="str">
        <f>IFERROR(__xludf.DUMMYFUNCTION("""COMPUTED_VALUE"""),"none")</f>
        <v>none</v>
      </c>
      <c r="F92" s="247" t="str">
        <f>IFERROR(__xludf.DUMMYFUNCTION("""COMPUTED_VALUE"""),"none")</f>
        <v>none</v>
      </c>
      <c r="G92" s="247" t="str">
        <f>IFERROR(__xludf.DUMMYFUNCTION("""COMPUTED_VALUE"""),"none")</f>
        <v>none</v>
      </c>
      <c r="H92" s="248"/>
      <c r="I92" s="248" t="str">
        <f>IFERROR(__xludf.DUMMYFUNCTION("""COMPUTED_VALUE"""),"none")</f>
        <v>none</v>
      </c>
      <c r="J92" s="248"/>
      <c r="K92" s="248"/>
      <c r="L92" s="248"/>
      <c r="M92" s="248"/>
      <c r="N92" s="248"/>
      <c r="O92" s="248"/>
      <c r="P92" s="248"/>
      <c r="Q92" s="248"/>
      <c r="R92" s="248"/>
      <c r="S92" s="248"/>
      <c r="T92" s="249" t="str">
        <f>IFERROR(__xludf.DUMMYFUNCTION("""COMPUTED_VALUE"""),"none")</f>
        <v>none</v>
      </c>
      <c r="U92" s="250" t="str">
        <f>IFERROR(__xludf.DUMMYFUNCTION("""COMPUTED_VALUE"""),"none")</f>
        <v>none</v>
      </c>
      <c r="V92" s="250"/>
      <c r="W92" s="250" t="str">
        <f>IFERROR(__xludf.DUMMYFUNCTION("""COMPUTED_VALUE"""),"none")</f>
        <v>none</v>
      </c>
      <c r="X92" s="250" t="str">
        <f>IFERROR(__xludf.DUMMYFUNCTION("""COMPUTED_VALUE"""),"none")</f>
        <v>none</v>
      </c>
      <c r="Y92" s="250"/>
      <c r="Z92" s="250"/>
      <c r="AA92" s="235"/>
      <c r="AB92" s="235"/>
      <c r="AC92" s="235"/>
    </row>
    <row r="93">
      <c r="A93" s="236"/>
      <c r="B93" s="248" t="str">
        <f>IFERROR(__xludf.DUMMYFUNCTION("""COMPUTED_VALUE"""),"enemy_glo_00001")</f>
        <v>enemy_glo_00001</v>
      </c>
      <c r="C93" s="246" t="str">
        <f>IFERROR(__xludf.DUMMYFUNCTION("""COMPUTED_VALUE"""),"_general_rik_vh")</f>
        <v>_general_rik_vh</v>
      </c>
      <c r="D93" s="246" t="str">
        <f>IFERROR(__xludf.DUMMYFUNCTION("""COMPUTED_VALUE"""),"e_glo_00001_general_rik_vh_Normal_Red")</f>
        <v>e_glo_00001_general_rik_vh_Normal_Red</v>
      </c>
      <c r="E93" s="246" t="str">
        <f>IFERROR(__xludf.DUMMYFUNCTION("""COMPUTED_VALUE"""),"GLOW")</f>
        <v>GLOW</v>
      </c>
      <c r="F93" s="247" t="str">
        <f>IFERROR(__xludf.DUMMYFUNCTION("""COMPUTED_VALUE"""),"ファントム")</f>
        <v>ファントム</v>
      </c>
      <c r="G93" s="247" t="str">
        <f>IFERROR(__xludf.DUMMYFUNCTION("""COMPUTED_VALUE"""),"ファントム_general_rik_vh")</f>
        <v>ファントム_general_rik_vh</v>
      </c>
      <c r="H93" s="248" t="str">
        <f>IFERROR(__xludf.DUMMYFUNCTION("""COMPUTED_VALUE"""),"Normal")</f>
        <v>Normal</v>
      </c>
      <c r="I93" s="248" t="str">
        <f>IFERROR(__xludf.DUMMYFUNCTION("""COMPUTED_VALUE"""),"Attack")</f>
        <v>Attack</v>
      </c>
      <c r="J93" s="248" t="str">
        <f>IFERROR(__xludf.DUMMYFUNCTION("""COMPUTED_VALUE"""),"Red")</f>
        <v>Red</v>
      </c>
      <c r="K93" s="248">
        <f>IFERROR(__xludf.DUMMYFUNCTION("""COMPUTED_VALUE"""),30000.0)</f>
        <v>30000</v>
      </c>
      <c r="L93" s="248">
        <f>IFERROR(__xludf.DUMMYFUNCTION("""COMPUTED_VALUE"""),2.0)</f>
        <v>2</v>
      </c>
      <c r="M93" s="248">
        <f>IFERROR(__xludf.DUMMYFUNCTION("""COMPUTED_VALUE"""),45.0)</f>
        <v>45</v>
      </c>
      <c r="N93" s="248">
        <f>IFERROR(__xludf.DUMMYFUNCTION("""COMPUTED_VALUE"""),0.11)</f>
        <v>0.11</v>
      </c>
      <c r="O93" s="248">
        <f>IFERROR(__xludf.DUMMYFUNCTION("""COMPUTED_VALUE"""),1000.0)</f>
        <v>1000</v>
      </c>
      <c r="P93" s="248">
        <f>IFERROR(__xludf.DUMMYFUNCTION("""COMPUTED_VALUE"""),0.0)</f>
        <v>0</v>
      </c>
      <c r="Q93" s="248">
        <f>IFERROR(__xludf.DUMMYFUNCTION("""COMPUTED_VALUE"""),0.2)</f>
        <v>0.2</v>
      </c>
      <c r="R93" s="248">
        <f>IFERROR(__xludf.DUMMYFUNCTION("""COMPUTED_VALUE"""),1.0)</f>
        <v>1</v>
      </c>
      <c r="S93" s="248">
        <f>IFERROR(__xludf.DUMMYFUNCTION("""COMPUTED_VALUE"""),0.0)</f>
        <v>0</v>
      </c>
      <c r="T93" s="249" t="str">
        <f>IFERROR(__xludf.DUMMYFUNCTION("""COMPUTED_VALUE"""),"1.00")</f>
        <v>1.00</v>
      </c>
      <c r="U93" s="250" t="str">
        <f>IFERROR(__xludf.DUMMYFUNCTION("""COMPUTED_VALUE"""),"0.50")</f>
        <v>0.50</v>
      </c>
      <c r="V93" s="250">
        <f>IFERROR(__xludf.DUMMYFUNCTION("""COMPUTED_VALUE"""),75.0)</f>
        <v>75</v>
      </c>
      <c r="W93" s="250"/>
      <c r="X93" s="250"/>
      <c r="Y93" s="250"/>
      <c r="Z93" s="250" t="str">
        <f>IFERROR(__xludf.DUMMYFUNCTION("""COMPUTED_VALUE"""),"-")</f>
        <v>-</v>
      </c>
      <c r="AA93" s="235"/>
      <c r="AB93" s="235"/>
      <c r="AC93" s="235"/>
    </row>
    <row r="94">
      <c r="A94" s="236"/>
      <c r="B94" s="248" t="str">
        <f>IFERROR(__xludf.DUMMYFUNCTION("""COMPUTED_VALUE"""),"enemy_glo_00001")</f>
        <v>enemy_glo_00001</v>
      </c>
      <c r="C94" s="246" t="str">
        <f>IFERROR(__xludf.DUMMYFUNCTION("""COMPUTED_VALUE"""),"_general_rik_vh")</f>
        <v>_general_rik_vh</v>
      </c>
      <c r="D94" s="246" t="str">
        <f>IFERROR(__xludf.DUMMYFUNCTION("""COMPUTED_VALUE"""),"e_glo_00001_general_rik_vh_Normal_Green")</f>
        <v>e_glo_00001_general_rik_vh_Normal_Green</v>
      </c>
      <c r="E94" s="246" t="str">
        <f>IFERROR(__xludf.DUMMYFUNCTION("""COMPUTED_VALUE"""),"GLOW")</f>
        <v>GLOW</v>
      </c>
      <c r="F94" s="247" t="str">
        <f>IFERROR(__xludf.DUMMYFUNCTION("""COMPUTED_VALUE"""),"ファントム")</f>
        <v>ファントム</v>
      </c>
      <c r="G94" s="247" t="str">
        <f>IFERROR(__xludf.DUMMYFUNCTION("""COMPUTED_VALUE"""),"ファントム_general_rik_vh")</f>
        <v>ファントム_general_rik_vh</v>
      </c>
      <c r="H94" s="248" t="str">
        <f>IFERROR(__xludf.DUMMYFUNCTION("""COMPUTED_VALUE"""),"Normal")</f>
        <v>Normal</v>
      </c>
      <c r="I94" s="248" t="str">
        <f>IFERROR(__xludf.DUMMYFUNCTION("""COMPUTED_VALUE"""),"Attack")</f>
        <v>Attack</v>
      </c>
      <c r="J94" s="248" t="str">
        <f>IFERROR(__xludf.DUMMYFUNCTION("""COMPUTED_VALUE"""),"Green")</f>
        <v>Green</v>
      </c>
      <c r="K94" s="248">
        <f>IFERROR(__xludf.DUMMYFUNCTION("""COMPUTED_VALUE"""),30000.0)</f>
        <v>30000</v>
      </c>
      <c r="L94" s="248">
        <f>IFERROR(__xludf.DUMMYFUNCTION("""COMPUTED_VALUE"""),2.0)</f>
        <v>2</v>
      </c>
      <c r="M94" s="248">
        <f>IFERROR(__xludf.DUMMYFUNCTION("""COMPUTED_VALUE"""),45.0)</f>
        <v>45</v>
      </c>
      <c r="N94" s="248">
        <f>IFERROR(__xludf.DUMMYFUNCTION("""COMPUTED_VALUE"""),0.11)</f>
        <v>0.11</v>
      </c>
      <c r="O94" s="248">
        <f>IFERROR(__xludf.DUMMYFUNCTION("""COMPUTED_VALUE"""),1000.0)</f>
        <v>1000</v>
      </c>
      <c r="P94" s="248">
        <f>IFERROR(__xludf.DUMMYFUNCTION("""COMPUTED_VALUE"""),0.0)</f>
        <v>0</v>
      </c>
      <c r="Q94" s="248">
        <f>IFERROR(__xludf.DUMMYFUNCTION("""COMPUTED_VALUE"""),0.2)</f>
        <v>0.2</v>
      </c>
      <c r="R94" s="248">
        <f>IFERROR(__xludf.DUMMYFUNCTION("""COMPUTED_VALUE"""),1.0)</f>
        <v>1</v>
      </c>
      <c r="S94" s="248">
        <f>IFERROR(__xludf.DUMMYFUNCTION("""COMPUTED_VALUE"""),0.0)</f>
        <v>0</v>
      </c>
      <c r="T94" s="249" t="str">
        <f>IFERROR(__xludf.DUMMYFUNCTION("""COMPUTED_VALUE"""),"1.00")</f>
        <v>1.00</v>
      </c>
      <c r="U94" s="250" t="str">
        <f>IFERROR(__xludf.DUMMYFUNCTION("""COMPUTED_VALUE"""),"0.50")</f>
        <v>0.50</v>
      </c>
      <c r="V94" s="250">
        <f>IFERROR(__xludf.DUMMYFUNCTION("""COMPUTED_VALUE"""),75.0)</f>
        <v>75</v>
      </c>
      <c r="W94" s="250"/>
      <c r="X94" s="250"/>
      <c r="Y94" s="250"/>
      <c r="Z94" s="250" t="str">
        <f>IFERROR(__xludf.DUMMYFUNCTION("""COMPUTED_VALUE"""),"-")</f>
        <v>-</v>
      </c>
      <c r="AA94" s="235"/>
      <c r="AB94" s="235"/>
      <c r="AC94" s="235"/>
    </row>
    <row r="95">
      <c r="A95" s="236"/>
      <c r="B95" s="248" t="str">
        <f>IFERROR(__xludf.DUMMYFUNCTION("""COMPUTED_VALUE"""),"enemy_glo_00001")</f>
        <v>enemy_glo_00001</v>
      </c>
      <c r="C95" s="246" t="str">
        <f>IFERROR(__xludf.DUMMYFUNCTION("""COMPUTED_VALUE"""),"_general_rik_vh")</f>
        <v>_general_rik_vh</v>
      </c>
      <c r="D95" s="246" t="str">
        <f>IFERROR(__xludf.DUMMYFUNCTION("""COMPUTED_VALUE"""),"e_glo_00001_general_rik_vh_Normal_Yellow")</f>
        <v>e_glo_00001_general_rik_vh_Normal_Yellow</v>
      </c>
      <c r="E95" s="246" t="str">
        <f>IFERROR(__xludf.DUMMYFUNCTION("""COMPUTED_VALUE"""),"GLOW")</f>
        <v>GLOW</v>
      </c>
      <c r="F95" s="247" t="str">
        <f>IFERROR(__xludf.DUMMYFUNCTION("""COMPUTED_VALUE"""),"ファントム")</f>
        <v>ファントム</v>
      </c>
      <c r="G95" s="247" t="str">
        <f>IFERROR(__xludf.DUMMYFUNCTION("""COMPUTED_VALUE"""),"ファントム_general_rik_vh")</f>
        <v>ファントム_general_rik_vh</v>
      </c>
      <c r="H95" s="248" t="str">
        <f>IFERROR(__xludf.DUMMYFUNCTION("""COMPUTED_VALUE"""),"Normal")</f>
        <v>Normal</v>
      </c>
      <c r="I95" s="248" t="str">
        <f>IFERROR(__xludf.DUMMYFUNCTION("""COMPUTED_VALUE"""),"Attack")</f>
        <v>Attack</v>
      </c>
      <c r="J95" s="248" t="str">
        <f>IFERROR(__xludf.DUMMYFUNCTION("""COMPUTED_VALUE"""),"Yellow")</f>
        <v>Yellow</v>
      </c>
      <c r="K95" s="248">
        <f>IFERROR(__xludf.DUMMYFUNCTION("""COMPUTED_VALUE"""),30000.0)</f>
        <v>30000</v>
      </c>
      <c r="L95" s="248">
        <f>IFERROR(__xludf.DUMMYFUNCTION("""COMPUTED_VALUE"""),2.0)</f>
        <v>2</v>
      </c>
      <c r="M95" s="248">
        <f>IFERROR(__xludf.DUMMYFUNCTION("""COMPUTED_VALUE"""),45.0)</f>
        <v>45</v>
      </c>
      <c r="N95" s="248">
        <f>IFERROR(__xludf.DUMMYFUNCTION("""COMPUTED_VALUE"""),0.11)</f>
        <v>0.11</v>
      </c>
      <c r="O95" s="248">
        <f>IFERROR(__xludf.DUMMYFUNCTION("""COMPUTED_VALUE"""),1000.0)</f>
        <v>1000</v>
      </c>
      <c r="P95" s="248">
        <f>IFERROR(__xludf.DUMMYFUNCTION("""COMPUTED_VALUE"""),0.0)</f>
        <v>0</v>
      </c>
      <c r="Q95" s="248">
        <f>IFERROR(__xludf.DUMMYFUNCTION("""COMPUTED_VALUE"""),0.2)</f>
        <v>0.2</v>
      </c>
      <c r="R95" s="248">
        <f>IFERROR(__xludf.DUMMYFUNCTION("""COMPUTED_VALUE"""),1.0)</f>
        <v>1</v>
      </c>
      <c r="S95" s="248">
        <f>IFERROR(__xludf.DUMMYFUNCTION("""COMPUTED_VALUE"""),0.0)</f>
        <v>0</v>
      </c>
      <c r="T95" s="249" t="str">
        <f>IFERROR(__xludf.DUMMYFUNCTION("""COMPUTED_VALUE"""),"1.00")</f>
        <v>1.00</v>
      </c>
      <c r="U95" s="250" t="str">
        <f>IFERROR(__xludf.DUMMYFUNCTION("""COMPUTED_VALUE"""),"0.50")</f>
        <v>0.50</v>
      </c>
      <c r="V95" s="250">
        <f>IFERROR(__xludf.DUMMYFUNCTION("""COMPUTED_VALUE"""),75.0)</f>
        <v>75</v>
      </c>
      <c r="W95" s="250"/>
      <c r="X95" s="250"/>
      <c r="Y95" s="250"/>
      <c r="Z95" s="250" t="str">
        <f>IFERROR(__xludf.DUMMYFUNCTION("""COMPUTED_VALUE"""),"-")</f>
        <v>-</v>
      </c>
      <c r="AA95" s="235"/>
      <c r="AB95" s="235"/>
      <c r="AC95" s="235"/>
    </row>
    <row r="96">
      <c r="A96" s="236"/>
      <c r="B96" s="248" t="str">
        <f>IFERROR(__xludf.DUMMYFUNCTION("""COMPUTED_VALUE"""),"enemy_glo_00001")</f>
        <v>enemy_glo_00001</v>
      </c>
      <c r="C96" s="246" t="str">
        <f>IFERROR(__xludf.DUMMYFUNCTION("""COMPUTED_VALUE"""),"_general_rik_vh_big")</f>
        <v>_general_rik_vh_big</v>
      </c>
      <c r="D96" s="246" t="str">
        <f>IFERROR(__xludf.DUMMYFUNCTION("""COMPUTED_VALUE"""),"e_glo_00001_general_rik_vh_big_Normal_Yellow")</f>
        <v>e_glo_00001_general_rik_vh_big_Normal_Yellow</v>
      </c>
      <c r="E96" s="246" t="str">
        <f>IFERROR(__xludf.DUMMYFUNCTION("""COMPUTED_VALUE"""),"GLOW")</f>
        <v>GLOW</v>
      </c>
      <c r="F96" s="247" t="str">
        <f>IFERROR(__xludf.DUMMYFUNCTION("""COMPUTED_VALUE"""),"ファントム")</f>
        <v>ファントム</v>
      </c>
      <c r="G96" s="247" t="str">
        <f>IFERROR(__xludf.DUMMYFUNCTION("""COMPUTED_VALUE"""),"ファントム_general_rik_vh_big")</f>
        <v>ファントム_general_rik_vh_big</v>
      </c>
      <c r="H96" s="248" t="str">
        <f>IFERROR(__xludf.DUMMYFUNCTION("""COMPUTED_VALUE"""),"Normal")</f>
        <v>Normal</v>
      </c>
      <c r="I96" s="248" t="str">
        <f>IFERROR(__xludf.DUMMYFUNCTION("""COMPUTED_VALUE"""),"Defense")</f>
        <v>Defense</v>
      </c>
      <c r="J96" s="248" t="str">
        <f>IFERROR(__xludf.DUMMYFUNCTION("""COMPUTED_VALUE"""),"Yellow")</f>
        <v>Yellow</v>
      </c>
      <c r="K96" s="248">
        <f>IFERROR(__xludf.DUMMYFUNCTION("""COMPUTED_VALUE"""),70000.0)</f>
        <v>70000</v>
      </c>
      <c r="L96" s="248">
        <f>IFERROR(__xludf.DUMMYFUNCTION("""COMPUTED_VALUE"""),2.0)</f>
        <v>2</v>
      </c>
      <c r="M96" s="248">
        <f>IFERROR(__xludf.DUMMYFUNCTION("""COMPUTED_VALUE"""),50.0)</f>
        <v>50</v>
      </c>
      <c r="N96" s="248">
        <f>IFERROR(__xludf.DUMMYFUNCTION("""COMPUTED_VALUE"""),0.2)</f>
        <v>0.2</v>
      </c>
      <c r="O96" s="248">
        <f>IFERROR(__xludf.DUMMYFUNCTION("""COMPUTED_VALUE"""),3000.0)</f>
        <v>3000</v>
      </c>
      <c r="P96" s="248">
        <f>IFERROR(__xludf.DUMMYFUNCTION("""COMPUTED_VALUE"""),0.0)</f>
        <v>0</v>
      </c>
      <c r="Q96" s="248">
        <f>IFERROR(__xludf.DUMMYFUNCTION("""COMPUTED_VALUE"""),0.2)</f>
        <v>0.2</v>
      </c>
      <c r="R96" s="248">
        <f>IFERROR(__xludf.DUMMYFUNCTION("""COMPUTED_VALUE"""),1.0)</f>
        <v>1</v>
      </c>
      <c r="S96" s="248">
        <f>IFERROR(__xludf.DUMMYFUNCTION("""COMPUTED_VALUE"""),0.0)</f>
        <v>0</v>
      </c>
      <c r="T96" s="249" t="str">
        <f>IFERROR(__xludf.DUMMYFUNCTION("""COMPUTED_VALUE"""),"1.00")</f>
        <v>1.00</v>
      </c>
      <c r="U96" s="250" t="str">
        <f>IFERROR(__xludf.DUMMYFUNCTION("""COMPUTED_VALUE"""),"0.50")</f>
        <v>0.50</v>
      </c>
      <c r="V96" s="250">
        <f>IFERROR(__xludf.DUMMYFUNCTION("""COMPUTED_VALUE"""),75.0)</f>
        <v>75</v>
      </c>
      <c r="W96" s="250"/>
      <c r="X96" s="250"/>
      <c r="Y96" s="250"/>
      <c r="Z96" s="250" t="str">
        <f>IFERROR(__xludf.DUMMYFUNCTION("""COMPUTED_VALUE"""),"-")</f>
        <v>-</v>
      </c>
      <c r="AA96" s="235"/>
      <c r="AB96" s="235"/>
      <c r="AC96" s="235"/>
    </row>
    <row r="97">
      <c r="A97" s="236"/>
      <c r="B97" s="248" t="str">
        <f>IFERROR(__xludf.DUMMYFUNCTION("""COMPUTED_VALUE"""),"chara_rik_00001")</f>
        <v>chara_rik_00001</v>
      </c>
      <c r="C97" s="246" t="str">
        <f>IFERROR(__xludf.DUMMYFUNCTION("""COMPUTED_VALUE"""),"_general_vh")</f>
        <v>_general_vh</v>
      </c>
      <c r="D97" s="246" t="str">
        <f>IFERROR(__xludf.DUMMYFUNCTION("""COMPUTED_VALUE"""),"c_rik_00001_general_vh_Normal_Green")</f>
        <v>c_rik_00001_general_vh_Normal_Green</v>
      </c>
      <c r="E97" s="246" t="str">
        <f>IFERROR(__xludf.DUMMYFUNCTION("""COMPUTED_VALUE"""),"トマトイプーのリコピン")</f>
        <v>トマトイプーのリコピン</v>
      </c>
      <c r="F97" s="247" t="str">
        <f>IFERROR(__xludf.DUMMYFUNCTION("""COMPUTED_VALUE"""),"リコピン")</f>
        <v>リコピン</v>
      </c>
      <c r="G97" s="247" t="str">
        <f>IFERROR(__xludf.DUMMYFUNCTION("""COMPUTED_VALUE"""),"リコピン_general_vh")</f>
        <v>リコピン_general_vh</v>
      </c>
      <c r="H97" s="248" t="str">
        <f>IFERROR(__xludf.DUMMYFUNCTION("""COMPUTED_VALUE"""),"Normal")</f>
        <v>Normal</v>
      </c>
      <c r="I97" s="248" t="str">
        <f>IFERROR(__xludf.DUMMYFUNCTION("""COMPUTED_VALUE"""),"Attack")</f>
        <v>Attack</v>
      </c>
      <c r="J97" s="248" t="str">
        <f>IFERROR(__xludf.DUMMYFUNCTION("""COMPUTED_VALUE"""),"Green")</f>
        <v>Green</v>
      </c>
      <c r="K97" s="248">
        <f>IFERROR(__xludf.DUMMYFUNCTION("""COMPUTED_VALUE"""),8000.0)</f>
        <v>8000</v>
      </c>
      <c r="L97" s="248">
        <f>IFERROR(__xludf.DUMMYFUNCTION("""COMPUTED_VALUE"""),1.0)</f>
        <v>1</v>
      </c>
      <c r="M97" s="248">
        <f>IFERROR(__xludf.DUMMYFUNCTION("""COMPUTED_VALUE"""),50.0)</f>
        <v>50</v>
      </c>
      <c r="N97" s="248">
        <f>IFERROR(__xludf.DUMMYFUNCTION("""COMPUTED_VALUE"""),0.2)</f>
        <v>0.2</v>
      </c>
      <c r="O97" s="248">
        <f>IFERROR(__xludf.DUMMYFUNCTION("""COMPUTED_VALUE"""),350.0)</f>
        <v>350</v>
      </c>
      <c r="P97" s="248">
        <f>IFERROR(__xludf.DUMMYFUNCTION("""COMPUTED_VALUE"""),0.0)</f>
        <v>0</v>
      </c>
      <c r="Q97" s="248">
        <f>IFERROR(__xludf.DUMMYFUNCTION("""COMPUTED_VALUE"""),0.3)</f>
        <v>0.3</v>
      </c>
      <c r="R97" s="248">
        <f>IFERROR(__xludf.DUMMYFUNCTION("""COMPUTED_VALUE"""),1.0)</f>
        <v>1</v>
      </c>
      <c r="S97" s="248">
        <f>IFERROR(__xludf.DUMMYFUNCTION("""COMPUTED_VALUE"""),0.0)</f>
        <v>0</v>
      </c>
      <c r="T97" s="249" t="str">
        <f>IFERROR(__xludf.DUMMYFUNCTION("""COMPUTED_VALUE"""),"1.64")</f>
        <v>1.64</v>
      </c>
      <c r="U97" s="250" t="str">
        <f>IFERROR(__xludf.DUMMYFUNCTION("""COMPUTED_VALUE"""),"0.93")</f>
        <v>0.93</v>
      </c>
      <c r="V97" s="250">
        <f>IFERROR(__xludf.DUMMYFUNCTION("""COMPUTED_VALUE"""),35.0)</f>
        <v>35</v>
      </c>
      <c r="W97" s="250" t="str">
        <f>IFERROR(__xludf.DUMMYFUNCTION("""COMPUTED_VALUE"""),"4.01")</f>
        <v>4.01</v>
      </c>
      <c r="X97" s="250" t="str">
        <f>IFERROR(__xludf.DUMMYFUNCTION("""COMPUTED_VALUE"""),"1回目：0.83
2回目：1.84
3回目：2.67")</f>
        <v>1回目：0.83
2回目：1.84
3回目：2.67</v>
      </c>
      <c r="Y97" s="250"/>
      <c r="Z97" s="250" t="str">
        <f>IFERROR(__xludf.DUMMYFUNCTION("""COMPUTED_VALUE"""),"-")</f>
        <v>-</v>
      </c>
      <c r="AA97" s="235"/>
      <c r="AB97" s="235"/>
      <c r="AC97" s="235"/>
    </row>
    <row r="98">
      <c r="A98" s="236"/>
      <c r="B98" s="248" t="str">
        <f>IFERROR(__xludf.DUMMYFUNCTION("""COMPUTED_VALUE"""),"chara_rik_00001")</f>
        <v>chara_rik_00001</v>
      </c>
      <c r="C98" s="246" t="str">
        <f>IFERROR(__xludf.DUMMYFUNCTION("""COMPUTED_VALUE"""),"_general_vh")</f>
        <v>_general_vh</v>
      </c>
      <c r="D98" s="246" t="str">
        <f>IFERROR(__xludf.DUMMYFUNCTION("""COMPUTED_VALUE"""),"c_rik_00001_general_vh_Normal_Red")</f>
        <v>c_rik_00001_general_vh_Normal_Red</v>
      </c>
      <c r="E98" s="246" t="str">
        <f>IFERROR(__xludf.DUMMYFUNCTION("""COMPUTED_VALUE"""),"トマトイプーのリコピン")</f>
        <v>トマトイプーのリコピン</v>
      </c>
      <c r="F98" s="247" t="str">
        <f>IFERROR(__xludf.DUMMYFUNCTION("""COMPUTED_VALUE"""),"リコピン")</f>
        <v>リコピン</v>
      </c>
      <c r="G98" s="247" t="str">
        <f>IFERROR(__xludf.DUMMYFUNCTION("""COMPUTED_VALUE"""),"リコピン_general_vh")</f>
        <v>リコピン_general_vh</v>
      </c>
      <c r="H98" s="248" t="str">
        <f>IFERROR(__xludf.DUMMYFUNCTION("""COMPUTED_VALUE"""),"Normal")</f>
        <v>Normal</v>
      </c>
      <c r="I98" s="248" t="str">
        <f>IFERROR(__xludf.DUMMYFUNCTION("""COMPUTED_VALUE"""),"Attack")</f>
        <v>Attack</v>
      </c>
      <c r="J98" s="248" t="str">
        <f>IFERROR(__xludf.DUMMYFUNCTION("""COMPUTED_VALUE"""),"Red")</f>
        <v>Red</v>
      </c>
      <c r="K98" s="248">
        <f>IFERROR(__xludf.DUMMYFUNCTION("""COMPUTED_VALUE"""),70000.0)</f>
        <v>70000</v>
      </c>
      <c r="L98" s="248">
        <f>IFERROR(__xludf.DUMMYFUNCTION("""COMPUTED_VALUE"""),1.0)</f>
        <v>1</v>
      </c>
      <c r="M98" s="248">
        <f>IFERROR(__xludf.DUMMYFUNCTION("""COMPUTED_VALUE"""),50.0)</f>
        <v>50</v>
      </c>
      <c r="N98" s="248">
        <f>IFERROR(__xludf.DUMMYFUNCTION("""COMPUTED_VALUE"""),0.2)</f>
        <v>0.2</v>
      </c>
      <c r="O98" s="248">
        <f>IFERROR(__xludf.DUMMYFUNCTION("""COMPUTED_VALUE"""),400.0)</f>
        <v>400</v>
      </c>
      <c r="P98" s="248">
        <f>IFERROR(__xludf.DUMMYFUNCTION("""COMPUTED_VALUE"""),0.0)</f>
        <v>0</v>
      </c>
      <c r="Q98" s="248">
        <f>IFERROR(__xludf.DUMMYFUNCTION("""COMPUTED_VALUE"""),0.3)</f>
        <v>0.3</v>
      </c>
      <c r="R98" s="248">
        <f>IFERROR(__xludf.DUMMYFUNCTION("""COMPUTED_VALUE"""),1.0)</f>
        <v>1</v>
      </c>
      <c r="S98" s="248">
        <f>IFERROR(__xludf.DUMMYFUNCTION("""COMPUTED_VALUE"""),0.0)</f>
        <v>0</v>
      </c>
      <c r="T98" s="249" t="str">
        <f>IFERROR(__xludf.DUMMYFUNCTION("""COMPUTED_VALUE"""),"1.64")</f>
        <v>1.64</v>
      </c>
      <c r="U98" s="250" t="str">
        <f>IFERROR(__xludf.DUMMYFUNCTION("""COMPUTED_VALUE"""),"0.93")</f>
        <v>0.93</v>
      </c>
      <c r="V98" s="250">
        <f>IFERROR(__xludf.DUMMYFUNCTION("""COMPUTED_VALUE"""),35.0)</f>
        <v>35</v>
      </c>
      <c r="W98" s="250" t="str">
        <f>IFERROR(__xludf.DUMMYFUNCTION("""COMPUTED_VALUE"""),"4.01")</f>
        <v>4.01</v>
      </c>
      <c r="X98" s="250" t="str">
        <f>IFERROR(__xludf.DUMMYFUNCTION("""COMPUTED_VALUE"""),"1回目：0.83
2回目：1.84
3回目：2.67")</f>
        <v>1回目：0.83
2回目：1.84
3回目：2.67</v>
      </c>
      <c r="Y98" s="250"/>
      <c r="Z98" s="250" t="str">
        <f>IFERROR(__xludf.DUMMYFUNCTION("""COMPUTED_VALUE"""),"-")</f>
        <v>-</v>
      </c>
      <c r="AA98" s="235"/>
      <c r="AB98" s="235"/>
      <c r="AC98" s="235"/>
    </row>
    <row r="99">
      <c r="A99" s="236"/>
      <c r="B99" s="248" t="str">
        <f>IFERROR(__xludf.DUMMYFUNCTION("""COMPUTED_VALUE"""),"chara_rik_00001")</f>
        <v>chara_rik_00001</v>
      </c>
      <c r="C99" s="246" t="str">
        <f>IFERROR(__xludf.DUMMYFUNCTION("""COMPUTED_VALUE"""),"_general_vh")</f>
        <v>_general_vh</v>
      </c>
      <c r="D99" s="246" t="str">
        <f>IFERROR(__xludf.DUMMYFUNCTION("""COMPUTED_VALUE"""),"c_rik_00001_general_vh_Boss_Yellow")</f>
        <v>c_rik_00001_general_vh_Boss_Yellow</v>
      </c>
      <c r="E99" s="246" t="str">
        <f>IFERROR(__xludf.DUMMYFUNCTION("""COMPUTED_VALUE"""),"トマトイプーのリコピン")</f>
        <v>トマトイプーのリコピン</v>
      </c>
      <c r="F99" s="247" t="str">
        <f>IFERROR(__xludf.DUMMYFUNCTION("""COMPUTED_VALUE"""),"リコピン")</f>
        <v>リコピン</v>
      </c>
      <c r="G99" s="247" t="str">
        <f>IFERROR(__xludf.DUMMYFUNCTION("""COMPUTED_VALUE"""),"リコピン_general_vh")</f>
        <v>リコピン_general_vh</v>
      </c>
      <c r="H99" s="248" t="str">
        <f>IFERROR(__xludf.DUMMYFUNCTION("""COMPUTED_VALUE"""),"Boss")</f>
        <v>Boss</v>
      </c>
      <c r="I99" s="248" t="str">
        <f>IFERROR(__xludf.DUMMYFUNCTION("""COMPUTED_VALUE"""),"Attack")</f>
        <v>Attack</v>
      </c>
      <c r="J99" s="248" t="str">
        <f>IFERROR(__xludf.DUMMYFUNCTION("""COMPUTED_VALUE"""),"Yellow")</f>
        <v>Yellow</v>
      </c>
      <c r="K99" s="248">
        <f>IFERROR(__xludf.DUMMYFUNCTION("""COMPUTED_VALUE"""),300000.0)</f>
        <v>300000</v>
      </c>
      <c r="L99" s="248">
        <f>IFERROR(__xludf.DUMMYFUNCTION("""COMPUTED_VALUE"""),1.0)</f>
        <v>1</v>
      </c>
      <c r="M99" s="248">
        <f>IFERROR(__xludf.DUMMYFUNCTION("""COMPUTED_VALUE"""),45.0)</f>
        <v>45</v>
      </c>
      <c r="N99" s="248">
        <f>IFERROR(__xludf.DUMMYFUNCTION("""COMPUTED_VALUE"""),0.2)</f>
        <v>0.2</v>
      </c>
      <c r="O99" s="248">
        <f>IFERROR(__xludf.DUMMYFUNCTION("""COMPUTED_VALUE"""),500.0)</f>
        <v>500</v>
      </c>
      <c r="P99" s="248">
        <f>IFERROR(__xludf.DUMMYFUNCTION("""COMPUTED_VALUE"""),0.0)</f>
        <v>0</v>
      </c>
      <c r="Q99" s="248">
        <f>IFERROR(__xludf.DUMMYFUNCTION("""COMPUTED_VALUE"""),0.3)</f>
        <v>0.3</v>
      </c>
      <c r="R99" s="248">
        <f>IFERROR(__xludf.DUMMYFUNCTION("""COMPUTED_VALUE"""),1.0)</f>
        <v>1</v>
      </c>
      <c r="S99" s="248">
        <f>IFERROR(__xludf.DUMMYFUNCTION("""COMPUTED_VALUE"""),0.0)</f>
        <v>0</v>
      </c>
      <c r="T99" s="249" t="str">
        <f>IFERROR(__xludf.DUMMYFUNCTION("""COMPUTED_VALUE"""),"1.64")</f>
        <v>1.64</v>
      </c>
      <c r="U99" s="250" t="str">
        <f>IFERROR(__xludf.DUMMYFUNCTION("""COMPUTED_VALUE"""),"0.93")</f>
        <v>0.93</v>
      </c>
      <c r="V99" s="250">
        <f>IFERROR(__xludf.DUMMYFUNCTION("""COMPUTED_VALUE"""),35.0)</f>
        <v>35</v>
      </c>
      <c r="W99" s="250" t="str">
        <f>IFERROR(__xludf.DUMMYFUNCTION("""COMPUTED_VALUE"""),"4.01")</f>
        <v>4.01</v>
      </c>
      <c r="X99" s="250" t="str">
        <f>IFERROR(__xludf.DUMMYFUNCTION("""COMPUTED_VALUE"""),"1回目：0.83
2回目：1.84
3回目：2.67")</f>
        <v>1回目：0.83
2回目：1.84
3回目：2.67</v>
      </c>
      <c r="Y99" s="250" t="str">
        <f>IFERROR(__xludf.DUMMYFUNCTION("""COMPUTED_VALUE"""),"範囲ダメージ+小ノックバック+20秒間45%攻撃Down")</f>
        <v>範囲ダメージ+小ノックバック+20秒間45%攻撃Down</v>
      </c>
      <c r="Z99" s="250">
        <f>IFERROR(__xludf.DUMMYFUNCTION("""COMPUTED_VALUE"""),5.0)</f>
        <v>5</v>
      </c>
      <c r="AA99" s="235"/>
      <c r="AB99" s="235"/>
      <c r="AC99" s="235"/>
    </row>
    <row r="100">
      <c r="A100" s="236"/>
      <c r="B100" s="248" t="str">
        <f>IFERROR(__xludf.DUMMYFUNCTION("""COMPUTED_VALUE"""),"chara_rik_00101")</f>
        <v>chara_rik_00101</v>
      </c>
      <c r="C100" s="246" t="str">
        <f>IFERROR(__xludf.DUMMYFUNCTION("""COMPUTED_VALUE"""),"_general_vh")</f>
        <v>_general_vh</v>
      </c>
      <c r="D100" s="246" t="str">
        <f>IFERROR(__xludf.DUMMYFUNCTION("""COMPUTED_VALUE"""),"c_rik_00101_general_vh_Normal_Red")</f>
        <v>c_rik_00101_general_vh_Normal_Red</v>
      </c>
      <c r="E100" s="246" t="str">
        <f>IFERROR(__xludf.DUMMYFUNCTION("""COMPUTED_VALUE"""),"トマトイプーのリコピン")</f>
        <v>トマトイプーのリコピン</v>
      </c>
      <c r="F100" s="247" t="str">
        <f>IFERROR(__xludf.DUMMYFUNCTION("""COMPUTED_VALUE"""),"甘戸 めめ")</f>
        <v>甘戸 めめ</v>
      </c>
      <c r="G100" s="247" t="str">
        <f>IFERROR(__xludf.DUMMYFUNCTION("""COMPUTED_VALUE"""),"甘戸 めめ_general_vh")</f>
        <v>甘戸 めめ_general_vh</v>
      </c>
      <c r="H100" s="248" t="str">
        <f>IFERROR(__xludf.DUMMYFUNCTION("""COMPUTED_VALUE"""),"Normal")</f>
        <v>Normal</v>
      </c>
      <c r="I100" s="248" t="str">
        <f>IFERROR(__xludf.DUMMYFUNCTION("""COMPUTED_VALUE"""),"Support")</f>
        <v>Support</v>
      </c>
      <c r="J100" s="248" t="str">
        <f>IFERROR(__xludf.DUMMYFUNCTION("""COMPUTED_VALUE"""),"Red")</f>
        <v>Red</v>
      </c>
      <c r="K100" s="248">
        <f>IFERROR(__xludf.DUMMYFUNCTION("""COMPUTED_VALUE"""),200000.0)</f>
        <v>200000</v>
      </c>
      <c r="L100" s="248">
        <f>IFERROR(__xludf.DUMMYFUNCTION("""COMPUTED_VALUE"""),2.0)</f>
        <v>2</v>
      </c>
      <c r="M100" s="248">
        <f>IFERROR(__xludf.DUMMYFUNCTION("""COMPUTED_VALUE"""),35.0)</f>
        <v>35</v>
      </c>
      <c r="N100" s="248">
        <f>IFERROR(__xludf.DUMMYFUNCTION("""COMPUTED_VALUE"""),0.5)</f>
        <v>0.5</v>
      </c>
      <c r="O100" s="248">
        <f>IFERROR(__xludf.DUMMYFUNCTION("""COMPUTED_VALUE"""),400.0)</f>
        <v>400</v>
      </c>
      <c r="P100" s="248">
        <f>IFERROR(__xludf.DUMMYFUNCTION("""COMPUTED_VALUE"""),0.0)</f>
        <v>0</v>
      </c>
      <c r="Q100" s="248">
        <f>IFERROR(__xludf.DUMMYFUNCTION("""COMPUTED_VALUE"""),0.6)</f>
        <v>0.6</v>
      </c>
      <c r="R100" s="248">
        <f>IFERROR(__xludf.DUMMYFUNCTION("""COMPUTED_VALUE"""),100.0)</f>
        <v>100</v>
      </c>
      <c r="S100" s="248">
        <f>IFERROR(__xludf.DUMMYFUNCTION("""COMPUTED_VALUE"""),0.0)</f>
        <v>0</v>
      </c>
      <c r="T100" s="249" t="str">
        <f>IFERROR(__xludf.DUMMYFUNCTION("""COMPUTED_VALUE"""),"1.57")</f>
        <v>1.57</v>
      </c>
      <c r="U100" s="250" t="str">
        <f>IFERROR(__xludf.DUMMYFUNCTION("""COMPUTED_VALUE"""),"0.87")</f>
        <v>0.87</v>
      </c>
      <c r="V100" s="250">
        <f>IFERROR(__xludf.DUMMYFUNCTION("""COMPUTED_VALUE"""),100.0)</f>
        <v>100</v>
      </c>
      <c r="W100" s="250" t="str">
        <f>IFERROR(__xludf.DUMMYFUNCTION("""COMPUTED_VALUE"""),"2.67")</f>
        <v>2.67</v>
      </c>
      <c r="X100" s="250" t="str">
        <f>IFERROR(__xludf.DUMMYFUNCTION("""COMPUTED_VALUE"""),"stop無:1.00")</f>
        <v>stop無:1.00</v>
      </c>
      <c r="Y100" s="250" t="str">
        <f>IFERROR(__xludf.DUMMYFUNCTION("""COMPUTED_VALUE"""),"20秒間20%攻撃up+敵全体を18%回復")</f>
        <v>20秒間20%攻撃up+敵全体を18%回復</v>
      </c>
      <c r="Z100" s="250">
        <f>IFERROR(__xludf.DUMMYFUNCTION("""COMPUTED_VALUE"""),5.0)</f>
        <v>5</v>
      </c>
      <c r="AA100" s="235"/>
      <c r="AB100" s="235"/>
      <c r="AC100" s="235"/>
    </row>
    <row r="101">
      <c r="A101" s="235"/>
      <c r="B101" s="250"/>
      <c r="C101" s="252"/>
      <c r="D101" s="252" t="str">
        <f>IFERROR(__xludf.DUMMYFUNCTION("""COMPUTED_VALUE"""),"___")</f>
        <v>___</v>
      </c>
      <c r="E101" s="252" t="str">
        <f>IFERROR(__xludf.DUMMYFUNCTION("""COMPUTED_VALUE"""),"none")</f>
        <v>none</v>
      </c>
      <c r="F101" s="252" t="str">
        <f>IFERROR(__xludf.DUMMYFUNCTION("""COMPUTED_VALUE"""),"none")</f>
        <v>none</v>
      </c>
      <c r="G101" s="252" t="str">
        <f>IFERROR(__xludf.DUMMYFUNCTION("""COMPUTED_VALUE"""),"none")</f>
        <v>none</v>
      </c>
      <c r="H101" s="250"/>
      <c r="I101" s="250" t="str">
        <f>IFERROR(__xludf.DUMMYFUNCTION("""COMPUTED_VALUE"""),"none")</f>
        <v>none</v>
      </c>
      <c r="J101" s="250"/>
      <c r="K101" s="250"/>
      <c r="L101" s="250"/>
      <c r="M101" s="250"/>
      <c r="N101" s="250"/>
      <c r="O101" s="250"/>
      <c r="P101" s="250"/>
      <c r="Q101" s="250"/>
      <c r="R101" s="250"/>
      <c r="S101" s="250"/>
      <c r="T101" s="253" t="str">
        <f>IFERROR(__xludf.DUMMYFUNCTION("""COMPUTED_VALUE"""),"none")</f>
        <v>none</v>
      </c>
      <c r="U101" s="250" t="str">
        <f>IFERROR(__xludf.DUMMYFUNCTION("""COMPUTED_VALUE"""),"none")</f>
        <v>none</v>
      </c>
      <c r="V101" s="250"/>
      <c r="W101" s="250" t="str">
        <f>IFERROR(__xludf.DUMMYFUNCTION("""COMPUTED_VALUE"""),"none")</f>
        <v>none</v>
      </c>
      <c r="X101" s="250" t="str">
        <f>IFERROR(__xludf.DUMMYFUNCTION("""COMPUTED_VALUE"""),"none")</f>
        <v>none</v>
      </c>
      <c r="Y101" s="250"/>
      <c r="Z101" s="250"/>
      <c r="AA101" s="235"/>
      <c r="AB101" s="235"/>
      <c r="AC101" s="235"/>
    </row>
    <row r="102">
      <c r="A102" s="235"/>
      <c r="B102" s="250" t="str">
        <f>IFERROR(__xludf.DUMMYFUNCTION("""COMPUTED_VALUE"""),"chara_rik_00001")</f>
        <v>chara_rik_00001</v>
      </c>
      <c r="C102" s="252" t="str">
        <f>IFERROR(__xludf.DUMMYFUNCTION("""COMPUTED_VALUE"""),"_general_as")</f>
        <v>_general_as</v>
      </c>
      <c r="D102" s="252" t="str">
        <f>IFERROR(__xludf.DUMMYFUNCTION("""COMPUTED_VALUE"""),"c_rik_00001_general_as_Normal_Blue")</f>
        <v>c_rik_00001_general_as_Normal_Blue</v>
      </c>
      <c r="E102" s="252" t="str">
        <f>IFERROR(__xludf.DUMMYFUNCTION("""COMPUTED_VALUE"""),"トマトイプーのリコピン")</f>
        <v>トマトイプーのリコピン</v>
      </c>
      <c r="F102" s="252" t="str">
        <f>IFERROR(__xludf.DUMMYFUNCTION("""COMPUTED_VALUE"""),"リコピン")</f>
        <v>リコピン</v>
      </c>
      <c r="G102" s="252" t="str">
        <f>IFERROR(__xludf.DUMMYFUNCTION("""COMPUTED_VALUE"""),"リコピン_general_as")</f>
        <v>リコピン_general_as</v>
      </c>
      <c r="H102" s="250" t="str">
        <f>IFERROR(__xludf.DUMMYFUNCTION("""COMPUTED_VALUE"""),"Normal")</f>
        <v>Normal</v>
      </c>
      <c r="I102" s="250" t="str">
        <f>IFERROR(__xludf.DUMMYFUNCTION("""COMPUTED_VALUE"""),"Attack")</f>
        <v>Attack</v>
      </c>
      <c r="J102" s="250" t="str">
        <f>IFERROR(__xludf.DUMMYFUNCTION("""COMPUTED_VALUE"""),"Blue")</f>
        <v>Blue</v>
      </c>
      <c r="K102" s="250">
        <f>IFERROR(__xludf.DUMMYFUNCTION("""COMPUTED_VALUE"""),60000.0)</f>
        <v>60000</v>
      </c>
      <c r="L102" s="250">
        <f>IFERROR(__xludf.DUMMYFUNCTION("""COMPUTED_VALUE"""),3.0)</f>
        <v>3</v>
      </c>
      <c r="M102" s="250">
        <f>IFERROR(__xludf.DUMMYFUNCTION("""COMPUTED_VALUE"""),50.0)</f>
        <v>50</v>
      </c>
      <c r="N102" s="250">
        <f>IFERROR(__xludf.DUMMYFUNCTION("""COMPUTED_VALUE"""),0.11)</f>
        <v>0.11</v>
      </c>
      <c r="O102" s="250">
        <f>IFERROR(__xludf.DUMMYFUNCTION("""COMPUTED_VALUE"""),300.0)</f>
        <v>300</v>
      </c>
      <c r="P102" s="250">
        <f>IFERROR(__xludf.DUMMYFUNCTION("""COMPUTED_VALUE"""),0.0)</f>
        <v>0</v>
      </c>
      <c r="Q102" s="250">
        <f>IFERROR(__xludf.DUMMYFUNCTION("""COMPUTED_VALUE"""),0.3)</f>
        <v>0.3</v>
      </c>
      <c r="R102" s="250">
        <f>IFERROR(__xludf.DUMMYFUNCTION("""COMPUTED_VALUE"""),1.0)</f>
        <v>1</v>
      </c>
      <c r="S102" s="250">
        <f>IFERROR(__xludf.DUMMYFUNCTION("""COMPUTED_VALUE"""),10.0)</f>
        <v>10</v>
      </c>
      <c r="T102" s="253" t="str">
        <f>IFERROR(__xludf.DUMMYFUNCTION("""COMPUTED_VALUE"""),"1.64")</f>
        <v>1.64</v>
      </c>
      <c r="U102" s="250" t="str">
        <f>IFERROR(__xludf.DUMMYFUNCTION("""COMPUTED_VALUE"""),"0.93")</f>
        <v>0.93</v>
      </c>
      <c r="V102" s="250">
        <f>IFERROR(__xludf.DUMMYFUNCTION("""COMPUTED_VALUE"""),35.0)</f>
        <v>35</v>
      </c>
      <c r="W102" s="250" t="str">
        <f>IFERROR(__xludf.DUMMYFUNCTION("""COMPUTED_VALUE"""),"4.01")</f>
        <v>4.01</v>
      </c>
      <c r="X102" s="250" t="str">
        <f>IFERROR(__xludf.DUMMYFUNCTION("""COMPUTED_VALUE"""),"1回目：0.83
2回目：1.84
3回目：2.67")</f>
        <v>1回目：0.83
2回目：1.84
3回目：2.67</v>
      </c>
      <c r="Y102" s="250" t="str">
        <f>IFERROR(__xludf.DUMMYFUNCTION("""COMPUTED_VALUE"""),"範囲連続攻撃+100%の確率で3秒スタン")</f>
        <v>範囲連続攻撃+100%の確率で3秒スタン</v>
      </c>
      <c r="Z102" s="250">
        <f>IFERROR(__xludf.DUMMYFUNCTION("""COMPUTED_VALUE"""),5.0)</f>
        <v>5</v>
      </c>
      <c r="AA102" s="235"/>
      <c r="AB102" s="235" t="str">
        <f>IFERROR(__xludf.DUMMYFUNCTION("""COMPUTED_VALUE"""),"dageki_2")</f>
        <v>dageki_2</v>
      </c>
      <c r="AC102" s="235"/>
    </row>
    <row r="103">
      <c r="A103" s="235"/>
      <c r="B103" s="250" t="str">
        <f>IFERROR(__xludf.DUMMYFUNCTION("""COMPUTED_VALUE"""),"chara_sur_00101")</f>
        <v>chara_sur_00101</v>
      </c>
      <c r="C103" s="252" t="str">
        <f>IFERROR(__xludf.DUMMYFUNCTION("""COMPUTED_VALUE"""),"_general_as")</f>
        <v>_general_as</v>
      </c>
      <c r="D103" s="252" t="str">
        <f>IFERROR(__xludf.DUMMYFUNCTION("""COMPUTED_VALUE"""),"c_sur_00101_general_as_Boss_Blue")</f>
        <v>c_sur_00101_general_as_Boss_Blue</v>
      </c>
      <c r="E103" s="252" t="str">
        <f>IFERROR(__xludf.DUMMYFUNCTION("""COMPUTED_VALUE"""),"魔都精兵のスレイブ")</f>
        <v>魔都精兵のスレイブ</v>
      </c>
      <c r="F103" s="252" t="str">
        <f>IFERROR(__xludf.DUMMYFUNCTION("""COMPUTED_VALUE"""),"誇り高き魔都の剣姫 羽前 京香")</f>
        <v>誇り高き魔都の剣姫 羽前 京香</v>
      </c>
      <c r="G103" s="252" t="str">
        <f>IFERROR(__xludf.DUMMYFUNCTION("""COMPUTED_VALUE"""),"誇り高き魔都の剣姫 羽前京香_general_as")</f>
        <v>誇り高き魔都の剣姫 羽前京香_general_as</v>
      </c>
      <c r="H103" s="250" t="str">
        <f>IFERROR(__xludf.DUMMYFUNCTION("""COMPUTED_VALUE"""),"Boss")</f>
        <v>Boss</v>
      </c>
      <c r="I103" s="250" t="str">
        <f>IFERROR(__xludf.DUMMYFUNCTION("""COMPUTED_VALUE"""),"Attack")</f>
        <v>Attack</v>
      </c>
      <c r="J103" s="250" t="str">
        <f>IFERROR(__xludf.DUMMYFUNCTION("""COMPUTED_VALUE"""),"Blue")</f>
        <v>Blue</v>
      </c>
      <c r="K103" s="250">
        <f>IFERROR(__xludf.DUMMYFUNCTION("""COMPUTED_VALUE"""),600000.0)</f>
        <v>600000</v>
      </c>
      <c r="L103" s="250">
        <f>IFERROR(__xludf.DUMMYFUNCTION("""COMPUTED_VALUE"""),2.0)</f>
        <v>2</v>
      </c>
      <c r="M103" s="250">
        <f>IFERROR(__xludf.DUMMYFUNCTION("""COMPUTED_VALUE"""),45.0)</f>
        <v>45</v>
      </c>
      <c r="N103" s="250">
        <f>IFERROR(__xludf.DUMMYFUNCTION("""COMPUTED_VALUE"""),0.2)</f>
        <v>0.2</v>
      </c>
      <c r="O103" s="250">
        <f>IFERROR(__xludf.DUMMYFUNCTION("""COMPUTED_VALUE"""),800.0)</f>
        <v>800</v>
      </c>
      <c r="P103" s="250">
        <f>IFERROR(__xludf.DUMMYFUNCTION("""COMPUTED_VALUE"""),0.0)</f>
        <v>0</v>
      </c>
      <c r="Q103" s="250">
        <f>IFERROR(__xludf.DUMMYFUNCTION("""COMPUTED_VALUE"""),0.3)</f>
        <v>0.3</v>
      </c>
      <c r="R103" s="250">
        <f>IFERROR(__xludf.DUMMYFUNCTION("""COMPUTED_VALUE"""),1.0)</f>
        <v>1</v>
      </c>
      <c r="S103" s="250">
        <f>IFERROR(__xludf.DUMMYFUNCTION("""COMPUTED_VALUE"""),10.0)</f>
        <v>10</v>
      </c>
      <c r="T103" s="253" t="str">
        <f>IFERROR(__xludf.DUMMYFUNCTION("""COMPUTED_VALUE"""),"1.40")</f>
        <v>1.40</v>
      </c>
      <c r="U103" s="250" t="str">
        <f>IFERROR(__xludf.DUMMYFUNCTION("""COMPUTED_VALUE"""),"stop無:1回目 0.33")</f>
        <v>stop無:1回目 0.33</v>
      </c>
      <c r="V103" s="250">
        <f>IFERROR(__xludf.DUMMYFUNCTION("""COMPUTED_VALUE"""),45.0)</f>
        <v>45</v>
      </c>
      <c r="W103" s="250" t="str">
        <f>IFERROR(__xludf.DUMMYFUNCTION("""COMPUTED_VALUE"""),"2.67")</f>
        <v>2.67</v>
      </c>
      <c r="X103" s="25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03" s="250" t="str">
        <f>IFERROR(__xludf.DUMMYFUNCTION("""COMPUTED_VALUE"""),"単体連続攻撃")</f>
        <v>単体連続攻撃</v>
      </c>
      <c r="Z103" s="250">
        <f>IFERROR(__xludf.DUMMYFUNCTION("""COMPUTED_VALUE"""),5.0)</f>
        <v>5</v>
      </c>
      <c r="AA103" s="235"/>
      <c r="AB103" s="235" t="str">
        <f>IFERROR(__xludf.DUMMYFUNCTION("""COMPUTED_VALUE"""),"zangeki_1")</f>
        <v>zangeki_1</v>
      </c>
      <c r="AC103" s="235"/>
    </row>
    <row r="104">
      <c r="A104" s="235"/>
      <c r="B104" s="250" t="str">
        <f>IFERROR(__xludf.DUMMYFUNCTION("""COMPUTED_VALUE"""),"chara_chi_00201")</f>
        <v>chara_chi_00201</v>
      </c>
      <c r="C104" s="252" t="str">
        <f>IFERROR(__xludf.DUMMYFUNCTION("""COMPUTED_VALUE"""),"_general_as")</f>
        <v>_general_as</v>
      </c>
      <c r="D104" s="252" t="str">
        <f>IFERROR(__xludf.DUMMYFUNCTION("""COMPUTED_VALUE"""),"c_chi_00201_general_as_Normal_Blue")</f>
        <v>c_chi_00201_general_as_Normal_Blue</v>
      </c>
      <c r="E104" s="252" t="str">
        <f>IFERROR(__xludf.DUMMYFUNCTION("""COMPUTED_VALUE"""),"チェンソーマン")</f>
        <v>チェンソーマン</v>
      </c>
      <c r="F104" s="252" t="str">
        <f>IFERROR(__xludf.DUMMYFUNCTION("""COMPUTED_VALUE"""),"早川 アキ")</f>
        <v>早川 アキ</v>
      </c>
      <c r="G104" s="252" t="str">
        <f>IFERROR(__xludf.DUMMYFUNCTION("""COMPUTED_VALUE"""),"早川 アキ_general_as")</f>
        <v>早川 アキ_general_as</v>
      </c>
      <c r="H104" s="250" t="str">
        <f>IFERROR(__xludf.DUMMYFUNCTION("""COMPUTED_VALUE"""),"Normal")</f>
        <v>Normal</v>
      </c>
      <c r="I104" s="250" t="str">
        <f>IFERROR(__xludf.DUMMYFUNCTION("""COMPUTED_VALUE"""),"Attack")</f>
        <v>Attack</v>
      </c>
      <c r="J104" s="250" t="str">
        <f>IFERROR(__xludf.DUMMYFUNCTION("""COMPUTED_VALUE"""),"Blue")</f>
        <v>Blue</v>
      </c>
      <c r="K104" s="250">
        <f>IFERROR(__xludf.DUMMYFUNCTION("""COMPUTED_VALUE"""),180000.0)</f>
        <v>180000</v>
      </c>
      <c r="L104" s="250">
        <f>IFERROR(__xludf.DUMMYFUNCTION("""COMPUTED_VALUE"""),3.0)</f>
        <v>3</v>
      </c>
      <c r="M104" s="250">
        <f>IFERROR(__xludf.DUMMYFUNCTION("""COMPUTED_VALUE"""),45.0)</f>
        <v>45</v>
      </c>
      <c r="N104" s="250">
        <f>IFERROR(__xludf.DUMMYFUNCTION("""COMPUTED_VALUE"""),0.2)</f>
        <v>0.2</v>
      </c>
      <c r="O104" s="250">
        <f>IFERROR(__xludf.DUMMYFUNCTION("""COMPUTED_VALUE"""),400.0)</f>
        <v>400</v>
      </c>
      <c r="P104" s="250">
        <f>IFERROR(__xludf.DUMMYFUNCTION("""COMPUTED_VALUE"""),0.0)</f>
        <v>0</v>
      </c>
      <c r="Q104" s="250">
        <f>IFERROR(__xludf.DUMMYFUNCTION("""COMPUTED_VALUE"""),0.3)</f>
        <v>0.3</v>
      </c>
      <c r="R104" s="250">
        <f>IFERROR(__xludf.DUMMYFUNCTION("""COMPUTED_VALUE"""),1.0)</f>
        <v>1</v>
      </c>
      <c r="S104" s="250">
        <f>IFERROR(__xludf.DUMMYFUNCTION("""COMPUTED_VALUE"""),10.0)</f>
        <v>10</v>
      </c>
      <c r="T104" s="253" t="str">
        <f>IFERROR(__xludf.DUMMYFUNCTION("""COMPUTED_VALUE"""),"1.60")</f>
        <v>1.60</v>
      </c>
      <c r="U104" s="250" t="str">
        <f>IFERROR(__xludf.DUMMYFUNCTION("""COMPUTED_VALUE"""),"0.84")</f>
        <v>0.84</v>
      </c>
      <c r="V104" s="250">
        <f>IFERROR(__xludf.DUMMYFUNCTION("""COMPUTED_VALUE"""),30.0)</f>
        <v>30</v>
      </c>
      <c r="W104" s="250" t="str">
        <f>IFERROR(__xludf.DUMMYFUNCTION("""COMPUTED_VALUE"""),"2.44")</f>
        <v>2.44</v>
      </c>
      <c r="X104" s="250" t="str">
        <f>IFERROR(__xludf.DUMMYFUNCTION("""COMPUTED_VALUE"""),"1.64")</f>
        <v>1.64</v>
      </c>
      <c r="Y104" s="250" t="str">
        <f>IFERROR(__xludf.DUMMYFUNCTION("""COMPUTED_VALUE"""),"単体攻撃")</f>
        <v>単体攻撃</v>
      </c>
      <c r="Z104" s="250">
        <f>IFERROR(__xludf.DUMMYFUNCTION("""COMPUTED_VALUE"""),5.0)</f>
        <v>5</v>
      </c>
      <c r="AA104" s="235"/>
      <c r="AB104" s="235" t="str">
        <f>IFERROR(__xludf.DUMMYFUNCTION("""COMPUTED_VALUE"""),"dageki_1")</f>
        <v>dageki_1</v>
      </c>
      <c r="AC104" s="235"/>
    </row>
    <row r="105">
      <c r="A105" s="235"/>
      <c r="B105" s="250" t="str">
        <f>IFERROR(__xludf.DUMMYFUNCTION("""COMPUTED_VALUE"""),"chara_chi_00301")</f>
        <v>chara_chi_00301</v>
      </c>
      <c r="C105" s="252" t="str">
        <f>IFERROR(__xludf.DUMMYFUNCTION("""COMPUTED_VALUE"""),"_general_as")</f>
        <v>_general_as</v>
      </c>
      <c r="D105" s="252" t="str">
        <f>IFERROR(__xludf.DUMMYFUNCTION("""COMPUTED_VALUE"""),"c_chi_00301_general_as_Normal_Blue")</f>
        <v>c_chi_00301_general_as_Normal_Blue</v>
      </c>
      <c r="E105" s="252" t="str">
        <f>IFERROR(__xludf.DUMMYFUNCTION("""COMPUTED_VALUE"""),"チェンソーマン")</f>
        <v>チェンソーマン</v>
      </c>
      <c r="F105" s="252" t="str">
        <f>IFERROR(__xludf.DUMMYFUNCTION("""COMPUTED_VALUE"""),"パワー")</f>
        <v>パワー</v>
      </c>
      <c r="G105" s="252" t="str">
        <f>IFERROR(__xludf.DUMMYFUNCTION("""COMPUTED_VALUE"""),"パワー_general_as")</f>
        <v>パワー_general_as</v>
      </c>
      <c r="H105" s="250" t="str">
        <f>IFERROR(__xludf.DUMMYFUNCTION("""COMPUTED_VALUE"""),"Normal")</f>
        <v>Normal</v>
      </c>
      <c r="I105" s="250" t="str">
        <f>IFERROR(__xludf.DUMMYFUNCTION("""COMPUTED_VALUE"""),"Attack")</f>
        <v>Attack</v>
      </c>
      <c r="J105" s="250" t="str">
        <f>IFERROR(__xludf.DUMMYFUNCTION("""COMPUTED_VALUE"""),"Blue")</f>
        <v>Blue</v>
      </c>
      <c r="K105" s="250">
        <f>IFERROR(__xludf.DUMMYFUNCTION("""COMPUTED_VALUE"""),200000.0)</f>
        <v>200000</v>
      </c>
      <c r="L105" s="250">
        <f>IFERROR(__xludf.DUMMYFUNCTION("""COMPUTED_VALUE"""),3.0)</f>
        <v>3</v>
      </c>
      <c r="M105" s="250">
        <f>IFERROR(__xludf.DUMMYFUNCTION("""COMPUTED_VALUE"""),45.0)</f>
        <v>45</v>
      </c>
      <c r="N105" s="250">
        <f>IFERROR(__xludf.DUMMYFUNCTION("""COMPUTED_VALUE"""),0.2)</f>
        <v>0.2</v>
      </c>
      <c r="O105" s="250">
        <f>IFERROR(__xludf.DUMMYFUNCTION("""COMPUTED_VALUE"""),500.0)</f>
        <v>500</v>
      </c>
      <c r="P105" s="250">
        <f>IFERROR(__xludf.DUMMYFUNCTION("""COMPUTED_VALUE"""),0.0)</f>
        <v>0</v>
      </c>
      <c r="Q105" s="250">
        <f>IFERROR(__xludf.DUMMYFUNCTION("""COMPUTED_VALUE"""),0.3)</f>
        <v>0.3</v>
      </c>
      <c r="R105" s="250">
        <f>IFERROR(__xludf.DUMMYFUNCTION("""COMPUTED_VALUE"""),1.0)</f>
        <v>1</v>
      </c>
      <c r="S105" s="250">
        <f>IFERROR(__xludf.DUMMYFUNCTION("""COMPUTED_VALUE"""),10.0)</f>
        <v>10</v>
      </c>
      <c r="T105" s="253" t="str">
        <f>IFERROR(__xludf.DUMMYFUNCTION("""COMPUTED_VALUE"""),"1.50")</f>
        <v>1.50</v>
      </c>
      <c r="U105" s="250" t="str">
        <f>IFERROR(__xludf.DUMMYFUNCTION("""COMPUTED_VALUE"""),"0.58")</f>
        <v>0.58</v>
      </c>
      <c r="V105" s="250">
        <f>IFERROR(__xludf.DUMMYFUNCTION("""COMPUTED_VALUE"""),45.0)</f>
        <v>45</v>
      </c>
      <c r="W105" s="250" t="str">
        <f>IFERROR(__xludf.DUMMYFUNCTION("""COMPUTED_VALUE"""),"2.67")</f>
        <v>2.67</v>
      </c>
      <c r="X105" s="250" t="str">
        <f>IFERROR(__xludf.DUMMYFUNCTION("""COMPUTED_VALUE"""),"1.00")</f>
        <v>1.00</v>
      </c>
      <c r="Y105" s="250" t="str">
        <f>IFERROR(__xludf.DUMMYFUNCTION("""COMPUTED_VALUE"""),"範囲攻撃+100%の確率で3秒スタン+20秒間、自身の攻撃50%UP")</f>
        <v>範囲攻撃+100%の確率で3秒スタン+20秒間、自身の攻撃50%UP</v>
      </c>
      <c r="Z105" s="250">
        <f>IFERROR(__xludf.DUMMYFUNCTION("""COMPUTED_VALUE"""),7.0)</f>
        <v>7</v>
      </c>
      <c r="AA105" s="235"/>
      <c r="AB105" s="235" t="str">
        <f>IFERROR(__xludf.DUMMYFUNCTION("""COMPUTED_VALUE"""),"dageki_1")</f>
        <v>dageki_1</v>
      </c>
      <c r="AC105" s="235"/>
    </row>
    <row r="106">
      <c r="A106" s="235"/>
      <c r="B106" s="250" t="str">
        <f>IFERROR(__xludf.DUMMYFUNCTION("""COMPUTED_VALUE"""),"chara_chi_00001")</f>
        <v>chara_chi_00001</v>
      </c>
      <c r="C106" s="252" t="str">
        <f>IFERROR(__xludf.DUMMYFUNCTION("""COMPUTED_VALUE"""),"_general_as")</f>
        <v>_general_as</v>
      </c>
      <c r="D106" s="252" t="str">
        <f>IFERROR(__xludf.DUMMYFUNCTION("""COMPUTED_VALUE"""),"c_chi_00001_general_as_Normal_Blue")</f>
        <v>c_chi_00001_general_as_Normal_Blue</v>
      </c>
      <c r="E106" s="252" t="str">
        <f>IFERROR(__xludf.DUMMYFUNCTION("""COMPUTED_VALUE"""),"チェンソーマン")</f>
        <v>チェンソーマン</v>
      </c>
      <c r="F106" s="252" t="str">
        <f>IFERROR(__xludf.DUMMYFUNCTION("""COMPUTED_VALUE"""),"デンジ")</f>
        <v>デンジ</v>
      </c>
      <c r="G106" s="252" t="str">
        <f>IFERROR(__xludf.DUMMYFUNCTION("""COMPUTED_VALUE"""),"デンジ_general_as")</f>
        <v>デンジ_general_as</v>
      </c>
      <c r="H106" s="250" t="str">
        <f>IFERROR(__xludf.DUMMYFUNCTION("""COMPUTED_VALUE"""),"Normal")</f>
        <v>Normal</v>
      </c>
      <c r="I106" s="250" t="str">
        <f>IFERROR(__xludf.DUMMYFUNCTION("""COMPUTED_VALUE"""),"Attack")</f>
        <v>Attack</v>
      </c>
      <c r="J106" s="250" t="str">
        <f>IFERROR(__xludf.DUMMYFUNCTION("""COMPUTED_VALUE"""),"Blue")</f>
        <v>Blue</v>
      </c>
      <c r="K106" s="250">
        <f>IFERROR(__xludf.DUMMYFUNCTION("""COMPUTED_VALUE"""),150000.0)</f>
        <v>150000</v>
      </c>
      <c r="L106" s="250">
        <f>IFERROR(__xludf.DUMMYFUNCTION("""COMPUTED_VALUE"""),3.0)</f>
        <v>3</v>
      </c>
      <c r="M106" s="250">
        <f>IFERROR(__xludf.DUMMYFUNCTION("""COMPUTED_VALUE"""),45.0)</f>
        <v>45</v>
      </c>
      <c r="N106" s="250">
        <f>IFERROR(__xludf.DUMMYFUNCTION("""COMPUTED_VALUE"""),0.11)</f>
        <v>0.11</v>
      </c>
      <c r="O106" s="250">
        <f>IFERROR(__xludf.DUMMYFUNCTION("""COMPUTED_VALUE"""),300.0)</f>
        <v>300</v>
      </c>
      <c r="P106" s="250">
        <f>IFERROR(__xludf.DUMMYFUNCTION("""COMPUTED_VALUE"""),0.0)</f>
        <v>0</v>
      </c>
      <c r="Q106" s="250">
        <f>IFERROR(__xludf.DUMMYFUNCTION("""COMPUTED_VALUE"""),0.2)</f>
        <v>0.2</v>
      </c>
      <c r="R106" s="250">
        <f>IFERROR(__xludf.DUMMYFUNCTION("""COMPUTED_VALUE"""),100.0)</f>
        <v>100</v>
      </c>
      <c r="S106" s="250">
        <f>IFERROR(__xludf.DUMMYFUNCTION("""COMPUTED_VALUE"""),10.0)</f>
        <v>10</v>
      </c>
      <c r="T106" s="253" t="str">
        <f>IFERROR(__xludf.DUMMYFUNCTION("""COMPUTED_VALUE"""),"1.40")</f>
        <v>1.40</v>
      </c>
      <c r="U106" s="250" t="str">
        <f>IFERROR(__xludf.DUMMYFUNCTION("""COMPUTED_VALUE"""),"0.53")</f>
        <v>0.53</v>
      </c>
      <c r="V106" s="250">
        <f>IFERROR(__xludf.DUMMYFUNCTION("""COMPUTED_VALUE"""),45.0)</f>
        <v>45</v>
      </c>
      <c r="W106" s="250" t="str">
        <f>IFERROR(__xludf.DUMMYFUNCTION("""COMPUTED_VALUE"""),"3.37")</f>
        <v>3.37</v>
      </c>
      <c r="X106" s="250" t="str">
        <f>IFERROR(__xludf.DUMMYFUNCTION("""COMPUTED_VALUE"""),"1.57")</f>
        <v>1.57</v>
      </c>
      <c r="Y106" s="250" t="str">
        <f>IFERROR(__xludf.DUMMYFUNCTION("""COMPUTED_VALUE"""),"範囲攻撃")</f>
        <v>範囲攻撃</v>
      </c>
      <c r="Z106" s="250" t="str">
        <f>IFERROR(__xludf.DUMMYFUNCTION("""COMPUTED_VALUE"""),"-")</f>
        <v>-</v>
      </c>
      <c r="AA106" s="235"/>
      <c r="AB106" s="235" t="str">
        <f>IFERROR(__xludf.DUMMYFUNCTION("""COMPUTED_VALUE"""),"zangeki_1")</f>
        <v>zangeki_1</v>
      </c>
      <c r="AC106" s="235"/>
    </row>
    <row r="107">
      <c r="A107" s="235"/>
      <c r="B107" s="250"/>
      <c r="C107" s="252"/>
      <c r="D107" s="252" t="str">
        <f>IFERROR(__xludf.DUMMYFUNCTION("""COMPUTED_VALUE"""),"___")</f>
        <v>___</v>
      </c>
      <c r="E107" s="252" t="str">
        <f>IFERROR(__xludf.DUMMYFUNCTION("""COMPUTED_VALUE"""),"none")</f>
        <v>none</v>
      </c>
      <c r="F107" s="252" t="str">
        <f>IFERROR(__xludf.DUMMYFUNCTION("""COMPUTED_VALUE"""),"none")</f>
        <v>none</v>
      </c>
      <c r="G107" s="252" t="str">
        <f>IFERROR(__xludf.DUMMYFUNCTION("""COMPUTED_VALUE"""),"none")</f>
        <v>none</v>
      </c>
      <c r="H107" s="250"/>
      <c r="I107" s="250" t="str">
        <f>IFERROR(__xludf.DUMMYFUNCTION("""COMPUTED_VALUE"""),"none")</f>
        <v>none</v>
      </c>
      <c r="J107" s="250"/>
      <c r="K107" s="250"/>
      <c r="L107" s="250"/>
      <c r="M107" s="250"/>
      <c r="N107" s="250"/>
      <c r="O107" s="250"/>
      <c r="P107" s="250"/>
      <c r="Q107" s="250"/>
      <c r="R107" s="250"/>
      <c r="S107" s="250"/>
      <c r="T107" s="253" t="str">
        <f>IFERROR(__xludf.DUMMYFUNCTION("""COMPUTED_VALUE"""),"none")</f>
        <v>none</v>
      </c>
      <c r="U107" s="250" t="str">
        <f>IFERROR(__xludf.DUMMYFUNCTION("""COMPUTED_VALUE"""),"none")</f>
        <v>none</v>
      </c>
      <c r="V107" s="250"/>
      <c r="W107" s="250" t="str">
        <f>IFERROR(__xludf.DUMMYFUNCTION("""COMPUTED_VALUE"""),"none")</f>
        <v>none</v>
      </c>
      <c r="X107" s="250" t="str">
        <f>IFERROR(__xludf.DUMMYFUNCTION("""COMPUTED_VALUE"""),"none")</f>
        <v>none</v>
      </c>
      <c r="Y107" s="250"/>
      <c r="Z107" s="250"/>
      <c r="AA107" s="235"/>
      <c r="AB107" s="235"/>
      <c r="AC107" s="235"/>
    </row>
    <row r="108">
      <c r="A108" s="235"/>
      <c r="B108" s="250" t="str">
        <f>IFERROR(__xludf.DUMMYFUNCTION("""COMPUTED_VALUE"""),"chara_sur_00201")</f>
        <v>chara_sur_00201</v>
      </c>
      <c r="C108" s="252" t="str">
        <f>IFERROR(__xludf.DUMMYFUNCTION("""COMPUTED_VALUE"""),"_general_as")</f>
        <v>_general_as</v>
      </c>
      <c r="D108" s="252" t="str">
        <f>IFERROR(__xludf.DUMMYFUNCTION("""COMPUTED_VALUE"""),"c_sur_00201_general_as_Normal_Yellow")</f>
        <v>c_sur_00201_general_as_Normal_Yellow</v>
      </c>
      <c r="E108" s="252" t="str">
        <f>IFERROR(__xludf.DUMMYFUNCTION("""COMPUTED_VALUE"""),"魔都精兵のスレイブ")</f>
        <v>魔都精兵のスレイブ</v>
      </c>
      <c r="F108" s="252" t="str">
        <f>IFERROR(__xludf.DUMMYFUNCTION("""COMPUTED_VALUE"""),"東 日万凛")</f>
        <v>東 日万凛</v>
      </c>
      <c r="G108" s="252" t="str">
        <f>IFERROR(__xludf.DUMMYFUNCTION("""COMPUTED_VALUE"""),"東 日万凛_general_as")</f>
        <v>東 日万凛_general_as</v>
      </c>
      <c r="H108" s="250" t="str">
        <f>IFERROR(__xludf.DUMMYFUNCTION("""COMPUTED_VALUE"""),"Normal")</f>
        <v>Normal</v>
      </c>
      <c r="I108" s="250" t="str">
        <f>IFERROR(__xludf.DUMMYFUNCTION("""COMPUTED_VALUE"""),"Attack")</f>
        <v>Attack</v>
      </c>
      <c r="J108" s="250" t="str">
        <f>IFERROR(__xludf.DUMMYFUNCTION("""COMPUTED_VALUE"""),"Yellow")</f>
        <v>Yellow</v>
      </c>
      <c r="K108" s="250">
        <f>IFERROR(__xludf.DUMMYFUNCTION("""COMPUTED_VALUE"""),200000.0)</f>
        <v>200000</v>
      </c>
      <c r="L108" s="250">
        <f>IFERROR(__xludf.DUMMYFUNCTION("""COMPUTED_VALUE"""),2.0)</f>
        <v>2</v>
      </c>
      <c r="M108" s="250">
        <f>IFERROR(__xludf.DUMMYFUNCTION("""COMPUTED_VALUE"""),35.0)</f>
        <v>35</v>
      </c>
      <c r="N108" s="250">
        <f>IFERROR(__xludf.DUMMYFUNCTION("""COMPUTED_VALUE"""),0.3)</f>
        <v>0.3</v>
      </c>
      <c r="O108" s="250">
        <f>IFERROR(__xludf.DUMMYFUNCTION("""COMPUTED_VALUE"""),800.0)</f>
        <v>800</v>
      </c>
      <c r="P108" s="250">
        <f>IFERROR(__xludf.DUMMYFUNCTION("""COMPUTED_VALUE"""),0.0)</f>
        <v>0</v>
      </c>
      <c r="Q108" s="250">
        <f>IFERROR(__xludf.DUMMYFUNCTION("""COMPUTED_VALUE"""),0.35)</f>
        <v>0.35</v>
      </c>
      <c r="R108" s="250">
        <f>IFERROR(__xludf.DUMMYFUNCTION("""COMPUTED_VALUE"""),1.0)</f>
        <v>1</v>
      </c>
      <c r="S108" s="250">
        <f>IFERROR(__xludf.DUMMYFUNCTION("""COMPUTED_VALUE"""),10.0)</f>
        <v>10</v>
      </c>
      <c r="T108" s="253" t="str">
        <f>IFERROR(__xludf.DUMMYFUNCTION("""COMPUTED_VALUE"""),"1.47")</f>
        <v>1.47</v>
      </c>
      <c r="U108" s="250" t="str">
        <f>IFERROR(__xludf.DUMMYFUNCTION("""COMPUTED_VALUE"""),"stop無:1回目 0.37")</f>
        <v>stop無:1回目 0.37</v>
      </c>
      <c r="V108" s="250">
        <f>IFERROR(__xludf.DUMMYFUNCTION("""COMPUTED_VALUE"""),45.0)</f>
        <v>45</v>
      </c>
      <c r="W108" s="250" t="str">
        <f>IFERROR(__xludf.DUMMYFUNCTION("""COMPUTED_VALUE"""),"2.67")</f>
        <v>2.67</v>
      </c>
      <c r="X108" s="250"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08" s="250" t="str">
        <f>IFERROR(__xludf.DUMMYFUNCTION("""COMPUTED_VALUE"""),"連続範囲攻撃")</f>
        <v>連続範囲攻撃</v>
      </c>
      <c r="Z108" s="250">
        <f>IFERROR(__xludf.DUMMYFUNCTION("""COMPUTED_VALUE"""),5.0)</f>
        <v>5</v>
      </c>
      <c r="AA108" s="235"/>
      <c r="AB108" s="235" t="str">
        <f>IFERROR(__xludf.DUMMYFUNCTION("""COMPUTED_VALUE"""),"shageki_1")</f>
        <v>shageki_1</v>
      </c>
      <c r="AC108" s="235"/>
    </row>
    <row r="109">
      <c r="A109" s="235"/>
      <c r="B109" s="250" t="str">
        <f>IFERROR(__xludf.DUMMYFUNCTION("""COMPUTED_VALUE"""),"chara_sur_00301")</f>
        <v>chara_sur_00301</v>
      </c>
      <c r="C109" s="252" t="str">
        <f>IFERROR(__xludf.DUMMYFUNCTION("""COMPUTED_VALUE"""),"_general_as")</f>
        <v>_general_as</v>
      </c>
      <c r="D109" s="252" t="str">
        <f>IFERROR(__xludf.DUMMYFUNCTION("""COMPUTED_VALUE"""),"c_sur_00301_general_as_Normal_Yellow")</f>
        <v>c_sur_00301_general_as_Normal_Yellow</v>
      </c>
      <c r="E109" s="252" t="str">
        <f>IFERROR(__xludf.DUMMYFUNCTION("""COMPUTED_VALUE"""),"魔都精兵のスレイブ")</f>
        <v>魔都精兵のスレイブ</v>
      </c>
      <c r="F109" s="252" t="str">
        <f>IFERROR(__xludf.DUMMYFUNCTION("""COMPUTED_VALUE"""),"駿河 朱々")</f>
        <v>駿河 朱々</v>
      </c>
      <c r="G109" s="252" t="str">
        <f>IFERROR(__xludf.DUMMYFUNCTION("""COMPUTED_VALUE"""),"駿河 朱々_general_as")</f>
        <v>駿河 朱々_general_as</v>
      </c>
      <c r="H109" s="250" t="str">
        <f>IFERROR(__xludf.DUMMYFUNCTION("""COMPUTED_VALUE"""),"Normal")</f>
        <v>Normal</v>
      </c>
      <c r="I109" s="250" t="str">
        <f>IFERROR(__xludf.DUMMYFUNCTION("""COMPUTED_VALUE"""),"Defense")</f>
        <v>Defense</v>
      </c>
      <c r="J109" s="250" t="str">
        <f>IFERROR(__xludf.DUMMYFUNCTION("""COMPUTED_VALUE"""),"Yellow")</f>
        <v>Yellow</v>
      </c>
      <c r="K109" s="250">
        <f>IFERROR(__xludf.DUMMYFUNCTION("""COMPUTED_VALUE"""),170000.0)</f>
        <v>170000</v>
      </c>
      <c r="L109" s="250">
        <f>IFERROR(__xludf.DUMMYFUNCTION("""COMPUTED_VALUE"""),1.0)</f>
        <v>1</v>
      </c>
      <c r="M109" s="250">
        <f>IFERROR(__xludf.DUMMYFUNCTION("""COMPUTED_VALUE"""),40.0)</f>
        <v>40</v>
      </c>
      <c r="N109" s="250">
        <f>IFERROR(__xludf.DUMMYFUNCTION("""COMPUTED_VALUE"""),0.11)</f>
        <v>0.11</v>
      </c>
      <c r="O109" s="250">
        <f>IFERROR(__xludf.DUMMYFUNCTION("""COMPUTED_VALUE"""),100.0)</f>
        <v>100</v>
      </c>
      <c r="P109" s="250">
        <f>IFERROR(__xludf.DUMMYFUNCTION("""COMPUTED_VALUE"""),0.0)</f>
        <v>0</v>
      </c>
      <c r="Q109" s="250">
        <f>IFERROR(__xludf.DUMMYFUNCTION("""COMPUTED_VALUE"""),0.3)</f>
        <v>0.3</v>
      </c>
      <c r="R109" s="250">
        <f>IFERROR(__xludf.DUMMYFUNCTION("""COMPUTED_VALUE"""),1.0)</f>
        <v>1</v>
      </c>
      <c r="S109" s="250">
        <f>IFERROR(__xludf.DUMMYFUNCTION("""COMPUTED_VALUE"""),10.0)</f>
        <v>10</v>
      </c>
      <c r="T109" s="253" t="str">
        <f>IFERROR(__xludf.DUMMYFUNCTION("""COMPUTED_VALUE"""),"1.56")</f>
        <v>1.56</v>
      </c>
      <c r="U109" s="250" t="str">
        <f>IFERROR(__xludf.DUMMYFUNCTION("""COMPUTED_VALUE"""),"0.66")</f>
        <v>0.66</v>
      </c>
      <c r="V109" s="250">
        <f>IFERROR(__xludf.DUMMYFUNCTION("""COMPUTED_VALUE"""),60.0)</f>
        <v>60</v>
      </c>
      <c r="W109" s="250" t="str">
        <f>IFERROR(__xludf.DUMMYFUNCTION("""COMPUTED_VALUE"""),"1.91")</f>
        <v>1.91</v>
      </c>
      <c r="X109" s="250" t="str">
        <f>IFERROR(__xludf.DUMMYFUNCTION("""COMPUTED_VALUE"""),"0.73")</f>
        <v>0.73</v>
      </c>
      <c r="Y109" s="250" t="str">
        <f>IFERROR(__xludf.DUMMYFUNCTION("""COMPUTED_VALUE"""),"範囲攻撃")</f>
        <v>範囲攻撃</v>
      </c>
      <c r="Z109" s="250">
        <f>IFERROR(__xludf.DUMMYFUNCTION("""COMPUTED_VALUE"""),7.0)</f>
        <v>7</v>
      </c>
      <c r="AA109" s="235"/>
      <c r="AB109" s="235" t="str">
        <f>IFERROR(__xludf.DUMMYFUNCTION("""COMPUTED_VALUE"""),"dageki_1")</f>
        <v>dageki_1</v>
      </c>
      <c r="AC109" s="235"/>
    </row>
    <row r="110">
      <c r="A110" s="235"/>
      <c r="B110" s="250" t="str">
        <f>IFERROR(__xludf.DUMMYFUNCTION("""COMPUTED_VALUE"""),"chara_chi_00002")</f>
        <v>chara_chi_00002</v>
      </c>
      <c r="C110" s="252" t="str">
        <f>IFERROR(__xludf.DUMMYFUNCTION("""COMPUTED_VALUE"""),"_general_as")</f>
        <v>_general_as</v>
      </c>
      <c r="D110" s="252" t="str">
        <f>IFERROR(__xludf.DUMMYFUNCTION("""COMPUTED_VALUE"""),"c_chi_00002_general_as_Normal_Yellow")</f>
        <v>c_chi_00002_general_as_Normal_Yellow</v>
      </c>
      <c r="E110" s="252" t="str">
        <f>IFERROR(__xludf.DUMMYFUNCTION("""COMPUTED_VALUE"""),"チェンソーマン")</f>
        <v>チェンソーマン</v>
      </c>
      <c r="F110" s="252" t="str">
        <f>IFERROR(__xludf.DUMMYFUNCTION("""COMPUTED_VALUE"""),"悪魔が恐れる悪魔 チェンソーマン")</f>
        <v>悪魔が恐れる悪魔 チェンソーマン</v>
      </c>
      <c r="G110" s="252" t="str">
        <f>IFERROR(__xludf.DUMMYFUNCTION("""COMPUTED_VALUE"""),"悪魔が恐れる悪魔 チェンソーマン_general_as")</f>
        <v>悪魔が恐れる悪魔 チェンソーマン_general_as</v>
      </c>
      <c r="H110" s="250" t="str">
        <f>IFERROR(__xludf.DUMMYFUNCTION("""COMPUTED_VALUE"""),"Normal")</f>
        <v>Normal</v>
      </c>
      <c r="I110" s="250" t="str">
        <f>IFERROR(__xludf.DUMMYFUNCTION("""COMPUTED_VALUE"""),"Technical")</f>
        <v>Technical</v>
      </c>
      <c r="J110" s="250" t="str">
        <f>IFERROR(__xludf.DUMMYFUNCTION("""COMPUTED_VALUE"""),"Yellow")</f>
        <v>Yellow</v>
      </c>
      <c r="K110" s="250">
        <f>IFERROR(__xludf.DUMMYFUNCTION("""COMPUTED_VALUE"""),100000.0)</f>
        <v>100000</v>
      </c>
      <c r="L110" s="250">
        <f>IFERROR(__xludf.DUMMYFUNCTION("""COMPUTED_VALUE"""),5.0)</f>
        <v>5</v>
      </c>
      <c r="M110" s="250">
        <f>IFERROR(__xludf.DUMMYFUNCTION("""COMPUTED_VALUE"""),35.0)</f>
        <v>35</v>
      </c>
      <c r="N110" s="250">
        <f>IFERROR(__xludf.DUMMYFUNCTION("""COMPUTED_VALUE"""),0.11)</f>
        <v>0.11</v>
      </c>
      <c r="O110" s="250">
        <f>IFERROR(__xludf.DUMMYFUNCTION("""COMPUTED_VALUE"""),300.0)</f>
        <v>300</v>
      </c>
      <c r="P110" s="250">
        <f>IFERROR(__xludf.DUMMYFUNCTION("""COMPUTED_VALUE"""),0.0)</f>
        <v>0</v>
      </c>
      <c r="Q110" s="250">
        <f>IFERROR(__xludf.DUMMYFUNCTION("""COMPUTED_VALUE"""),0.2)</f>
        <v>0.2</v>
      </c>
      <c r="R110" s="250">
        <f>IFERROR(__xludf.DUMMYFUNCTION("""COMPUTED_VALUE"""),1.0)</f>
        <v>1</v>
      </c>
      <c r="S110" s="250">
        <f>IFERROR(__xludf.DUMMYFUNCTION("""COMPUTED_VALUE"""),10.0)</f>
        <v>10</v>
      </c>
      <c r="T110" s="253" t="str">
        <f>IFERROR(__xludf.DUMMYFUNCTION("""COMPUTED_VALUE"""),"1.07")</f>
        <v>1.07</v>
      </c>
      <c r="U110" s="250" t="str">
        <f>IFERROR(__xludf.DUMMYFUNCTION("""COMPUTED_VALUE"""),"stop無:1回目 0.66")</f>
        <v>stop無:1回目 0.66</v>
      </c>
      <c r="V110" s="250">
        <f>IFERROR(__xludf.DUMMYFUNCTION("""COMPUTED_VALUE"""),35.0)</f>
        <v>35</v>
      </c>
      <c r="W110" s="250" t="str">
        <f>IFERROR(__xludf.DUMMYFUNCTION("""COMPUTED_VALUE"""),"3.74")</f>
        <v>3.74</v>
      </c>
      <c r="X110" s="250"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Y110" s="250" t="str">
        <f>IFERROR(__xludf.DUMMYFUNCTION("""COMPUTED_VALUE"""),"小ノックバック攻撃+100%の確率で与えたダメージの100%HP回復")</f>
        <v>小ノックバック攻撃+100%の確率で与えたダメージの100%HP回復</v>
      </c>
      <c r="Z110" s="250">
        <f>IFERROR(__xludf.DUMMYFUNCTION("""COMPUTED_VALUE"""),7.0)</f>
        <v>7</v>
      </c>
      <c r="AA110" s="235"/>
      <c r="AB110" s="235" t="str">
        <f>IFERROR(__xludf.DUMMYFUNCTION("""COMPUTED_VALUE"""),"zangeki_1")</f>
        <v>zangeki_1</v>
      </c>
      <c r="AC110" s="235"/>
    </row>
    <row r="111">
      <c r="A111" s="235"/>
      <c r="B111" s="250" t="str">
        <f>IFERROR(__xludf.DUMMYFUNCTION("""COMPUTED_VALUE"""),"chara_rik_00101")</f>
        <v>chara_rik_00101</v>
      </c>
      <c r="C111" s="252" t="str">
        <f>IFERROR(__xludf.DUMMYFUNCTION("""COMPUTED_VALUE"""),"_general_as")</f>
        <v>_general_as</v>
      </c>
      <c r="D111" s="252" t="str">
        <f>IFERROR(__xludf.DUMMYFUNCTION("""COMPUTED_VALUE"""),"c_rik_00101_general_as_Boss_Yellow")</f>
        <v>c_rik_00101_general_as_Boss_Yellow</v>
      </c>
      <c r="E111" s="252" t="str">
        <f>IFERROR(__xludf.DUMMYFUNCTION("""COMPUTED_VALUE"""),"トマトイプーのリコピン")</f>
        <v>トマトイプーのリコピン</v>
      </c>
      <c r="F111" s="252" t="str">
        <f>IFERROR(__xludf.DUMMYFUNCTION("""COMPUTED_VALUE"""),"甘戸 めめ")</f>
        <v>甘戸 めめ</v>
      </c>
      <c r="G111" s="252" t="str">
        <f>IFERROR(__xludf.DUMMYFUNCTION("""COMPUTED_VALUE"""),"甘戸 めめ_general_as")</f>
        <v>甘戸 めめ_general_as</v>
      </c>
      <c r="H111" s="250" t="str">
        <f>IFERROR(__xludf.DUMMYFUNCTION("""COMPUTED_VALUE"""),"Boss")</f>
        <v>Boss</v>
      </c>
      <c r="I111" s="250" t="str">
        <f>IFERROR(__xludf.DUMMYFUNCTION("""COMPUTED_VALUE"""),"Support")</f>
        <v>Support</v>
      </c>
      <c r="J111" s="250" t="str">
        <f>IFERROR(__xludf.DUMMYFUNCTION("""COMPUTED_VALUE"""),"Yellow")</f>
        <v>Yellow</v>
      </c>
      <c r="K111" s="250">
        <f>IFERROR(__xludf.DUMMYFUNCTION("""COMPUTED_VALUE"""),250000.0)</f>
        <v>250000</v>
      </c>
      <c r="L111" s="250">
        <f>IFERROR(__xludf.DUMMYFUNCTION("""COMPUTED_VALUE"""),2.0)</f>
        <v>2</v>
      </c>
      <c r="M111" s="250">
        <f>IFERROR(__xludf.DUMMYFUNCTION("""COMPUTED_VALUE"""),35.0)</f>
        <v>35</v>
      </c>
      <c r="N111" s="250">
        <f>IFERROR(__xludf.DUMMYFUNCTION("""COMPUTED_VALUE"""),0.5)</f>
        <v>0.5</v>
      </c>
      <c r="O111" s="250">
        <f>IFERROR(__xludf.DUMMYFUNCTION("""COMPUTED_VALUE"""),500.0)</f>
        <v>500</v>
      </c>
      <c r="P111" s="250">
        <f>IFERROR(__xludf.DUMMYFUNCTION("""COMPUTED_VALUE"""),0.0)</f>
        <v>0</v>
      </c>
      <c r="Q111" s="250">
        <f>IFERROR(__xludf.DUMMYFUNCTION("""COMPUTED_VALUE"""),0.6)</f>
        <v>0.6</v>
      </c>
      <c r="R111" s="250">
        <f>IFERROR(__xludf.DUMMYFUNCTION("""COMPUTED_VALUE"""),100.0)</f>
        <v>100</v>
      </c>
      <c r="S111" s="250">
        <f>IFERROR(__xludf.DUMMYFUNCTION("""COMPUTED_VALUE"""),10.0)</f>
        <v>10</v>
      </c>
      <c r="T111" s="253" t="str">
        <f>IFERROR(__xludf.DUMMYFUNCTION("""COMPUTED_VALUE"""),"1.57")</f>
        <v>1.57</v>
      </c>
      <c r="U111" s="250" t="str">
        <f>IFERROR(__xludf.DUMMYFUNCTION("""COMPUTED_VALUE"""),"0.87")</f>
        <v>0.87</v>
      </c>
      <c r="V111" s="250">
        <f>IFERROR(__xludf.DUMMYFUNCTION("""COMPUTED_VALUE"""),75.0)</f>
        <v>75</v>
      </c>
      <c r="W111" s="250" t="str">
        <f>IFERROR(__xludf.DUMMYFUNCTION("""COMPUTED_VALUE"""),"2.67")</f>
        <v>2.67</v>
      </c>
      <c r="X111" s="250" t="str">
        <f>IFERROR(__xludf.DUMMYFUNCTION("""COMPUTED_VALUE"""),"stop無:1.00")</f>
        <v>stop無:1.00</v>
      </c>
      <c r="Y111" s="250" t="str">
        <f>IFERROR(__xludf.DUMMYFUNCTION("""COMPUTED_VALUE"""),"200秒間、敵全体の攻撃5%UP+敵全体のHP5%回復")</f>
        <v>200秒間、敵全体の攻撃5%UP+敵全体のHP5%回復</v>
      </c>
      <c r="Z111" s="250">
        <f>IFERROR(__xludf.DUMMYFUNCTION("""COMPUTED_VALUE"""),5.0)</f>
        <v>5</v>
      </c>
      <c r="AA111" s="235"/>
      <c r="AB111" s="235" t="str">
        <f>IFERROR(__xludf.DUMMYFUNCTION("""COMPUTED_VALUE"""),"dageki_2")</f>
        <v>dageki_2</v>
      </c>
      <c r="AC111" s="235"/>
    </row>
    <row r="112">
      <c r="A112" s="235"/>
      <c r="B112" s="250"/>
      <c r="C112" s="252"/>
      <c r="D112" s="252" t="str">
        <f>IFERROR(__xludf.DUMMYFUNCTION("""COMPUTED_VALUE"""),"___")</f>
        <v>___</v>
      </c>
      <c r="E112" s="252" t="str">
        <f>IFERROR(__xludf.DUMMYFUNCTION("""COMPUTED_VALUE"""),"none")</f>
        <v>none</v>
      </c>
      <c r="F112" s="252" t="str">
        <f>IFERROR(__xludf.DUMMYFUNCTION("""COMPUTED_VALUE"""),"none")</f>
        <v>none</v>
      </c>
      <c r="G112" s="252" t="str">
        <f>IFERROR(__xludf.DUMMYFUNCTION("""COMPUTED_VALUE"""),"none")</f>
        <v>none</v>
      </c>
      <c r="H112" s="250"/>
      <c r="I112" s="250" t="str">
        <f>IFERROR(__xludf.DUMMYFUNCTION("""COMPUTED_VALUE"""),"none")</f>
        <v>none</v>
      </c>
      <c r="J112" s="250"/>
      <c r="K112" s="250"/>
      <c r="L112" s="250"/>
      <c r="M112" s="250"/>
      <c r="N112" s="250"/>
      <c r="O112" s="250"/>
      <c r="P112" s="250"/>
      <c r="Q112" s="250"/>
      <c r="R112" s="250"/>
      <c r="S112" s="250"/>
      <c r="T112" s="253" t="str">
        <f>IFERROR(__xludf.DUMMYFUNCTION("""COMPUTED_VALUE"""),"none")</f>
        <v>none</v>
      </c>
      <c r="U112" s="250" t="str">
        <f>IFERROR(__xludf.DUMMYFUNCTION("""COMPUTED_VALUE"""),"none")</f>
        <v>none</v>
      </c>
      <c r="V112" s="250"/>
      <c r="W112" s="250" t="str">
        <f>IFERROR(__xludf.DUMMYFUNCTION("""COMPUTED_VALUE"""),"none")</f>
        <v>none</v>
      </c>
      <c r="X112" s="250" t="str">
        <f>IFERROR(__xludf.DUMMYFUNCTION("""COMPUTED_VALUE"""),"none")</f>
        <v>none</v>
      </c>
      <c r="Y112" s="250"/>
      <c r="Z112" s="250"/>
      <c r="AA112" s="235"/>
      <c r="AB112" s="235" t="str">
        <f>IFERROR(__xludf.DUMMYFUNCTION("""COMPUTED_VALUE"""),"none")</f>
        <v>none</v>
      </c>
      <c r="AC112" s="235"/>
    </row>
    <row r="113">
      <c r="A113" s="235"/>
      <c r="B113" s="250" t="str">
        <f>IFERROR(__xludf.DUMMYFUNCTION("""COMPUTED_VALUE"""),"enemy_glo_00001")</f>
        <v>enemy_glo_00001</v>
      </c>
      <c r="C113" s="252" t="str">
        <f>IFERROR(__xludf.DUMMYFUNCTION("""COMPUTED_VALUE"""),"_general_as")</f>
        <v>_general_as</v>
      </c>
      <c r="D113" s="252" t="str">
        <f>IFERROR(__xludf.DUMMYFUNCTION("""COMPUTED_VALUE"""),"e_glo_00001_general_as_Normal_Red")</f>
        <v>e_glo_00001_general_as_Normal_Red</v>
      </c>
      <c r="E113" s="252" t="str">
        <f>IFERROR(__xludf.DUMMYFUNCTION("""COMPUTED_VALUE"""),"GLOW")</f>
        <v>GLOW</v>
      </c>
      <c r="F113" s="252" t="str">
        <f>IFERROR(__xludf.DUMMYFUNCTION("""COMPUTED_VALUE"""),"ファントム")</f>
        <v>ファントム</v>
      </c>
      <c r="G113" s="252" t="str">
        <f>IFERROR(__xludf.DUMMYFUNCTION("""COMPUTED_VALUE"""),"ファントム_general_as")</f>
        <v>ファントム_general_as</v>
      </c>
      <c r="H113" s="250" t="str">
        <f>IFERROR(__xludf.DUMMYFUNCTION("""COMPUTED_VALUE"""),"Normal")</f>
        <v>Normal</v>
      </c>
      <c r="I113" s="250" t="str">
        <f>IFERROR(__xludf.DUMMYFUNCTION("""COMPUTED_VALUE"""),"Attack")</f>
        <v>Attack</v>
      </c>
      <c r="J113" s="250" t="str">
        <f>IFERROR(__xludf.DUMMYFUNCTION("""COMPUTED_VALUE"""),"Red")</f>
        <v>Red</v>
      </c>
      <c r="K113" s="250">
        <f>IFERROR(__xludf.DUMMYFUNCTION("""COMPUTED_VALUE"""),30000.0)</f>
        <v>30000</v>
      </c>
      <c r="L113" s="250">
        <f>IFERROR(__xludf.DUMMYFUNCTION("""COMPUTED_VALUE"""),2.0)</f>
        <v>2</v>
      </c>
      <c r="M113" s="250">
        <f>IFERROR(__xludf.DUMMYFUNCTION("""COMPUTED_VALUE"""),40.0)</f>
        <v>40</v>
      </c>
      <c r="N113" s="250">
        <f>IFERROR(__xludf.DUMMYFUNCTION("""COMPUTED_VALUE"""),0.28)</f>
        <v>0.28</v>
      </c>
      <c r="O113" s="250">
        <f>IFERROR(__xludf.DUMMYFUNCTION("""COMPUTED_VALUE"""),500.0)</f>
        <v>500</v>
      </c>
      <c r="P113" s="250">
        <f>IFERROR(__xludf.DUMMYFUNCTION("""COMPUTED_VALUE"""),0.0)</f>
        <v>0</v>
      </c>
      <c r="Q113" s="250">
        <f>IFERROR(__xludf.DUMMYFUNCTION("""COMPUTED_VALUE"""),0.3)</f>
        <v>0.3</v>
      </c>
      <c r="R113" s="250">
        <f>IFERROR(__xludf.DUMMYFUNCTION("""COMPUTED_VALUE"""),1.0)</f>
        <v>1</v>
      </c>
      <c r="S113" s="250">
        <f>IFERROR(__xludf.DUMMYFUNCTION("""COMPUTED_VALUE"""),10.0)</f>
        <v>10</v>
      </c>
      <c r="T113" s="253" t="str">
        <f>IFERROR(__xludf.DUMMYFUNCTION("""COMPUTED_VALUE"""),"1.00")</f>
        <v>1.00</v>
      </c>
      <c r="U113" s="250" t="str">
        <f>IFERROR(__xludf.DUMMYFUNCTION("""COMPUTED_VALUE"""),"0.50")</f>
        <v>0.50</v>
      </c>
      <c r="V113" s="250">
        <f>IFERROR(__xludf.DUMMYFUNCTION("""COMPUTED_VALUE"""),75.0)</f>
        <v>75</v>
      </c>
      <c r="W113" s="250"/>
      <c r="X113" s="250"/>
      <c r="Y113" s="250"/>
      <c r="Z113" s="250" t="str">
        <f>IFERROR(__xludf.DUMMYFUNCTION("""COMPUTED_VALUE"""),"-")</f>
        <v>-</v>
      </c>
      <c r="AA113" s="235"/>
      <c r="AB113" s="235" t="str">
        <f>IFERROR(__xludf.DUMMYFUNCTION("""COMPUTED_VALUE"""),"dageki_1")</f>
        <v>dageki_1</v>
      </c>
      <c r="AC113" s="235"/>
    </row>
    <row r="114">
      <c r="A114" s="235"/>
      <c r="B114" s="250" t="str">
        <f>IFERROR(__xludf.DUMMYFUNCTION("""COMPUTED_VALUE"""),"enemy_glo_00001")</f>
        <v>enemy_glo_00001</v>
      </c>
      <c r="C114" s="252" t="str">
        <f>IFERROR(__xludf.DUMMYFUNCTION("""COMPUTED_VALUE"""),"_general_as_h")</f>
        <v>_general_as_h</v>
      </c>
      <c r="D114" s="252" t="str">
        <f>IFERROR(__xludf.DUMMYFUNCTION("""COMPUTED_VALUE"""),"e_glo_00001_general_as_h_Normal_Red")</f>
        <v>e_glo_00001_general_as_h_Normal_Red</v>
      </c>
      <c r="E114" s="252" t="str">
        <f>IFERROR(__xludf.DUMMYFUNCTION("""COMPUTED_VALUE"""),"GLOW")</f>
        <v>GLOW</v>
      </c>
      <c r="F114" s="252" t="str">
        <f>IFERROR(__xludf.DUMMYFUNCTION("""COMPUTED_VALUE"""),"ファントム")</f>
        <v>ファントム</v>
      </c>
      <c r="G114" s="252" t="str">
        <f>IFERROR(__xludf.DUMMYFUNCTION("""COMPUTED_VALUE"""),"ファントム_general_as_h")</f>
        <v>ファントム_general_as_h</v>
      </c>
      <c r="H114" s="250" t="str">
        <f>IFERROR(__xludf.DUMMYFUNCTION("""COMPUTED_VALUE"""),"Normal")</f>
        <v>Normal</v>
      </c>
      <c r="I114" s="250" t="str">
        <f>IFERROR(__xludf.DUMMYFUNCTION("""COMPUTED_VALUE"""),"Attack")</f>
        <v>Attack</v>
      </c>
      <c r="J114" s="250" t="str">
        <f>IFERROR(__xludf.DUMMYFUNCTION("""COMPUTED_VALUE"""),"Red")</f>
        <v>Red</v>
      </c>
      <c r="K114" s="250">
        <f>IFERROR(__xludf.DUMMYFUNCTION("""COMPUTED_VALUE"""),65000.0)</f>
        <v>65000</v>
      </c>
      <c r="L114" s="250">
        <f>IFERROR(__xludf.DUMMYFUNCTION("""COMPUTED_VALUE"""),2.0)</f>
        <v>2</v>
      </c>
      <c r="M114" s="250">
        <f>IFERROR(__xludf.DUMMYFUNCTION("""COMPUTED_VALUE"""),40.0)</f>
        <v>40</v>
      </c>
      <c r="N114" s="250">
        <f>IFERROR(__xludf.DUMMYFUNCTION("""COMPUTED_VALUE"""),0.28)</f>
        <v>0.28</v>
      </c>
      <c r="O114" s="250">
        <f>IFERROR(__xludf.DUMMYFUNCTION("""COMPUTED_VALUE"""),1000.0)</f>
        <v>1000</v>
      </c>
      <c r="P114" s="250">
        <f>IFERROR(__xludf.DUMMYFUNCTION("""COMPUTED_VALUE"""),0.0)</f>
        <v>0</v>
      </c>
      <c r="Q114" s="250">
        <f>IFERROR(__xludf.DUMMYFUNCTION("""COMPUTED_VALUE"""),0.3)</f>
        <v>0.3</v>
      </c>
      <c r="R114" s="250">
        <f>IFERROR(__xludf.DUMMYFUNCTION("""COMPUTED_VALUE"""),1.0)</f>
        <v>1</v>
      </c>
      <c r="S114" s="250">
        <f>IFERROR(__xludf.DUMMYFUNCTION("""COMPUTED_VALUE"""),10.0)</f>
        <v>10</v>
      </c>
      <c r="T114" s="253" t="str">
        <f>IFERROR(__xludf.DUMMYFUNCTION("""COMPUTED_VALUE"""),"1.00")</f>
        <v>1.00</v>
      </c>
      <c r="U114" s="250" t="str">
        <f>IFERROR(__xludf.DUMMYFUNCTION("""COMPUTED_VALUE"""),"0.50")</f>
        <v>0.50</v>
      </c>
      <c r="V114" s="250">
        <f>IFERROR(__xludf.DUMMYFUNCTION("""COMPUTED_VALUE"""),75.0)</f>
        <v>75</v>
      </c>
      <c r="W114" s="250"/>
      <c r="X114" s="250"/>
      <c r="Y114" s="250"/>
      <c r="Z114" s="250" t="str">
        <f>IFERROR(__xludf.DUMMYFUNCTION("""COMPUTED_VALUE"""),"-")</f>
        <v>-</v>
      </c>
      <c r="AA114" s="235"/>
      <c r="AB114" s="235" t="str">
        <f>IFERROR(__xludf.DUMMYFUNCTION("""COMPUTED_VALUE"""),"dageki_1")</f>
        <v>dageki_1</v>
      </c>
      <c r="AC114" s="235"/>
    </row>
    <row r="115">
      <c r="A115" s="235"/>
      <c r="B115" s="250" t="str">
        <f>IFERROR(__xludf.DUMMYFUNCTION("""COMPUTED_VALUE"""),"enemy_glo_00101")</f>
        <v>enemy_glo_00101</v>
      </c>
      <c r="C115" s="252" t="str">
        <f>IFERROR(__xludf.DUMMYFUNCTION("""COMPUTED_VALUE"""),"_general_as")</f>
        <v>_general_as</v>
      </c>
      <c r="D115" s="252" t="str">
        <f>IFERROR(__xludf.DUMMYFUNCTION("""COMPUTED_VALUE"""),"e_glo_00101_general_as_Boss_Red")</f>
        <v>e_glo_00101_general_as_Boss_Red</v>
      </c>
      <c r="E115" s="252" t="str">
        <f>IFERROR(__xludf.DUMMYFUNCTION("""COMPUTED_VALUE"""),"GLOW")</f>
        <v>GLOW</v>
      </c>
      <c r="F115" s="252" t="str">
        <f>IFERROR(__xludf.DUMMYFUNCTION("""COMPUTED_VALUE"""),"ボスファントム")</f>
        <v>ボスファントム</v>
      </c>
      <c r="G115" s="252" t="str">
        <f>IFERROR(__xludf.DUMMYFUNCTION("""COMPUTED_VALUE"""),"中ボスエネミー_general_as")</f>
        <v>中ボスエネミー_general_as</v>
      </c>
      <c r="H115" s="250" t="str">
        <f>IFERROR(__xludf.DUMMYFUNCTION("""COMPUTED_VALUE"""),"Boss")</f>
        <v>Boss</v>
      </c>
      <c r="I115" s="250" t="str">
        <f>IFERROR(__xludf.DUMMYFUNCTION("""COMPUTED_VALUE"""),"Attack")</f>
        <v>Attack</v>
      </c>
      <c r="J115" s="250" t="str">
        <f>IFERROR(__xludf.DUMMYFUNCTION("""COMPUTED_VALUE"""),"Red")</f>
        <v>Red</v>
      </c>
      <c r="K115" s="250">
        <f>IFERROR(__xludf.DUMMYFUNCTION("""COMPUTED_VALUE"""),500000.0)</f>
        <v>500000</v>
      </c>
      <c r="L115" s="250">
        <f>IFERROR(__xludf.DUMMYFUNCTION("""COMPUTED_VALUE"""),2.0)</f>
        <v>2</v>
      </c>
      <c r="M115" s="250">
        <f>IFERROR(__xludf.DUMMYFUNCTION("""COMPUTED_VALUE"""),55.0)</f>
        <v>55</v>
      </c>
      <c r="N115" s="250">
        <f>IFERROR(__xludf.DUMMYFUNCTION("""COMPUTED_VALUE"""),0.2)</f>
        <v>0.2</v>
      </c>
      <c r="O115" s="250">
        <f>IFERROR(__xludf.DUMMYFUNCTION("""COMPUTED_VALUE"""),800.0)</f>
        <v>800</v>
      </c>
      <c r="P115" s="250">
        <f>IFERROR(__xludf.DUMMYFUNCTION("""COMPUTED_VALUE"""),0.0)</f>
        <v>0</v>
      </c>
      <c r="Q115" s="250">
        <f>IFERROR(__xludf.DUMMYFUNCTION("""COMPUTED_VALUE"""),0.3)</f>
        <v>0.3</v>
      </c>
      <c r="R115" s="250">
        <f>IFERROR(__xludf.DUMMYFUNCTION("""COMPUTED_VALUE"""),100.0)</f>
        <v>100</v>
      </c>
      <c r="S115" s="250">
        <f>IFERROR(__xludf.DUMMYFUNCTION("""COMPUTED_VALUE"""),10.0)</f>
        <v>10</v>
      </c>
      <c r="T115" s="253" t="str">
        <f>IFERROR(__xludf.DUMMYFUNCTION("""COMPUTED_VALUE"""),"1.17")</f>
        <v>1.17</v>
      </c>
      <c r="U115" s="250" t="str">
        <f>IFERROR(__xludf.DUMMYFUNCTION("""COMPUTED_VALUE"""),"stop有:1回目 0.56")</f>
        <v>stop有:1回目 0.56</v>
      </c>
      <c r="V115" s="250">
        <f>IFERROR(__xludf.DUMMYFUNCTION("""COMPUTED_VALUE"""),150.0)</f>
        <v>150</v>
      </c>
      <c r="W115" s="250" t="str">
        <f>IFERROR(__xludf.DUMMYFUNCTION("""COMPUTED_VALUE"""),"-")</f>
        <v>-</v>
      </c>
      <c r="X115" s="250" t="str">
        <f>IFERROR(__xludf.DUMMYFUNCTION("""COMPUTED_VALUE"""),"-")</f>
        <v>-</v>
      </c>
      <c r="Y115" s="250"/>
      <c r="Z115" s="250" t="str">
        <f>IFERROR(__xludf.DUMMYFUNCTION("""COMPUTED_VALUE"""),"-")</f>
        <v>-</v>
      </c>
      <c r="AA115" s="235"/>
      <c r="AB115" s="235" t="str">
        <f>IFERROR(__xludf.DUMMYFUNCTION("""COMPUTED_VALUE"""),"-")</f>
        <v>-</v>
      </c>
      <c r="AC115" s="235"/>
    </row>
    <row r="116">
      <c r="A116" s="235"/>
      <c r="B116" s="250" t="str">
        <f>IFERROR(__xludf.DUMMYFUNCTION("""COMPUTED_VALUE"""),"enemy_glo_00101")</f>
        <v>enemy_glo_00101</v>
      </c>
      <c r="C116" s="252" t="str">
        <f>IFERROR(__xludf.DUMMYFUNCTION("""COMPUTED_VALUE"""),"_general_as_h")</f>
        <v>_general_as_h</v>
      </c>
      <c r="D116" s="252" t="str">
        <f>IFERROR(__xludf.DUMMYFUNCTION("""COMPUTED_VALUE"""),"e_glo_00101_general_as_h_Boss_Red")</f>
        <v>e_glo_00101_general_as_h_Boss_Red</v>
      </c>
      <c r="E116" s="252" t="str">
        <f>IFERROR(__xludf.DUMMYFUNCTION("""COMPUTED_VALUE"""),"GLOW")</f>
        <v>GLOW</v>
      </c>
      <c r="F116" s="252" t="str">
        <f>IFERROR(__xludf.DUMMYFUNCTION("""COMPUTED_VALUE"""),"ボスファントム")</f>
        <v>ボスファントム</v>
      </c>
      <c r="G116" s="252" t="str">
        <f>IFERROR(__xludf.DUMMYFUNCTION("""COMPUTED_VALUE"""),"中ボスエネミー_general_as_h")</f>
        <v>中ボスエネミー_general_as_h</v>
      </c>
      <c r="H116" s="250" t="str">
        <f>IFERROR(__xludf.DUMMYFUNCTION("""COMPUTED_VALUE"""),"Boss")</f>
        <v>Boss</v>
      </c>
      <c r="I116" s="250" t="str">
        <f>IFERROR(__xludf.DUMMYFUNCTION("""COMPUTED_VALUE"""),"Attack")</f>
        <v>Attack</v>
      </c>
      <c r="J116" s="250" t="str">
        <f>IFERROR(__xludf.DUMMYFUNCTION("""COMPUTED_VALUE"""),"Red")</f>
        <v>Red</v>
      </c>
      <c r="K116" s="250">
        <f>IFERROR(__xludf.DUMMYFUNCTION("""COMPUTED_VALUE"""),1000000.0)</f>
        <v>1000000</v>
      </c>
      <c r="L116" s="250">
        <f>IFERROR(__xludf.DUMMYFUNCTION("""COMPUTED_VALUE"""),2.0)</f>
        <v>2</v>
      </c>
      <c r="M116" s="250">
        <f>IFERROR(__xludf.DUMMYFUNCTION("""COMPUTED_VALUE"""),55.0)</f>
        <v>55</v>
      </c>
      <c r="N116" s="250">
        <f>IFERROR(__xludf.DUMMYFUNCTION("""COMPUTED_VALUE"""),0.2)</f>
        <v>0.2</v>
      </c>
      <c r="O116" s="250">
        <f>IFERROR(__xludf.DUMMYFUNCTION("""COMPUTED_VALUE"""),1500.0)</f>
        <v>1500</v>
      </c>
      <c r="P116" s="250">
        <f>IFERROR(__xludf.DUMMYFUNCTION("""COMPUTED_VALUE"""),0.0)</f>
        <v>0</v>
      </c>
      <c r="Q116" s="250">
        <f>IFERROR(__xludf.DUMMYFUNCTION("""COMPUTED_VALUE"""),0.3)</f>
        <v>0.3</v>
      </c>
      <c r="R116" s="250">
        <f>IFERROR(__xludf.DUMMYFUNCTION("""COMPUTED_VALUE"""),100.0)</f>
        <v>100</v>
      </c>
      <c r="S116" s="250">
        <f>IFERROR(__xludf.DUMMYFUNCTION("""COMPUTED_VALUE"""),10.0)</f>
        <v>10</v>
      </c>
      <c r="T116" s="253" t="str">
        <f>IFERROR(__xludf.DUMMYFUNCTION("""COMPUTED_VALUE"""),"1.17")</f>
        <v>1.17</v>
      </c>
      <c r="U116" s="250" t="str">
        <f>IFERROR(__xludf.DUMMYFUNCTION("""COMPUTED_VALUE"""),"stop有:1回目 0.56")</f>
        <v>stop有:1回目 0.56</v>
      </c>
      <c r="V116" s="250">
        <f>IFERROR(__xludf.DUMMYFUNCTION("""COMPUTED_VALUE"""),150.0)</f>
        <v>150</v>
      </c>
      <c r="W116" s="250" t="str">
        <f>IFERROR(__xludf.DUMMYFUNCTION("""COMPUTED_VALUE"""),"-")</f>
        <v>-</v>
      </c>
      <c r="X116" s="250" t="str">
        <f>IFERROR(__xludf.DUMMYFUNCTION("""COMPUTED_VALUE"""),"-")</f>
        <v>-</v>
      </c>
      <c r="Y116" s="250"/>
      <c r="Z116" s="250" t="str">
        <f>IFERROR(__xludf.DUMMYFUNCTION("""COMPUTED_VALUE"""),"-")</f>
        <v>-</v>
      </c>
      <c r="AA116" s="235"/>
      <c r="AB116" s="235" t="str">
        <f>IFERROR(__xludf.DUMMYFUNCTION("""COMPUTED_VALUE"""),"-")</f>
        <v>-</v>
      </c>
      <c r="AC116" s="235"/>
    </row>
    <row r="117">
      <c r="A117" s="235"/>
      <c r="B117" s="250"/>
      <c r="C117" s="252"/>
      <c r="D117" s="252" t="str">
        <f>IFERROR(__xludf.DUMMYFUNCTION("""COMPUTED_VALUE"""),"___")</f>
        <v>___</v>
      </c>
      <c r="E117" s="252" t="str">
        <f>IFERROR(__xludf.DUMMYFUNCTION("""COMPUTED_VALUE"""),"none")</f>
        <v>none</v>
      </c>
      <c r="F117" s="252" t="str">
        <f>IFERROR(__xludf.DUMMYFUNCTION("""COMPUTED_VALUE"""),"none")</f>
        <v>none</v>
      </c>
      <c r="G117" s="252" t="str">
        <f>IFERROR(__xludf.DUMMYFUNCTION("""COMPUTED_VALUE"""),"none")</f>
        <v>none</v>
      </c>
      <c r="H117" s="250"/>
      <c r="I117" s="250" t="str">
        <f>IFERROR(__xludf.DUMMYFUNCTION("""COMPUTED_VALUE"""),"none")</f>
        <v>none</v>
      </c>
      <c r="J117" s="250"/>
      <c r="K117" s="250"/>
      <c r="L117" s="250"/>
      <c r="M117" s="250"/>
      <c r="N117" s="250"/>
      <c r="O117" s="250"/>
      <c r="P117" s="250"/>
      <c r="Q117" s="250"/>
      <c r="R117" s="250"/>
      <c r="S117" s="250"/>
      <c r="T117" s="253" t="str">
        <f>IFERROR(__xludf.DUMMYFUNCTION("""COMPUTED_VALUE"""),"none")</f>
        <v>none</v>
      </c>
      <c r="U117" s="250" t="str">
        <f>IFERROR(__xludf.DUMMYFUNCTION("""COMPUTED_VALUE"""),"none")</f>
        <v>none</v>
      </c>
      <c r="V117" s="250"/>
      <c r="W117" s="250" t="str">
        <f>IFERROR(__xludf.DUMMYFUNCTION("""COMPUTED_VALUE"""),"none")</f>
        <v>none</v>
      </c>
      <c r="X117" s="250" t="str">
        <f>IFERROR(__xludf.DUMMYFUNCTION("""COMPUTED_VALUE"""),"none")</f>
        <v>none</v>
      </c>
      <c r="Y117" s="250"/>
      <c r="Z117" s="250"/>
      <c r="AA117" s="235"/>
      <c r="AB117" s="235" t="str">
        <f>IFERROR(__xludf.DUMMYFUNCTION("""COMPUTED_VALUE"""),"none")</f>
        <v>none</v>
      </c>
      <c r="AC117" s="235"/>
    </row>
    <row r="118">
      <c r="A118" s="235"/>
      <c r="B118" s="250" t="str">
        <f>IFERROR(__xludf.DUMMYFUNCTION("""COMPUTED_VALUE"""),"enemy_glo_00001")</f>
        <v>enemy_glo_00001</v>
      </c>
      <c r="C118" s="252" t="str">
        <f>IFERROR(__xludf.DUMMYFUNCTION("""COMPUTED_VALUE"""),"_general_ori3_vh")</f>
        <v>_general_ori3_vh</v>
      </c>
      <c r="D118" s="252" t="str">
        <f>IFERROR(__xludf.DUMMYFUNCTION("""COMPUTED_VALUE"""),"e_glo_00001_general_ori3_vh_Normal_Colorless")</f>
        <v>e_glo_00001_general_ori3_vh_Normal_Colorless</v>
      </c>
      <c r="E118" s="252" t="str">
        <f>IFERROR(__xludf.DUMMYFUNCTION("""COMPUTED_VALUE"""),"GLOW")</f>
        <v>GLOW</v>
      </c>
      <c r="F118" s="252" t="str">
        <f>IFERROR(__xludf.DUMMYFUNCTION("""COMPUTED_VALUE"""),"ファントム")</f>
        <v>ファントム</v>
      </c>
      <c r="G118" s="252" t="str">
        <f>IFERROR(__xludf.DUMMYFUNCTION("""COMPUTED_VALUE"""),"ファントム_general_ori3_vh")</f>
        <v>ファントム_general_ori3_vh</v>
      </c>
      <c r="H118" s="250" t="str">
        <f>IFERROR(__xludf.DUMMYFUNCTION("""COMPUTED_VALUE"""),"Normal")</f>
        <v>Normal</v>
      </c>
      <c r="I118" s="250" t="str">
        <f>IFERROR(__xludf.DUMMYFUNCTION("""COMPUTED_VALUE"""),"Attack")</f>
        <v>Attack</v>
      </c>
      <c r="J118" s="250" t="str">
        <f>IFERROR(__xludf.DUMMYFUNCTION("""COMPUTED_VALUE"""),"Colorless")</f>
        <v>Colorless</v>
      </c>
      <c r="K118" s="250">
        <f>IFERROR(__xludf.DUMMYFUNCTION("""COMPUTED_VALUE"""),50000.0)</f>
        <v>50000</v>
      </c>
      <c r="L118" s="250">
        <f>IFERROR(__xludf.DUMMYFUNCTION("""COMPUTED_VALUE"""),2.0)</f>
        <v>2</v>
      </c>
      <c r="M118" s="250">
        <f>IFERROR(__xludf.DUMMYFUNCTION("""COMPUTED_VALUE"""),65.0)</f>
        <v>65</v>
      </c>
      <c r="N118" s="250">
        <f>IFERROR(__xludf.DUMMYFUNCTION("""COMPUTED_VALUE"""),0.11)</f>
        <v>0.11</v>
      </c>
      <c r="O118" s="250">
        <f>IFERROR(__xludf.DUMMYFUNCTION("""COMPUTED_VALUE"""),900.0)</f>
        <v>900</v>
      </c>
      <c r="P118" s="250">
        <f>IFERROR(__xludf.DUMMYFUNCTION("""COMPUTED_VALUE"""),0.0)</f>
        <v>0</v>
      </c>
      <c r="Q118" s="250">
        <f>IFERROR(__xludf.DUMMYFUNCTION("""COMPUTED_VALUE"""),0.3)</f>
        <v>0.3</v>
      </c>
      <c r="R118" s="250">
        <f>IFERROR(__xludf.DUMMYFUNCTION("""COMPUTED_VALUE"""),1.0)</f>
        <v>1</v>
      </c>
      <c r="S118" s="250">
        <f>IFERROR(__xludf.DUMMYFUNCTION("""COMPUTED_VALUE"""),1.0)</f>
        <v>1</v>
      </c>
      <c r="T118" s="253" t="str">
        <f>IFERROR(__xludf.DUMMYFUNCTION("""COMPUTED_VALUE"""),"1.00")</f>
        <v>1.00</v>
      </c>
      <c r="U118" s="250" t="str">
        <f>IFERROR(__xludf.DUMMYFUNCTION("""COMPUTED_VALUE"""),"0.50")</f>
        <v>0.50</v>
      </c>
      <c r="V118" s="250">
        <f>IFERROR(__xludf.DUMMYFUNCTION("""COMPUTED_VALUE"""),75.0)</f>
        <v>75</v>
      </c>
      <c r="W118" s="250"/>
      <c r="X118" s="250"/>
      <c r="Y118" s="250"/>
      <c r="Z118" s="250"/>
      <c r="AA118" s="235"/>
      <c r="AB118" s="235" t="str">
        <f>IFERROR(__xludf.DUMMYFUNCTION("""COMPUTED_VALUE"""),"dageki_1")</f>
        <v>dageki_1</v>
      </c>
      <c r="AC118" s="235"/>
    </row>
    <row r="119">
      <c r="A119" s="235"/>
      <c r="B119" s="250" t="str">
        <f>IFERROR(__xludf.DUMMYFUNCTION("""COMPUTED_VALUE"""),"enemy_glo_00001")</f>
        <v>enemy_glo_00001</v>
      </c>
      <c r="C119" s="252" t="str">
        <f>IFERROR(__xludf.DUMMYFUNCTION("""COMPUTED_VALUE"""),"_general_ori3_vh_big")</f>
        <v>_general_ori3_vh_big</v>
      </c>
      <c r="D119" s="252" t="str">
        <f>IFERROR(__xludf.DUMMYFUNCTION("""COMPUTED_VALUE"""),"e_glo_00001_general_ori3_vh_big_Normal_Colorless")</f>
        <v>e_glo_00001_general_ori3_vh_big_Normal_Colorless</v>
      </c>
      <c r="E119" s="252" t="str">
        <f>IFERROR(__xludf.DUMMYFUNCTION("""COMPUTED_VALUE"""),"GLOW")</f>
        <v>GLOW</v>
      </c>
      <c r="F119" s="252" t="str">
        <f>IFERROR(__xludf.DUMMYFUNCTION("""COMPUTED_VALUE"""),"ファントム")</f>
        <v>ファントム</v>
      </c>
      <c r="G119" s="252" t="str">
        <f>IFERROR(__xludf.DUMMYFUNCTION("""COMPUTED_VALUE"""),"ファントム_general_ori3_vh_big")</f>
        <v>ファントム_general_ori3_vh_big</v>
      </c>
      <c r="H119" s="250" t="str">
        <f>IFERROR(__xludf.DUMMYFUNCTION("""COMPUTED_VALUE"""),"Normal")</f>
        <v>Normal</v>
      </c>
      <c r="I119" s="250" t="str">
        <f>IFERROR(__xludf.DUMMYFUNCTION("""COMPUTED_VALUE"""),"Attack")</f>
        <v>Attack</v>
      </c>
      <c r="J119" s="250" t="str">
        <f>IFERROR(__xludf.DUMMYFUNCTION("""COMPUTED_VALUE"""),"Colorless")</f>
        <v>Colorless</v>
      </c>
      <c r="K119" s="250">
        <f>IFERROR(__xludf.DUMMYFUNCTION("""COMPUTED_VALUE"""),200000.0)</f>
        <v>200000</v>
      </c>
      <c r="L119" s="250">
        <f>IFERROR(__xludf.DUMMYFUNCTION("""COMPUTED_VALUE"""),2.0)</f>
        <v>2</v>
      </c>
      <c r="M119" s="250">
        <f>IFERROR(__xludf.DUMMYFUNCTION("""COMPUTED_VALUE"""),55.0)</f>
        <v>55</v>
      </c>
      <c r="N119" s="250">
        <f>IFERROR(__xludf.DUMMYFUNCTION("""COMPUTED_VALUE"""),0.2)</f>
        <v>0.2</v>
      </c>
      <c r="O119" s="250">
        <f>IFERROR(__xludf.DUMMYFUNCTION("""COMPUTED_VALUE"""),1200.0)</f>
        <v>1200</v>
      </c>
      <c r="P119" s="250">
        <f>IFERROR(__xludf.DUMMYFUNCTION("""COMPUTED_VALUE"""),0.0)</f>
        <v>0</v>
      </c>
      <c r="Q119" s="250">
        <f>IFERROR(__xludf.DUMMYFUNCTION("""COMPUTED_VALUE"""),0.3)</f>
        <v>0.3</v>
      </c>
      <c r="R119" s="250">
        <f>IFERROR(__xludf.DUMMYFUNCTION("""COMPUTED_VALUE"""),1.0)</f>
        <v>1</v>
      </c>
      <c r="S119" s="250">
        <f>IFERROR(__xludf.DUMMYFUNCTION("""COMPUTED_VALUE"""),1.0)</f>
        <v>1</v>
      </c>
      <c r="T119" s="253" t="str">
        <f>IFERROR(__xludf.DUMMYFUNCTION("""COMPUTED_VALUE"""),"1.00")</f>
        <v>1.00</v>
      </c>
      <c r="U119" s="250" t="str">
        <f>IFERROR(__xludf.DUMMYFUNCTION("""COMPUTED_VALUE"""),"0.50")</f>
        <v>0.50</v>
      </c>
      <c r="V119" s="250">
        <f>IFERROR(__xludf.DUMMYFUNCTION("""COMPUTED_VALUE"""),75.0)</f>
        <v>75</v>
      </c>
      <c r="W119" s="250"/>
      <c r="X119" s="250"/>
      <c r="Y119" s="250"/>
      <c r="Z119" s="250"/>
      <c r="AA119" s="235"/>
      <c r="AB119" s="235" t="str">
        <f>IFERROR(__xludf.DUMMYFUNCTION("""COMPUTED_VALUE"""),"dageki_1")</f>
        <v>dageki_1</v>
      </c>
      <c r="AC119" s="235"/>
    </row>
    <row r="120">
      <c r="A120" s="235"/>
      <c r="B120" s="250" t="str">
        <f>IFERROR(__xludf.DUMMYFUNCTION("""COMPUTED_VALUE"""),"enemy_glo_00001")</f>
        <v>enemy_glo_00001</v>
      </c>
      <c r="C120" s="252" t="str">
        <f>IFERROR(__xludf.DUMMYFUNCTION("""COMPUTED_VALUE"""),"_general_ori3_vh")</f>
        <v>_general_ori3_vh</v>
      </c>
      <c r="D120" s="252" t="str">
        <f>IFERROR(__xludf.DUMMYFUNCTION("""COMPUTED_VALUE"""),"e_glo_00001_general_ori3_vh_Normal_Yellow")</f>
        <v>e_glo_00001_general_ori3_vh_Normal_Yellow</v>
      </c>
      <c r="E120" s="252" t="str">
        <f>IFERROR(__xludf.DUMMYFUNCTION("""COMPUTED_VALUE"""),"GLOW")</f>
        <v>GLOW</v>
      </c>
      <c r="F120" s="252" t="str">
        <f>IFERROR(__xludf.DUMMYFUNCTION("""COMPUTED_VALUE"""),"ファントム")</f>
        <v>ファントム</v>
      </c>
      <c r="G120" s="252" t="str">
        <f>IFERROR(__xludf.DUMMYFUNCTION("""COMPUTED_VALUE"""),"ファントム_general_ori3_vh")</f>
        <v>ファントム_general_ori3_vh</v>
      </c>
      <c r="H120" s="250" t="str">
        <f>IFERROR(__xludf.DUMMYFUNCTION("""COMPUTED_VALUE"""),"Normal")</f>
        <v>Normal</v>
      </c>
      <c r="I120" s="250" t="str">
        <f>IFERROR(__xludf.DUMMYFUNCTION("""COMPUTED_VALUE"""),"Attack")</f>
        <v>Attack</v>
      </c>
      <c r="J120" s="250" t="str">
        <f>IFERROR(__xludf.DUMMYFUNCTION("""COMPUTED_VALUE"""),"Yellow")</f>
        <v>Yellow</v>
      </c>
      <c r="K120" s="250">
        <f>IFERROR(__xludf.DUMMYFUNCTION("""COMPUTED_VALUE"""),100000.0)</f>
        <v>100000</v>
      </c>
      <c r="L120" s="250">
        <f>IFERROR(__xludf.DUMMYFUNCTION("""COMPUTED_VALUE"""),2.0)</f>
        <v>2</v>
      </c>
      <c r="M120" s="250">
        <f>IFERROR(__xludf.DUMMYFUNCTION("""COMPUTED_VALUE"""),65.0)</f>
        <v>65</v>
      </c>
      <c r="N120" s="250">
        <f>IFERROR(__xludf.DUMMYFUNCTION("""COMPUTED_VALUE"""),0.11)</f>
        <v>0.11</v>
      </c>
      <c r="O120" s="250">
        <f>IFERROR(__xludf.DUMMYFUNCTION("""COMPUTED_VALUE"""),1500.0)</f>
        <v>1500</v>
      </c>
      <c r="P120" s="250">
        <f>IFERROR(__xludf.DUMMYFUNCTION("""COMPUTED_VALUE"""),0.0)</f>
        <v>0</v>
      </c>
      <c r="Q120" s="250">
        <f>IFERROR(__xludf.DUMMYFUNCTION("""COMPUTED_VALUE"""),0.3)</f>
        <v>0.3</v>
      </c>
      <c r="R120" s="250">
        <f>IFERROR(__xludf.DUMMYFUNCTION("""COMPUTED_VALUE"""),1.0)</f>
        <v>1</v>
      </c>
      <c r="S120" s="250">
        <f>IFERROR(__xludf.DUMMYFUNCTION("""COMPUTED_VALUE"""),1.0)</f>
        <v>1</v>
      </c>
      <c r="T120" s="253" t="str">
        <f>IFERROR(__xludf.DUMMYFUNCTION("""COMPUTED_VALUE"""),"1.00")</f>
        <v>1.00</v>
      </c>
      <c r="U120" s="250" t="str">
        <f>IFERROR(__xludf.DUMMYFUNCTION("""COMPUTED_VALUE"""),"0.50")</f>
        <v>0.50</v>
      </c>
      <c r="V120" s="250">
        <f>IFERROR(__xludf.DUMMYFUNCTION("""COMPUTED_VALUE"""),75.0)</f>
        <v>75</v>
      </c>
      <c r="W120" s="250"/>
      <c r="X120" s="250"/>
      <c r="Y120" s="250"/>
      <c r="Z120" s="250"/>
      <c r="AA120" s="235"/>
      <c r="AB120" s="235" t="str">
        <f>IFERROR(__xludf.DUMMYFUNCTION("""COMPUTED_VALUE"""),"dageki_1")</f>
        <v>dageki_1</v>
      </c>
      <c r="AC120" s="235"/>
    </row>
    <row r="121">
      <c r="A121" s="235"/>
      <c r="B121" s="250" t="str">
        <f>IFERROR(__xludf.DUMMYFUNCTION("""COMPUTED_VALUE"""),"enemy_glo_00001")</f>
        <v>enemy_glo_00001</v>
      </c>
      <c r="C121" s="252" t="str">
        <f>IFERROR(__xludf.DUMMYFUNCTION("""COMPUTED_VALUE"""),"_general_ori3_vh_big")</f>
        <v>_general_ori3_vh_big</v>
      </c>
      <c r="D121" s="252" t="str">
        <f>IFERROR(__xludf.DUMMYFUNCTION("""COMPUTED_VALUE"""),"e_glo_00001_general_ori3_vh_big_Normal_Yellow")</f>
        <v>e_glo_00001_general_ori3_vh_big_Normal_Yellow</v>
      </c>
      <c r="E121" s="252" t="str">
        <f>IFERROR(__xludf.DUMMYFUNCTION("""COMPUTED_VALUE"""),"GLOW")</f>
        <v>GLOW</v>
      </c>
      <c r="F121" s="252" t="str">
        <f>IFERROR(__xludf.DUMMYFUNCTION("""COMPUTED_VALUE"""),"ファントム")</f>
        <v>ファントム</v>
      </c>
      <c r="G121" s="252" t="str">
        <f>IFERROR(__xludf.DUMMYFUNCTION("""COMPUTED_VALUE"""),"ファントム_general_ori3_vh_big")</f>
        <v>ファントム_general_ori3_vh_big</v>
      </c>
      <c r="H121" s="250" t="str">
        <f>IFERROR(__xludf.DUMMYFUNCTION("""COMPUTED_VALUE"""),"Normal")</f>
        <v>Normal</v>
      </c>
      <c r="I121" s="250" t="str">
        <f>IFERROR(__xludf.DUMMYFUNCTION("""COMPUTED_VALUE"""),"Attack")</f>
        <v>Attack</v>
      </c>
      <c r="J121" s="250" t="str">
        <f>IFERROR(__xludf.DUMMYFUNCTION("""COMPUTED_VALUE"""),"Yellow")</f>
        <v>Yellow</v>
      </c>
      <c r="K121" s="250">
        <f>IFERROR(__xludf.DUMMYFUNCTION("""COMPUTED_VALUE"""),200000.0)</f>
        <v>200000</v>
      </c>
      <c r="L121" s="250">
        <f>IFERROR(__xludf.DUMMYFUNCTION("""COMPUTED_VALUE"""),2.0)</f>
        <v>2</v>
      </c>
      <c r="M121" s="250">
        <f>IFERROR(__xludf.DUMMYFUNCTION("""COMPUTED_VALUE"""),55.0)</f>
        <v>55</v>
      </c>
      <c r="N121" s="250">
        <f>IFERROR(__xludf.DUMMYFUNCTION("""COMPUTED_VALUE"""),0.2)</f>
        <v>0.2</v>
      </c>
      <c r="O121" s="250">
        <f>IFERROR(__xludf.DUMMYFUNCTION("""COMPUTED_VALUE"""),1500.0)</f>
        <v>1500</v>
      </c>
      <c r="P121" s="250">
        <f>IFERROR(__xludf.DUMMYFUNCTION("""COMPUTED_VALUE"""),0.0)</f>
        <v>0</v>
      </c>
      <c r="Q121" s="250">
        <f>IFERROR(__xludf.DUMMYFUNCTION("""COMPUTED_VALUE"""),0.3)</f>
        <v>0.3</v>
      </c>
      <c r="R121" s="250">
        <f>IFERROR(__xludf.DUMMYFUNCTION("""COMPUTED_VALUE"""),1.0)</f>
        <v>1</v>
      </c>
      <c r="S121" s="250">
        <f>IFERROR(__xludf.DUMMYFUNCTION("""COMPUTED_VALUE"""),1.0)</f>
        <v>1</v>
      </c>
      <c r="T121" s="253" t="str">
        <f>IFERROR(__xludf.DUMMYFUNCTION("""COMPUTED_VALUE"""),"1.00")</f>
        <v>1.00</v>
      </c>
      <c r="U121" s="250" t="str">
        <f>IFERROR(__xludf.DUMMYFUNCTION("""COMPUTED_VALUE"""),"0.50")</f>
        <v>0.50</v>
      </c>
      <c r="V121" s="250">
        <f>IFERROR(__xludf.DUMMYFUNCTION("""COMPUTED_VALUE"""),75.0)</f>
        <v>75</v>
      </c>
      <c r="W121" s="250"/>
      <c r="X121" s="250"/>
      <c r="Y121" s="250"/>
      <c r="Z121" s="250"/>
      <c r="AA121" s="235"/>
      <c r="AB121" s="235" t="str">
        <f>IFERROR(__xludf.DUMMYFUNCTION("""COMPUTED_VALUE"""),"dageki_1")</f>
        <v>dageki_1</v>
      </c>
      <c r="AC121" s="235"/>
    </row>
    <row r="122">
      <c r="A122" s="235"/>
      <c r="B122" s="250" t="str">
        <f>IFERROR(__xludf.DUMMYFUNCTION("""COMPUTED_VALUE"""),"chara_rik_00001")</f>
        <v>chara_rik_00001</v>
      </c>
      <c r="C122" s="252" t="str">
        <f>IFERROR(__xludf.DUMMYFUNCTION("""COMPUTED_VALUE"""),"_general_ori3_vh")</f>
        <v>_general_ori3_vh</v>
      </c>
      <c r="D122" s="252" t="str">
        <f>IFERROR(__xludf.DUMMYFUNCTION("""COMPUTED_VALUE"""),"c_rik_00001_general_ori3_vh_Normal_Colorless")</f>
        <v>c_rik_00001_general_ori3_vh_Normal_Colorless</v>
      </c>
      <c r="E122" s="252" t="str">
        <f>IFERROR(__xludf.DUMMYFUNCTION("""COMPUTED_VALUE"""),"トマトイプーのリコピン")</f>
        <v>トマトイプーのリコピン</v>
      </c>
      <c r="F122" s="252" t="str">
        <f>IFERROR(__xludf.DUMMYFUNCTION("""COMPUTED_VALUE"""),"リコピン")</f>
        <v>リコピン</v>
      </c>
      <c r="G122" s="252" t="str">
        <f>IFERROR(__xludf.DUMMYFUNCTION("""COMPUTED_VALUE"""),"リコピン_general_ori3_vh")</f>
        <v>リコピン_general_ori3_vh</v>
      </c>
      <c r="H122" s="250" t="str">
        <f>IFERROR(__xludf.DUMMYFUNCTION("""COMPUTED_VALUE"""),"Normal")</f>
        <v>Normal</v>
      </c>
      <c r="I122" s="250" t="str">
        <f>IFERROR(__xludf.DUMMYFUNCTION("""COMPUTED_VALUE"""),"Defense")</f>
        <v>Defense</v>
      </c>
      <c r="J122" s="250" t="str">
        <f>IFERROR(__xludf.DUMMYFUNCTION("""COMPUTED_VALUE"""),"Colorless")</f>
        <v>Colorless</v>
      </c>
      <c r="K122" s="250">
        <f>IFERROR(__xludf.DUMMYFUNCTION("""COMPUTED_VALUE"""),500000.0)</f>
        <v>500000</v>
      </c>
      <c r="L122" s="250">
        <f>IFERROR(__xludf.DUMMYFUNCTION("""COMPUTED_VALUE"""),2.0)</f>
        <v>2</v>
      </c>
      <c r="M122" s="250">
        <f>IFERROR(__xludf.DUMMYFUNCTION("""COMPUTED_VALUE"""),65.0)</f>
        <v>65</v>
      </c>
      <c r="N122" s="250">
        <f>IFERROR(__xludf.DUMMYFUNCTION("""COMPUTED_VALUE"""),0.11)</f>
        <v>0.11</v>
      </c>
      <c r="O122" s="250">
        <f>IFERROR(__xludf.DUMMYFUNCTION("""COMPUTED_VALUE"""),500.0)</f>
        <v>500</v>
      </c>
      <c r="P122" s="250">
        <f>IFERROR(__xludf.DUMMYFUNCTION("""COMPUTED_VALUE"""),0.0)</f>
        <v>0</v>
      </c>
      <c r="Q122" s="250">
        <f>IFERROR(__xludf.DUMMYFUNCTION("""COMPUTED_VALUE"""),0.37)</f>
        <v>0.37</v>
      </c>
      <c r="R122" s="250">
        <f>IFERROR(__xludf.DUMMYFUNCTION("""COMPUTED_VALUE"""),1.0)</f>
        <v>1</v>
      </c>
      <c r="S122" s="250">
        <f>IFERROR(__xludf.DUMMYFUNCTION("""COMPUTED_VALUE"""),1.0)</f>
        <v>1</v>
      </c>
      <c r="T122" s="253" t="str">
        <f>IFERROR(__xludf.DUMMYFUNCTION("""COMPUTED_VALUE"""),"1.64")</f>
        <v>1.64</v>
      </c>
      <c r="U122" s="250" t="str">
        <f>IFERROR(__xludf.DUMMYFUNCTION("""COMPUTED_VALUE"""),"0.93")</f>
        <v>0.93</v>
      </c>
      <c r="V122" s="250">
        <f>IFERROR(__xludf.DUMMYFUNCTION("""COMPUTED_VALUE"""),35.0)</f>
        <v>35</v>
      </c>
      <c r="W122" s="250" t="str">
        <f>IFERROR(__xludf.DUMMYFUNCTION("""COMPUTED_VALUE"""),"4.01")</f>
        <v>4.01</v>
      </c>
      <c r="X122" s="250" t="str">
        <f>IFERROR(__xludf.DUMMYFUNCTION("""COMPUTED_VALUE"""),"1回目：0.83
2回目：1.84
3回目：2.67")</f>
        <v>1回目：0.83
2回目：1.84
3回目：2.67</v>
      </c>
      <c r="Y122" s="250" t="str">
        <f>IFERROR(__xludf.DUMMYFUNCTION("""COMPUTED_VALUE"""),"連続攻撃")</f>
        <v>連続攻撃</v>
      </c>
      <c r="Z122" s="250"/>
      <c r="AA122" s="235"/>
      <c r="AB122" s="235" t="str">
        <f>IFERROR(__xludf.DUMMYFUNCTION("""COMPUTED_VALUE"""),"dageki_2")</f>
        <v>dageki_2</v>
      </c>
      <c r="AC122" s="235"/>
    </row>
    <row r="123">
      <c r="A123" s="235"/>
      <c r="B123" s="250" t="str">
        <f>IFERROR(__xludf.DUMMYFUNCTION("""COMPUTED_VALUE"""),"chara_rik_00001")</f>
        <v>chara_rik_00001</v>
      </c>
      <c r="C123" s="252" t="str">
        <f>IFERROR(__xludf.DUMMYFUNCTION("""COMPUTED_VALUE"""),"_general_ori3_vh")</f>
        <v>_general_ori3_vh</v>
      </c>
      <c r="D123" s="252" t="str">
        <f>IFERROR(__xludf.DUMMYFUNCTION("""COMPUTED_VALUE"""),"c_rik_00001_general_ori3_vh_Normal_Yellow")</f>
        <v>c_rik_00001_general_ori3_vh_Normal_Yellow</v>
      </c>
      <c r="E123" s="252" t="str">
        <f>IFERROR(__xludf.DUMMYFUNCTION("""COMPUTED_VALUE"""),"トマトイプーのリコピン")</f>
        <v>トマトイプーのリコピン</v>
      </c>
      <c r="F123" s="252" t="str">
        <f>IFERROR(__xludf.DUMMYFUNCTION("""COMPUTED_VALUE"""),"リコピン")</f>
        <v>リコピン</v>
      </c>
      <c r="G123" s="252" t="str">
        <f>IFERROR(__xludf.DUMMYFUNCTION("""COMPUTED_VALUE"""),"リコピン_general_ori3_vh")</f>
        <v>リコピン_general_ori3_vh</v>
      </c>
      <c r="H123" s="250" t="str">
        <f>IFERROR(__xludf.DUMMYFUNCTION("""COMPUTED_VALUE"""),"Normal")</f>
        <v>Normal</v>
      </c>
      <c r="I123" s="250" t="str">
        <f>IFERROR(__xludf.DUMMYFUNCTION("""COMPUTED_VALUE"""),"Defense")</f>
        <v>Defense</v>
      </c>
      <c r="J123" s="250" t="str">
        <f>IFERROR(__xludf.DUMMYFUNCTION("""COMPUTED_VALUE"""),"Yellow")</f>
        <v>Yellow</v>
      </c>
      <c r="K123" s="250">
        <f>IFERROR(__xludf.DUMMYFUNCTION("""COMPUTED_VALUE"""),500000.0)</f>
        <v>500000</v>
      </c>
      <c r="L123" s="250">
        <f>IFERROR(__xludf.DUMMYFUNCTION("""COMPUTED_VALUE"""),2.0)</f>
        <v>2</v>
      </c>
      <c r="M123" s="250">
        <f>IFERROR(__xludf.DUMMYFUNCTION("""COMPUTED_VALUE"""),65.0)</f>
        <v>65</v>
      </c>
      <c r="N123" s="250">
        <f>IFERROR(__xludf.DUMMYFUNCTION("""COMPUTED_VALUE"""),0.11)</f>
        <v>0.11</v>
      </c>
      <c r="O123" s="250">
        <f>IFERROR(__xludf.DUMMYFUNCTION("""COMPUTED_VALUE"""),500.0)</f>
        <v>500</v>
      </c>
      <c r="P123" s="250">
        <f>IFERROR(__xludf.DUMMYFUNCTION("""COMPUTED_VALUE"""),0.0)</f>
        <v>0</v>
      </c>
      <c r="Q123" s="250">
        <f>IFERROR(__xludf.DUMMYFUNCTION("""COMPUTED_VALUE"""),0.37)</f>
        <v>0.37</v>
      </c>
      <c r="R123" s="250">
        <f>IFERROR(__xludf.DUMMYFUNCTION("""COMPUTED_VALUE"""),1.0)</f>
        <v>1</v>
      </c>
      <c r="S123" s="250">
        <f>IFERROR(__xludf.DUMMYFUNCTION("""COMPUTED_VALUE"""),1.0)</f>
        <v>1</v>
      </c>
      <c r="T123" s="253" t="str">
        <f>IFERROR(__xludf.DUMMYFUNCTION("""COMPUTED_VALUE"""),"1.64")</f>
        <v>1.64</v>
      </c>
      <c r="U123" s="250" t="str">
        <f>IFERROR(__xludf.DUMMYFUNCTION("""COMPUTED_VALUE"""),"0.93")</f>
        <v>0.93</v>
      </c>
      <c r="V123" s="250">
        <f>IFERROR(__xludf.DUMMYFUNCTION("""COMPUTED_VALUE"""),35.0)</f>
        <v>35</v>
      </c>
      <c r="W123" s="250" t="str">
        <f>IFERROR(__xludf.DUMMYFUNCTION("""COMPUTED_VALUE"""),"4.01")</f>
        <v>4.01</v>
      </c>
      <c r="X123" s="250" t="str">
        <f>IFERROR(__xludf.DUMMYFUNCTION("""COMPUTED_VALUE"""),"1回目：0.83
2回目：1.84
3回目：2.67")</f>
        <v>1回目：0.83
2回目：1.84
3回目：2.67</v>
      </c>
      <c r="Y123" s="250" t="str">
        <f>IFERROR(__xludf.DUMMYFUNCTION("""COMPUTED_VALUE"""),"連続攻撃")</f>
        <v>連続攻撃</v>
      </c>
      <c r="Z123" s="250"/>
      <c r="AA123" s="235"/>
      <c r="AB123" s="235" t="str">
        <f>IFERROR(__xludf.DUMMYFUNCTION("""COMPUTED_VALUE"""),"dageki_2")</f>
        <v>dageki_2</v>
      </c>
      <c r="AC123" s="235"/>
    </row>
    <row r="124">
      <c r="A124" s="235"/>
      <c r="B124" s="250" t="str">
        <f>IFERROR(__xludf.DUMMYFUNCTION("""COMPUTED_VALUE"""),"chara_sur_00101")</f>
        <v>chara_sur_00101</v>
      </c>
      <c r="C124" s="252" t="str">
        <f>IFERROR(__xludf.DUMMYFUNCTION("""COMPUTED_VALUE"""),"_general_ori3_vh")</f>
        <v>_general_ori3_vh</v>
      </c>
      <c r="D124" s="252" t="str">
        <f>IFERROR(__xludf.DUMMYFUNCTION("""COMPUTED_VALUE"""),"c_sur_00101_general_ori3_vh_Normal_Yellow")</f>
        <v>c_sur_00101_general_ori3_vh_Normal_Yellow</v>
      </c>
      <c r="E124" s="252" t="str">
        <f>IFERROR(__xludf.DUMMYFUNCTION("""COMPUTED_VALUE"""),"魔都精兵のスレイブ")</f>
        <v>魔都精兵のスレイブ</v>
      </c>
      <c r="F124" s="252" t="str">
        <f>IFERROR(__xludf.DUMMYFUNCTION("""COMPUTED_VALUE"""),"誇り高き魔都の剣姫 羽前 京香")</f>
        <v>誇り高き魔都の剣姫 羽前 京香</v>
      </c>
      <c r="G124" s="252" t="str">
        <f>IFERROR(__xludf.DUMMYFUNCTION("""COMPUTED_VALUE"""),"誇り高き魔都の剣姫 羽前京香_general_ori3_vh")</f>
        <v>誇り高き魔都の剣姫 羽前京香_general_ori3_vh</v>
      </c>
      <c r="H124" s="250" t="str">
        <f>IFERROR(__xludf.DUMMYFUNCTION("""COMPUTED_VALUE"""),"Normal")</f>
        <v>Normal</v>
      </c>
      <c r="I124" s="250" t="str">
        <f>IFERROR(__xludf.DUMMYFUNCTION("""COMPUTED_VALUE"""),"Attack")</f>
        <v>Attack</v>
      </c>
      <c r="J124" s="250" t="str">
        <f>IFERROR(__xludf.DUMMYFUNCTION("""COMPUTED_VALUE"""),"Yellow")</f>
        <v>Yellow</v>
      </c>
      <c r="K124" s="250">
        <f>IFERROR(__xludf.DUMMYFUNCTION("""COMPUTED_VALUE"""),700000.0)</f>
        <v>700000</v>
      </c>
      <c r="L124" s="250">
        <f>IFERROR(__xludf.DUMMYFUNCTION("""COMPUTED_VALUE"""),2.0)</f>
        <v>2</v>
      </c>
      <c r="M124" s="250">
        <f>IFERROR(__xludf.DUMMYFUNCTION("""COMPUTED_VALUE"""),45.0)</f>
        <v>45</v>
      </c>
      <c r="N124" s="250">
        <f>IFERROR(__xludf.DUMMYFUNCTION("""COMPUTED_VALUE"""),0.2)</f>
        <v>0.2</v>
      </c>
      <c r="O124" s="250">
        <f>IFERROR(__xludf.DUMMYFUNCTION("""COMPUTED_VALUE"""),300.0)</f>
        <v>300</v>
      </c>
      <c r="P124" s="250">
        <f>IFERROR(__xludf.DUMMYFUNCTION("""COMPUTED_VALUE"""),0.0)</f>
        <v>0</v>
      </c>
      <c r="Q124" s="250">
        <f>IFERROR(__xludf.DUMMYFUNCTION("""COMPUTED_VALUE"""),0.3)</f>
        <v>0.3</v>
      </c>
      <c r="R124" s="250">
        <f>IFERROR(__xludf.DUMMYFUNCTION("""COMPUTED_VALUE"""),1.0)</f>
        <v>1</v>
      </c>
      <c r="S124" s="250">
        <f>IFERROR(__xludf.DUMMYFUNCTION("""COMPUTED_VALUE"""),1.0)</f>
        <v>1</v>
      </c>
      <c r="T124" s="253" t="str">
        <f>IFERROR(__xludf.DUMMYFUNCTION("""COMPUTED_VALUE"""),"1.40")</f>
        <v>1.40</v>
      </c>
      <c r="U124" s="250" t="str">
        <f>IFERROR(__xludf.DUMMYFUNCTION("""COMPUTED_VALUE"""),"stop無:1回目 0.33")</f>
        <v>stop無:1回目 0.33</v>
      </c>
      <c r="V124" s="250">
        <f>IFERROR(__xludf.DUMMYFUNCTION("""COMPUTED_VALUE"""),45.0)</f>
        <v>45</v>
      </c>
      <c r="W124" s="250" t="str">
        <f>IFERROR(__xludf.DUMMYFUNCTION("""COMPUTED_VALUE"""),"2.67")</f>
        <v>2.67</v>
      </c>
      <c r="X124" s="250"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24" s="250" t="str">
        <f>IFERROR(__xludf.DUMMYFUNCTION("""COMPUTED_VALUE"""),"連続攻撃")</f>
        <v>連続攻撃</v>
      </c>
      <c r="Z124" s="250"/>
      <c r="AA124" s="235"/>
      <c r="AB124" s="235" t="str">
        <f>IFERROR(__xludf.DUMMYFUNCTION("""COMPUTED_VALUE"""),"zangeki_1")</f>
        <v>zangeki_1</v>
      </c>
      <c r="AC124" s="235"/>
    </row>
    <row r="125">
      <c r="A125" s="235"/>
      <c r="B125" s="250" t="str">
        <f>IFERROR(__xludf.DUMMYFUNCTION("""COMPUTED_VALUE"""),"chara_chi_00201")</f>
        <v>chara_chi_00201</v>
      </c>
      <c r="C125" s="252" t="str">
        <f>IFERROR(__xludf.DUMMYFUNCTION("""COMPUTED_VALUE"""),"_general_ori3_vh")</f>
        <v>_general_ori3_vh</v>
      </c>
      <c r="D125" s="252" t="str">
        <f>IFERROR(__xludf.DUMMYFUNCTION("""COMPUTED_VALUE"""),"c_chi_00201_general_ori3_vh_Normal_Yellow")</f>
        <v>c_chi_00201_general_ori3_vh_Normal_Yellow</v>
      </c>
      <c r="E125" s="252" t="str">
        <f>IFERROR(__xludf.DUMMYFUNCTION("""COMPUTED_VALUE"""),"チェンソーマン")</f>
        <v>チェンソーマン</v>
      </c>
      <c r="F125" s="252" t="str">
        <f>IFERROR(__xludf.DUMMYFUNCTION("""COMPUTED_VALUE"""),"早川 アキ")</f>
        <v>早川 アキ</v>
      </c>
      <c r="G125" s="252" t="str">
        <f>IFERROR(__xludf.DUMMYFUNCTION("""COMPUTED_VALUE"""),"早川 アキ_general_ori3_vh")</f>
        <v>早川 アキ_general_ori3_vh</v>
      </c>
      <c r="H125" s="250" t="str">
        <f>IFERROR(__xludf.DUMMYFUNCTION("""COMPUTED_VALUE"""),"Normal")</f>
        <v>Normal</v>
      </c>
      <c r="I125" s="250" t="str">
        <f>IFERROR(__xludf.DUMMYFUNCTION("""COMPUTED_VALUE"""),"Attack")</f>
        <v>Attack</v>
      </c>
      <c r="J125" s="250" t="str">
        <f>IFERROR(__xludf.DUMMYFUNCTION("""COMPUTED_VALUE"""),"Yellow")</f>
        <v>Yellow</v>
      </c>
      <c r="K125" s="250">
        <f>IFERROR(__xludf.DUMMYFUNCTION("""COMPUTED_VALUE"""),650000.0)</f>
        <v>650000</v>
      </c>
      <c r="L125" s="250">
        <f>IFERROR(__xludf.DUMMYFUNCTION("""COMPUTED_VALUE"""),2.0)</f>
        <v>2</v>
      </c>
      <c r="M125" s="250">
        <f>IFERROR(__xludf.DUMMYFUNCTION("""COMPUTED_VALUE"""),45.0)</f>
        <v>45</v>
      </c>
      <c r="N125" s="250">
        <f>IFERROR(__xludf.DUMMYFUNCTION("""COMPUTED_VALUE"""),0.11)</f>
        <v>0.11</v>
      </c>
      <c r="O125" s="250">
        <f>IFERROR(__xludf.DUMMYFUNCTION("""COMPUTED_VALUE"""),500.0)</f>
        <v>500</v>
      </c>
      <c r="P125" s="250">
        <f>IFERROR(__xludf.DUMMYFUNCTION("""COMPUTED_VALUE"""),0.0)</f>
        <v>0</v>
      </c>
      <c r="Q125" s="250">
        <f>IFERROR(__xludf.DUMMYFUNCTION("""COMPUTED_VALUE"""),0.3)</f>
        <v>0.3</v>
      </c>
      <c r="R125" s="250">
        <f>IFERROR(__xludf.DUMMYFUNCTION("""COMPUTED_VALUE"""),1.0)</f>
        <v>1</v>
      </c>
      <c r="S125" s="250">
        <f>IFERROR(__xludf.DUMMYFUNCTION("""COMPUTED_VALUE"""),1.0)</f>
        <v>1</v>
      </c>
      <c r="T125" s="253" t="str">
        <f>IFERROR(__xludf.DUMMYFUNCTION("""COMPUTED_VALUE"""),"1.60")</f>
        <v>1.60</v>
      </c>
      <c r="U125" s="250" t="str">
        <f>IFERROR(__xludf.DUMMYFUNCTION("""COMPUTED_VALUE"""),"0.84")</f>
        <v>0.84</v>
      </c>
      <c r="V125" s="250">
        <f>IFERROR(__xludf.DUMMYFUNCTION("""COMPUTED_VALUE"""),30.0)</f>
        <v>30</v>
      </c>
      <c r="W125" s="250" t="str">
        <f>IFERROR(__xludf.DUMMYFUNCTION("""COMPUTED_VALUE"""),"2.44")</f>
        <v>2.44</v>
      </c>
      <c r="X125" s="250" t="str">
        <f>IFERROR(__xludf.DUMMYFUNCTION("""COMPUTED_VALUE"""),"1.64")</f>
        <v>1.64</v>
      </c>
      <c r="Y125" s="250" t="str">
        <f>IFERROR(__xludf.DUMMYFUNCTION("""COMPUTED_VALUE"""),"単体攻撃")</f>
        <v>単体攻撃</v>
      </c>
      <c r="Z125" s="250"/>
      <c r="AA125" s="235"/>
      <c r="AB125" s="235" t="str">
        <f>IFERROR(__xludf.DUMMYFUNCTION("""COMPUTED_VALUE"""),"dageki_1")</f>
        <v>dageki_1</v>
      </c>
      <c r="AC125" s="235"/>
    </row>
    <row r="126">
      <c r="A126" s="235"/>
      <c r="B126" s="250" t="str">
        <f>IFERROR(__xludf.DUMMYFUNCTION("""COMPUTED_VALUE"""),"chara_chi_00301")</f>
        <v>chara_chi_00301</v>
      </c>
      <c r="C126" s="252" t="str">
        <f>IFERROR(__xludf.DUMMYFUNCTION("""COMPUTED_VALUE"""),"_general_ori3_vh")</f>
        <v>_general_ori3_vh</v>
      </c>
      <c r="D126" s="252" t="str">
        <f>IFERROR(__xludf.DUMMYFUNCTION("""COMPUTED_VALUE"""),"c_chi_00301_general_ori3_vh_Normal_Yellow")</f>
        <v>c_chi_00301_general_ori3_vh_Normal_Yellow</v>
      </c>
      <c r="E126" s="252" t="str">
        <f>IFERROR(__xludf.DUMMYFUNCTION("""COMPUTED_VALUE"""),"チェンソーマン")</f>
        <v>チェンソーマン</v>
      </c>
      <c r="F126" s="252" t="str">
        <f>IFERROR(__xludf.DUMMYFUNCTION("""COMPUTED_VALUE"""),"パワー")</f>
        <v>パワー</v>
      </c>
      <c r="G126" s="252" t="str">
        <f>IFERROR(__xludf.DUMMYFUNCTION("""COMPUTED_VALUE"""),"パワー_general_ori3_vh")</f>
        <v>パワー_general_ori3_vh</v>
      </c>
      <c r="H126" s="250" t="str">
        <f>IFERROR(__xludf.DUMMYFUNCTION("""COMPUTED_VALUE"""),"Normal")</f>
        <v>Normal</v>
      </c>
      <c r="I126" s="250" t="str">
        <f>IFERROR(__xludf.DUMMYFUNCTION("""COMPUTED_VALUE"""),"Attack")</f>
        <v>Attack</v>
      </c>
      <c r="J126" s="250" t="str">
        <f>IFERROR(__xludf.DUMMYFUNCTION("""COMPUTED_VALUE"""),"Yellow")</f>
        <v>Yellow</v>
      </c>
      <c r="K126" s="250">
        <f>IFERROR(__xludf.DUMMYFUNCTION("""COMPUTED_VALUE"""),500000.0)</f>
        <v>500000</v>
      </c>
      <c r="L126" s="250">
        <f>IFERROR(__xludf.DUMMYFUNCTION("""COMPUTED_VALUE"""),2.0)</f>
        <v>2</v>
      </c>
      <c r="M126" s="250">
        <f>IFERROR(__xludf.DUMMYFUNCTION("""COMPUTED_VALUE"""),45.0)</f>
        <v>45</v>
      </c>
      <c r="N126" s="250">
        <f>IFERROR(__xludf.DUMMYFUNCTION("""COMPUTED_VALUE"""),0.11)</f>
        <v>0.11</v>
      </c>
      <c r="O126" s="250">
        <f>IFERROR(__xludf.DUMMYFUNCTION("""COMPUTED_VALUE"""),1000.0)</f>
        <v>1000</v>
      </c>
      <c r="P126" s="250">
        <f>IFERROR(__xludf.DUMMYFUNCTION("""COMPUTED_VALUE"""),0.0)</f>
        <v>0</v>
      </c>
      <c r="Q126" s="250">
        <f>IFERROR(__xludf.DUMMYFUNCTION("""COMPUTED_VALUE"""),0.3)</f>
        <v>0.3</v>
      </c>
      <c r="R126" s="250">
        <f>IFERROR(__xludf.DUMMYFUNCTION("""COMPUTED_VALUE"""),100.0)</f>
        <v>100</v>
      </c>
      <c r="S126" s="250">
        <f>IFERROR(__xludf.DUMMYFUNCTION("""COMPUTED_VALUE"""),1.0)</f>
        <v>1</v>
      </c>
      <c r="T126" s="253" t="str">
        <f>IFERROR(__xludf.DUMMYFUNCTION("""COMPUTED_VALUE"""),"1.50")</f>
        <v>1.50</v>
      </c>
      <c r="U126" s="250" t="str">
        <f>IFERROR(__xludf.DUMMYFUNCTION("""COMPUTED_VALUE"""),"0.58")</f>
        <v>0.58</v>
      </c>
      <c r="V126" s="250">
        <f>IFERROR(__xludf.DUMMYFUNCTION("""COMPUTED_VALUE"""),45.0)</f>
        <v>45</v>
      </c>
      <c r="W126" s="250" t="str">
        <f>IFERROR(__xludf.DUMMYFUNCTION("""COMPUTED_VALUE"""),"2.67")</f>
        <v>2.67</v>
      </c>
      <c r="X126" s="250" t="str">
        <f>IFERROR(__xludf.DUMMYFUNCTION("""COMPUTED_VALUE"""),"1.00")</f>
        <v>1.00</v>
      </c>
      <c r="Y126" s="250" t="str">
        <f>IFERROR(__xludf.DUMMYFUNCTION("""COMPUTED_VALUE"""),"範囲攻撃+100%の確率で3秒間スタン")</f>
        <v>範囲攻撃+100%の確率で3秒間スタン</v>
      </c>
      <c r="Z126" s="250"/>
      <c r="AA126" s="235"/>
      <c r="AB126" s="235" t="str">
        <f>IFERROR(__xludf.DUMMYFUNCTION("""COMPUTED_VALUE"""),"dageki_1")</f>
        <v>dageki_1</v>
      </c>
      <c r="AC126" s="235"/>
    </row>
    <row r="127">
      <c r="A127" s="235"/>
      <c r="B127" s="250" t="str">
        <f>IFERROR(__xludf.DUMMYFUNCTION("""COMPUTED_VALUE"""),"chara_chi_00001")</f>
        <v>chara_chi_00001</v>
      </c>
      <c r="C127" s="252" t="str">
        <f>IFERROR(__xludf.DUMMYFUNCTION("""COMPUTED_VALUE"""),"_general_ori3_vh")</f>
        <v>_general_ori3_vh</v>
      </c>
      <c r="D127" s="252" t="str">
        <f>IFERROR(__xludf.DUMMYFUNCTION("""COMPUTED_VALUE"""),"c_chi_00001_general_ori3_vh_Boss_Yellow")</f>
        <v>c_chi_00001_general_ori3_vh_Boss_Yellow</v>
      </c>
      <c r="E127" s="252" t="str">
        <f>IFERROR(__xludf.DUMMYFUNCTION("""COMPUTED_VALUE"""),"チェンソーマン")</f>
        <v>チェンソーマン</v>
      </c>
      <c r="F127" s="252" t="str">
        <f>IFERROR(__xludf.DUMMYFUNCTION("""COMPUTED_VALUE"""),"デンジ")</f>
        <v>デンジ</v>
      </c>
      <c r="G127" s="252" t="str">
        <f>IFERROR(__xludf.DUMMYFUNCTION("""COMPUTED_VALUE"""),"デンジ_general_ori3_vh")</f>
        <v>デンジ_general_ori3_vh</v>
      </c>
      <c r="H127" s="250" t="str">
        <f>IFERROR(__xludf.DUMMYFUNCTION("""COMPUTED_VALUE"""),"Boss")</f>
        <v>Boss</v>
      </c>
      <c r="I127" s="250" t="str">
        <f>IFERROR(__xludf.DUMMYFUNCTION("""COMPUTED_VALUE"""),"Attack")</f>
        <v>Attack</v>
      </c>
      <c r="J127" s="250" t="str">
        <f>IFERROR(__xludf.DUMMYFUNCTION("""COMPUTED_VALUE"""),"Yellow")</f>
        <v>Yellow</v>
      </c>
      <c r="K127" s="250">
        <f>IFERROR(__xludf.DUMMYFUNCTION("""COMPUTED_VALUE"""),500000.0)</f>
        <v>500000</v>
      </c>
      <c r="L127" s="250">
        <f>IFERROR(__xludf.DUMMYFUNCTION("""COMPUTED_VALUE"""),2.0)</f>
        <v>2</v>
      </c>
      <c r="M127" s="250">
        <f>IFERROR(__xludf.DUMMYFUNCTION("""COMPUTED_VALUE"""),45.0)</f>
        <v>45</v>
      </c>
      <c r="N127" s="250">
        <f>IFERROR(__xludf.DUMMYFUNCTION("""COMPUTED_VALUE"""),0.12)</f>
        <v>0.12</v>
      </c>
      <c r="O127" s="250">
        <f>IFERROR(__xludf.DUMMYFUNCTION("""COMPUTED_VALUE"""),800.0)</f>
        <v>800</v>
      </c>
      <c r="P127" s="250">
        <f>IFERROR(__xludf.DUMMYFUNCTION("""COMPUTED_VALUE"""),0.0)</f>
        <v>0</v>
      </c>
      <c r="Q127" s="250">
        <f>IFERROR(__xludf.DUMMYFUNCTION("""COMPUTED_VALUE"""),0.2)</f>
        <v>0.2</v>
      </c>
      <c r="R127" s="250">
        <f>IFERROR(__xludf.DUMMYFUNCTION("""COMPUTED_VALUE"""),100.0)</f>
        <v>100</v>
      </c>
      <c r="S127" s="250">
        <f>IFERROR(__xludf.DUMMYFUNCTION("""COMPUTED_VALUE"""),1.0)</f>
        <v>1</v>
      </c>
      <c r="T127" s="253" t="str">
        <f>IFERROR(__xludf.DUMMYFUNCTION("""COMPUTED_VALUE"""),"1.40")</f>
        <v>1.40</v>
      </c>
      <c r="U127" s="250" t="str">
        <f>IFERROR(__xludf.DUMMYFUNCTION("""COMPUTED_VALUE"""),"0.53")</f>
        <v>0.53</v>
      </c>
      <c r="V127" s="250">
        <f>IFERROR(__xludf.DUMMYFUNCTION("""COMPUTED_VALUE"""),45.0)</f>
        <v>45</v>
      </c>
      <c r="W127" s="250" t="str">
        <f>IFERROR(__xludf.DUMMYFUNCTION("""COMPUTED_VALUE"""),"3.37")</f>
        <v>3.37</v>
      </c>
      <c r="X127" s="250" t="str">
        <f>IFERROR(__xludf.DUMMYFUNCTION("""COMPUTED_VALUE"""),"1.57")</f>
        <v>1.57</v>
      </c>
      <c r="Y127" s="250" t="str">
        <f>IFERROR(__xludf.DUMMYFUNCTION("""COMPUTED_VALUE"""),"範囲攻撃+大ノックバック")</f>
        <v>範囲攻撃+大ノックバック</v>
      </c>
      <c r="Z127" s="250"/>
      <c r="AA127" s="235"/>
      <c r="AB127" s="235" t="str">
        <f>IFERROR(__xludf.DUMMYFUNCTION("""COMPUTED_VALUE"""),"zangeki_1")</f>
        <v>zangeki_1</v>
      </c>
      <c r="AC127" s="235"/>
    </row>
    <row r="128">
      <c r="A128" s="235"/>
      <c r="B128" s="250" t="str">
        <f>IFERROR(__xludf.DUMMYFUNCTION("""COMPUTED_VALUE"""),"chara_chi_00002")</f>
        <v>chara_chi_00002</v>
      </c>
      <c r="C128" s="252" t="str">
        <f>IFERROR(__xludf.DUMMYFUNCTION("""COMPUTED_VALUE"""),"_general_ori3_vh")</f>
        <v>_general_ori3_vh</v>
      </c>
      <c r="D128" s="252" t="str">
        <f>IFERROR(__xludf.DUMMYFUNCTION("""COMPUTED_VALUE"""),"c_chi_00002_general_ori3_vh_Boss_Yellow")</f>
        <v>c_chi_00002_general_ori3_vh_Boss_Yellow</v>
      </c>
      <c r="E128" s="252" t="str">
        <f>IFERROR(__xludf.DUMMYFUNCTION("""COMPUTED_VALUE"""),"チェンソーマン")</f>
        <v>チェンソーマン</v>
      </c>
      <c r="F128" s="252" t="str">
        <f>IFERROR(__xludf.DUMMYFUNCTION("""COMPUTED_VALUE"""),"悪魔が恐れる悪魔 チェンソーマン")</f>
        <v>悪魔が恐れる悪魔 チェンソーマン</v>
      </c>
      <c r="G128" s="252" t="str">
        <f>IFERROR(__xludf.DUMMYFUNCTION("""COMPUTED_VALUE"""),"悪魔が恐れる悪魔 チェンソーマン_general_ori3_vh")</f>
        <v>悪魔が恐れる悪魔 チェンソーマン_general_ori3_vh</v>
      </c>
      <c r="H128" s="250" t="str">
        <f>IFERROR(__xludf.DUMMYFUNCTION("""COMPUTED_VALUE"""),"Boss")</f>
        <v>Boss</v>
      </c>
      <c r="I128" s="250" t="str">
        <f>IFERROR(__xludf.DUMMYFUNCTION("""COMPUTED_VALUE"""),"Technical")</f>
        <v>Technical</v>
      </c>
      <c r="J128" s="250" t="str">
        <f>IFERROR(__xludf.DUMMYFUNCTION("""COMPUTED_VALUE"""),"Yellow")</f>
        <v>Yellow</v>
      </c>
      <c r="K128" s="250">
        <f>IFERROR(__xludf.DUMMYFUNCTION("""COMPUTED_VALUE"""),1500000.0)</f>
        <v>1500000</v>
      </c>
      <c r="L128" s="250">
        <f>IFERROR(__xludf.DUMMYFUNCTION("""COMPUTED_VALUE"""),2.0)</f>
        <v>2</v>
      </c>
      <c r="M128" s="250">
        <f>IFERROR(__xludf.DUMMYFUNCTION("""COMPUTED_VALUE"""),55.0)</f>
        <v>55</v>
      </c>
      <c r="N128" s="250">
        <f>IFERROR(__xludf.DUMMYFUNCTION("""COMPUTED_VALUE"""),0.11)</f>
        <v>0.11</v>
      </c>
      <c r="O128" s="250">
        <f>IFERROR(__xludf.DUMMYFUNCTION("""COMPUTED_VALUE"""),1500.0)</f>
        <v>1500</v>
      </c>
      <c r="P128" s="250">
        <f>IFERROR(__xludf.DUMMYFUNCTION("""COMPUTED_VALUE"""),0.0)</f>
        <v>0</v>
      </c>
      <c r="Q128" s="250">
        <f>IFERROR(__xludf.DUMMYFUNCTION("""COMPUTED_VALUE"""),0.2)</f>
        <v>0.2</v>
      </c>
      <c r="R128" s="250">
        <f>IFERROR(__xludf.DUMMYFUNCTION("""COMPUTED_VALUE"""),100.0)</f>
        <v>100</v>
      </c>
      <c r="S128" s="250">
        <f>IFERROR(__xludf.DUMMYFUNCTION("""COMPUTED_VALUE"""),1.0)</f>
        <v>1</v>
      </c>
      <c r="T128" s="253" t="str">
        <f>IFERROR(__xludf.DUMMYFUNCTION("""COMPUTED_VALUE"""),"1.07")</f>
        <v>1.07</v>
      </c>
      <c r="U128" s="250" t="str">
        <f>IFERROR(__xludf.DUMMYFUNCTION("""COMPUTED_VALUE"""),"stop無:1回目 0.66")</f>
        <v>stop無:1回目 0.66</v>
      </c>
      <c r="V128" s="250">
        <f>IFERROR(__xludf.DUMMYFUNCTION("""COMPUTED_VALUE"""),35.0)</f>
        <v>35</v>
      </c>
      <c r="W128" s="250" t="str">
        <f>IFERROR(__xludf.DUMMYFUNCTION("""COMPUTED_VALUE"""),"3.74")</f>
        <v>3.74</v>
      </c>
      <c r="X128" s="250"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Y128" s="250" t="str">
        <f>IFERROR(__xludf.DUMMYFUNCTION("""COMPUTED_VALUE"""),"範囲連続攻撃+100%の確率で与えたダメージの100%回復+単体に大ノックバック")</f>
        <v>範囲連続攻撃+100%の確率で与えたダメージの100%回復+単体に大ノックバック</v>
      </c>
      <c r="Z128" s="250"/>
      <c r="AA128" s="235"/>
      <c r="AB128" s="235" t="str">
        <f>IFERROR(__xludf.DUMMYFUNCTION("""COMPUTED_VALUE"""),"zangeki_1")</f>
        <v>zangeki_1</v>
      </c>
      <c r="AC128" s="235"/>
    </row>
    <row r="129">
      <c r="A129" s="235"/>
      <c r="B129" s="250"/>
      <c r="C129" s="252"/>
      <c r="D129" s="252" t="str">
        <f>IFERROR(__xludf.DUMMYFUNCTION("""COMPUTED_VALUE"""),"___")</f>
        <v>___</v>
      </c>
      <c r="E129" s="252" t="str">
        <f>IFERROR(__xludf.DUMMYFUNCTION("""COMPUTED_VALUE"""),"none")</f>
        <v>none</v>
      </c>
      <c r="F129" s="252" t="str">
        <f>IFERROR(__xludf.DUMMYFUNCTION("""COMPUTED_VALUE"""),"none")</f>
        <v>none</v>
      </c>
      <c r="G129" s="252" t="str">
        <f>IFERROR(__xludf.DUMMYFUNCTION("""COMPUTED_VALUE"""),"none")</f>
        <v>none</v>
      </c>
      <c r="H129" s="250"/>
      <c r="I129" s="250" t="str">
        <f>IFERROR(__xludf.DUMMYFUNCTION("""COMPUTED_VALUE"""),"none")</f>
        <v>none</v>
      </c>
      <c r="J129" s="250"/>
      <c r="K129" s="250"/>
      <c r="L129" s="250"/>
      <c r="M129" s="250"/>
      <c r="N129" s="250"/>
      <c r="O129" s="250"/>
      <c r="P129" s="250"/>
      <c r="Q129" s="250"/>
      <c r="R129" s="250"/>
      <c r="S129" s="250"/>
      <c r="T129" s="253" t="str">
        <f>IFERROR(__xludf.DUMMYFUNCTION("""COMPUTED_VALUE"""),"none")</f>
        <v>none</v>
      </c>
      <c r="U129" s="250" t="str">
        <f>IFERROR(__xludf.DUMMYFUNCTION("""COMPUTED_VALUE"""),"none")</f>
        <v>none</v>
      </c>
      <c r="V129" s="250"/>
      <c r="W129" s="250" t="str">
        <f>IFERROR(__xludf.DUMMYFUNCTION("""COMPUTED_VALUE"""),"none")</f>
        <v>none</v>
      </c>
      <c r="X129" s="250" t="str">
        <f>IFERROR(__xludf.DUMMYFUNCTION("""COMPUTED_VALUE"""),"none")</f>
        <v>none</v>
      </c>
      <c r="Y129" s="250"/>
      <c r="Z129" s="250"/>
      <c r="AA129" s="235"/>
      <c r="AB129" s="235" t="str">
        <f>IFERROR(__xludf.DUMMYFUNCTION("""COMPUTED_VALUE"""),"none")</f>
        <v>none</v>
      </c>
      <c r="AC129" s="235"/>
    </row>
    <row r="130">
      <c r="A130" s="235"/>
      <c r="B130" s="250" t="str">
        <f>IFERROR(__xludf.DUMMYFUNCTION("""COMPUTED_VALUE"""),"enemy_glo_00001")</f>
        <v>enemy_glo_00001</v>
      </c>
      <c r="C130" s="252" t="str">
        <f>IFERROR(__xludf.DUMMYFUNCTION("""COMPUTED_VALUE"""),"_general_ori3_vh2")</f>
        <v>_general_ori3_vh2</v>
      </c>
      <c r="D130" s="252" t="str">
        <f>IFERROR(__xludf.DUMMYFUNCTION("""COMPUTED_VALUE"""),"e_glo_00001_general_ori3_vh2_Normal_Colorless")</f>
        <v>e_glo_00001_general_ori3_vh2_Normal_Colorless</v>
      </c>
      <c r="E130" s="252" t="str">
        <f>IFERROR(__xludf.DUMMYFUNCTION("""COMPUTED_VALUE"""),"GLOW")</f>
        <v>GLOW</v>
      </c>
      <c r="F130" s="252" t="str">
        <f>IFERROR(__xludf.DUMMYFUNCTION("""COMPUTED_VALUE"""),"ファントム")</f>
        <v>ファントム</v>
      </c>
      <c r="G130" s="252" t="str">
        <f>IFERROR(__xludf.DUMMYFUNCTION("""COMPUTED_VALUE"""),"ファントム_general_ori3_vh2")</f>
        <v>ファントム_general_ori3_vh2</v>
      </c>
      <c r="H130" s="250" t="str">
        <f>IFERROR(__xludf.DUMMYFUNCTION("""COMPUTED_VALUE"""),"Normal")</f>
        <v>Normal</v>
      </c>
      <c r="I130" s="250" t="str">
        <f>IFERROR(__xludf.DUMMYFUNCTION("""COMPUTED_VALUE"""),"Attack")</f>
        <v>Attack</v>
      </c>
      <c r="J130" s="250" t="str">
        <f>IFERROR(__xludf.DUMMYFUNCTION("""COMPUTED_VALUE"""),"Colorless")</f>
        <v>Colorless</v>
      </c>
      <c r="K130" s="250">
        <f>IFERROR(__xludf.DUMMYFUNCTION("""COMPUTED_VALUE"""),50000.0)</f>
        <v>50000</v>
      </c>
      <c r="L130" s="250">
        <f>IFERROR(__xludf.DUMMYFUNCTION("""COMPUTED_VALUE"""),2.0)</f>
        <v>2</v>
      </c>
      <c r="M130" s="250">
        <f>IFERROR(__xludf.DUMMYFUNCTION("""COMPUTED_VALUE"""),65.0)</f>
        <v>65</v>
      </c>
      <c r="N130" s="250">
        <f>IFERROR(__xludf.DUMMYFUNCTION("""COMPUTED_VALUE"""),0.11)</f>
        <v>0.11</v>
      </c>
      <c r="O130" s="250">
        <f>IFERROR(__xludf.DUMMYFUNCTION("""COMPUTED_VALUE"""),900.0)</f>
        <v>900</v>
      </c>
      <c r="P130" s="250">
        <f>IFERROR(__xludf.DUMMYFUNCTION("""COMPUTED_VALUE"""),0.0)</f>
        <v>0</v>
      </c>
      <c r="Q130" s="250">
        <f>IFERROR(__xludf.DUMMYFUNCTION("""COMPUTED_VALUE"""),0.3)</f>
        <v>0.3</v>
      </c>
      <c r="R130" s="250">
        <f>IFERROR(__xludf.DUMMYFUNCTION("""COMPUTED_VALUE"""),1.0)</f>
        <v>1</v>
      </c>
      <c r="S130" s="250">
        <f>IFERROR(__xludf.DUMMYFUNCTION("""COMPUTED_VALUE"""),1.0)</f>
        <v>1</v>
      </c>
      <c r="T130" s="253" t="str">
        <f>IFERROR(__xludf.DUMMYFUNCTION("""COMPUTED_VALUE"""),"1.00")</f>
        <v>1.00</v>
      </c>
      <c r="U130" s="250" t="str">
        <f>IFERROR(__xludf.DUMMYFUNCTION("""COMPUTED_VALUE"""),"0.50")</f>
        <v>0.50</v>
      </c>
      <c r="V130" s="250">
        <f>IFERROR(__xludf.DUMMYFUNCTION("""COMPUTED_VALUE"""),75.0)</f>
        <v>75</v>
      </c>
      <c r="W130" s="250"/>
      <c r="X130" s="250"/>
      <c r="Y130" s="250"/>
      <c r="Z130" s="250"/>
      <c r="AA130" s="235"/>
      <c r="AB130" s="235" t="str">
        <f>IFERROR(__xludf.DUMMYFUNCTION("""COMPUTED_VALUE"""),"dageki_1")</f>
        <v>dageki_1</v>
      </c>
      <c r="AC130" s="235"/>
    </row>
    <row r="131">
      <c r="A131" s="235"/>
      <c r="B131" s="250" t="str">
        <f>IFERROR(__xludf.DUMMYFUNCTION("""COMPUTED_VALUE"""),"enemy_glo_00001")</f>
        <v>enemy_glo_00001</v>
      </c>
      <c r="C131" s="252" t="str">
        <f>IFERROR(__xludf.DUMMYFUNCTION("""COMPUTED_VALUE"""),"_general_ori3_vh2_big")</f>
        <v>_general_ori3_vh2_big</v>
      </c>
      <c r="D131" s="252" t="str">
        <f>IFERROR(__xludf.DUMMYFUNCTION("""COMPUTED_VALUE"""),"e_glo_00001_general_ori3_vh2_big_Normal_Colorless")</f>
        <v>e_glo_00001_general_ori3_vh2_big_Normal_Colorless</v>
      </c>
      <c r="E131" s="252" t="str">
        <f>IFERROR(__xludf.DUMMYFUNCTION("""COMPUTED_VALUE"""),"GLOW")</f>
        <v>GLOW</v>
      </c>
      <c r="F131" s="252" t="str">
        <f>IFERROR(__xludf.DUMMYFUNCTION("""COMPUTED_VALUE"""),"ファントム")</f>
        <v>ファントム</v>
      </c>
      <c r="G131" s="252" t="str">
        <f>IFERROR(__xludf.DUMMYFUNCTION("""COMPUTED_VALUE"""),"ファントム_general_ori3_vh2_big")</f>
        <v>ファントム_general_ori3_vh2_big</v>
      </c>
      <c r="H131" s="250" t="str">
        <f>IFERROR(__xludf.DUMMYFUNCTION("""COMPUTED_VALUE"""),"Normal")</f>
        <v>Normal</v>
      </c>
      <c r="I131" s="250" t="str">
        <f>IFERROR(__xludf.DUMMYFUNCTION("""COMPUTED_VALUE"""),"Defense")</f>
        <v>Defense</v>
      </c>
      <c r="J131" s="250" t="str">
        <f>IFERROR(__xludf.DUMMYFUNCTION("""COMPUTED_VALUE"""),"Colorless")</f>
        <v>Colorless</v>
      </c>
      <c r="K131" s="250">
        <f>IFERROR(__xludf.DUMMYFUNCTION("""COMPUTED_VALUE"""),500000.0)</f>
        <v>500000</v>
      </c>
      <c r="L131" s="250">
        <f>IFERROR(__xludf.DUMMYFUNCTION("""COMPUTED_VALUE"""),2.0)</f>
        <v>2</v>
      </c>
      <c r="M131" s="250">
        <f>IFERROR(__xludf.DUMMYFUNCTION("""COMPUTED_VALUE"""),55.0)</f>
        <v>55</v>
      </c>
      <c r="N131" s="250">
        <f>IFERROR(__xludf.DUMMYFUNCTION("""COMPUTED_VALUE"""),0.2)</f>
        <v>0.2</v>
      </c>
      <c r="O131" s="250">
        <f>IFERROR(__xludf.DUMMYFUNCTION("""COMPUTED_VALUE"""),1200.0)</f>
        <v>1200</v>
      </c>
      <c r="P131" s="250">
        <f>IFERROR(__xludf.DUMMYFUNCTION("""COMPUTED_VALUE"""),0.0)</f>
        <v>0</v>
      </c>
      <c r="Q131" s="250">
        <f>IFERROR(__xludf.DUMMYFUNCTION("""COMPUTED_VALUE"""),0.3)</f>
        <v>0.3</v>
      </c>
      <c r="R131" s="250">
        <f>IFERROR(__xludf.DUMMYFUNCTION("""COMPUTED_VALUE"""),1.0)</f>
        <v>1</v>
      </c>
      <c r="S131" s="250">
        <f>IFERROR(__xludf.DUMMYFUNCTION("""COMPUTED_VALUE"""),1.0)</f>
        <v>1</v>
      </c>
      <c r="T131" s="253" t="str">
        <f>IFERROR(__xludf.DUMMYFUNCTION("""COMPUTED_VALUE"""),"1.00")</f>
        <v>1.00</v>
      </c>
      <c r="U131" s="250" t="str">
        <f>IFERROR(__xludf.DUMMYFUNCTION("""COMPUTED_VALUE"""),"0.50")</f>
        <v>0.50</v>
      </c>
      <c r="V131" s="250">
        <f>IFERROR(__xludf.DUMMYFUNCTION("""COMPUTED_VALUE"""),75.0)</f>
        <v>75</v>
      </c>
      <c r="W131" s="250"/>
      <c r="X131" s="250"/>
      <c r="Y131" s="250"/>
      <c r="Z131" s="250"/>
      <c r="AA131" s="235"/>
      <c r="AB131" s="235" t="str">
        <f>IFERROR(__xludf.DUMMYFUNCTION("""COMPUTED_VALUE"""),"dageki_1")</f>
        <v>dageki_1</v>
      </c>
      <c r="AC131" s="235"/>
    </row>
    <row r="132">
      <c r="A132" s="235"/>
      <c r="B132" s="250" t="str">
        <f>IFERROR(__xludf.DUMMYFUNCTION("""COMPUTED_VALUE"""),"enemy_glo_00001")</f>
        <v>enemy_glo_00001</v>
      </c>
      <c r="C132" s="252" t="str">
        <f>IFERROR(__xludf.DUMMYFUNCTION("""COMPUTED_VALUE"""),"_general_ori3_vh2")</f>
        <v>_general_ori3_vh2</v>
      </c>
      <c r="D132" s="252" t="str">
        <f>IFERROR(__xludf.DUMMYFUNCTION("""COMPUTED_VALUE"""),"e_glo_00001_general_ori3_vh2_Normal_Blue")</f>
        <v>e_glo_00001_general_ori3_vh2_Normal_Blue</v>
      </c>
      <c r="E132" s="252" t="str">
        <f>IFERROR(__xludf.DUMMYFUNCTION("""COMPUTED_VALUE"""),"GLOW")</f>
        <v>GLOW</v>
      </c>
      <c r="F132" s="252" t="str">
        <f>IFERROR(__xludf.DUMMYFUNCTION("""COMPUTED_VALUE"""),"ファントム")</f>
        <v>ファントム</v>
      </c>
      <c r="G132" s="252" t="str">
        <f>IFERROR(__xludf.DUMMYFUNCTION("""COMPUTED_VALUE"""),"ファントム_general_ori3_vh2")</f>
        <v>ファントム_general_ori3_vh2</v>
      </c>
      <c r="H132" s="250" t="str">
        <f>IFERROR(__xludf.DUMMYFUNCTION("""COMPUTED_VALUE"""),"Normal")</f>
        <v>Normal</v>
      </c>
      <c r="I132" s="250" t="str">
        <f>IFERROR(__xludf.DUMMYFUNCTION("""COMPUTED_VALUE"""),"Attack")</f>
        <v>Attack</v>
      </c>
      <c r="J132" s="250" t="str">
        <f>IFERROR(__xludf.DUMMYFUNCTION("""COMPUTED_VALUE"""),"Blue")</f>
        <v>Blue</v>
      </c>
      <c r="K132" s="250">
        <f>IFERROR(__xludf.DUMMYFUNCTION("""COMPUTED_VALUE"""),100000.0)</f>
        <v>100000</v>
      </c>
      <c r="L132" s="250">
        <f>IFERROR(__xludf.DUMMYFUNCTION("""COMPUTED_VALUE"""),2.0)</f>
        <v>2</v>
      </c>
      <c r="M132" s="250">
        <f>IFERROR(__xludf.DUMMYFUNCTION("""COMPUTED_VALUE"""),65.0)</f>
        <v>65</v>
      </c>
      <c r="N132" s="250">
        <f>IFERROR(__xludf.DUMMYFUNCTION("""COMPUTED_VALUE"""),0.11)</f>
        <v>0.11</v>
      </c>
      <c r="O132" s="250">
        <f>IFERROR(__xludf.DUMMYFUNCTION("""COMPUTED_VALUE"""),1500.0)</f>
        <v>1500</v>
      </c>
      <c r="P132" s="250">
        <f>IFERROR(__xludf.DUMMYFUNCTION("""COMPUTED_VALUE"""),0.0)</f>
        <v>0</v>
      </c>
      <c r="Q132" s="250">
        <f>IFERROR(__xludf.DUMMYFUNCTION("""COMPUTED_VALUE"""),0.3)</f>
        <v>0.3</v>
      </c>
      <c r="R132" s="250">
        <f>IFERROR(__xludf.DUMMYFUNCTION("""COMPUTED_VALUE"""),1.0)</f>
        <v>1</v>
      </c>
      <c r="S132" s="250">
        <f>IFERROR(__xludf.DUMMYFUNCTION("""COMPUTED_VALUE"""),1.0)</f>
        <v>1</v>
      </c>
      <c r="T132" s="253" t="str">
        <f>IFERROR(__xludf.DUMMYFUNCTION("""COMPUTED_VALUE"""),"1.00")</f>
        <v>1.00</v>
      </c>
      <c r="U132" s="250" t="str">
        <f>IFERROR(__xludf.DUMMYFUNCTION("""COMPUTED_VALUE"""),"0.50")</f>
        <v>0.50</v>
      </c>
      <c r="V132" s="250">
        <f>IFERROR(__xludf.DUMMYFUNCTION("""COMPUTED_VALUE"""),75.0)</f>
        <v>75</v>
      </c>
      <c r="W132" s="250"/>
      <c r="X132" s="250"/>
      <c r="Y132" s="250"/>
      <c r="Z132" s="250"/>
      <c r="AA132" s="235"/>
      <c r="AB132" s="235" t="str">
        <f>IFERROR(__xludf.DUMMYFUNCTION("""COMPUTED_VALUE"""),"dageki_1")</f>
        <v>dageki_1</v>
      </c>
      <c r="AC132" s="235"/>
    </row>
    <row r="133">
      <c r="A133" s="235"/>
      <c r="B133" s="250" t="str">
        <f>IFERROR(__xludf.DUMMYFUNCTION("""COMPUTED_VALUE"""),"enemy_glo_00001")</f>
        <v>enemy_glo_00001</v>
      </c>
      <c r="C133" s="252" t="str">
        <f>IFERROR(__xludf.DUMMYFUNCTION("""COMPUTED_VALUE"""),"_general_ori3_vh2_big")</f>
        <v>_general_ori3_vh2_big</v>
      </c>
      <c r="D133" s="252" t="str">
        <f>IFERROR(__xludf.DUMMYFUNCTION("""COMPUTED_VALUE"""),"e_glo_00001_general_ori3_vh2_big_Normal_Blue")</f>
        <v>e_glo_00001_general_ori3_vh2_big_Normal_Blue</v>
      </c>
      <c r="E133" s="252" t="str">
        <f>IFERROR(__xludf.DUMMYFUNCTION("""COMPUTED_VALUE"""),"GLOW")</f>
        <v>GLOW</v>
      </c>
      <c r="F133" s="252" t="str">
        <f>IFERROR(__xludf.DUMMYFUNCTION("""COMPUTED_VALUE"""),"ファントム")</f>
        <v>ファントム</v>
      </c>
      <c r="G133" s="252" t="str">
        <f>IFERROR(__xludf.DUMMYFUNCTION("""COMPUTED_VALUE"""),"ファントム_general_ori3_vh2_big")</f>
        <v>ファントム_general_ori3_vh2_big</v>
      </c>
      <c r="H133" s="250" t="str">
        <f>IFERROR(__xludf.DUMMYFUNCTION("""COMPUTED_VALUE"""),"Normal")</f>
        <v>Normal</v>
      </c>
      <c r="I133" s="250" t="str">
        <f>IFERROR(__xludf.DUMMYFUNCTION("""COMPUTED_VALUE"""),"Technical")</f>
        <v>Technical</v>
      </c>
      <c r="J133" s="250" t="str">
        <f>IFERROR(__xludf.DUMMYFUNCTION("""COMPUTED_VALUE"""),"Blue")</f>
        <v>Blue</v>
      </c>
      <c r="K133" s="250">
        <f>IFERROR(__xludf.DUMMYFUNCTION("""COMPUTED_VALUE"""),350000.0)</f>
        <v>350000</v>
      </c>
      <c r="L133" s="250">
        <f>IFERROR(__xludf.DUMMYFUNCTION("""COMPUTED_VALUE"""),2.0)</f>
        <v>2</v>
      </c>
      <c r="M133" s="250">
        <f>IFERROR(__xludf.DUMMYFUNCTION("""COMPUTED_VALUE"""),55.0)</f>
        <v>55</v>
      </c>
      <c r="N133" s="250">
        <f>IFERROR(__xludf.DUMMYFUNCTION("""COMPUTED_VALUE"""),0.2)</f>
        <v>0.2</v>
      </c>
      <c r="O133" s="250">
        <f>IFERROR(__xludf.DUMMYFUNCTION("""COMPUTED_VALUE"""),1000.0)</f>
        <v>1000</v>
      </c>
      <c r="P133" s="250">
        <f>IFERROR(__xludf.DUMMYFUNCTION("""COMPUTED_VALUE"""),0.0)</f>
        <v>0</v>
      </c>
      <c r="Q133" s="250">
        <f>IFERROR(__xludf.DUMMYFUNCTION("""COMPUTED_VALUE"""),0.3)</f>
        <v>0.3</v>
      </c>
      <c r="R133" s="250">
        <f>IFERROR(__xludf.DUMMYFUNCTION("""COMPUTED_VALUE"""),1.0)</f>
        <v>1</v>
      </c>
      <c r="S133" s="250">
        <f>IFERROR(__xludf.DUMMYFUNCTION("""COMPUTED_VALUE"""),1.0)</f>
        <v>1</v>
      </c>
      <c r="T133" s="253" t="str">
        <f>IFERROR(__xludf.DUMMYFUNCTION("""COMPUTED_VALUE"""),"1.00")</f>
        <v>1.00</v>
      </c>
      <c r="U133" s="250" t="str">
        <f>IFERROR(__xludf.DUMMYFUNCTION("""COMPUTED_VALUE"""),"0.50")</f>
        <v>0.50</v>
      </c>
      <c r="V133" s="250">
        <f>IFERROR(__xludf.DUMMYFUNCTION("""COMPUTED_VALUE"""),75.0)</f>
        <v>75</v>
      </c>
      <c r="W133" s="250"/>
      <c r="X133" s="250"/>
      <c r="Y133" s="250"/>
      <c r="Z133" s="250"/>
      <c r="AA133" s="235"/>
      <c r="AB133" s="235" t="str">
        <f>IFERROR(__xludf.DUMMYFUNCTION("""COMPUTED_VALUE"""),"dageki_1")</f>
        <v>dageki_1</v>
      </c>
      <c r="AC133" s="235"/>
    </row>
    <row r="134">
      <c r="A134" s="235"/>
      <c r="B134" s="250" t="str">
        <f>IFERROR(__xludf.DUMMYFUNCTION("""COMPUTED_VALUE"""),"chara_sur_00201")</f>
        <v>chara_sur_00201</v>
      </c>
      <c r="C134" s="252" t="str">
        <f>IFERROR(__xludf.DUMMYFUNCTION("""COMPUTED_VALUE"""),"_general_ori3_vh2")</f>
        <v>_general_ori3_vh2</v>
      </c>
      <c r="D134" s="252" t="str">
        <f>IFERROR(__xludf.DUMMYFUNCTION("""COMPUTED_VALUE"""),"c_sur_00201_general_ori3_vh2_Normal_Blue")</f>
        <v>c_sur_00201_general_ori3_vh2_Normal_Blue</v>
      </c>
      <c r="E134" s="252" t="str">
        <f>IFERROR(__xludf.DUMMYFUNCTION("""COMPUTED_VALUE"""),"魔都精兵のスレイブ")</f>
        <v>魔都精兵のスレイブ</v>
      </c>
      <c r="F134" s="252" t="str">
        <f>IFERROR(__xludf.DUMMYFUNCTION("""COMPUTED_VALUE"""),"東 日万凛")</f>
        <v>東 日万凛</v>
      </c>
      <c r="G134" s="252" t="str">
        <f>IFERROR(__xludf.DUMMYFUNCTION("""COMPUTED_VALUE"""),"東 日万凛_general_ori3_vh2")</f>
        <v>東 日万凛_general_ori3_vh2</v>
      </c>
      <c r="H134" s="250" t="str">
        <f>IFERROR(__xludf.DUMMYFUNCTION("""COMPUTED_VALUE"""),"Normal")</f>
        <v>Normal</v>
      </c>
      <c r="I134" s="250" t="str">
        <f>IFERROR(__xludf.DUMMYFUNCTION("""COMPUTED_VALUE"""),"Attack")</f>
        <v>Attack</v>
      </c>
      <c r="J134" s="250" t="str">
        <f>IFERROR(__xludf.DUMMYFUNCTION("""COMPUTED_VALUE"""),"Blue")</f>
        <v>Blue</v>
      </c>
      <c r="K134" s="250">
        <f>IFERROR(__xludf.DUMMYFUNCTION("""COMPUTED_VALUE"""),400000.0)</f>
        <v>400000</v>
      </c>
      <c r="L134" s="250">
        <f>IFERROR(__xludf.DUMMYFUNCTION("""COMPUTED_VALUE"""),2.0)</f>
        <v>2</v>
      </c>
      <c r="M134" s="250">
        <f>IFERROR(__xludf.DUMMYFUNCTION("""COMPUTED_VALUE"""),55.0)</f>
        <v>55</v>
      </c>
      <c r="N134" s="250">
        <f>IFERROR(__xludf.DUMMYFUNCTION("""COMPUTED_VALUE"""),0.11)</f>
        <v>0.11</v>
      </c>
      <c r="O134" s="250">
        <f>IFERROR(__xludf.DUMMYFUNCTION("""COMPUTED_VALUE"""),600.0)</f>
        <v>600</v>
      </c>
      <c r="P134" s="250">
        <f>IFERROR(__xludf.DUMMYFUNCTION("""COMPUTED_VALUE"""),0.0)</f>
        <v>0</v>
      </c>
      <c r="Q134" s="250">
        <f>IFERROR(__xludf.DUMMYFUNCTION("""COMPUTED_VALUE"""),0.3)</f>
        <v>0.3</v>
      </c>
      <c r="R134" s="250">
        <f>IFERROR(__xludf.DUMMYFUNCTION("""COMPUTED_VALUE"""),1.0)</f>
        <v>1</v>
      </c>
      <c r="S134" s="250">
        <f>IFERROR(__xludf.DUMMYFUNCTION("""COMPUTED_VALUE"""),1.0)</f>
        <v>1</v>
      </c>
      <c r="T134" s="253" t="str">
        <f>IFERROR(__xludf.DUMMYFUNCTION("""COMPUTED_VALUE"""),"1.47")</f>
        <v>1.47</v>
      </c>
      <c r="U134" s="250" t="str">
        <f>IFERROR(__xludf.DUMMYFUNCTION("""COMPUTED_VALUE"""),"stop無:1回目 0.37")</f>
        <v>stop無:1回目 0.37</v>
      </c>
      <c r="V134" s="250">
        <f>IFERROR(__xludf.DUMMYFUNCTION("""COMPUTED_VALUE"""),45.0)</f>
        <v>45</v>
      </c>
      <c r="W134" s="250" t="str">
        <f>IFERROR(__xludf.DUMMYFUNCTION("""COMPUTED_VALUE"""),"2.67")</f>
        <v>2.67</v>
      </c>
      <c r="X134" s="250"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34" s="250" t="str">
        <f>IFERROR(__xludf.DUMMYFUNCTION("""COMPUTED_VALUE"""),"連続攻撃")</f>
        <v>連続攻撃</v>
      </c>
      <c r="Z134" s="250"/>
      <c r="AA134" s="235"/>
      <c r="AB134" s="235" t="str">
        <f>IFERROR(__xludf.DUMMYFUNCTION("""COMPUTED_VALUE"""),"shageki_1")</f>
        <v>shageki_1</v>
      </c>
      <c r="AC134" s="235"/>
    </row>
    <row r="135">
      <c r="A135" s="235"/>
      <c r="B135" s="250" t="str">
        <f>IFERROR(__xludf.DUMMYFUNCTION("""COMPUTED_VALUE"""),"chara_sur_00301")</f>
        <v>chara_sur_00301</v>
      </c>
      <c r="C135" s="252" t="str">
        <f>IFERROR(__xludf.DUMMYFUNCTION("""COMPUTED_VALUE"""),"_general_ori3_vh2")</f>
        <v>_general_ori3_vh2</v>
      </c>
      <c r="D135" s="252" t="str">
        <f>IFERROR(__xludf.DUMMYFUNCTION("""COMPUTED_VALUE"""),"c_sur_00301_general_ori3_vh2_Normal_Blue")</f>
        <v>c_sur_00301_general_ori3_vh2_Normal_Blue</v>
      </c>
      <c r="E135" s="252" t="str">
        <f>IFERROR(__xludf.DUMMYFUNCTION("""COMPUTED_VALUE"""),"魔都精兵のスレイブ")</f>
        <v>魔都精兵のスレイブ</v>
      </c>
      <c r="F135" s="252" t="str">
        <f>IFERROR(__xludf.DUMMYFUNCTION("""COMPUTED_VALUE"""),"駿河 朱々")</f>
        <v>駿河 朱々</v>
      </c>
      <c r="G135" s="252" t="str">
        <f>IFERROR(__xludf.DUMMYFUNCTION("""COMPUTED_VALUE"""),"駿河 朱々_general_ori3_vh2")</f>
        <v>駿河 朱々_general_ori3_vh2</v>
      </c>
      <c r="H135" s="250" t="str">
        <f>IFERROR(__xludf.DUMMYFUNCTION("""COMPUTED_VALUE"""),"Normal")</f>
        <v>Normal</v>
      </c>
      <c r="I135" s="250" t="str">
        <f>IFERROR(__xludf.DUMMYFUNCTION("""COMPUTED_VALUE"""),"Defense")</f>
        <v>Defense</v>
      </c>
      <c r="J135" s="250" t="str">
        <f>IFERROR(__xludf.DUMMYFUNCTION("""COMPUTED_VALUE"""),"Blue")</f>
        <v>Blue</v>
      </c>
      <c r="K135" s="250">
        <f>IFERROR(__xludf.DUMMYFUNCTION("""COMPUTED_VALUE"""),500000.0)</f>
        <v>500000</v>
      </c>
      <c r="L135" s="250">
        <f>IFERROR(__xludf.DUMMYFUNCTION("""COMPUTED_VALUE"""),2.0)</f>
        <v>2</v>
      </c>
      <c r="M135" s="250">
        <f>IFERROR(__xludf.DUMMYFUNCTION("""COMPUTED_VALUE"""),55.0)</f>
        <v>55</v>
      </c>
      <c r="N135" s="250">
        <f>IFERROR(__xludf.DUMMYFUNCTION("""COMPUTED_VALUE"""),0.2)</f>
        <v>0.2</v>
      </c>
      <c r="O135" s="250">
        <f>IFERROR(__xludf.DUMMYFUNCTION("""COMPUTED_VALUE"""),1200.0)</f>
        <v>1200</v>
      </c>
      <c r="P135" s="250">
        <f>IFERROR(__xludf.DUMMYFUNCTION("""COMPUTED_VALUE"""),0.0)</f>
        <v>0</v>
      </c>
      <c r="Q135" s="250">
        <f>IFERROR(__xludf.DUMMYFUNCTION("""COMPUTED_VALUE"""),0.3)</f>
        <v>0.3</v>
      </c>
      <c r="R135" s="250">
        <f>IFERROR(__xludf.DUMMYFUNCTION("""COMPUTED_VALUE"""),1.0)</f>
        <v>1</v>
      </c>
      <c r="S135" s="250">
        <f>IFERROR(__xludf.DUMMYFUNCTION("""COMPUTED_VALUE"""),1.0)</f>
        <v>1</v>
      </c>
      <c r="T135" s="253" t="str">
        <f>IFERROR(__xludf.DUMMYFUNCTION("""COMPUTED_VALUE"""),"1.56")</f>
        <v>1.56</v>
      </c>
      <c r="U135" s="250" t="str">
        <f>IFERROR(__xludf.DUMMYFUNCTION("""COMPUTED_VALUE"""),"0.66")</f>
        <v>0.66</v>
      </c>
      <c r="V135" s="250">
        <f>IFERROR(__xludf.DUMMYFUNCTION("""COMPUTED_VALUE"""),45.0)</f>
        <v>45</v>
      </c>
      <c r="W135" s="250" t="str">
        <f>IFERROR(__xludf.DUMMYFUNCTION("""COMPUTED_VALUE"""),"1.91")</f>
        <v>1.91</v>
      </c>
      <c r="X135" s="250" t="str">
        <f>IFERROR(__xludf.DUMMYFUNCTION("""COMPUTED_VALUE"""),"0.73")</f>
        <v>0.73</v>
      </c>
      <c r="Y135" s="250" t="str">
        <f>IFERROR(__xludf.DUMMYFUNCTION("""COMPUTED_VALUE"""),"単体攻撃+100%の確率で範囲に3秒間スタン攻撃")</f>
        <v>単体攻撃+100%の確率で範囲に3秒間スタン攻撃</v>
      </c>
      <c r="Z135" s="250"/>
      <c r="AA135" s="235"/>
      <c r="AB135" s="235" t="str">
        <f>IFERROR(__xludf.DUMMYFUNCTION("""COMPUTED_VALUE"""),"dageki_1")</f>
        <v>dageki_1</v>
      </c>
      <c r="AC135" s="235"/>
    </row>
    <row r="136">
      <c r="A136" s="235"/>
      <c r="B136" s="250" t="str">
        <f>IFERROR(__xludf.DUMMYFUNCTION("""COMPUTED_VALUE"""),"chara_chi_00002")</f>
        <v>chara_chi_00002</v>
      </c>
      <c r="C136" s="252" t="str">
        <f>IFERROR(__xludf.DUMMYFUNCTION("""COMPUTED_VALUE"""),"_general_ori3_vh2")</f>
        <v>_general_ori3_vh2</v>
      </c>
      <c r="D136" s="252" t="str">
        <f>IFERROR(__xludf.DUMMYFUNCTION("""COMPUTED_VALUE"""),"c_chi_00002_general_ori3_vh2_Normal_Blue")</f>
        <v>c_chi_00002_general_ori3_vh2_Normal_Blue</v>
      </c>
      <c r="E136" s="252" t="str">
        <f>IFERROR(__xludf.DUMMYFUNCTION("""COMPUTED_VALUE"""),"チェンソーマン")</f>
        <v>チェンソーマン</v>
      </c>
      <c r="F136" s="252" t="str">
        <f>IFERROR(__xludf.DUMMYFUNCTION("""COMPUTED_VALUE"""),"悪魔が恐れる悪魔 チェンソーマン")</f>
        <v>悪魔が恐れる悪魔 チェンソーマン</v>
      </c>
      <c r="G136" s="252" t="str">
        <f>IFERROR(__xludf.DUMMYFUNCTION("""COMPUTED_VALUE"""),"悪魔が恐れる悪魔 チェンソーマン_general_ori3_vh2")</f>
        <v>悪魔が恐れる悪魔 チェンソーマン_general_ori3_vh2</v>
      </c>
      <c r="H136" s="250" t="str">
        <f>IFERROR(__xludf.DUMMYFUNCTION("""COMPUTED_VALUE"""),"Normal")</f>
        <v>Normal</v>
      </c>
      <c r="I136" s="250" t="str">
        <f>IFERROR(__xludf.DUMMYFUNCTION("""COMPUTED_VALUE"""),"Technical")</f>
        <v>Technical</v>
      </c>
      <c r="J136" s="250" t="str">
        <f>IFERROR(__xludf.DUMMYFUNCTION("""COMPUTED_VALUE"""),"Blue")</f>
        <v>Blue</v>
      </c>
      <c r="K136" s="250">
        <f>IFERROR(__xludf.DUMMYFUNCTION("""COMPUTED_VALUE"""),1000000.0)</f>
        <v>1000000</v>
      </c>
      <c r="L136" s="250">
        <f>IFERROR(__xludf.DUMMYFUNCTION("""COMPUTED_VALUE"""),2.0)</f>
        <v>2</v>
      </c>
      <c r="M136" s="250">
        <f>IFERROR(__xludf.DUMMYFUNCTION("""COMPUTED_VALUE"""),65.0)</f>
        <v>65</v>
      </c>
      <c r="N136" s="250">
        <f>IFERROR(__xludf.DUMMYFUNCTION("""COMPUTED_VALUE"""),0.15)</f>
        <v>0.15</v>
      </c>
      <c r="O136" s="250">
        <f>IFERROR(__xludf.DUMMYFUNCTION("""COMPUTED_VALUE"""),1000.0)</f>
        <v>1000</v>
      </c>
      <c r="P136" s="250">
        <f>IFERROR(__xludf.DUMMYFUNCTION("""COMPUTED_VALUE"""),0.0)</f>
        <v>0</v>
      </c>
      <c r="Q136" s="250">
        <f>IFERROR(__xludf.DUMMYFUNCTION("""COMPUTED_VALUE"""),0.2)</f>
        <v>0.2</v>
      </c>
      <c r="R136" s="250">
        <f>IFERROR(__xludf.DUMMYFUNCTION("""COMPUTED_VALUE"""),100.0)</f>
        <v>100</v>
      </c>
      <c r="S136" s="250">
        <f>IFERROR(__xludf.DUMMYFUNCTION("""COMPUTED_VALUE"""),1.0)</f>
        <v>1</v>
      </c>
      <c r="T136" s="253" t="str">
        <f>IFERROR(__xludf.DUMMYFUNCTION("""COMPUTED_VALUE"""),"1.07")</f>
        <v>1.07</v>
      </c>
      <c r="U136" s="250" t="str">
        <f>IFERROR(__xludf.DUMMYFUNCTION("""COMPUTED_VALUE"""),"stop無:1回目 0.66")</f>
        <v>stop無:1回目 0.66</v>
      </c>
      <c r="V136" s="250">
        <f>IFERROR(__xludf.DUMMYFUNCTION("""COMPUTED_VALUE"""),35.0)</f>
        <v>35</v>
      </c>
      <c r="W136" s="250" t="str">
        <f>IFERROR(__xludf.DUMMYFUNCTION("""COMPUTED_VALUE"""),"3.74")</f>
        <v>3.74</v>
      </c>
      <c r="X136" s="250"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Y136" s="250" t="str">
        <f>IFERROR(__xludf.DUMMYFUNCTION("""COMPUTED_VALUE"""),"範囲連続攻撃+各攻撃に与えたダメージの100%回復+小ノックバック")</f>
        <v>範囲連続攻撃+各攻撃に与えたダメージの100%回復+小ノックバック</v>
      </c>
      <c r="Z136" s="250"/>
      <c r="AA136" s="235"/>
      <c r="AB136" s="235" t="str">
        <f>IFERROR(__xludf.DUMMYFUNCTION("""COMPUTED_VALUE"""),"zangeki_1")</f>
        <v>zangeki_1</v>
      </c>
      <c r="AC136" s="235"/>
    </row>
    <row r="137">
      <c r="A137" s="235"/>
      <c r="B137" s="250" t="str">
        <f>IFERROR(__xludf.DUMMYFUNCTION("""COMPUTED_VALUE"""),"chara_rik_00101")</f>
        <v>chara_rik_00101</v>
      </c>
      <c r="C137" s="252" t="str">
        <f>IFERROR(__xludf.DUMMYFUNCTION("""COMPUTED_VALUE"""),"_general_ori3_vh2")</f>
        <v>_general_ori3_vh2</v>
      </c>
      <c r="D137" s="252" t="str">
        <f>IFERROR(__xludf.DUMMYFUNCTION("""COMPUTED_VALUE"""),"c_rik_00101_general_ori3_vh2_Boss_Blue")</f>
        <v>c_rik_00101_general_ori3_vh2_Boss_Blue</v>
      </c>
      <c r="E137" s="252" t="str">
        <f>IFERROR(__xludf.DUMMYFUNCTION("""COMPUTED_VALUE"""),"トマトイプーのリコピン")</f>
        <v>トマトイプーのリコピン</v>
      </c>
      <c r="F137" s="252" t="str">
        <f>IFERROR(__xludf.DUMMYFUNCTION("""COMPUTED_VALUE"""),"甘戸 めめ")</f>
        <v>甘戸 めめ</v>
      </c>
      <c r="G137" s="252" t="str">
        <f>IFERROR(__xludf.DUMMYFUNCTION("""COMPUTED_VALUE"""),"甘戸 めめ_general_ori3_vh2")</f>
        <v>甘戸 めめ_general_ori3_vh2</v>
      </c>
      <c r="H137" s="250" t="str">
        <f>IFERROR(__xludf.DUMMYFUNCTION("""COMPUTED_VALUE"""),"Boss")</f>
        <v>Boss</v>
      </c>
      <c r="I137" s="250" t="str">
        <f>IFERROR(__xludf.DUMMYFUNCTION("""COMPUTED_VALUE"""),"Support")</f>
        <v>Support</v>
      </c>
      <c r="J137" s="250" t="str">
        <f>IFERROR(__xludf.DUMMYFUNCTION("""COMPUTED_VALUE"""),"Blue")</f>
        <v>Blue</v>
      </c>
      <c r="K137" s="250">
        <f>IFERROR(__xludf.DUMMYFUNCTION("""COMPUTED_VALUE"""),650000.0)</f>
        <v>650000</v>
      </c>
      <c r="L137" s="250">
        <f>IFERROR(__xludf.DUMMYFUNCTION("""COMPUTED_VALUE"""),2.0)</f>
        <v>2</v>
      </c>
      <c r="M137" s="250">
        <f>IFERROR(__xludf.DUMMYFUNCTION("""COMPUTED_VALUE"""),35.0)</f>
        <v>35</v>
      </c>
      <c r="N137" s="250">
        <f>IFERROR(__xludf.DUMMYFUNCTION("""COMPUTED_VALUE"""),0.4)</f>
        <v>0.4</v>
      </c>
      <c r="O137" s="250">
        <f>IFERROR(__xludf.DUMMYFUNCTION("""COMPUTED_VALUE"""),2500.0)</f>
        <v>2500</v>
      </c>
      <c r="P137" s="250">
        <f>IFERROR(__xludf.DUMMYFUNCTION("""COMPUTED_VALUE"""),0.0)</f>
        <v>0</v>
      </c>
      <c r="Q137" s="250">
        <f>IFERROR(__xludf.DUMMYFUNCTION("""COMPUTED_VALUE"""),0.6)</f>
        <v>0.6</v>
      </c>
      <c r="R137" s="250">
        <f>IFERROR(__xludf.DUMMYFUNCTION("""COMPUTED_VALUE"""),1.0)</f>
        <v>1</v>
      </c>
      <c r="S137" s="250">
        <f>IFERROR(__xludf.DUMMYFUNCTION("""COMPUTED_VALUE"""),1.0)</f>
        <v>1</v>
      </c>
      <c r="T137" s="253" t="str">
        <f>IFERROR(__xludf.DUMMYFUNCTION("""COMPUTED_VALUE"""),"1.57")</f>
        <v>1.57</v>
      </c>
      <c r="U137" s="250" t="str">
        <f>IFERROR(__xludf.DUMMYFUNCTION("""COMPUTED_VALUE"""),"0.87")</f>
        <v>0.87</v>
      </c>
      <c r="V137" s="250">
        <f>IFERROR(__xludf.DUMMYFUNCTION("""COMPUTED_VALUE"""),175.0)</f>
        <v>175</v>
      </c>
      <c r="W137" s="250" t="str">
        <f>IFERROR(__xludf.DUMMYFUNCTION("""COMPUTED_VALUE"""),"2.67")</f>
        <v>2.67</v>
      </c>
      <c r="X137" s="250" t="str">
        <f>IFERROR(__xludf.DUMMYFUNCTION("""COMPUTED_VALUE"""),"stop無:1.00")</f>
        <v>stop無:1.00</v>
      </c>
      <c r="Y137" s="250" t="str">
        <f>IFERROR(__xludf.DUMMYFUNCTION("""COMPUTED_VALUE"""),"199秒間、自身の攻撃35%up+敵ディフェンスタイプのHP5%回復+敵テクニカルタイプの敵のHP10%回復")</f>
        <v>199秒間、自身の攻撃35%up+敵ディフェンスタイプのHP5%回復+敵テクニカルタイプの敵のHP10%回復</v>
      </c>
      <c r="Z137" s="250"/>
      <c r="AA137" s="235"/>
      <c r="AB137" s="235" t="str">
        <f>IFERROR(__xludf.DUMMYFUNCTION("""COMPUTED_VALUE"""),"dageki_2")</f>
        <v>dageki_2</v>
      </c>
      <c r="AC137" s="235"/>
    </row>
    <row r="138">
      <c r="A138" s="235"/>
      <c r="B138" s="250"/>
      <c r="C138" s="252"/>
      <c r="D138" s="252" t="str">
        <f>IFERROR(__xludf.DUMMYFUNCTION("""COMPUTED_VALUE"""),"___")</f>
        <v>___</v>
      </c>
      <c r="E138" s="252" t="str">
        <f>IFERROR(__xludf.DUMMYFUNCTION("""COMPUTED_VALUE"""),"none")</f>
        <v>none</v>
      </c>
      <c r="F138" s="252" t="str">
        <f>IFERROR(__xludf.DUMMYFUNCTION("""COMPUTED_VALUE"""),"none")</f>
        <v>none</v>
      </c>
      <c r="G138" s="252" t="str">
        <f>IFERROR(__xludf.DUMMYFUNCTION("""COMPUTED_VALUE"""),"none")</f>
        <v>none</v>
      </c>
      <c r="H138" s="250"/>
      <c r="I138" s="250" t="str">
        <f>IFERROR(__xludf.DUMMYFUNCTION("""COMPUTED_VALUE"""),"none")</f>
        <v>none</v>
      </c>
      <c r="J138" s="250"/>
      <c r="K138" s="250"/>
      <c r="L138" s="250"/>
      <c r="M138" s="250"/>
      <c r="N138" s="250"/>
      <c r="O138" s="250"/>
      <c r="P138" s="250"/>
      <c r="Q138" s="250"/>
      <c r="R138" s="250"/>
      <c r="S138" s="250"/>
      <c r="T138" s="253" t="str">
        <f>IFERROR(__xludf.DUMMYFUNCTION("""COMPUTED_VALUE"""),"none")</f>
        <v>none</v>
      </c>
      <c r="U138" s="250" t="str">
        <f>IFERROR(__xludf.DUMMYFUNCTION("""COMPUTED_VALUE"""),"none")</f>
        <v>none</v>
      </c>
      <c r="V138" s="250"/>
      <c r="W138" s="250" t="str">
        <f>IFERROR(__xludf.DUMMYFUNCTION("""COMPUTED_VALUE"""),"none")</f>
        <v>none</v>
      </c>
      <c r="X138" s="250" t="str">
        <f>IFERROR(__xludf.DUMMYFUNCTION("""COMPUTED_VALUE"""),"none")</f>
        <v>none</v>
      </c>
      <c r="Y138" s="250"/>
      <c r="Z138" s="250"/>
      <c r="AA138" s="235"/>
      <c r="AB138" s="235" t="str">
        <f>IFERROR(__xludf.DUMMYFUNCTION("""COMPUTED_VALUE"""),"none")</f>
        <v>none</v>
      </c>
      <c r="AC138" s="235"/>
    </row>
    <row r="139">
      <c r="A139" s="235"/>
      <c r="B139" s="250" t="str">
        <f>IFERROR(__xludf.DUMMYFUNCTION("""COMPUTED_VALUE"""),"enemy_glo_00001")</f>
        <v>enemy_glo_00001</v>
      </c>
      <c r="C139" s="252" t="str">
        <f>IFERROR(__xludf.DUMMYFUNCTION("""COMPUTED_VALUE"""),"_general_ori3_vh3")</f>
        <v>_general_ori3_vh3</v>
      </c>
      <c r="D139" s="252" t="str">
        <f>IFERROR(__xludf.DUMMYFUNCTION("""COMPUTED_VALUE"""),"e_glo_00001_general_ori3_vh3_Normal_Colorless")</f>
        <v>e_glo_00001_general_ori3_vh3_Normal_Colorless</v>
      </c>
      <c r="E139" s="252" t="str">
        <f>IFERROR(__xludf.DUMMYFUNCTION("""COMPUTED_VALUE"""),"GLOW")</f>
        <v>GLOW</v>
      </c>
      <c r="F139" s="252" t="str">
        <f>IFERROR(__xludf.DUMMYFUNCTION("""COMPUTED_VALUE"""),"ファントム")</f>
        <v>ファントム</v>
      </c>
      <c r="G139" s="252" t="str">
        <f>IFERROR(__xludf.DUMMYFUNCTION("""COMPUTED_VALUE"""),"ファントム_general_ori3_vh3")</f>
        <v>ファントム_general_ori3_vh3</v>
      </c>
      <c r="H139" s="250" t="str">
        <f>IFERROR(__xludf.DUMMYFUNCTION("""COMPUTED_VALUE"""),"Normal")</f>
        <v>Normal</v>
      </c>
      <c r="I139" s="250" t="str">
        <f>IFERROR(__xludf.DUMMYFUNCTION("""COMPUTED_VALUE"""),"Attack")</f>
        <v>Attack</v>
      </c>
      <c r="J139" s="250" t="str">
        <f>IFERROR(__xludf.DUMMYFUNCTION("""COMPUTED_VALUE"""),"Colorless")</f>
        <v>Colorless</v>
      </c>
      <c r="K139" s="250">
        <f>IFERROR(__xludf.DUMMYFUNCTION("""COMPUTED_VALUE"""),45000.0)</f>
        <v>45000</v>
      </c>
      <c r="L139" s="250">
        <f>IFERROR(__xludf.DUMMYFUNCTION("""COMPUTED_VALUE"""),2.0)</f>
        <v>2</v>
      </c>
      <c r="M139" s="250">
        <f>IFERROR(__xludf.DUMMYFUNCTION("""COMPUTED_VALUE"""),65.0)</f>
        <v>65</v>
      </c>
      <c r="N139" s="250">
        <f>IFERROR(__xludf.DUMMYFUNCTION("""COMPUTED_VALUE"""),0.11)</f>
        <v>0.11</v>
      </c>
      <c r="O139" s="250">
        <f>IFERROR(__xludf.DUMMYFUNCTION("""COMPUTED_VALUE"""),800.0)</f>
        <v>800</v>
      </c>
      <c r="P139" s="250">
        <f>IFERROR(__xludf.DUMMYFUNCTION("""COMPUTED_VALUE"""),0.0)</f>
        <v>0</v>
      </c>
      <c r="Q139" s="250">
        <f>IFERROR(__xludf.DUMMYFUNCTION("""COMPUTED_VALUE"""),0.3)</f>
        <v>0.3</v>
      </c>
      <c r="R139" s="250">
        <f>IFERROR(__xludf.DUMMYFUNCTION("""COMPUTED_VALUE"""),1.0)</f>
        <v>1</v>
      </c>
      <c r="S139" s="250">
        <f>IFERROR(__xludf.DUMMYFUNCTION("""COMPUTED_VALUE"""),1.0)</f>
        <v>1</v>
      </c>
      <c r="T139" s="253" t="str">
        <f>IFERROR(__xludf.DUMMYFUNCTION("""COMPUTED_VALUE"""),"1.00")</f>
        <v>1.00</v>
      </c>
      <c r="U139" s="250" t="str">
        <f>IFERROR(__xludf.DUMMYFUNCTION("""COMPUTED_VALUE"""),"0.50")</f>
        <v>0.50</v>
      </c>
      <c r="V139" s="250">
        <f>IFERROR(__xludf.DUMMYFUNCTION("""COMPUTED_VALUE"""),75.0)</f>
        <v>75</v>
      </c>
      <c r="W139" s="250"/>
      <c r="X139" s="250"/>
      <c r="Y139" s="250"/>
      <c r="Z139" s="250"/>
      <c r="AA139" s="235"/>
      <c r="AB139" s="235" t="str">
        <f>IFERROR(__xludf.DUMMYFUNCTION("""COMPUTED_VALUE"""),"dageki_1")</f>
        <v>dageki_1</v>
      </c>
      <c r="AC139" s="235"/>
    </row>
    <row r="140">
      <c r="A140" s="235"/>
      <c r="B140" s="250" t="str">
        <f>IFERROR(__xludf.DUMMYFUNCTION("""COMPUTED_VALUE"""),"enemy_glo_00001")</f>
        <v>enemy_glo_00001</v>
      </c>
      <c r="C140" s="252" t="str">
        <f>IFERROR(__xludf.DUMMYFUNCTION("""COMPUTED_VALUE"""),"_general_ori3_vh3_big")</f>
        <v>_general_ori3_vh3_big</v>
      </c>
      <c r="D140" s="252" t="str">
        <f>IFERROR(__xludf.DUMMYFUNCTION("""COMPUTED_VALUE"""),"e_glo_00001_general_ori3_vh3_big_Normal_Colorless")</f>
        <v>e_glo_00001_general_ori3_vh3_big_Normal_Colorless</v>
      </c>
      <c r="E140" s="252" t="str">
        <f>IFERROR(__xludf.DUMMYFUNCTION("""COMPUTED_VALUE"""),"GLOW")</f>
        <v>GLOW</v>
      </c>
      <c r="F140" s="252" t="str">
        <f>IFERROR(__xludf.DUMMYFUNCTION("""COMPUTED_VALUE"""),"ファントム")</f>
        <v>ファントム</v>
      </c>
      <c r="G140" s="252" t="str">
        <f>IFERROR(__xludf.DUMMYFUNCTION("""COMPUTED_VALUE"""),"ファントム_general_ori3_vh3_big")</f>
        <v>ファントム_general_ori3_vh3_big</v>
      </c>
      <c r="H140" s="250" t="str">
        <f>IFERROR(__xludf.DUMMYFUNCTION("""COMPUTED_VALUE"""),"Normal")</f>
        <v>Normal</v>
      </c>
      <c r="I140" s="250" t="str">
        <f>IFERROR(__xludf.DUMMYFUNCTION("""COMPUTED_VALUE"""),"Attack")</f>
        <v>Attack</v>
      </c>
      <c r="J140" s="250" t="str">
        <f>IFERROR(__xludf.DUMMYFUNCTION("""COMPUTED_VALUE"""),"Colorless")</f>
        <v>Colorless</v>
      </c>
      <c r="K140" s="250">
        <f>IFERROR(__xludf.DUMMYFUNCTION("""COMPUTED_VALUE"""),150000.0)</f>
        <v>150000</v>
      </c>
      <c r="L140" s="250">
        <f>IFERROR(__xludf.DUMMYFUNCTION("""COMPUTED_VALUE"""),2.0)</f>
        <v>2</v>
      </c>
      <c r="M140" s="250">
        <f>IFERROR(__xludf.DUMMYFUNCTION("""COMPUTED_VALUE"""),55.0)</f>
        <v>55</v>
      </c>
      <c r="N140" s="250">
        <f>IFERROR(__xludf.DUMMYFUNCTION("""COMPUTED_VALUE"""),0.2)</f>
        <v>0.2</v>
      </c>
      <c r="O140" s="250">
        <f>IFERROR(__xludf.DUMMYFUNCTION("""COMPUTED_VALUE"""),800.0)</f>
        <v>800</v>
      </c>
      <c r="P140" s="250">
        <f>IFERROR(__xludf.DUMMYFUNCTION("""COMPUTED_VALUE"""),0.0)</f>
        <v>0</v>
      </c>
      <c r="Q140" s="250">
        <f>IFERROR(__xludf.DUMMYFUNCTION("""COMPUTED_VALUE"""),0.3)</f>
        <v>0.3</v>
      </c>
      <c r="R140" s="250">
        <f>IFERROR(__xludf.DUMMYFUNCTION("""COMPUTED_VALUE"""),1.0)</f>
        <v>1</v>
      </c>
      <c r="S140" s="250">
        <f>IFERROR(__xludf.DUMMYFUNCTION("""COMPUTED_VALUE"""),1.0)</f>
        <v>1</v>
      </c>
      <c r="T140" s="253" t="str">
        <f>IFERROR(__xludf.DUMMYFUNCTION("""COMPUTED_VALUE"""),"1.00")</f>
        <v>1.00</v>
      </c>
      <c r="U140" s="250" t="str">
        <f>IFERROR(__xludf.DUMMYFUNCTION("""COMPUTED_VALUE"""),"0.50")</f>
        <v>0.50</v>
      </c>
      <c r="V140" s="250">
        <f>IFERROR(__xludf.DUMMYFUNCTION("""COMPUTED_VALUE"""),75.0)</f>
        <v>75</v>
      </c>
      <c r="W140" s="250"/>
      <c r="X140" s="250"/>
      <c r="Y140" s="250"/>
      <c r="Z140" s="250"/>
      <c r="AA140" s="235"/>
      <c r="AB140" s="235" t="str">
        <f>IFERROR(__xludf.DUMMYFUNCTION("""COMPUTED_VALUE"""),"dageki_1")</f>
        <v>dageki_1</v>
      </c>
      <c r="AC140" s="235"/>
    </row>
    <row r="141">
      <c r="A141" s="235"/>
      <c r="B141" s="250" t="str">
        <f>IFERROR(__xludf.DUMMYFUNCTION("""COMPUTED_VALUE"""),"enemy_glo_00101")</f>
        <v>enemy_glo_00101</v>
      </c>
      <c r="C141" s="252" t="str">
        <f>IFERROR(__xludf.DUMMYFUNCTION("""COMPUTED_VALUE"""),"_general_ori3_vh3")</f>
        <v>_general_ori3_vh3</v>
      </c>
      <c r="D141" s="252" t="str">
        <f>IFERROR(__xludf.DUMMYFUNCTION("""COMPUTED_VALUE"""),"e_glo_00101_general_ori3_vh3_Boss_Colorless")</f>
        <v>e_glo_00101_general_ori3_vh3_Boss_Colorless</v>
      </c>
      <c r="E141" s="252" t="str">
        <f>IFERROR(__xludf.DUMMYFUNCTION("""COMPUTED_VALUE"""),"GLOW")</f>
        <v>GLOW</v>
      </c>
      <c r="F141" s="252" t="str">
        <f>IFERROR(__xludf.DUMMYFUNCTION("""COMPUTED_VALUE"""),"ボスファントム")</f>
        <v>ボスファントム</v>
      </c>
      <c r="G141" s="252" t="str">
        <f>IFERROR(__xludf.DUMMYFUNCTION("""COMPUTED_VALUE"""),"中ボスエネミー_general_ori3_vh3")</f>
        <v>中ボスエネミー_general_ori3_vh3</v>
      </c>
      <c r="H141" s="250" t="str">
        <f>IFERROR(__xludf.DUMMYFUNCTION("""COMPUTED_VALUE"""),"Boss")</f>
        <v>Boss</v>
      </c>
      <c r="I141" s="250" t="str">
        <f>IFERROR(__xludf.DUMMYFUNCTION("""COMPUTED_VALUE"""),"Attack")</f>
        <v>Attack</v>
      </c>
      <c r="J141" s="250" t="str">
        <f>IFERROR(__xludf.DUMMYFUNCTION("""COMPUTED_VALUE"""),"Colorless")</f>
        <v>Colorless</v>
      </c>
      <c r="K141" s="250">
        <f>IFERROR(__xludf.DUMMYFUNCTION("""COMPUTED_VALUE"""),300000.0)</f>
        <v>300000</v>
      </c>
      <c r="L141" s="250">
        <f>IFERROR(__xludf.DUMMYFUNCTION("""COMPUTED_VALUE"""),2.0)</f>
        <v>2</v>
      </c>
      <c r="M141" s="250">
        <f>IFERROR(__xludf.DUMMYFUNCTION("""COMPUTED_VALUE"""),45.0)</f>
        <v>45</v>
      </c>
      <c r="N141" s="250">
        <f>IFERROR(__xludf.DUMMYFUNCTION("""COMPUTED_VALUE"""),0.3)</f>
        <v>0.3</v>
      </c>
      <c r="O141" s="250">
        <f>IFERROR(__xludf.DUMMYFUNCTION("""COMPUTED_VALUE"""),1000.0)</f>
        <v>1000</v>
      </c>
      <c r="P141" s="250">
        <f>IFERROR(__xludf.DUMMYFUNCTION("""COMPUTED_VALUE"""),0.0)</f>
        <v>0</v>
      </c>
      <c r="Q141" s="250">
        <f>IFERROR(__xludf.DUMMYFUNCTION("""COMPUTED_VALUE"""),0.3)</f>
        <v>0.3</v>
      </c>
      <c r="R141" s="250">
        <f>IFERROR(__xludf.DUMMYFUNCTION("""COMPUTED_VALUE"""),1.0)</f>
        <v>1</v>
      </c>
      <c r="S141" s="250">
        <f>IFERROR(__xludf.DUMMYFUNCTION("""COMPUTED_VALUE"""),1.0)</f>
        <v>1</v>
      </c>
      <c r="T141" s="253" t="str">
        <f>IFERROR(__xludf.DUMMYFUNCTION("""COMPUTED_VALUE"""),"1.17")</f>
        <v>1.17</v>
      </c>
      <c r="U141" s="250" t="str">
        <f>IFERROR(__xludf.DUMMYFUNCTION("""COMPUTED_VALUE"""),"stop有:1回目 0.56")</f>
        <v>stop有:1回目 0.56</v>
      </c>
      <c r="V141" s="250">
        <f>IFERROR(__xludf.DUMMYFUNCTION("""COMPUTED_VALUE"""),75.0)</f>
        <v>75</v>
      </c>
      <c r="W141" s="250" t="str">
        <f>IFERROR(__xludf.DUMMYFUNCTION("""COMPUTED_VALUE"""),"-")</f>
        <v>-</v>
      </c>
      <c r="X141" s="250" t="str">
        <f>IFERROR(__xludf.DUMMYFUNCTION("""COMPUTED_VALUE"""),"-")</f>
        <v>-</v>
      </c>
      <c r="Y141" s="250"/>
      <c r="Z141" s="250"/>
      <c r="AA141" s="235"/>
      <c r="AB141" s="235" t="str">
        <f>IFERROR(__xludf.DUMMYFUNCTION("""COMPUTED_VALUE"""),"-")</f>
        <v>-</v>
      </c>
      <c r="AC141" s="235"/>
    </row>
    <row r="142">
      <c r="A142" s="235"/>
      <c r="B142" s="250" t="str">
        <f>IFERROR(__xludf.DUMMYFUNCTION("""COMPUTED_VALUE"""),"enemy_glo_00001")</f>
        <v>enemy_glo_00001</v>
      </c>
      <c r="C142" s="252" t="str">
        <f>IFERROR(__xludf.DUMMYFUNCTION("""COMPUTED_VALUE"""),"_general_ori3_vh3")</f>
        <v>_general_ori3_vh3</v>
      </c>
      <c r="D142" s="252" t="str">
        <f>IFERROR(__xludf.DUMMYFUNCTION("""COMPUTED_VALUE"""),"e_glo_00001_general_ori3_vh3_Normal_Red")</f>
        <v>e_glo_00001_general_ori3_vh3_Normal_Red</v>
      </c>
      <c r="E142" s="252" t="str">
        <f>IFERROR(__xludf.DUMMYFUNCTION("""COMPUTED_VALUE"""),"GLOW")</f>
        <v>GLOW</v>
      </c>
      <c r="F142" s="252" t="str">
        <f>IFERROR(__xludf.DUMMYFUNCTION("""COMPUTED_VALUE"""),"ファントム")</f>
        <v>ファントム</v>
      </c>
      <c r="G142" s="252" t="str">
        <f>IFERROR(__xludf.DUMMYFUNCTION("""COMPUTED_VALUE"""),"ファントム_general_ori3_vh3")</f>
        <v>ファントム_general_ori3_vh3</v>
      </c>
      <c r="H142" s="250" t="str">
        <f>IFERROR(__xludf.DUMMYFUNCTION("""COMPUTED_VALUE"""),"Normal")</f>
        <v>Normal</v>
      </c>
      <c r="I142" s="250" t="str">
        <f>IFERROR(__xludf.DUMMYFUNCTION("""COMPUTED_VALUE"""),"Attack")</f>
        <v>Attack</v>
      </c>
      <c r="J142" s="250" t="str">
        <f>IFERROR(__xludf.DUMMYFUNCTION("""COMPUTED_VALUE"""),"Red")</f>
        <v>Red</v>
      </c>
      <c r="K142" s="250">
        <f>IFERROR(__xludf.DUMMYFUNCTION("""COMPUTED_VALUE"""),100000.0)</f>
        <v>100000</v>
      </c>
      <c r="L142" s="250">
        <f>IFERROR(__xludf.DUMMYFUNCTION("""COMPUTED_VALUE"""),2.0)</f>
        <v>2</v>
      </c>
      <c r="M142" s="250">
        <f>IFERROR(__xludf.DUMMYFUNCTION("""COMPUTED_VALUE"""),65.0)</f>
        <v>65</v>
      </c>
      <c r="N142" s="250">
        <f>IFERROR(__xludf.DUMMYFUNCTION("""COMPUTED_VALUE"""),0.11)</f>
        <v>0.11</v>
      </c>
      <c r="O142" s="250">
        <f>IFERROR(__xludf.DUMMYFUNCTION("""COMPUTED_VALUE"""),1200.0)</f>
        <v>1200</v>
      </c>
      <c r="P142" s="250">
        <f>IFERROR(__xludf.DUMMYFUNCTION("""COMPUTED_VALUE"""),0.0)</f>
        <v>0</v>
      </c>
      <c r="Q142" s="250">
        <f>IFERROR(__xludf.DUMMYFUNCTION("""COMPUTED_VALUE"""),0.3)</f>
        <v>0.3</v>
      </c>
      <c r="R142" s="250">
        <f>IFERROR(__xludf.DUMMYFUNCTION("""COMPUTED_VALUE"""),1.0)</f>
        <v>1</v>
      </c>
      <c r="S142" s="250">
        <f>IFERROR(__xludf.DUMMYFUNCTION("""COMPUTED_VALUE"""),1.0)</f>
        <v>1</v>
      </c>
      <c r="T142" s="253" t="str">
        <f>IFERROR(__xludf.DUMMYFUNCTION("""COMPUTED_VALUE"""),"1.00")</f>
        <v>1.00</v>
      </c>
      <c r="U142" s="250" t="str">
        <f>IFERROR(__xludf.DUMMYFUNCTION("""COMPUTED_VALUE"""),"0.50")</f>
        <v>0.50</v>
      </c>
      <c r="V142" s="250">
        <f>IFERROR(__xludf.DUMMYFUNCTION("""COMPUTED_VALUE"""),75.0)</f>
        <v>75</v>
      </c>
      <c r="W142" s="250"/>
      <c r="X142" s="250"/>
      <c r="Y142" s="250"/>
      <c r="Z142" s="250"/>
      <c r="AA142" s="235"/>
      <c r="AB142" s="235" t="str">
        <f>IFERROR(__xludf.DUMMYFUNCTION("""COMPUTED_VALUE"""),"dageki_1")</f>
        <v>dageki_1</v>
      </c>
      <c r="AC142" s="235"/>
    </row>
    <row r="143">
      <c r="A143" s="235"/>
      <c r="B143" s="250" t="str">
        <f>IFERROR(__xludf.DUMMYFUNCTION("""COMPUTED_VALUE"""),"enemy_glo_00001")</f>
        <v>enemy_glo_00001</v>
      </c>
      <c r="C143" s="252" t="str">
        <f>IFERROR(__xludf.DUMMYFUNCTION("""COMPUTED_VALUE"""),"_general_ori3_vh3_big")</f>
        <v>_general_ori3_vh3_big</v>
      </c>
      <c r="D143" s="252" t="str">
        <f>IFERROR(__xludf.DUMMYFUNCTION("""COMPUTED_VALUE"""),"e_glo_00001_general_ori3_vh3_big_Normal_Red")</f>
        <v>e_glo_00001_general_ori3_vh3_big_Normal_Red</v>
      </c>
      <c r="E143" s="252" t="str">
        <f>IFERROR(__xludf.DUMMYFUNCTION("""COMPUTED_VALUE"""),"GLOW")</f>
        <v>GLOW</v>
      </c>
      <c r="F143" s="252" t="str">
        <f>IFERROR(__xludf.DUMMYFUNCTION("""COMPUTED_VALUE"""),"ファントム")</f>
        <v>ファントム</v>
      </c>
      <c r="G143" s="252" t="str">
        <f>IFERROR(__xludf.DUMMYFUNCTION("""COMPUTED_VALUE"""),"ファントム_general_ori3_vh3_big")</f>
        <v>ファントム_general_ori3_vh3_big</v>
      </c>
      <c r="H143" s="250" t="str">
        <f>IFERROR(__xludf.DUMMYFUNCTION("""COMPUTED_VALUE"""),"Normal")</f>
        <v>Normal</v>
      </c>
      <c r="I143" s="250" t="str">
        <f>IFERROR(__xludf.DUMMYFUNCTION("""COMPUTED_VALUE"""),"Attack")</f>
        <v>Attack</v>
      </c>
      <c r="J143" s="250" t="str">
        <f>IFERROR(__xludf.DUMMYFUNCTION("""COMPUTED_VALUE"""),"Red")</f>
        <v>Red</v>
      </c>
      <c r="K143" s="250">
        <f>IFERROR(__xludf.DUMMYFUNCTION("""COMPUTED_VALUE"""),300000.0)</f>
        <v>300000</v>
      </c>
      <c r="L143" s="250">
        <f>IFERROR(__xludf.DUMMYFUNCTION("""COMPUTED_VALUE"""),2.0)</f>
        <v>2</v>
      </c>
      <c r="M143" s="250">
        <f>IFERROR(__xludf.DUMMYFUNCTION("""COMPUTED_VALUE"""),55.0)</f>
        <v>55</v>
      </c>
      <c r="N143" s="250">
        <f>IFERROR(__xludf.DUMMYFUNCTION("""COMPUTED_VALUE"""),0.2)</f>
        <v>0.2</v>
      </c>
      <c r="O143" s="250">
        <f>IFERROR(__xludf.DUMMYFUNCTION("""COMPUTED_VALUE"""),1500.0)</f>
        <v>1500</v>
      </c>
      <c r="P143" s="250">
        <f>IFERROR(__xludf.DUMMYFUNCTION("""COMPUTED_VALUE"""),0.0)</f>
        <v>0</v>
      </c>
      <c r="Q143" s="250">
        <f>IFERROR(__xludf.DUMMYFUNCTION("""COMPUTED_VALUE"""),0.3)</f>
        <v>0.3</v>
      </c>
      <c r="R143" s="250">
        <f>IFERROR(__xludf.DUMMYFUNCTION("""COMPUTED_VALUE"""),1.0)</f>
        <v>1</v>
      </c>
      <c r="S143" s="250">
        <f>IFERROR(__xludf.DUMMYFUNCTION("""COMPUTED_VALUE"""),1.0)</f>
        <v>1</v>
      </c>
      <c r="T143" s="253" t="str">
        <f>IFERROR(__xludf.DUMMYFUNCTION("""COMPUTED_VALUE"""),"1.00")</f>
        <v>1.00</v>
      </c>
      <c r="U143" s="250" t="str">
        <f>IFERROR(__xludf.DUMMYFUNCTION("""COMPUTED_VALUE"""),"0.50")</f>
        <v>0.50</v>
      </c>
      <c r="V143" s="250">
        <f>IFERROR(__xludf.DUMMYFUNCTION("""COMPUTED_VALUE"""),75.0)</f>
        <v>75</v>
      </c>
      <c r="W143" s="250"/>
      <c r="X143" s="250"/>
      <c r="Y143" s="250"/>
      <c r="Z143" s="250"/>
      <c r="AA143" s="235"/>
      <c r="AB143" s="235" t="str">
        <f>IFERROR(__xludf.DUMMYFUNCTION("""COMPUTED_VALUE"""),"dageki_1")</f>
        <v>dageki_1</v>
      </c>
      <c r="AC143" s="235"/>
    </row>
    <row r="144">
      <c r="A144" s="235"/>
      <c r="B144" s="250" t="str">
        <f>IFERROR(__xludf.DUMMYFUNCTION("""COMPUTED_VALUE"""),"enemy_glo_00101")</f>
        <v>enemy_glo_00101</v>
      </c>
      <c r="C144" s="252" t="str">
        <f>IFERROR(__xludf.DUMMYFUNCTION("""COMPUTED_VALUE"""),"_general_ori3_vh3")</f>
        <v>_general_ori3_vh3</v>
      </c>
      <c r="D144" s="252" t="str">
        <f>IFERROR(__xludf.DUMMYFUNCTION("""COMPUTED_VALUE"""),"e_glo_00101_general_ori3_vh3_Boss_Red")</f>
        <v>e_glo_00101_general_ori3_vh3_Boss_Red</v>
      </c>
      <c r="E144" s="252" t="str">
        <f>IFERROR(__xludf.DUMMYFUNCTION("""COMPUTED_VALUE"""),"GLOW")</f>
        <v>GLOW</v>
      </c>
      <c r="F144" s="252" t="str">
        <f>IFERROR(__xludf.DUMMYFUNCTION("""COMPUTED_VALUE"""),"ボスファントム")</f>
        <v>ボスファントム</v>
      </c>
      <c r="G144" s="252" t="str">
        <f>IFERROR(__xludf.DUMMYFUNCTION("""COMPUTED_VALUE"""),"中ボスエネミー_general_ori3_vh3")</f>
        <v>中ボスエネミー_general_ori3_vh3</v>
      </c>
      <c r="H144" s="250" t="str">
        <f>IFERROR(__xludf.DUMMYFUNCTION("""COMPUTED_VALUE"""),"Boss")</f>
        <v>Boss</v>
      </c>
      <c r="I144" s="250" t="str">
        <f>IFERROR(__xludf.DUMMYFUNCTION("""COMPUTED_VALUE"""),"Attack")</f>
        <v>Attack</v>
      </c>
      <c r="J144" s="250" t="str">
        <f>IFERROR(__xludf.DUMMYFUNCTION("""COMPUTED_VALUE"""),"Red")</f>
        <v>Red</v>
      </c>
      <c r="K144" s="250">
        <f>IFERROR(__xludf.DUMMYFUNCTION("""COMPUTED_VALUE"""),800000.0)</f>
        <v>800000</v>
      </c>
      <c r="L144" s="250">
        <f>IFERROR(__xludf.DUMMYFUNCTION("""COMPUTED_VALUE"""),2.0)</f>
        <v>2</v>
      </c>
      <c r="M144" s="250">
        <f>IFERROR(__xludf.DUMMYFUNCTION("""COMPUTED_VALUE"""),45.0)</f>
        <v>45</v>
      </c>
      <c r="N144" s="250">
        <f>IFERROR(__xludf.DUMMYFUNCTION("""COMPUTED_VALUE"""),0.3)</f>
        <v>0.3</v>
      </c>
      <c r="O144" s="250">
        <f>IFERROR(__xludf.DUMMYFUNCTION("""COMPUTED_VALUE"""),1800.0)</f>
        <v>1800</v>
      </c>
      <c r="P144" s="250">
        <f>IFERROR(__xludf.DUMMYFUNCTION("""COMPUTED_VALUE"""),0.0)</f>
        <v>0</v>
      </c>
      <c r="Q144" s="250">
        <f>IFERROR(__xludf.DUMMYFUNCTION("""COMPUTED_VALUE"""),0.31)</f>
        <v>0.31</v>
      </c>
      <c r="R144" s="250">
        <f>IFERROR(__xludf.DUMMYFUNCTION("""COMPUTED_VALUE"""),1.0)</f>
        <v>1</v>
      </c>
      <c r="S144" s="250">
        <f>IFERROR(__xludf.DUMMYFUNCTION("""COMPUTED_VALUE"""),1.0)</f>
        <v>1</v>
      </c>
      <c r="T144" s="253" t="str">
        <f>IFERROR(__xludf.DUMMYFUNCTION("""COMPUTED_VALUE"""),"1.17")</f>
        <v>1.17</v>
      </c>
      <c r="U144" s="250" t="str">
        <f>IFERROR(__xludf.DUMMYFUNCTION("""COMPUTED_VALUE"""),"stop有:1回目 0.56")</f>
        <v>stop有:1回目 0.56</v>
      </c>
      <c r="V144" s="250">
        <f>IFERROR(__xludf.DUMMYFUNCTION("""COMPUTED_VALUE"""),125.0)</f>
        <v>125</v>
      </c>
      <c r="W144" s="250" t="str">
        <f>IFERROR(__xludf.DUMMYFUNCTION("""COMPUTED_VALUE"""),"-")</f>
        <v>-</v>
      </c>
      <c r="X144" s="250" t="str">
        <f>IFERROR(__xludf.DUMMYFUNCTION("""COMPUTED_VALUE"""),"-")</f>
        <v>-</v>
      </c>
      <c r="Y144" s="250"/>
      <c r="Z144" s="250"/>
      <c r="AA144" s="235"/>
      <c r="AB144" s="235" t="str">
        <f>IFERROR(__xludf.DUMMYFUNCTION("""COMPUTED_VALUE"""),"-")</f>
        <v>-</v>
      </c>
      <c r="AC144" s="235"/>
    </row>
    <row r="145">
      <c r="A145" s="235"/>
      <c r="B145" s="250"/>
      <c r="C145" s="252"/>
      <c r="D145" s="252" t="str">
        <f>IFERROR(__xludf.DUMMYFUNCTION("""COMPUTED_VALUE"""),"___")</f>
        <v>___</v>
      </c>
      <c r="E145" s="252" t="str">
        <f>IFERROR(__xludf.DUMMYFUNCTION("""COMPUTED_VALUE"""),"none")</f>
        <v>none</v>
      </c>
      <c r="F145" s="252" t="str">
        <f>IFERROR(__xludf.DUMMYFUNCTION("""COMPUTED_VALUE"""),"none")</f>
        <v>none</v>
      </c>
      <c r="G145" s="252" t="str">
        <f>IFERROR(__xludf.DUMMYFUNCTION("""COMPUTED_VALUE"""),"none")</f>
        <v>none</v>
      </c>
      <c r="H145" s="250"/>
      <c r="I145" s="250" t="str">
        <f>IFERROR(__xludf.DUMMYFUNCTION("""COMPUTED_VALUE"""),"none")</f>
        <v>none</v>
      </c>
      <c r="J145" s="250"/>
      <c r="K145" s="250"/>
      <c r="L145" s="250"/>
      <c r="M145" s="250"/>
      <c r="N145" s="250"/>
      <c r="O145" s="250"/>
      <c r="P145" s="250"/>
      <c r="Q145" s="250"/>
      <c r="R145" s="250"/>
      <c r="S145" s="250"/>
      <c r="T145" s="253" t="str">
        <f>IFERROR(__xludf.DUMMYFUNCTION("""COMPUTED_VALUE"""),"none")</f>
        <v>none</v>
      </c>
      <c r="U145" s="250" t="str">
        <f>IFERROR(__xludf.DUMMYFUNCTION("""COMPUTED_VALUE"""),"none")</f>
        <v>none</v>
      </c>
      <c r="V145" s="250"/>
      <c r="W145" s="250" t="str">
        <f>IFERROR(__xludf.DUMMYFUNCTION("""COMPUTED_VALUE"""),"none")</f>
        <v>none</v>
      </c>
      <c r="X145" s="250" t="str">
        <f>IFERROR(__xludf.DUMMYFUNCTION("""COMPUTED_VALUE"""),"none")</f>
        <v>none</v>
      </c>
      <c r="Y145" s="250"/>
      <c r="Z145" s="250"/>
      <c r="AA145" s="235"/>
      <c r="AB145" s="235" t="str">
        <f>IFERROR(__xludf.DUMMYFUNCTION("""COMPUTED_VALUE"""),"none")</f>
        <v>none</v>
      </c>
      <c r="AC145" s="235"/>
    </row>
    <row r="146">
      <c r="A146" s="235"/>
      <c r="B146" s="250" t="str">
        <f>IFERROR(__xludf.DUMMYFUNCTION("""COMPUTED_VALUE"""),"enemy_mag_00001")</f>
        <v>enemy_mag_00001</v>
      </c>
      <c r="C146" s="252" t="str">
        <f>IFERROR(__xludf.DUMMYFUNCTION("""COMPUTED_VALUE"""),"_general")</f>
        <v>_general</v>
      </c>
      <c r="D146" s="252" t="str">
        <f>IFERROR(__xludf.DUMMYFUNCTION("""COMPUTED_VALUE"""),"e_mag_00001_general_Normal_Colorless")</f>
        <v>e_mag_00001_general_Normal_Colorless</v>
      </c>
      <c r="E146" s="252" t="str">
        <f>IFERROR(__xludf.DUMMYFUNCTION("""COMPUTED_VALUE"""),"株式会社マジルミエ")</f>
        <v>株式会社マジルミエ</v>
      </c>
      <c r="F146" s="252" t="str">
        <f>IFERROR(__xludf.DUMMYFUNCTION("""COMPUTED_VALUE"""),"冷却系怪異")</f>
        <v>冷却系怪異</v>
      </c>
      <c r="G146" s="252" t="str">
        <f>IFERROR(__xludf.DUMMYFUNCTION("""COMPUTED_VALUE"""),"冷却系の怪異_general")</f>
        <v>冷却系の怪異_general</v>
      </c>
      <c r="H146" s="250" t="str">
        <f>IFERROR(__xludf.DUMMYFUNCTION("""COMPUTED_VALUE"""),"Normal")</f>
        <v>Normal</v>
      </c>
      <c r="I146" s="250" t="str">
        <f>IFERROR(__xludf.DUMMYFUNCTION("""COMPUTED_VALUE"""),"Attack")</f>
        <v>Attack</v>
      </c>
      <c r="J146" s="250" t="str">
        <f>IFERROR(__xludf.DUMMYFUNCTION("""COMPUTED_VALUE"""),"Colorless")</f>
        <v>Colorless</v>
      </c>
      <c r="K146" s="250">
        <f>IFERROR(__xludf.DUMMYFUNCTION("""COMPUTED_VALUE"""),70000.0)</f>
        <v>70000</v>
      </c>
      <c r="L146" s="250">
        <f>IFERROR(__xludf.DUMMYFUNCTION("""COMPUTED_VALUE"""),1.0)</f>
        <v>1</v>
      </c>
      <c r="M146" s="250">
        <f>IFERROR(__xludf.DUMMYFUNCTION("""COMPUTED_VALUE"""),20.0)</f>
        <v>20</v>
      </c>
      <c r="N146" s="250">
        <f>IFERROR(__xludf.DUMMYFUNCTION("""COMPUTED_VALUE"""),0.3)</f>
        <v>0.3</v>
      </c>
      <c r="O146" s="250">
        <f>IFERROR(__xludf.DUMMYFUNCTION("""COMPUTED_VALUE"""),1200.0)</f>
        <v>1200</v>
      </c>
      <c r="P146" s="250">
        <f>IFERROR(__xludf.DUMMYFUNCTION("""COMPUTED_VALUE"""),0.0)</f>
        <v>0</v>
      </c>
      <c r="Q146" s="250">
        <f>IFERROR(__xludf.DUMMYFUNCTION("""COMPUTED_VALUE"""),0.4)</f>
        <v>0.4</v>
      </c>
      <c r="R146" s="250">
        <f>IFERROR(__xludf.DUMMYFUNCTION("""COMPUTED_VALUE"""),1.0)</f>
        <v>1</v>
      </c>
      <c r="S146" s="250">
        <f>IFERROR(__xludf.DUMMYFUNCTION("""COMPUTED_VALUE"""),10.0)</f>
        <v>10</v>
      </c>
      <c r="T146" s="253" t="str">
        <f>IFERROR(__xludf.DUMMYFUNCTION("""COMPUTED_VALUE"""),"1.50")</f>
        <v>1.50</v>
      </c>
      <c r="U146" s="250" t="str">
        <f>IFERROR(__xludf.DUMMYFUNCTION("""COMPUTED_VALUE"""),"0.80")</f>
        <v>0.80</v>
      </c>
      <c r="V146" s="250">
        <f>IFERROR(__xludf.DUMMYFUNCTION("""COMPUTED_VALUE"""),150.0)</f>
        <v>150</v>
      </c>
      <c r="W146" s="250" t="str">
        <f>IFERROR(__xludf.DUMMYFUNCTION("""COMPUTED_VALUE"""),"-")</f>
        <v>-</v>
      </c>
      <c r="X146" s="250" t="str">
        <f>IFERROR(__xludf.DUMMYFUNCTION("""COMPUTED_VALUE"""),"-")</f>
        <v>-</v>
      </c>
      <c r="Y146" s="250"/>
      <c r="Z146" s="250" t="str">
        <f>IFERROR(__xludf.DUMMYFUNCTION("""COMPUTED_VALUE"""),"-")</f>
        <v>-</v>
      </c>
      <c r="AA146" s="235"/>
      <c r="AB146" s="235" t="str">
        <f>IFERROR(__xludf.DUMMYFUNCTION("""COMPUTED_VALUE"""),"shageki_1")</f>
        <v>shageki_1</v>
      </c>
      <c r="AC146" s="235"/>
    </row>
    <row r="147">
      <c r="A147" s="235"/>
      <c r="B147" s="250" t="str">
        <f>IFERROR(__xludf.DUMMYFUNCTION("""COMPUTED_VALUE"""),"enemy_mag_00001")</f>
        <v>enemy_mag_00001</v>
      </c>
      <c r="C147" s="252" t="str">
        <f>IFERROR(__xludf.DUMMYFUNCTION("""COMPUTED_VALUE"""),"_general2")</f>
        <v>_general2</v>
      </c>
      <c r="D147" s="252" t="str">
        <f>IFERROR(__xludf.DUMMYFUNCTION("""COMPUTED_VALUE"""),"e_mag_00001_general2_Boss_Blue")</f>
        <v>e_mag_00001_general2_Boss_Blue</v>
      </c>
      <c r="E147" s="252" t="str">
        <f>IFERROR(__xludf.DUMMYFUNCTION("""COMPUTED_VALUE"""),"株式会社マジルミエ")</f>
        <v>株式会社マジルミエ</v>
      </c>
      <c r="F147" s="252" t="str">
        <f>IFERROR(__xludf.DUMMYFUNCTION("""COMPUTED_VALUE"""),"冷却系怪異")</f>
        <v>冷却系怪異</v>
      </c>
      <c r="G147" s="252" t="str">
        <f>IFERROR(__xludf.DUMMYFUNCTION("""COMPUTED_VALUE"""),"冷却系の怪異_general2")</f>
        <v>冷却系の怪異_general2</v>
      </c>
      <c r="H147" s="250" t="str">
        <f>IFERROR(__xludf.DUMMYFUNCTION("""COMPUTED_VALUE"""),"Boss")</f>
        <v>Boss</v>
      </c>
      <c r="I147" s="250" t="str">
        <f>IFERROR(__xludf.DUMMYFUNCTION("""COMPUTED_VALUE"""),"Attack")</f>
        <v>Attack</v>
      </c>
      <c r="J147" s="250" t="str">
        <f>IFERROR(__xludf.DUMMYFUNCTION("""COMPUTED_VALUE"""),"Blue")</f>
        <v>Blue</v>
      </c>
      <c r="K147" s="250">
        <f>IFERROR(__xludf.DUMMYFUNCTION("""COMPUTED_VALUE"""),150000.0)</f>
        <v>150000</v>
      </c>
      <c r="L147" s="250">
        <f>IFERROR(__xludf.DUMMYFUNCTION("""COMPUTED_VALUE"""),1.0)</f>
        <v>1</v>
      </c>
      <c r="M147" s="250">
        <f>IFERROR(__xludf.DUMMYFUNCTION("""COMPUTED_VALUE"""),20.0)</f>
        <v>20</v>
      </c>
      <c r="N147" s="250">
        <f>IFERROR(__xludf.DUMMYFUNCTION("""COMPUTED_VALUE"""),0.3)</f>
        <v>0.3</v>
      </c>
      <c r="O147" s="250">
        <f>IFERROR(__xludf.DUMMYFUNCTION("""COMPUTED_VALUE"""),2500.0)</f>
        <v>2500</v>
      </c>
      <c r="P147" s="250">
        <f>IFERROR(__xludf.DUMMYFUNCTION("""COMPUTED_VALUE"""),0.0)</f>
        <v>0</v>
      </c>
      <c r="Q147" s="250">
        <f>IFERROR(__xludf.DUMMYFUNCTION("""COMPUTED_VALUE"""),0.4)</f>
        <v>0.4</v>
      </c>
      <c r="R147" s="250">
        <f>IFERROR(__xludf.DUMMYFUNCTION("""COMPUTED_VALUE"""),1.0)</f>
        <v>1</v>
      </c>
      <c r="S147" s="250">
        <f>IFERROR(__xludf.DUMMYFUNCTION("""COMPUTED_VALUE"""),10.0)</f>
        <v>10</v>
      </c>
      <c r="T147" s="253" t="str">
        <f>IFERROR(__xludf.DUMMYFUNCTION("""COMPUTED_VALUE"""),"1.50")</f>
        <v>1.50</v>
      </c>
      <c r="U147" s="250" t="str">
        <f>IFERROR(__xludf.DUMMYFUNCTION("""COMPUTED_VALUE"""),"0.80")</f>
        <v>0.80</v>
      </c>
      <c r="V147" s="250">
        <f>IFERROR(__xludf.DUMMYFUNCTION("""COMPUTED_VALUE"""),125.0)</f>
        <v>125</v>
      </c>
      <c r="W147" s="250" t="str">
        <f>IFERROR(__xludf.DUMMYFUNCTION("""COMPUTED_VALUE"""),"-")</f>
        <v>-</v>
      </c>
      <c r="X147" s="250" t="str">
        <f>IFERROR(__xludf.DUMMYFUNCTION("""COMPUTED_VALUE"""),"-")</f>
        <v>-</v>
      </c>
      <c r="Y147" s="250"/>
      <c r="Z147" s="250" t="str">
        <f>IFERROR(__xludf.DUMMYFUNCTION("""COMPUTED_VALUE"""),"-")</f>
        <v>-</v>
      </c>
      <c r="AA147" s="235"/>
      <c r="AB147" s="235" t="str">
        <f>IFERROR(__xludf.DUMMYFUNCTION("""COMPUTED_VALUE"""),"shageki_1")</f>
        <v>shageki_1</v>
      </c>
      <c r="AC147" s="235"/>
    </row>
    <row r="148">
      <c r="A148" s="235"/>
      <c r="B148" s="250" t="str">
        <f>IFERROR(__xludf.DUMMYFUNCTION("""COMPUTED_VALUE"""),"enemy_mag_00001")</f>
        <v>enemy_mag_00001</v>
      </c>
      <c r="C148" s="252" t="str">
        <f>IFERROR(__xludf.DUMMYFUNCTION("""COMPUTED_VALUE"""),"_general")</f>
        <v>_general</v>
      </c>
      <c r="D148" s="252" t="str">
        <f>IFERROR(__xludf.DUMMYFUNCTION("""COMPUTED_VALUE"""),"e_mag_00001_general_Boss_Blue")</f>
        <v>e_mag_00001_general_Boss_Blue</v>
      </c>
      <c r="E148" s="252" t="str">
        <f>IFERROR(__xludf.DUMMYFUNCTION("""COMPUTED_VALUE"""),"株式会社マジルミエ")</f>
        <v>株式会社マジルミエ</v>
      </c>
      <c r="F148" s="252" t="str">
        <f>IFERROR(__xludf.DUMMYFUNCTION("""COMPUTED_VALUE"""),"冷却系怪異")</f>
        <v>冷却系怪異</v>
      </c>
      <c r="G148" s="252" t="str">
        <f>IFERROR(__xludf.DUMMYFUNCTION("""COMPUTED_VALUE"""),"冷却系の怪異_general")</f>
        <v>冷却系の怪異_general</v>
      </c>
      <c r="H148" s="250" t="str">
        <f>IFERROR(__xludf.DUMMYFUNCTION("""COMPUTED_VALUE"""),"Boss")</f>
        <v>Boss</v>
      </c>
      <c r="I148" s="250" t="str">
        <f>IFERROR(__xludf.DUMMYFUNCTION("""COMPUTED_VALUE"""),"Attack")</f>
        <v>Attack</v>
      </c>
      <c r="J148" s="250" t="str">
        <f>IFERROR(__xludf.DUMMYFUNCTION("""COMPUTED_VALUE"""),"Blue")</f>
        <v>Blue</v>
      </c>
      <c r="K148" s="250">
        <f>IFERROR(__xludf.DUMMYFUNCTION("""COMPUTED_VALUE"""),250000.0)</f>
        <v>250000</v>
      </c>
      <c r="L148" s="250">
        <f>IFERROR(__xludf.DUMMYFUNCTION("""COMPUTED_VALUE"""),1.0)</f>
        <v>1</v>
      </c>
      <c r="M148" s="250">
        <f>IFERROR(__xludf.DUMMYFUNCTION("""COMPUTED_VALUE"""),35.0)</f>
        <v>35</v>
      </c>
      <c r="N148" s="250">
        <f>IFERROR(__xludf.DUMMYFUNCTION("""COMPUTED_VALUE"""),0.3)</f>
        <v>0.3</v>
      </c>
      <c r="O148" s="250">
        <f>IFERROR(__xludf.DUMMYFUNCTION("""COMPUTED_VALUE"""),3000.0)</f>
        <v>3000</v>
      </c>
      <c r="P148" s="250">
        <f>IFERROR(__xludf.DUMMYFUNCTION("""COMPUTED_VALUE"""),0.0)</f>
        <v>0</v>
      </c>
      <c r="Q148" s="250">
        <f>IFERROR(__xludf.DUMMYFUNCTION("""COMPUTED_VALUE"""),0.4)</f>
        <v>0.4</v>
      </c>
      <c r="R148" s="250">
        <f>IFERROR(__xludf.DUMMYFUNCTION("""COMPUTED_VALUE"""),1.0)</f>
        <v>1</v>
      </c>
      <c r="S148" s="250">
        <f>IFERROR(__xludf.DUMMYFUNCTION("""COMPUTED_VALUE"""),10.0)</f>
        <v>10</v>
      </c>
      <c r="T148" s="253" t="str">
        <f>IFERROR(__xludf.DUMMYFUNCTION("""COMPUTED_VALUE"""),"1.50")</f>
        <v>1.50</v>
      </c>
      <c r="U148" s="250" t="str">
        <f>IFERROR(__xludf.DUMMYFUNCTION("""COMPUTED_VALUE"""),"0.80")</f>
        <v>0.80</v>
      </c>
      <c r="V148" s="250">
        <f>IFERROR(__xludf.DUMMYFUNCTION("""COMPUTED_VALUE"""),150.0)</f>
        <v>150</v>
      </c>
      <c r="W148" s="250" t="str">
        <f>IFERROR(__xludf.DUMMYFUNCTION("""COMPUTED_VALUE"""),"-")</f>
        <v>-</v>
      </c>
      <c r="X148" s="250" t="str">
        <f>IFERROR(__xludf.DUMMYFUNCTION("""COMPUTED_VALUE"""),"-")</f>
        <v>-</v>
      </c>
      <c r="Y148" s="250"/>
      <c r="Z148" s="250" t="str">
        <f>IFERROR(__xludf.DUMMYFUNCTION("""COMPUTED_VALUE"""),"-")</f>
        <v>-</v>
      </c>
      <c r="AA148" s="235"/>
      <c r="AB148" s="235" t="str">
        <f>IFERROR(__xludf.DUMMYFUNCTION("""COMPUTED_VALUE"""),"shageki_1")</f>
        <v>shageki_1</v>
      </c>
      <c r="AC148" s="235"/>
    </row>
    <row r="149">
      <c r="A149" s="235"/>
      <c r="B149" s="250" t="str">
        <f>IFERROR(__xludf.DUMMYFUNCTION("""COMPUTED_VALUE"""),"enemy_mag_00101")</f>
        <v>enemy_mag_00101</v>
      </c>
      <c r="C149" s="252" t="str">
        <f>IFERROR(__xludf.DUMMYFUNCTION("""COMPUTED_VALUE"""),"_general")</f>
        <v>_general</v>
      </c>
      <c r="D149" s="252" t="str">
        <f>IFERROR(__xludf.DUMMYFUNCTION("""COMPUTED_VALUE"""),"e_mag_00101_general_Normal_Blue")</f>
        <v>e_mag_00101_general_Normal_Blue</v>
      </c>
      <c r="E149" s="252" t="str">
        <f>IFERROR(__xludf.DUMMYFUNCTION("""COMPUTED_VALUE"""),"株式会社マジルミエ")</f>
        <v>株式会社マジルミエ</v>
      </c>
      <c r="F149" s="252" t="str">
        <f>IFERROR(__xludf.DUMMYFUNCTION("""COMPUTED_VALUE"""),"つらら")</f>
        <v>つらら</v>
      </c>
      <c r="G149" s="252" t="str">
        <f>IFERROR(__xludf.DUMMYFUNCTION("""COMPUTED_VALUE"""),"つらら_general")</f>
        <v>つらら_general</v>
      </c>
      <c r="H149" s="250" t="str">
        <f>IFERROR(__xludf.DUMMYFUNCTION("""COMPUTED_VALUE"""),"Normal")</f>
        <v>Normal</v>
      </c>
      <c r="I149" s="250" t="str">
        <f>IFERROR(__xludf.DUMMYFUNCTION("""COMPUTED_VALUE"""),"Attack")</f>
        <v>Attack</v>
      </c>
      <c r="J149" s="250" t="str">
        <f>IFERROR(__xludf.DUMMYFUNCTION("""COMPUTED_VALUE"""),"Blue")</f>
        <v>Blue</v>
      </c>
      <c r="K149" s="250">
        <f>IFERROR(__xludf.DUMMYFUNCTION("""COMPUTED_VALUE"""),10000.0)</f>
        <v>10000</v>
      </c>
      <c r="L149" s="250">
        <f>IFERROR(__xludf.DUMMYFUNCTION("""COMPUTED_VALUE"""),1.0)</f>
        <v>1</v>
      </c>
      <c r="M149" s="250">
        <f>IFERROR(__xludf.DUMMYFUNCTION("""COMPUTED_VALUE"""),100.0)</f>
        <v>100</v>
      </c>
      <c r="N149" s="250">
        <f>IFERROR(__xludf.DUMMYFUNCTION("""COMPUTED_VALUE"""),0.11)</f>
        <v>0.11</v>
      </c>
      <c r="O149" s="250">
        <f>IFERROR(__xludf.DUMMYFUNCTION("""COMPUTED_VALUE"""),1500.0)</f>
        <v>1500</v>
      </c>
      <c r="P149" s="250">
        <f>IFERROR(__xludf.DUMMYFUNCTION("""COMPUTED_VALUE"""),0.0)</f>
        <v>0</v>
      </c>
      <c r="Q149" s="250">
        <f>IFERROR(__xludf.DUMMYFUNCTION("""COMPUTED_VALUE"""),0.3)</f>
        <v>0.3</v>
      </c>
      <c r="R149" s="250">
        <f>IFERROR(__xludf.DUMMYFUNCTION("""COMPUTED_VALUE"""),1.0)</f>
        <v>1</v>
      </c>
      <c r="S149" s="250">
        <f>IFERROR(__xludf.DUMMYFUNCTION("""COMPUTED_VALUE"""),10.0)</f>
        <v>10</v>
      </c>
      <c r="T149" s="253" t="str">
        <f>IFERROR(__xludf.DUMMYFUNCTION("""COMPUTED_VALUE"""),"0.37")</f>
        <v>0.37</v>
      </c>
      <c r="U149" s="250" t="str">
        <f>IFERROR(__xludf.DUMMYFUNCTION("""COMPUTED_VALUE"""),"stop有:1回目 0.20")</f>
        <v>stop有:1回目 0.20</v>
      </c>
      <c r="V149" s="250">
        <f>IFERROR(__xludf.DUMMYFUNCTION("""COMPUTED_VALUE"""),0.0)</f>
        <v>0</v>
      </c>
      <c r="W149" s="250" t="str">
        <f>IFERROR(__xludf.DUMMYFUNCTION("""COMPUTED_VALUE"""),"-")</f>
        <v>-</v>
      </c>
      <c r="X149" s="250" t="str">
        <f>IFERROR(__xludf.DUMMYFUNCTION("""COMPUTED_VALUE"""),"-")</f>
        <v>-</v>
      </c>
      <c r="Y149" s="250"/>
      <c r="Z149" s="250" t="str">
        <f>IFERROR(__xludf.DUMMYFUNCTION("""COMPUTED_VALUE"""),"-")</f>
        <v>-</v>
      </c>
      <c r="AA149" s="235"/>
      <c r="AB149" s="235" t="str">
        <f>IFERROR(__xludf.DUMMYFUNCTION("""COMPUTED_VALUE"""),"zangeki_1")</f>
        <v>zangeki_1</v>
      </c>
      <c r="AC149" s="235"/>
    </row>
    <row r="150">
      <c r="A150" s="235"/>
      <c r="B150" s="250" t="str">
        <f>IFERROR(__xludf.DUMMYFUNCTION("""COMPUTED_VALUE"""),"enemy_mag_00101")</f>
        <v>enemy_mag_00101</v>
      </c>
      <c r="C150" s="252" t="str">
        <f>IFERROR(__xludf.DUMMYFUNCTION("""COMPUTED_VALUE"""),"_general")</f>
        <v>_general</v>
      </c>
      <c r="D150" s="252" t="str">
        <f>IFERROR(__xludf.DUMMYFUNCTION("""COMPUTED_VALUE"""),"e_mag_00101_general_Normal_Colorless")</f>
        <v>e_mag_00101_general_Normal_Colorless</v>
      </c>
      <c r="E150" s="252" t="str">
        <f>IFERROR(__xludf.DUMMYFUNCTION("""COMPUTED_VALUE"""),"株式会社マジルミエ")</f>
        <v>株式会社マジルミエ</v>
      </c>
      <c r="F150" s="252" t="str">
        <f>IFERROR(__xludf.DUMMYFUNCTION("""COMPUTED_VALUE"""),"つらら")</f>
        <v>つらら</v>
      </c>
      <c r="G150" s="252" t="str">
        <f>IFERROR(__xludf.DUMMYFUNCTION("""COMPUTED_VALUE"""),"つらら_general")</f>
        <v>つらら_general</v>
      </c>
      <c r="H150" s="250" t="str">
        <f>IFERROR(__xludf.DUMMYFUNCTION("""COMPUTED_VALUE"""),"Normal")</f>
        <v>Normal</v>
      </c>
      <c r="I150" s="250" t="str">
        <f>IFERROR(__xludf.DUMMYFUNCTION("""COMPUTED_VALUE"""),"Attack")</f>
        <v>Attack</v>
      </c>
      <c r="J150" s="250" t="str">
        <f>IFERROR(__xludf.DUMMYFUNCTION("""COMPUTED_VALUE"""),"Colorless")</f>
        <v>Colorless</v>
      </c>
      <c r="K150" s="250">
        <f>IFERROR(__xludf.DUMMYFUNCTION("""COMPUTED_VALUE"""),20000.0)</f>
        <v>20000</v>
      </c>
      <c r="L150" s="250">
        <f>IFERROR(__xludf.DUMMYFUNCTION("""COMPUTED_VALUE"""),1.0)</f>
        <v>1</v>
      </c>
      <c r="M150" s="250">
        <f>IFERROR(__xludf.DUMMYFUNCTION("""COMPUTED_VALUE"""),100.0)</f>
        <v>100</v>
      </c>
      <c r="N150" s="250">
        <f>IFERROR(__xludf.DUMMYFUNCTION("""COMPUTED_VALUE"""),0.11)</f>
        <v>0.11</v>
      </c>
      <c r="O150" s="250">
        <f>IFERROR(__xludf.DUMMYFUNCTION("""COMPUTED_VALUE"""),800.0)</f>
        <v>800</v>
      </c>
      <c r="P150" s="250">
        <f>IFERROR(__xludf.DUMMYFUNCTION("""COMPUTED_VALUE"""),0.0)</f>
        <v>0</v>
      </c>
      <c r="Q150" s="250">
        <f>IFERROR(__xludf.DUMMYFUNCTION("""COMPUTED_VALUE"""),0.3)</f>
        <v>0.3</v>
      </c>
      <c r="R150" s="250">
        <f>IFERROR(__xludf.DUMMYFUNCTION("""COMPUTED_VALUE"""),1.0)</f>
        <v>1</v>
      </c>
      <c r="S150" s="250">
        <f>IFERROR(__xludf.DUMMYFUNCTION("""COMPUTED_VALUE"""),10.0)</f>
        <v>10</v>
      </c>
      <c r="T150" s="253" t="str">
        <f>IFERROR(__xludf.DUMMYFUNCTION("""COMPUTED_VALUE"""),"0.37")</f>
        <v>0.37</v>
      </c>
      <c r="U150" s="250" t="str">
        <f>IFERROR(__xludf.DUMMYFUNCTION("""COMPUTED_VALUE"""),"stop有:1回目 0.20")</f>
        <v>stop有:1回目 0.20</v>
      </c>
      <c r="V150" s="250">
        <f>IFERROR(__xludf.DUMMYFUNCTION("""COMPUTED_VALUE"""),0.0)</f>
        <v>0</v>
      </c>
      <c r="W150" s="250" t="str">
        <f>IFERROR(__xludf.DUMMYFUNCTION("""COMPUTED_VALUE"""),"-")</f>
        <v>-</v>
      </c>
      <c r="X150" s="250" t="str">
        <f>IFERROR(__xludf.DUMMYFUNCTION("""COMPUTED_VALUE"""),"-")</f>
        <v>-</v>
      </c>
      <c r="Y150" s="250"/>
      <c r="Z150" s="250" t="str">
        <f>IFERROR(__xludf.DUMMYFUNCTION("""COMPUTED_VALUE"""),"-")</f>
        <v>-</v>
      </c>
      <c r="AA150" s="235"/>
      <c r="AB150" s="235" t="str">
        <f>IFERROR(__xludf.DUMMYFUNCTION("""COMPUTED_VALUE"""),"zangeki_1")</f>
        <v>zangeki_1</v>
      </c>
      <c r="AC150" s="235"/>
    </row>
    <row r="151">
      <c r="A151" s="235"/>
      <c r="B151" s="250" t="str">
        <f>IFERROR(__xludf.DUMMYFUNCTION("""COMPUTED_VALUE"""),"enemy_mag_00101")</f>
        <v>enemy_mag_00101</v>
      </c>
      <c r="C151" s="252" t="str">
        <f>IFERROR(__xludf.DUMMYFUNCTION("""COMPUTED_VALUE"""),"_general2")</f>
        <v>_general2</v>
      </c>
      <c r="D151" s="252" t="str">
        <f>IFERROR(__xludf.DUMMYFUNCTION("""COMPUTED_VALUE"""),"e_mag_00101_general2_Normal_Blue")</f>
        <v>e_mag_00101_general2_Normal_Blue</v>
      </c>
      <c r="E151" s="252" t="str">
        <f>IFERROR(__xludf.DUMMYFUNCTION("""COMPUTED_VALUE"""),"株式会社マジルミエ")</f>
        <v>株式会社マジルミエ</v>
      </c>
      <c r="F151" s="252" t="str">
        <f>IFERROR(__xludf.DUMMYFUNCTION("""COMPUTED_VALUE"""),"つらら")</f>
        <v>つらら</v>
      </c>
      <c r="G151" s="252" t="str">
        <f>IFERROR(__xludf.DUMMYFUNCTION("""COMPUTED_VALUE"""),"つらら_general2")</f>
        <v>つらら_general2</v>
      </c>
      <c r="H151" s="250" t="str">
        <f>IFERROR(__xludf.DUMMYFUNCTION("""COMPUTED_VALUE"""),"Normal")</f>
        <v>Normal</v>
      </c>
      <c r="I151" s="250" t="str">
        <f>IFERROR(__xludf.DUMMYFUNCTION("""COMPUTED_VALUE"""),"Attack")</f>
        <v>Attack</v>
      </c>
      <c r="J151" s="250" t="str">
        <f>IFERROR(__xludf.DUMMYFUNCTION("""COMPUTED_VALUE"""),"Blue")</f>
        <v>Blue</v>
      </c>
      <c r="K151" s="250">
        <f>IFERROR(__xludf.DUMMYFUNCTION("""COMPUTED_VALUE"""),30000.0)</f>
        <v>30000</v>
      </c>
      <c r="L151" s="250">
        <f>IFERROR(__xludf.DUMMYFUNCTION("""COMPUTED_VALUE"""),1.0)</f>
        <v>1</v>
      </c>
      <c r="M151" s="250">
        <f>IFERROR(__xludf.DUMMYFUNCTION("""COMPUTED_VALUE"""),100.0)</f>
        <v>100</v>
      </c>
      <c r="N151" s="250">
        <f>IFERROR(__xludf.DUMMYFUNCTION("""COMPUTED_VALUE"""),0.11)</f>
        <v>0.11</v>
      </c>
      <c r="O151" s="250">
        <f>IFERROR(__xludf.DUMMYFUNCTION("""COMPUTED_VALUE"""),500.0)</f>
        <v>500</v>
      </c>
      <c r="P151" s="250">
        <f>IFERROR(__xludf.DUMMYFUNCTION("""COMPUTED_VALUE"""),0.0)</f>
        <v>0</v>
      </c>
      <c r="Q151" s="250">
        <f>IFERROR(__xludf.DUMMYFUNCTION("""COMPUTED_VALUE"""),0.3)</f>
        <v>0.3</v>
      </c>
      <c r="R151" s="250">
        <f>IFERROR(__xludf.DUMMYFUNCTION("""COMPUTED_VALUE"""),1.0)</f>
        <v>1</v>
      </c>
      <c r="S151" s="250">
        <f>IFERROR(__xludf.DUMMYFUNCTION("""COMPUTED_VALUE"""),10.0)</f>
        <v>10</v>
      </c>
      <c r="T151" s="253" t="str">
        <f>IFERROR(__xludf.DUMMYFUNCTION("""COMPUTED_VALUE"""),"0.37")</f>
        <v>0.37</v>
      </c>
      <c r="U151" s="250" t="str">
        <f>IFERROR(__xludf.DUMMYFUNCTION("""COMPUTED_VALUE"""),"stop有:1回目 0.20")</f>
        <v>stop有:1回目 0.20</v>
      </c>
      <c r="V151" s="250">
        <f>IFERROR(__xludf.DUMMYFUNCTION("""COMPUTED_VALUE"""),0.0)</f>
        <v>0</v>
      </c>
      <c r="W151" s="250" t="str">
        <f>IFERROR(__xludf.DUMMYFUNCTION("""COMPUTED_VALUE"""),"-")</f>
        <v>-</v>
      </c>
      <c r="X151" s="250" t="str">
        <f>IFERROR(__xludf.DUMMYFUNCTION("""COMPUTED_VALUE"""),"-")</f>
        <v>-</v>
      </c>
      <c r="Y151" s="250"/>
      <c r="Z151" s="250" t="str">
        <f>IFERROR(__xludf.DUMMYFUNCTION("""COMPUTED_VALUE"""),"-")</f>
        <v>-</v>
      </c>
      <c r="AA151" s="235"/>
      <c r="AB151" s="235" t="str">
        <f>IFERROR(__xludf.DUMMYFUNCTION("""COMPUTED_VALUE"""),"zangeki_1")</f>
        <v>zangeki_1</v>
      </c>
      <c r="AC151" s="235"/>
    </row>
    <row r="152">
      <c r="A152" s="235"/>
      <c r="B152" s="250" t="str">
        <f>IFERROR(__xludf.DUMMYFUNCTION("""COMPUTED_VALUE"""),"enemy_mag_00101")</f>
        <v>enemy_mag_00101</v>
      </c>
      <c r="C152" s="252" t="str">
        <f>IFERROR(__xludf.DUMMYFUNCTION("""COMPUTED_VALUE"""),"_general2")</f>
        <v>_general2</v>
      </c>
      <c r="D152" s="252" t="str">
        <f>IFERROR(__xludf.DUMMYFUNCTION("""COMPUTED_VALUE"""),"e_mag_00101_general2_Normal_Colorless")</f>
        <v>e_mag_00101_general2_Normal_Colorless</v>
      </c>
      <c r="E152" s="252" t="str">
        <f>IFERROR(__xludf.DUMMYFUNCTION("""COMPUTED_VALUE"""),"株式会社マジルミエ")</f>
        <v>株式会社マジルミエ</v>
      </c>
      <c r="F152" s="252" t="str">
        <f>IFERROR(__xludf.DUMMYFUNCTION("""COMPUTED_VALUE"""),"つらら")</f>
        <v>つらら</v>
      </c>
      <c r="G152" s="252" t="str">
        <f>IFERROR(__xludf.DUMMYFUNCTION("""COMPUTED_VALUE"""),"つらら_general2")</f>
        <v>つらら_general2</v>
      </c>
      <c r="H152" s="250" t="str">
        <f>IFERROR(__xludf.DUMMYFUNCTION("""COMPUTED_VALUE"""),"Normal")</f>
        <v>Normal</v>
      </c>
      <c r="I152" s="250" t="str">
        <f>IFERROR(__xludf.DUMMYFUNCTION("""COMPUTED_VALUE"""),"Attack")</f>
        <v>Attack</v>
      </c>
      <c r="J152" s="250" t="str">
        <f>IFERROR(__xludf.DUMMYFUNCTION("""COMPUTED_VALUE"""),"Colorless")</f>
        <v>Colorless</v>
      </c>
      <c r="K152" s="250">
        <f>IFERROR(__xludf.DUMMYFUNCTION("""COMPUTED_VALUE"""),80000.0)</f>
        <v>80000</v>
      </c>
      <c r="L152" s="250">
        <f>IFERROR(__xludf.DUMMYFUNCTION("""COMPUTED_VALUE"""),1.0)</f>
        <v>1</v>
      </c>
      <c r="M152" s="250">
        <f>IFERROR(__xludf.DUMMYFUNCTION("""COMPUTED_VALUE"""),100.0)</f>
        <v>100</v>
      </c>
      <c r="N152" s="250">
        <f>IFERROR(__xludf.DUMMYFUNCTION("""COMPUTED_VALUE"""),0.11)</f>
        <v>0.11</v>
      </c>
      <c r="O152" s="250">
        <f>IFERROR(__xludf.DUMMYFUNCTION("""COMPUTED_VALUE"""),800.0)</f>
        <v>800</v>
      </c>
      <c r="P152" s="250">
        <f>IFERROR(__xludf.DUMMYFUNCTION("""COMPUTED_VALUE"""),0.0)</f>
        <v>0</v>
      </c>
      <c r="Q152" s="250">
        <f>IFERROR(__xludf.DUMMYFUNCTION("""COMPUTED_VALUE"""),0.3)</f>
        <v>0.3</v>
      </c>
      <c r="R152" s="250">
        <f>IFERROR(__xludf.DUMMYFUNCTION("""COMPUTED_VALUE"""),1.0)</f>
        <v>1</v>
      </c>
      <c r="S152" s="250">
        <f>IFERROR(__xludf.DUMMYFUNCTION("""COMPUTED_VALUE"""),10.0)</f>
        <v>10</v>
      </c>
      <c r="T152" s="253" t="str">
        <f>IFERROR(__xludf.DUMMYFUNCTION("""COMPUTED_VALUE"""),"0.37")</f>
        <v>0.37</v>
      </c>
      <c r="U152" s="250" t="str">
        <f>IFERROR(__xludf.DUMMYFUNCTION("""COMPUTED_VALUE"""),"stop有:1回目 0.20")</f>
        <v>stop有:1回目 0.20</v>
      </c>
      <c r="V152" s="250">
        <f>IFERROR(__xludf.DUMMYFUNCTION("""COMPUTED_VALUE"""),0.0)</f>
        <v>0</v>
      </c>
      <c r="W152" s="250" t="str">
        <f>IFERROR(__xludf.DUMMYFUNCTION("""COMPUTED_VALUE"""),"-")</f>
        <v>-</v>
      </c>
      <c r="X152" s="250" t="str">
        <f>IFERROR(__xludf.DUMMYFUNCTION("""COMPUTED_VALUE"""),"-")</f>
        <v>-</v>
      </c>
      <c r="Y152" s="250"/>
      <c r="Z152" s="250" t="str">
        <f>IFERROR(__xludf.DUMMYFUNCTION("""COMPUTED_VALUE"""),"-")</f>
        <v>-</v>
      </c>
      <c r="AA152" s="235"/>
      <c r="AB152" s="235" t="str">
        <f>IFERROR(__xludf.DUMMYFUNCTION("""COMPUTED_VALUE"""),"zangeki_1")</f>
        <v>zangeki_1</v>
      </c>
      <c r="AC152" s="235"/>
    </row>
    <row r="153">
      <c r="A153" s="235"/>
      <c r="B153" s="250" t="str">
        <f>IFERROR(__xludf.DUMMYFUNCTION("""COMPUTED_VALUE"""),"enemy_mag_00201")</f>
        <v>enemy_mag_00201</v>
      </c>
      <c r="C153" s="252" t="str">
        <f>IFERROR(__xludf.DUMMYFUNCTION("""COMPUTED_VALUE"""),"_general")</f>
        <v>_general</v>
      </c>
      <c r="D153" s="252" t="str">
        <f>IFERROR(__xludf.DUMMYFUNCTION("""COMPUTED_VALUE"""),"e_mag_00201_general_Boss_Red")</f>
        <v>e_mag_00201_general_Boss_Red</v>
      </c>
      <c r="E153" s="252" t="str">
        <f>IFERROR(__xludf.DUMMYFUNCTION("""COMPUTED_VALUE"""),"株式会社マジルミエ")</f>
        <v>株式会社マジルミエ</v>
      </c>
      <c r="F153" s="252" t="str">
        <f>IFERROR(__xludf.DUMMYFUNCTION("""COMPUTED_VALUE"""),"建造物寄生型の怪異 (大)")</f>
        <v>建造物寄生型の怪異 (大)</v>
      </c>
      <c r="G153" s="252" t="str">
        <f>IFERROR(__xludf.DUMMYFUNCTION("""COMPUTED_VALUE"""),"建造物寄生型の怪異（大）_general")</f>
        <v>建造物寄生型の怪異（大）_general</v>
      </c>
      <c r="H153" s="250" t="str">
        <f>IFERROR(__xludf.DUMMYFUNCTION("""COMPUTED_VALUE"""),"Boss")</f>
        <v>Boss</v>
      </c>
      <c r="I153" s="250" t="str">
        <f>IFERROR(__xludf.DUMMYFUNCTION("""COMPUTED_VALUE"""),"Attack")</f>
        <v>Attack</v>
      </c>
      <c r="J153" s="250" t="str">
        <f>IFERROR(__xludf.DUMMYFUNCTION("""COMPUTED_VALUE"""),"Red")</f>
        <v>Red</v>
      </c>
      <c r="K153" s="250">
        <f>IFERROR(__xludf.DUMMYFUNCTION("""COMPUTED_VALUE"""),500000.0)</f>
        <v>500000</v>
      </c>
      <c r="L153" s="250">
        <f>IFERROR(__xludf.DUMMYFUNCTION("""COMPUTED_VALUE"""),2.0)</f>
        <v>2</v>
      </c>
      <c r="M153" s="250">
        <f>IFERROR(__xludf.DUMMYFUNCTION("""COMPUTED_VALUE"""),35.0)</f>
        <v>35</v>
      </c>
      <c r="N153" s="250">
        <f>IFERROR(__xludf.DUMMYFUNCTION("""COMPUTED_VALUE"""),0.2)</f>
        <v>0.2</v>
      </c>
      <c r="O153" s="250">
        <f>IFERROR(__xludf.DUMMYFUNCTION("""COMPUTED_VALUE"""),1000.0)</f>
        <v>1000</v>
      </c>
      <c r="P153" s="250">
        <f>IFERROR(__xludf.DUMMYFUNCTION("""COMPUTED_VALUE"""),0.0)</f>
        <v>0</v>
      </c>
      <c r="Q153" s="250">
        <f>IFERROR(__xludf.DUMMYFUNCTION("""COMPUTED_VALUE"""),0.3)</f>
        <v>0.3</v>
      </c>
      <c r="R153" s="250">
        <f>IFERROR(__xludf.DUMMYFUNCTION("""COMPUTED_VALUE"""),1.0)</f>
        <v>1</v>
      </c>
      <c r="S153" s="250">
        <f>IFERROR(__xludf.DUMMYFUNCTION("""COMPUTED_VALUE"""),10.0)</f>
        <v>10</v>
      </c>
      <c r="T153" s="253" t="str">
        <f>IFERROR(__xludf.DUMMYFUNCTION("""COMPUTED_VALUE"""),"1.50")</f>
        <v>1.50</v>
      </c>
      <c r="U153" s="250" t="str">
        <f>IFERROR(__xludf.DUMMYFUNCTION("""COMPUTED_VALUE"""),"0.74")</f>
        <v>0.74</v>
      </c>
      <c r="V153" s="250">
        <f>IFERROR(__xludf.DUMMYFUNCTION("""COMPUTED_VALUE"""),100.0)</f>
        <v>100</v>
      </c>
      <c r="W153" s="250" t="str">
        <f>IFERROR(__xludf.DUMMYFUNCTION("""COMPUTED_VALUE"""),"-")</f>
        <v>-</v>
      </c>
      <c r="X153" s="250" t="str">
        <f>IFERROR(__xludf.DUMMYFUNCTION("""COMPUTED_VALUE"""),"-")</f>
        <v>-</v>
      </c>
      <c r="Y153" s="250"/>
      <c r="Z153" s="250">
        <f>IFERROR(__xludf.DUMMYFUNCTION("""COMPUTED_VALUE"""),7.0)</f>
        <v>7</v>
      </c>
      <c r="AA153" s="235"/>
      <c r="AB153" s="235" t="str">
        <f>IFERROR(__xludf.DUMMYFUNCTION("""COMPUTED_VALUE"""),"dageki_1")</f>
        <v>dageki_1</v>
      </c>
      <c r="AC153" s="235"/>
    </row>
    <row r="154">
      <c r="A154" s="235"/>
      <c r="B154" s="250" t="str">
        <f>IFERROR(__xludf.DUMMYFUNCTION("""COMPUTED_VALUE"""),"enemy_mag_00301")</f>
        <v>enemy_mag_00301</v>
      </c>
      <c r="C154" s="252" t="str">
        <f>IFERROR(__xludf.DUMMYFUNCTION("""COMPUTED_VALUE"""),"_general")</f>
        <v>_general</v>
      </c>
      <c r="D154" s="252" t="str">
        <f>IFERROR(__xludf.DUMMYFUNCTION("""COMPUTED_VALUE"""),"e_mag_00301_general_Normal_Colorless")</f>
        <v>e_mag_00301_general_Normal_Colorless</v>
      </c>
      <c r="E154" s="252" t="str">
        <f>IFERROR(__xludf.DUMMYFUNCTION("""COMPUTED_VALUE"""),"株式会社マジルミエ")</f>
        <v>株式会社マジルミエ</v>
      </c>
      <c r="F154" s="252" t="str">
        <f>IFERROR(__xludf.DUMMYFUNCTION("""COMPUTED_VALUE"""),"建造物寄生型の怪異")</f>
        <v>建造物寄生型の怪異</v>
      </c>
      <c r="G154" s="252" t="str">
        <f>IFERROR(__xludf.DUMMYFUNCTION("""COMPUTED_VALUE"""),"建造物寄生型の怪異（小）_general")</f>
        <v>建造物寄生型の怪異（小）_general</v>
      </c>
      <c r="H154" s="250" t="str">
        <f>IFERROR(__xludf.DUMMYFUNCTION("""COMPUTED_VALUE"""),"Normal")</f>
        <v>Normal</v>
      </c>
      <c r="I154" s="250" t="str">
        <f>IFERROR(__xludf.DUMMYFUNCTION("""COMPUTED_VALUE"""),"Defense")</f>
        <v>Defense</v>
      </c>
      <c r="J154" s="250" t="str">
        <f>IFERROR(__xludf.DUMMYFUNCTION("""COMPUTED_VALUE"""),"Colorless")</f>
        <v>Colorless</v>
      </c>
      <c r="K154" s="250">
        <f>IFERROR(__xludf.DUMMYFUNCTION("""COMPUTED_VALUE"""),32000.0)</f>
        <v>32000</v>
      </c>
      <c r="L154" s="250">
        <f>IFERROR(__xludf.DUMMYFUNCTION("""COMPUTED_VALUE"""),1.0)</f>
        <v>1</v>
      </c>
      <c r="M154" s="250">
        <f>IFERROR(__xludf.DUMMYFUNCTION("""COMPUTED_VALUE"""),45.0)</f>
        <v>45</v>
      </c>
      <c r="N154" s="250">
        <f>IFERROR(__xludf.DUMMYFUNCTION("""COMPUTED_VALUE"""),0.11)</f>
        <v>0.11</v>
      </c>
      <c r="O154" s="250">
        <f>IFERROR(__xludf.DUMMYFUNCTION("""COMPUTED_VALUE"""),300.0)</f>
        <v>300</v>
      </c>
      <c r="P154" s="250">
        <f>IFERROR(__xludf.DUMMYFUNCTION("""COMPUTED_VALUE"""),0.0)</f>
        <v>0</v>
      </c>
      <c r="Q154" s="250">
        <f>IFERROR(__xludf.DUMMYFUNCTION("""COMPUTED_VALUE"""),0.1)</f>
        <v>0.1</v>
      </c>
      <c r="R154" s="250">
        <f>IFERROR(__xludf.DUMMYFUNCTION("""COMPUTED_VALUE"""),1.0)</f>
        <v>1</v>
      </c>
      <c r="S154" s="250">
        <f>IFERROR(__xludf.DUMMYFUNCTION("""COMPUTED_VALUE"""),10.0)</f>
        <v>10</v>
      </c>
      <c r="T154" s="253" t="str">
        <f>IFERROR(__xludf.DUMMYFUNCTION("""COMPUTED_VALUE"""),"1.50")</f>
        <v>1.50</v>
      </c>
      <c r="U154" s="250" t="str">
        <f>IFERROR(__xludf.DUMMYFUNCTION("""COMPUTED_VALUE"""),"0.74")</f>
        <v>0.74</v>
      </c>
      <c r="V154" s="250">
        <f>IFERROR(__xludf.DUMMYFUNCTION("""COMPUTED_VALUE"""),65.0)</f>
        <v>65</v>
      </c>
      <c r="W154" s="250" t="str">
        <f>IFERROR(__xludf.DUMMYFUNCTION("""COMPUTED_VALUE"""),"-")</f>
        <v>-</v>
      </c>
      <c r="X154" s="250" t="str">
        <f>IFERROR(__xludf.DUMMYFUNCTION("""COMPUTED_VALUE"""),"-")</f>
        <v>-</v>
      </c>
      <c r="Y154" s="250"/>
      <c r="Z154" s="250" t="str">
        <f>IFERROR(__xludf.DUMMYFUNCTION("""COMPUTED_VALUE"""),"-")</f>
        <v>-</v>
      </c>
      <c r="AA154" s="235"/>
      <c r="AB154" s="235" t="str">
        <f>IFERROR(__xludf.DUMMYFUNCTION("""COMPUTED_VALUE"""),"dageki_2")</f>
        <v>dageki_2</v>
      </c>
      <c r="AC154" s="235"/>
    </row>
    <row r="155">
      <c r="A155" s="235"/>
      <c r="B155" s="250" t="str">
        <f>IFERROR(__xludf.DUMMYFUNCTION("""COMPUTED_VALUE"""),"enemy_mag_00301")</f>
        <v>enemy_mag_00301</v>
      </c>
      <c r="C155" s="252" t="str">
        <f>IFERROR(__xludf.DUMMYFUNCTION("""COMPUTED_VALUE"""),"_general")</f>
        <v>_general</v>
      </c>
      <c r="D155" s="252" t="str">
        <f>IFERROR(__xludf.DUMMYFUNCTION("""COMPUTED_VALUE"""),"e_mag_00301_general_Normal_Red")</f>
        <v>e_mag_00301_general_Normal_Red</v>
      </c>
      <c r="E155" s="252" t="str">
        <f>IFERROR(__xludf.DUMMYFUNCTION("""COMPUTED_VALUE"""),"株式会社マジルミエ")</f>
        <v>株式会社マジルミエ</v>
      </c>
      <c r="F155" s="252" t="str">
        <f>IFERROR(__xludf.DUMMYFUNCTION("""COMPUTED_VALUE"""),"建造物寄生型の怪異")</f>
        <v>建造物寄生型の怪異</v>
      </c>
      <c r="G155" s="252" t="str">
        <f>IFERROR(__xludf.DUMMYFUNCTION("""COMPUTED_VALUE"""),"建造物寄生型の怪異（小）_general")</f>
        <v>建造物寄生型の怪異（小）_general</v>
      </c>
      <c r="H155" s="250" t="str">
        <f>IFERROR(__xludf.DUMMYFUNCTION("""COMPUTED_VALUE"""),"Normal")</f>
        <v>Normal</v>
      </c>
      <c r="I155" s="250" t="str">
        <f>IFERROR(__xludf.DUMMYFUNCTION("""COMPUTED_VALUE"""),"Defense")</f>
        <v>Defense</v>
      </c>
      <c r="J155" s="250" t="str">
        <f>IFERROR(__xludf.DUMMYFUNCTION("""COMPUTED_VALUE"""),"Red")</f>
        <v>Red</v>
      </c>
      <c r="K155" s="250">
        <f>IFERROR(__xludf.DUMMYFUNCTION("""COMPUTED_VALUE"""),280000.0)</f>
        <v>280000</v>
      </c>
      <c r="L155" s="250">
        <f>IFERROR(__xludf.DUMMYFUNCTION("""COMPUTED_VALUE"""),1.0)</f>
        <v>1</v>
      </c>
      <c r="M155" s="250">
        <f>IFERROR(__xludf.DUMMYFUNCTION("""COMPUTED_VALUE"""),45.0)</f>
        <v>45</v>
      </c>
      <c r="N155" s="250">
        <f>IFERROR(__xludf.DUMMYFUNCTION("""COMPUTED_VALUE"""),0.11)</f>
        <v>0.11</v>
      </c>
      <c r="O155" s="250">
        <f>IFERROR(__xludf.DUMMYFUNCTION("""COMPUTED_VALUE"""),700.0)</f>
        <v>700</v>
      </c>
      <c r="P155" s="250">
        <f>IFERROR(__xludf.DUMMYFUNCTION("""COMPUTED_VALUE"""),0.0)</f>
        <v>0</v>
      </c>
      <c r="Q155" s="250">
        <f>IFERROR(__xludf.DUMMYFUNCTION("""COMPUTED_VALUE"""),0.1)</f>
        <v>0.1</v>
      </c>
      <c r="R155" s="250">
        <f>IFERROR(__xludf.DUMMYFUNCTION("""COMPUTED_VALUE"""),1.0)</f>
        <v>1</v>
      </c>
      <c r="S155" s="250">
        <f>IFERROR(__xludf.DUMMYFUNCTION("""COMPUTED_VALUE"""),10.0)</f>
        <v>10</v>
      </c>
      <c r="T155" s="253" t="str">
        <f>IFERROR(__xludf.DUMMYFUNCTION("""COMPUTED_VALUE"""),"1.50")</f>
        <v>1.50</v>
      </c>
      <c r="U155" s="250" t="str">
        <f>IFERROR(__xludf.DUMMYFUNCTION("""COMPUTED_VALUE"""),"0.74")</f>
        <v>0.74</v>
      </c>
      <c r="V155" s="250">
        <f>IFERROR(__xludf.DUMMYFUNCTION("""COMPUTED_VALUE"""),65.0)</f>
        <v>65</v>
      </c>
      <c r="W155" s="250" t="str">
        <f>IFERROR(__xludf.DUMMYFUNCTION("""COMPUTED_VALUE"""),"-")</f>
        <v>-</v>
      </c>
      <c r="X155" s="250" t="str">
        <f>IFERROR(__xludf.DUMMYFUNCTION("""COMPUTED_VALUE"""),"-")</f>
        <v>-</v>
      </c>
      <c r="Y155" s="250"/>
      <c r="Z155" s="250" t="str">
        <f>IFERROR(__xludf.DUMMYFUNCTION("""COMPUTED_VALUE"""),"-")</f>
        <v>-</v>
      </c>
      <c r="AA155" s="235"/>
      <c r="AB155" s="235" t="str">
        <f>IFERROR(__xludf.DUMMYFUNCTION("""COMPUTED_VALUE"""),"dageki_2")</f>
        <v>dageki_2</v>
      </c>
      <c r="AC155" s="235"/>
    </row>
    <row r="156">
      <c r="A156" s="235"/>
      <c r="B156" s="250" t="str">
        <f>IFERROR(__xludf.DUMMYFUNCTION("""COMPUTED_VALUE"""),"enemy_mag_00301")</f>
        <v>enemy_mag_00301</v>
      </c>
      <c r="C156" s="252" t="str">
        <f>IFERROR(__xludf.DUMMYFUNCTION("""COMPUTED_VALUE"""),"_general")</f>
        <v>_general</v>
      </c>
      <c r="D156" s="252" t="str">
        <f>IFERROR(__xludf.DUMMYFUNCTION("""COMPUTED_VALUE"""),"e_mag_00301_general_Normal_Blue")</f>
        <v>e_mag_00301_general_Normal_Blue</v>
      </c>
      <c r="E156" s="252" t="str">
        <f>IFERROR(__xludf.DUMMYFUNCTION("""COMPUTED_VALUE"""),"株式会社マジルミエ")</f>
        <v>株式会社マジルミエ</v>
      </c>
      <c r="F156" s="252" t="str">
        <f>IFERROR(__xludf.DUMMYFUNCTION("""COMPUTED_VALUE"""),"建造物寄生型の怪異")</f>
        <v>建造物寄生型の怪異</v>
      </c>
      <c r="G156" s="252" t="str">
        <f>IFERROR(__xludf.DUMMYFUNCTION("""COMPUTED_VALUE"""),"建造物寄生型の怪異（小）_general")</f>
        <v>建造物寄生型の怪異（小）_general</v>
      </c>
      <c r="H156" s="250" t="str">
        <f>IFERROR(__xludf.DUMMYFUNCTION("""COMPUTED_VALUE"""),"Normal")</f>
        <v>Normal</v>
      </c>
      <c r="I156" s="250" t="str">
        <f>IFERROR(__xludf.DUMMYFUNCTION("""COMPUTED_VALUE"""),"Defense")</f>
        <v>Defense</v>
      </c>
      <c r="J156" s="250" t="str">
        <f>IFERROR(__xludf.DUMMYFUNCTION("""COMPUTED_VALUE"""),"Blue")</f>
        <v>Blue</v>
      </c>
      <c r="K156" s="250">
        <f>IFERROR(__xludf.DUMMYFUNCTION("""COMPUTED_VALUE"""),80000.0)</f>
        <v>80000</v>
      </c>
      <c r="L156" s="250">
        <f>IFERROR(__xludf.DUMMYFUNCTION("""COMPUTED_VALUE"""),1.0)</f>
        <v>1</v>
      </c>
      <c r="M156" s="250">
        <f>IFERROR(__xludf.DUMMYFUNCTION("""COMPUTED_VALUE"""),45.0)</f>
        <v>45</v>
      </c>
      <c r="N156" s="250">
        <f>IFERROR(__xludf.DUMMYFUNCTION("""COMPUTED_VALUE"""),0.11)</f>
        <v>0.11</v>
      </c>
      <c r="O156" s="250">
        <f>IFERROR(__xludf.DUMMYFUNCTION("""COMPUTED_VALUE"""),500.0)</f>
        <v>500</v>
      </c>
      <c r="P156" s="250">
        <f>IFERROR(__xludf.DUMMYFUNCTION("""COMPUTED_VALUE"""),0.0)</f>
        <v>0</v>
      </c>
      <c r="Q156" s="250">
        <f>IFERROR(__xludf.DUMMYFUNCTION("""COMPUTED_VALUE"""),0.1)</f>
        <v>0.1</v>
      </c>
      <c r="R156" s="250">
        <f>IFERROR(__xludf.DUMMYFUNCTION("""COMPUTED_VALUE"""),1.0)</f>
        <v>1</v>
      </c>
      <c r="S156" s="250">
        <f>IFERROR(__xludf.DUMMYFUNCTION("""COMPUTED_VALUE"""),10.0)</f>
        <v>10</v>
      </c>
      <c r="T156" s="253" t="str">
        <f>IFERROR(__xludf.DUMMYFUNCTION("""COMPUTED_VALUE"""),"1.50")</f>
        <v>1.50</v>
      </c>
      <c r="U156" s="250" t="str">
        <f>IFERROR(__xludf.DUMMYFUNCTION("""COMPUTED_VALUE"""),"0.74")</f>
        <v>0.74</v>
      </c>
      <c r="V156" s="250">
        <f>IFERROR(__xludf.DUMMYFUNCTION("""COMPUTED_VALUE"""),65.0)</f>
        <v>65</v>
      </c>
      <c r="W156" s="250" t="str">
        <f>IFERROR(__xludf.DUMMYFUNCTION("""COMPUTED_VALUE"""),"-")</f>
        <v>-</v>
      </c>
      <c r="X156" s="250" t="str">
        <f>IFERROR(__xludf.DUMMYFUNCTION("""COMPUTED_VALUE"""),"-")</f>
        <v>-</v>
      </c>
      <c r="Y156" s="250"/>
      <c r="Z156" s="250" t="str">
        <f>IFERROR(__xludf.DUMMYFUNCTION("""COMPUTED_VALUE"""),"-")</f>
        <v>-</v>
      </c>
      <c r="AA156" s="235"/>
      <c r="AB156" s="235" t="str">
        <f>IFERROR(__xludf.DUMMYFUNCTION("""COMPUTED_VALUE"""),"dageki_2")</f>
        <v>dageki_2</v>
      </c>
      <c r="AC156" s="235"/>
    </row>
    <row r="157">
      <c r="A157" s="235"/>
      <c r="B157" s="250" t="str">
        <f>IFERROR(__xludf.DUMMYFUNCTION("""COMPUTED_VALUE"""),"chara_mag_00001")</f>
        <v>chara_mag_00001</v>
      </c>
      <c r="C157" s="252" t="str">
        <f>IFERROR(__xludf.DUMMYFUNCTION("""COMPUTED_VALUE"""),"_general")</f>
        <v>_general</v>
      </c>
      <c r="D157" s="252" t="str">
        <f>IFERROR(__xludf.DUMMYFUNCTION("""COMPUTED_VALUE"""),"c_mag_00001_general_Boss_Blue")</f>
        <v>c_mag_00001_general_Boss_Blue</v>
      </c>
      <c r="E157" s="252" t="str">
        <f>IFERROR(__xludf.DUMMYFUNCTION("""COMPUTED_VALUE"""),"株式会社マジルミエ")</f>
        <v>株式会社マジルミエ</v>
      </c>
      <c r="F157" s="252" t="str">
        <f>IFERROR(__xludf.DUMMYFUNCTION("""COMPUTED_VALUE"""),"新人魔法少女 桜木 カナ")</f>
        <v>新人魔法少女 桜木 カナ</v>
      </c>
      <c r="G157" s="252" t="str">
        <f>IFERROR(__xludf.DUMMYFUNCTION("""COMPUTED_VALUE"""),"新人魔法少女 桜木 カナ_general")</f>
        <v>新人魔法少女 桜木 カナ_general</v>
      </c>
      <c r="H157" s="250" t="str">
        <f>IFERROR(__xludf.DUMMYFUNCTION("""COMPUTED_VALUE"""),"Boss")</f>
        <v>Boss</v>
      </c>
      <c r="I157" s="250" t="str">
        <f>IFERROR(__xludf.DUMMYFUNCTION("""COMPUTED_VALUE"""),"Attack")</f>
        <v>Attack</v>
      </c>
      <c r="J157" s="250" t="str">
        <f>IFERROR(__xludf.DUMMYFUNCTION("""COMPUTED_VALUE"""),"Blue")</f>
        <v>Blue</v>
      </c>
      <c r="K157" s="250">
        <f>IFERROR(__xludf.DUMMYFUNCTION("""COMPUTED_VALUE"""),500000.0)</f>
        <v>500000</v>
      </c>
      <c r="L157" s="250">
        <f>IFERROR(__xludf.DUMMYFUNCTION("""COMPUTED_VALUE"""),2.0)</f>
        <v>2</v>
      </c>
      <c r="M157" s="250">
        <f>IFERROR(__xludf.DUMMYFUNCTION("""COMPUTED_VALUE"""),45.0)</f>
        <v>45</v>
      </c>
      <c r="N157" s="250">
        <f>IFERROR(__xludf.DUMMYFUNCTION("""COMPUTED_VALUE"""),0.4)</f>
        <v>0.4</v>
      </c>
      <c r="O157" s="250">
        <f>IFERROR(__xludf.DUMMYFUNCTION("""COMPUTED_VALUE"""),1200.0)</f>
        <v>1200</v>
      </c>
      <c r="P157" s="250">
        <f>IFERROR(__xludf.DUMMYFUNCTION("""COMPUTED_VALUE"""),0.0)</f>
        <v>0</v>
      </c>
      <c r="Q157" s="250">
        <f>IFERROR(__xludf.DUMMYFUNCTION("""COMPUTED_VALUE"""),0.5)</f>
        <v>0.5</v>
      </c>
      <c r="R157" s="250">
        <f>IFERROR(__xludf.DUMMYFUNCTION("""COMPUTED_VALUE"""),1.0)</f>
        <v>1</v>
      </c>
      <c r="S157" s="250">
        <f>IFERROR(__xludf.DUMMYFUNCTION("""COMPUTED_VALUE"""),10.0)</f>
        <v>10</v>
      </c>
      <c r="T157" s="253" t="str">
        <f>IFERROR(__xludf.DUMMYFUNCTION("""COMPUTED_VALUE"""),"1.77")</f>
        <v>1.77</v>
      </c>
      <c r="U157" s="250" t="str">
        <f>IFERROR(__xludf.DUMMYFUNCTION("""COMPUTED_VALUE"""),"stop有:1回目 0.92")</f>
        <v>stop有:1回目 0.92</v>
      </c>
      <c r="V157" s="250">
        <f>IFERROR(__xludf.DUMMYFUNCTION("""COMPUTED_VALUE"""),50.0)</f>
        <v>50</v>
      </c>
      <c r="W157" s="250" t="str">
        <f>IFERROR(__xludf.DUMMYFUNCTION("""COMPUTED_VALUE"""),"2.33")</f>
        <v>2.33</v>
      </c>
      <c r="X157" s="250"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157" s="250" t="str">
        <f>IFERROR(__xludf.DUMMYFUNCTION("""COMPUTED_VALUE"""),"連続範囲攻撃+20秒間自身の攻撃50%UP+100%の確率で範囲小ノックバック")</f>
        <v>連続範囲攻撃+20秒間自身の攻撃50%UP+100%の確率で範囲小ノックバック</v>
      </c>
      <c r="Z157" s="250">
        <f>IFERROR(__xludf.DUMMYFUNCTION("""COMPUTED_VALUE"""),5.0)</f>
        <v>5</v>
      </c>
      <c r="AA157" s="235"/>
      <c r="AB157" s="235" t="str">
        <f>IFERROR(__xludf.DUMMYFUNCTION("""COMPUTED_VALUE"""),"shageki_1")</f>
        <v>shageki_1</v>
      </c>
      <c r="AC157" s="235"/>
    </row>
    <row r="158">
      <c r="A158" s="235"/>
      <c r="B158" s="250" t="str">
        <f>IFERROR(__xludf.DUMMYFUNCTION("""COMPUTED_VALUE"""),"chara_mag_00101")</f>
        <v>chara_mag_00101</v>
      </c>
      <c r="C158" s="252" t="str">
        <f>IFERROR(__xludf.DUMMYFUNCTION("""COMPUTED_VALUE"""),"_general")</f>
        <v>_general</v>
      </c>
      <c r="D158" s="252" t="str">
        <f>IFERROR(__xludf.DUMMYFUNCTION("""COMPUTED_VALUE"""),"c_mag_00101_general_Normal_Blue")</f>
        <v>c_mag_00101_general_Normal_Blue</v>
      </c>
      <c r="E158" s="252" t="str">
        <f>IFERROR(__xludf.DUMMYFUNCTION("""COMPUTED_VALUE"""),"株式会社マジルミエ")</f>
        <v>株式会社マジルミエ</v>
      </c>
      <c r="F158" s="252" t="str">
        <f>IFERROR(__xludf.DUMMYFUNCTION("""COMPUTED_VALUE"""),"越谷 仁美")</f>
        <v>越谷 仁美</v>
      </c>
      <c r="G158" s="252" t="str">
        <f>IFERROR(__xludf.DUMMYFUNCTION("""COMPUTED_VALUE"""),"越谷 仁美_general")</f>
        <v>越谷 仁美_general</v>
      </c>
      <c r="H158" s="250" t="str">
        <f>IFERROR(__xludf.DUMMYFUNCTION("""COMPUTED_VALUE"""),"Normal")</f>
        <v>Normal</v>
      </c>
      <c r="I158" s="250" t="str">
        <f>IFERROR(__xludf.DUMMYFUNCTION("""COMPUTED_VALUE"""),"Attack")</f>
        <v>Attack</v>
      </c>
      <c r="J158" s="250" t="str">
        <f>IFERROR(__xludf.DUMMYFUNCTION("""COMPUTED_VALUE"""),"Blue")</f>
        <v>Blue</v>
      </c>
      <c r="K158" s="250">
        <f>IFERROR(__xludf.DUMMYFUNCTION("""COMPUTED_VALUE"""),80000.0)</f>
        <v>80000</v>
      </c>
      <c r="L158" s="250">
        <f>IFERROR(__xludf.DUMMYFUNCTION("""COMPUTED_VALUE"""),2.0)</f>
        <v>2</v>
      </c>
      <c r="M158" s="250">
        <f>IFERROR(__xludf.DUMMYFUNCTION("""COMPUTED_VALUE"""),55.0)</f>
        <v>55</v>
      </c>
      <c r="N158" s="250">
        <f>IFERROR(__xludf.DUMMYFUNCTION("""COMPUTED_VALUE"""),0.3)</f>
        <v>0.3</v>
      </c>
      <c r="O158" s="250">
        <f>IFERROR(__xludf.DUMMYFUNCTION("""COMPUTED_VALUE"""),1000.0)</f>
        <v>1000</v>
      </c>
      <c r="P158" s="250">
        <f>IFERROR(__xludf.DUMMYFUNCTION("""COMPUTED_VALUE"""),0.0)</f>
        <v>0</v>
      </c>
      <c r="Q158" s="250">
        <f>IFERROR(__xludf.DUMMYFUNCTION("""COMPUTED_VALUE"""),0.32)</f>
        <v>0.32</v>
      </c>
      <c r="R158" s="250">
        <f>IFERROR(__xludf.DUMMYFUNCTION("""COMPUTED_VALUE"""),1.0)</f>
        <v>1</v>
      </c>
      <c r="S158" s="250">
        <f>IFERROR(__xludf.DUMMYFUNCTION("""COMPUTED_VALUE"""),10.0)</f>
        <v>10</v>
      </c>
      <c r="T158" s="253" t="str">
        <f>IFERROR(__xludf.DUMMYFUNCTION("""COMPUTED_VALUE"""),"1.90")</f>
        <v>1.90</v>
      </c>
      <c r="U158" s="250" t="str">
        <f>IFERROR(__xludf.DUMMYFUNCTION("""COMPUTED_VALUE"""),"0.84")</f>
        <v>0.84</v>
      </c>
      <c r="V158" s="250">
        <f>IFERROR(__xludf.DUMMYFUNCTION("""COMPUTED_VALUE"""),50.0)</f>
        <v>50</v>
      </c>
      <c r="W158" s="250" t="str">
        <f>IFERROR(__xludf.DUMMYFUNCTION("""COMPUTED_VALUE"""),"2.67")</f>
        <v>2.67</v>
      </c>
      <c r="X158" s="250" t="str">
        <f>IFERROR(__xludf.DUMMYFUNCTION("""COMPUTED_VALUE"""),"1.50")</f>
        <v>1.50</v>
      </c>
      <c r="Y158" s="250" t="str">
        <f>IFERROR(__xludf.DUMMYFUNCTION("""COMPUTED_VALUE"""),"範囲攻撃+20秒間自身の攻撃50%UP")</f>
        <v>範囲攻撃+20秒間自身の攻撃50%UP</v>
      </c>
      <c r="Z158" s="250">
        <f>IFERROR(__xludf.DUMMYFUNCTION("""COMPUTED_VALUE"""),5.0)</f>
        <v>5</v>
      </c>
      <c r="AA158" s="235"/>
      <c r="AB158" s="235" t="str">
        <f>IFERROR(__xludf.DUMMYFUNCTION("""COMPUTED_VALUE"""),"shageki_1")</f>
        <v>shageki_1</v>
      </c>
      <c r="AC158" s="235"/>
    </row>
    <row r="159">
      <c r="A159" s="235"/>
      <c r="B159" s="250" t="str">
        <f>IFERROR(__xludf.DUMMYFUNCTION("""COMPUTED_VALUE"""),"enemy_mag_00101")</f>
        <v>enemy_mag_00101</v>
      </c>
      <c r="C159" s="252" t="str">
        <f>IFERROR(__xludf.DUMMYFUNCTION("""COMPUTED_VALUE"""),"_general_h")</f>
        <v>_general_h</v>
      </c>
      <c r="D159" s="252" t="str">
        <f>IFERROR(__xludf.DUMMYFUNCTION("""COMPUTED_VALUE"""),"e_mag_00101_general_h_Normal_Blue")</f>
        <v>e_mag_00101_general_h_Normal_Blue</v>
      </c>
      <c r="E159" s="252" t="str">
        <f>IFERROR(__xludf.DUMMYFUNCTION("""COMPUTED_VALUE"""),"株式会社マジルミエ")</f>
        <v>株式会社マジルミエ</v>
      </c>
      <c r="F159" s="252" t="str">
        <f>IFERROR(__xludf.DUMMYFUNCTION("""COMPUTED_VALUE"""),"つらら")</f>
        <v>つらら</v>
      </c>
      <c r="G159" s="252" t="str">
        <f>IFERROR(__xludf.DUMMYFUNCTION("""COMPUTED_VALUE"""),"つらら_general_h")</f>
        <v>つらら_general_h</v>
      </c>
      <c r="H159" s="250" t="str">
        <f>IFERROR(__xludf.DUMMYFUNCTION("""COMPUTED_VALUE"""),"Normal")</f>
        <v>Normal</v>
      </c>
      <c r="I159" s="250" t="str">
        <f>IFERROR(__xludf.DUMMYFUNCTION("""COMPUTED_VALUE"""),"Attack")</f>
        <v>Attack</v>
      </c>
      <c r="J159" s="250" t="str">
        <f>IFERROR(__xludf.DUMMYFUNCTION("""COMPUTED_VALUE"""),"Blue")</f>
        <v>Blue</v>
      </c>
      <c r="K159" s="250">
        <f>IFERROR(__xludf.DUMMYFUNCTION("""COMPUTED_VALUE"""),8000.0)</f>
        <v>8000</v>
      </c>
      <c r="L159" s="250">
        <f>IFERROR(__xludf.DUMMYFUNCTION("""COMPUTED_VALUE"""),1.0)</f>
        <v>1</v>
      </c>
      <c r="M159" s="250">
        <f>IFERROR(__xludf.DUMMYFUNCTION("""COMPUTED_VALUE"""),100.0)</f>
        <v>100</v>
      </c>
      <c r="N159" s="250">
        <f>IFERROR(__xludf.DUMMYFUNCTION("""COMPUTED_VALUE"""),0.3)</f>
        <v>0.3</v>
      </c>
      <c r="O159" s="250">
        <f>IFERROR(__xludf.DUMMYFUNCTION("""COMPUTED_VALUE"""),500.0)</f>
        <v>500</v>
      </c>
      <c r="P159" s="250">
        <f>IFERROR(__xludf.DUMMYFUNCTION("""COMPUTED_VALUE"""),0.0)</f>
        <v>0</v>
      </c>
      <c r="Q159" s="250">
        <f>IFERROR(__xludf.DUMMYFUNCTION("""COMPUTED_VALUE"""),0.3)</f>
        <v>0.3</v>
      </c>
      <c r="R159" s="250">
        <f>IFERROR(__xludf.DUMMYFUNCTION("""COMPUTED_VALUE"""),1.0)</f>
        <v>1</v>
      </c>
      <c r="S159" s="250">
        <f>IFERROR(__xludf.DUMMYFUNCTION("""COMPUTED_VALUE"""),10.0)</f>
        <v>10</v>
      </c>
      <c r="T159" s="253" t="str">
        <f>IFERROR(__xludf.DUMMYFUNCTION("""COMPUTED_VALUE"""),"0.37")</f>
        <v>0.37</v>
      </c>
      <c r="U159" s="250" t="str">
        <f>IFERROR(__xludf.DUMMYFUNCTION("""COMPUTED_VALUE"""),"stop有:1回目 0.20")</f>
        <v>stop有:1回目 0.20</v>
      </c>
      <c r="V159" s="250">
        <f>IFERROR(__xludf.DUMMYFUNCTION("""COMPUTED_VALUE"""),0.0)</f>
        <v>0</v>
      </c>
      <c r="W159" s="250" t="str">
        <f>IFERROR(__xludf.DUMMYFUNCTION("""COMPUTED_VALUE"""),"-")</f>
        <v>-</v>
      </c>
      <c r="X159" s="250" t="str">
        <f>IFERROR(__xludf.DUMMYFUNCTION("""COMPUTED_VALUE"""),"-")</f>
        <v>-</v>
      </c>
      <c r="Y159" s="250"/>
      <c r="Z159" s="250" t="str">
        <f>IFERROR(__xludf.DUMMYFUNCTION("""COMPUTED_VALUE"""),"-")</f>
        <v>-</v>
      </c>
      <c r="AA159" s="235"/>
      <c r="AB159" s="235" t="str">
        <f>IFERROR(__xludf.DUMMYFUNCTION("""COMPUTED_VALUE"""),"zangeki_1")</f>
        <v>zangeki_1</v>
      </c>
      <c r="AC159" s="235"/>
    </row>
    <row r="160">
      <c r="A160" s="235"/>
      <c r="B160" s="250" t="str">
        <f>IFERROR(__xludf.DUMMYFUNCTION("""COMPUTED_VALUE"""),"enemy_mag_00101")</f>
        <v>enemy_mag_00101</v>
      </c>
      <c r="C160" s="252" t="str">
        <f>IFERROR(__xludf.DUMMYFUNCTION("""COMPUTED_VALUE"""),"_general2_h")</f>
        <v>_general2_h</v>
      </c>
      <c r="D160" s="252" t="str">
        <f>IFERROR(__xludf.DUMMYFUNCTION("""COMPUTED_VALUE"""),"e_mag_00101_general2_h_Normal_Blue")</f>
        <v>e_mag_00101_general2_h_Normal_Blue</v>
      </c>
      <c r="E160" s="252" t="str">
        <f>IFERROR(__xludf.DUMMYFUNCTION("""COMPUTED_VALUE"""),"株式会社マジルミエ")</f>
        <v>株式会社マジルミエ</v>
      </c>
      <c r="F160" s="252" t="str">
        <f>IFERROR(__xludf.DUMMYFUNCTION("""COMPUTED_VALUE"""),"つらら")</f>
        <v>つらら</v>
      </c>
      <c r="G160" s="252" t="str">
        <f>IFERROR(__xludf.DUMMYFUNCTION("""COMPUTED_VALUE"""),"つらら_general2_h")</f>
        <v>つらら_general2_h</v>
      </c>
      <c r="H160" s="250" t="str">
        <f>IFERROR(__xludf.DUMMYFUNCTION("""COMPUTED_VALUE"""),"Normal")</f>
        <v>Normal</v>
      </c>
      <c r="I160" s="250" t="str">
        <f>IFERROR(__xludf.DUMMYFUNCTION("""COMPUTED_VALUE"""),"Attack")</f>
        <v>Attack</v>
      </c>
      <c r="J160" s="250" t="str">
        <f>IFERROR(__xludf.DUMMYFUNCTION("""COMPUTED_VALUE"""),"Blue")</f>
        <v>Blue</v>
      </c>
      <c r="K160" s="250">
        <f>IFERROR(__xludf.DUMMYFUNCTION("""COMPUTED_VALUE"""),8000.0)</f>
        <v>8000</v>
      </c>
      <c r="L160" s="250">
        <f>IFERROR(__xludf.DUMMYFUNCTION("""COMPUTED_VALUE"""),1.0)</f>
        <v>1</v>
      </c>
      <c r="M160" s="250">
        <f>IFERROR(__xludf.DUMMYFUNCTION("""COMPUTED_VALUE"""),100.0)</f>
        <v>100</v>
      </c>
      <c r="N160" s="250">
        <f>IFERROR(__xludf.DUMMYFUNCTION("""COMPUTED_VALUE"""),0.3)</f>
        <v>0.3</v>
      </c>
      <c r="O160" s="250">
        <f>IFERROR(__xludf.DUMMYFUNCTION("""COMPUTED_VALUE"""),500.0)</f>
        <v>500</v>
      </c>
      <c r="P160" s="250">
        <f>IFERROR(__xludf.DUMMYFUNCTION("""COMPUTED_VALUE"""),0.0)</f>
        <v>0</v>
      </c>
      <c r="Q160" s="250">
        <f>IFERROR(__xludf.DUMMYFUNCTION("""COMPUTED_VALUE"""),0.3)</f>
        <v>0.3</v>
      </c>
      <c r="R160" s="250">
        <f>IFERROR(__xludf.DUMMYFUNCTION("""COMPUTED_VALUE"""),1.0)</f>
        <v>1</v>
      </c>
      <c r="S160" s="250">
        <f>IFERROR(__xludf.DUMMYFUNCTION("""COMPUTED_VALUE"""),10.0)</f>
        <v>10</v>
      </c>
      <c r="T160" s="253" t="str">
        <f>IFERROR(__xludf.DUMMYFUNCTION("""COMPUTED_VALUE"""),"0.37")</f>
        <v>0.37</v>
      </c>
      <c r="U160" s="250" t="str">
        <f>IFERROR(__xludf.DUMMYFUNCTION("""COMPUTED_VALUE"""),"stop有:1回目 0.20")</f>
        <v>stop有:1回目 0.20</v>
      </c>
      <c r="V160" s="250">
        <f>IFERROR(__xludf.DUMMYFUNCTION("""COMPUTED_VALUE"""),0.0)</f>
        <v>0</v>
      </c>
      <c r="W160" s="250" t="str">
        <f>IFERROR(__xludf.DUMMYFUNCTION("""COMPUTED_VALUE"""),"-")</f>
        <v>-</v>
      </c>
      <c r="X160" s="250" t="str">
        <f>IFERROR(__xludf.DUMMYFUNCTION("""COMPUTED_VALUE"""),"-")</f>
        <v>-</v>
      </c>
      <c r="Y160" s="250"/>
      <c r="Z160" s="250" t="str">
        <f>IFERROR(__xludf.DUMMYFUNCTION("""COMPUTED_VALUE"""),"-")</f>
        <v>-</v>
      </c>
      <c r="AA160" s="235"/>
      <c r="AB160" s="235" t="str">
        <f>IFERROR(__xludf.DUMMYFUNCTION("""COMPUTED_VALUE"""),"zangeki_1")</f>
        <v>zangeki_1</v>
      </c>
      <c r="AC160" s="235"/>
    </row>
    <row r="161">
      <c r="A161" s="235"/>
      <c r="B161" s="250"/>
      <c r="C161" s="252"/>
      <c r="D161" s="252" t="str">
        <f>IFERROR(__xludf.DUMMYFUNCTION("""COMPUTED_VALUE"""),"___")</f>
        <v>___</v>
      </c>
      <c r="E161" s="252" t="str">
        <f>IFERROR(__xludf.DUMMYFUNCTION("""COMPUTED_VALUE"""),"none")</f>
        <v>none</v>
      </c>
      <c r="F161" s="252" t="str">
        <f>IFERROR(__xludf.DUMMYFUNCTION("""COMPUTED_VALUE"""),"none")</f>
        <v>none</v>
      </c>
      <c r="G161" s="252" t="str">
        <f>IFERROR(__xludf.DUMMYFUNCTION("""COMPUTED_VALUE"""),"none")</f>
        <v>none</v>
      </c>
      <c r="H161" s="250"/>
      <c r="I161" s="250" t="str">
        <f>IFERROR(__xludf.DUMMYFUNCTION("""COMPUTED_VALUE"""),"none")</f>
        <v>none</v>
      </c>
      <c r="J161" s="250"/>
      <c r="K161" s="250"/>
      <c r="L161" s="250"/>
      <c r="M161" s="250"/>
      <c r="N161" s="250"/>
      <c r="O161" s="250"/>
      <c r="P161" s="250"/>
      <c r="Q161" s="250"/>
      <c r="R161" s="250"/>
      <c r="S161" s="250"/>
      <c r="T161" s="253" t="str">
        <f>IFERROR(__xludf.DUMMYFUNCTION("""COMPUTED_VALUE"""),"none")</f>
        <v>none</v>
      </c>
      <c r="U161" s="250" t="str">
        <f>IFERROR(__xludf.DUMMYFUNCTION("""COMPUTED_VALUE"""),"none")</f>
        <v>none</v>
      </c>
      <c r="V161" s="250"/>
      <c r="W161" s="250" t="str">
        <f>IFERROR(__xludf.DUMMYFUNCTION("""COMPUTED_VALUE"""),"none")</f>
        <v>none</v>
      </c>
      <c r="X161" s="250" t="str">
        <f>IFERROR(__xludf.DUMMYFUNCTION("""COMPUTED_VALUE"""),"none")</f>
        <v>none</v>
      </c>
      <c r="Y161" s="250"/>
      <c r="Z161" s="250"/>
      <c r="AA161" s="235"/>
      <c r="AB161" s="235"/>
      <c r="AC161" s="235"/>
    </row>
    <row r="162">
      <c r="A162" s="235"/>
      <c r="B162" s="250" t="str">
        <f>IFERROR(__xludf.DUMMYFUNCTION("""COMPUTED_VALUE"""),"enemy_glo_00001")</f>
        <v>enemy_glo_00001</v>
      </c>
      <c r="C162" s="252" t="str">
        <f>IFERROR(__xludf.DUMMYFUNCTION("""COMPUTED_VALUE"""),"_general_mag_vh")</f>
        <v>_general_mag_vh</v>
      </c>
      <c r="D162" s="252" t="str">
        <f>IFERROR(__xludf.DUMMYFUNCTION("""COMPUTED_VALUE"""),"e_glo_00001_general_mag_vh_Normal_Red")</f>
        <v>e_glo_00001_general_mag_vh_Normal_Red</v>
      </c>
      <c r="E162" s="252" t="str">
        <f>IFERROR(__xludf.DUMMYFUNCTION("""COMPUTED_VALUE"""),"GLOW")</f>
        <v>GLOW</v>
      </c>
      <c r="F162" s="252" t="str">
        <f>IFERROR(__xludf.DUMMYFUNCTION("""COMPUTED_VALUE"""),"ファントム")</f>
        <v>ファントム</v>
      </c>
      <c r="G162" s="252" t="str">
        <f>IFERROR(__xludf.DUMMYFUNCTION("""COMPUTED_VALUE"""),"ファントム_general_mag_vh")</f>
        <v>ファントム_general_mag_vh</v>
      </c>
      <c r="H162" s="250" t="str">
        <f>IFERROR(__xludf.DUMMYFUNCTION("""COMPUTED_VALUE"""),"Normal")</f>
        <v>Normal</v>
      </c>
      <c r="I162" s="250" t="str">
        <f>IFERROR(__xludf.DUMMYFUNCTION("""COMPUTED_VALUE"""),"Attack")</f>
        <v>Attack</v>
      </c>
      <c r="J162" s="250" t="str">
        <f>IFERROR(__xludf.DUMMYFUNCTION("""COMPUTED_VALUE"""),"Red")</f>
        <v>Red</v>
      </c>
      <c r="K162" s="250">
        <f>IFERROR(__xludf.DUMMYFUNCTION("""COMPUTED_VALUE"""),30000.0)</f>
        <v>30000</v>
      </c>
      <c r="L162" s="250">
        <f>IFERROR(__xludf.DUMMYFUNCTION("""COMPUTED_VALUE"""),2.0)</f>
        <v>2</v>
      </c>
      <c r="M162" s="250">
        <f>IFERROR(__xludf.DUMMYFUNCTION("""COMPUTED_VALUE"""),45.0)</f>
        <v>45</v>
      </c>
      <c r="N162" s="250">
        <f>IFERROR(__xludf.DUMMYFUNCTION("""COMPUTED_VALUE"""),0.11)</f>
        <v>0.11</v>
      </c>
      <c r="O162" s="250">
        <f>IFERROR(__xludf.DUMMYFUNCTION("""COMPUTED_VALUE"""),1000.0)</f>
        <v>1000</v>
      </c>
      <c r="P162" s="250">
        <f>IFERROR(__xludf.DUMMYFUNCTION("""COMPUTED_VALUE"""),0.0)</f>
        <v>0</v>
      </c>
      <c r="Q162" s="250">
        <f>IFERROR(__xludf.DUMMYFUNCTION("""COMPUTED_VALUE"""),0.2)</f>
        <v>0.2</v>
      </c>
      <c r="R162" s="250">
        <f>IFERROR(__xludf.DUMMYFUNCTION("""COMPUTED_VALUE"""),1.0)</f>
        <v>1</v>
      </c>
      <c r="S162" s="250">
        <f>IFERROR(__xludf.DUMMYFUNCTION("""COMPUTED_VALUE"""),1.0)</f>
        <v>1</v>
      </c>
      <c r="T162" s="253" t="str">
        <f>IFERROR(__xludf.DUMMYFUNCTION("""COMPUTED_VALUE"""),"1.00")</f>
        <v>1.00</v>
      </c>
      <c r="U162" s="250" t="str">
        <f>IFERROR(__xludf.DUMMYFUNCTION("""COMPUTED_VALUE"""),"0.50")</f>
        <v>0.50</v>
      </c>
      <c r="V162" s="250">
        <f>IFERROR(__xludf.DUMMYFUNCTION("""COMPUTED_VALUE"""),75.0)</f>
        <v>75</v>
      </c>
      <c r="W162" s="250"/>
      <c r="X162" s="250"/>
      <c r="Y162" s="250"/>
      <c r="Z162" s="250" t="str">
        <f>IFERROR(__xludf.DUMMYFUNCTION("""COMPUTED_VALUE"""),"-")</f>
        <v>-</v>
      </c>
      <c r="AA162" s="235"/>
      <c r="AB162" s="235"/>
      <c r="AC162" s="235"/>
    </row>
    <row r="163">
      <c r="A163" s="235"/>
      <c r="B163" s="250" t="str">
        <f>IFERROR(__xludf.DUMMYFUNCTION("""COMPUTED_VALUE"""),"enemy_glo_00001")</f>
        <v>enemy_glo_00001</v>
      </c>
      <c r="C163" s="252" t="str">
        <f>IFERROR(__xludf.DUMMYFUNCTION("""COMPUTED_VALUE"""),"_general_mag_vh")</f>
        <v>_general_mag_vh</v>
      </c>
      <c r="D163" s="252" t="str">
        <f>IFERROR(__xludf.DUMMYFUNCTION("""COMPUTED_VALUE"""),"e_glo_00001_general_mag_vh_Normal_Blue")</f>
        <v>e_glo_00001_general_mag_vh_Normal_Blue</v>
      </c>
      <c r="E163" s="252" t="str">
        <f>IFERROR(__xludf.DUMMYFUNCTION("""COMPUTED_VALUE"""),"GLOW")</f>
        <v>GLOW</v>
      </c>
      <c r="F163" s="252" t="str">
        <f>IFERROR(__xludf.DUMMYFUNCTION("""COMPUTED_VALUE"""),"ファントム")</f>
        <v>ファントム</v>
      </c>
      <c r="G163" s="252" t="str">
        <f>IFERROR(__xludf.DUMMYFUNCTION("""COMPUTED_VALUE"""),"ファントム_general_mag_vh")</f>
        <v>ファントム_general_mag_vh</v>
      </c>
      <c r="H163" s="250" t="str">
        <f>IFERROR(__xludf.DUMMYFUNCTION("""COMPUTED_VALUE"""),"Normal")</f>
        <v>Normal</v>
      </c>
      <c r="I163" s="250" t="str">
        <f>IFERROR(__xludf.DUMMYFUNCTION("""COMPUTED_VALUE"""),"Attack")</f>
        <v>Attack</v>
      </c>
      <c r="J163" s="250" t="str">
        <f>IFERROR(__xludf.DUMMYFUNCTION("""COMPUTED_VALUE"""),"Blue")</f>
        <v>Blue</v>
      </c>
      <c r="K163" s="250">
        <f>IFERROR(__xludf.DUMMYFUNCTION("""COMPUTED_VALUE"""),30000.0)</f>
        <v>30000</v>
      </c>
      <c r="L163" s="250">
        <f>IFERROR(__xludf.DUMMYFUNCTION("""COMPUTED_VALUE"""),2.0)</f>
        <v>2</v>
      </c>
      <c r="M163" s="250">
        <f>IFERROR(__xludf.DUMMYFUNCTION("""COMPUTED_VALUE"""),45.0)</f>
        <v>45</v>
      </c>
      <c r="N163" s="250">
        <f>IFERROR(__xludf.DUMMYFUNCTION("""COMPUTED_VALUE"""),0.11)</f>
        <v>0.11</v>
      </c>
      <c r="O163" s="250">
        <f>IFERROR(__xludf.DUMMYFUNCTION("""COMPUTED_VALUE"""),1000.0)</f>
        <v>1000</v>
      </c>
      <c r="P163" s="250">
        <f>IFERROR(__xludf.DUMMYFUNCTION("""COMPUTED_VALUE"""),0.0)</f>
        <v>0</v>
      </c>
      <c r="Q163" s="250">
        <f>IFERROR(__xludf.DUMMYFUNCTION("""COMPUTED_VALUE"""),0.2)</f>
        <v>0.2</v>
      </c>
      <c r="R163" s="250">
        <f>IFERROR(__xludf.DUMMYFUNCTION("""COMPUTED_VALUE"""),1.0)</f>
        <v>1</v>
      </c>
      <c r="S163" s="250">
        <f>IFERROR(__xludf.DUMMYFUNCTION("""COMPUTED_VALUE"""),1.0)</f>
        <v>1</v>
      </c>
      <c r="T163" s="253" t="str">
        <f>IFERROR(__xludf.DUMMYFUNCTION("""COMPUTED_VALUE"""),"1.00")</f>
        <v>1.00</v>
      </c>
      <c r="U163" s="250" t="str">
        <f>IFERROR(__xludf.DUMMYFUNCTION("""COMPUTED_VALUE"""),"0.50")</f>
        <v>0.50</v>
      </c>
      <c r="V163" s="250">
        <f>IFERROR(__xludf.DUMMYFUNCTION("""COMPUTED_VALUE"""),75.0)</f>
        <v>75</v>
      </c>
      <c r="W163" s="250"/>
      <c r="X163" s="250"/>
      <c r="Y163" s="250"/>
      <c r="Z163" s="250" t="str">
        <f>IFERROR(__xludf.DUMMYFUNCTION("""COMPUTED_VALUE"""),"-")</f>
        <v>-</v>
      </c>
      <c r="AA163" s="235"/>
      <c r="AB163" s="235"/>
      <c r="AC163" s="235"/>
    </row>
    <row r="164">
      <c r="A164" s="235"/>
      <c r="B164" s="250" t="str">
        <f>IFERROR(__xludf.DUMMYFUNCTION("""COMPUTED_VALUE"""),"enemy_glo_00001")</f>
        <v>enemy_glo_00001</v>
      </c>
      <c r="C164" s="252" t="str">
        <f>IFERROR(__xludf.DUMMYFUNCTION("""COMPUTED_VALUE"""),"_general_mag_vh")</f>
        <v>_general_mag_vh</v>
      </c>
      <c r="D164" s="252" t="str">
        <f>IFERROR(__xludf.DUMMYFUNCTION("""COMPUTED_VALUE"""),"e_glo_00001_general_mag_vh_Normal_Green")</f>
        <v>e_glo_00001_general_mag_vh_Normal_Green</v>
      </c>
      <c r="E164" s="252" t="str">
        <f>IFERROR(__xludf.DUMMYFUNCTION("""COMPUTED_VALUE"""),"GLOW")</f>
        <v>GLOW</v>
      </c>
      <c r="F164" s="252" t="str">
        <f>IFERROR(__xludf.DUMMYFUNCTION("""COMPUTED_VALUE"""),"ファントム")</f>
        <v>ファントム</v>
      </c>
      <c r="G164" s="252" t="str">
        <f>IFERROR(__xludf.DUMMYFUNCTION("""COMPUTED_VALUE"""),"ファントム_general_mag_vh")</f>
        <v>ファントム_general_mag_vh</v>
      </c>
      <c r="H164" s="250" t="str">
        <f>IFERROR(__xludf.DUMMYFUNCTION("""COMPUTED_VALUE"""),"Normal")</f>
        <v>Normal</v>
      </c>
      <c r="I164" s="250" t="str">
        <f>IFERROR(__xludf.DUMMYFUNCTION("""COMPUTED_VALUE"""),"Support")</f>
        <v>Support</v>
      </c>
      <c r="J164" s="250" t="str">
        <f>IFERROR(__xludf.DUMMYFUNCTION("""COMPUTED_VALUE"""),"Green")</f>
        <v>Green</v>
      </c>
      <c r="K164" s="250">
        <f>IFERROR(__xludf.DUMMYFUNCTION("""COMPUTED_VALUE"""),30000.0)</f>
        <v>30000</v>
      </c>
      <c r="L164" s="250">
        <f>IFERROR(__xludf.DUMMYFUNCTION("""COMPUTED_VALUE"""),2.0)</f>
        <v>2</v>
      </c>
      <c r="M164" s="250">
        <f>IFERROR(__xludf.DUMMYFUNCTION("""COMPUTED_VALUE"""),45.0)</f>
        <v>45</v>
      </c>
      <c r="N164" s="250">
        <f>IFERROR(__xludf.DUMMYFUNCTION("""COMPUTED_VALUE"""),0.11)</f>
        <v>0.11</v>
      </c>
      <c r="O164" s="250">
        <f>IFERROR(__xludf.DUMMYFUNCTION("""COMPUTED_VALUE"""),1000.0)</f>
        <v>1000</v>
      </c>
      <c r="P164" s="250">
        <f>IFERROR(__xludf.DUMMYFUNCTION("""COMPUTED_VALUE"""),0.0)</f>
        <v>0</v>
      </c>
      <c r="Q164" s="250">
        <f>IFERROR(__xludf.DUMMYFUNCTION("""COMPUTED_VALUE"""),0.2)</f>
        <v>0.2</v>
      </c>
      <c r="R164" s="250">
        <f>IFERROR(__xludf.DUMMYFUNCTION("""COMPUTED_VALUE"""),1.0)</f>
        <v>1</v>
      </c>
      <c r="S164" s="250">
        <f>IFERROR(__xludf.DUMMYFUNCTION("""COMPUTED_VALUE"""),1.0)</f>
        <v>1</v>
      </c>
      <c r="T164" s="253" t="str">
        <f>IFERROR(__xludf.DUMMYFUNCTION("""COMPUTED_VALUE"""),"1.00")</f>
        <v>1.00</v>
      </c>
      <c r="U164" s="250" t="str">
        <f>IFERROR(__xludf.DUMMYFUNCTION("""COMPUTED_VALUE"""),"0.50")</f>
        <v>0.50</v>
      </c>
      <c r="V164" s="250">
        <f>IFERROR(__xludf.DUMMYFUNCTION("""COMPUTED_VALUE"""),75.0)</f>
        <v>75</v>
      </c>
      <c r="W164" s="250"/>
      <c r="X164" s="250"/>
      <c r="Y164" s="250"/>
      <c r="Z164" s="250" t="str">
        <f>IFERROR(__xludf.DUMMYFUNCTION("""COMPUTED_VALUE"""),"-")</f>
        <v>-</v>
      </c>
      <c r="AA164" s="235"/>
      <c r="AB164" s="235"/>
      <c r="AC164" s="235"/>
    </row>
    <row r="165">
      <c r="A165" s="235"/>
      <c r="B165" s="250" t="str">
        <f>IFERROR(__xludf.DUMMYFUNCTION("""COMPUTED_VALUE"""),"enemy_glo_00001")</f>
        <v>enemy_glo_00001</v>
      </c>
      <c r="C165" s="252" t="str">
        <f>IFERROR(__xludf.DUMMYFUNCTION("""COMPUTED_VALUE"""),"_general_mag_vh")</f>
        <v>_general_mag_vh</v>
      </c>
      <c r="D165" s="252" t="str">
        <f>IFERROR(__xludf.DUMMYFUNCTION("""COMPUTED_VALUE"""),"e_glo_00001_general_mag_vh_Normal_Yellow")</f>
        <v>e_glo_00001_general_mag_vh_Normal_Yellow</v>
      </c>
      <c r="E165" s="252" t="str">
        <f>IFERROR(__xludf.DUMMYFUNCTION("""COMPUTED_VALUE"""),"GLOW")</f>
        <v>GLOW</v>
      </c>
      <c r="F165" s="252" t="str">
        <f>IFERROR(__xludf.DUMMYFUNCTION("""COMPUTED_VALUE"""),"ファントム")</f>
        <v>ファントム</v>
      </c>
      <c r="G165" s="252" t="str">
        <f>IFERROR(__xludf.DUMMYFUNCTION("""COMPUTED_VALUE"""),"ファントム_general_mag_vh")</f>
        <v>ファントム_general_mag_vh</v>
      </c>
      <c r="H165" s="250" t="str">
        <f>IFERROR(__xludf.DUMMYFUNCTION("""COMPUTED_VALUE"""),"Normal")</f>
        <v>Normal</v>
      </c>
      <c r="I165" s="250" t="str">
        <f>IFERROR(__xludf.DUMMYFUNCTION("""COMPUTED_VALUE"""),"Defense")</f>
        <v>Defense</v>
      </c>
      <c r="J165" s="250" t="str">
        <f>IFERROR(__xludf.DUMMYFUNCTION("""COMPUTED_VALUE"""),"Yellow")</f>
        <v>Yellow</v>
      </c>
      <c r="K165" s="250">
        <f>IFERROR(__xludf.DUMMYFUNCTION("""COMPUTED_VALUE"""),30000.0)</f>
        <v>30000</v>
      </c>
      <c r="L165" s="250">
        <f>IFERROR(__xludf.DUMMYFUNCTION("""COMPUTED_VALUE"""),2.0)</f>
        <v>2</v>
      </c>
      <c r="M165" s="250">
        <f>IFERROR(__xludf.DUMMYFUNCTION("""COMPUTED_VALUE"""),45.0)</f>
        <v>45</v>
      </c>
      <c r="N165" s="250">
        <f>IFERROR(__xludf.DUMMYFUNCTION("""COMPUTED_VALUE"""),0.11)</f>
        <v>0.11</v>
      </c>
      <c r="O165" s="250">
        <f>IFERROR(__xludf.DUMMYFUNCTION("""COMPUTED_VALUE"""),1000.0)</f>
        <v>1000</v>
      </c>
      <c r="P165" s="250">
        <f>IFERROR(__xludf.DUMMYFUNCTION("""COMPUTED_VALUE"""),0.0)</f>
        <v>0</v>
      </c>
      <c r="Q165" s="250">
        <f>IFERROR(__xludf.DUMMYFUNCTION("""COMPUTED_VALUE"""),0.2)</f>
        <v>0.2</v>
      </c>
      <c r="R165" s="250">
        <f>IFERROR(__xludf.DUMMYFUNCTION("""COMPUTED_VALUE"""),1.0)</f>
        <v>1</v>
      </c>
      <c r="S165" s="250">
        <f>IFERROR(__xludf.DUMMYFUNCTION("""COMPUTED_VALUE"""),1.0)</f>
        <v>1</v>
      </c>
      <c r="T165" s="253" t="str">
        <f>IFERROR(__xludf.DUMMYFUNCTION("""COMPUTED_VALUE"""),"1.00")</f>
        <v>1.00</v>
      </c>
      <c r="U165" s="250" t="str">
        <f>IFERROR(__xludf.DUMMYFUNCTION("""COMPUTED_VALUE"""),"0.50")</f>
        <v>0.50</v>
      </c>
      <c r="V165" s="250">
        <f>IFERROR(__xludf.DUMMYFUNCTION("""COMPUTED_VALUE"""),75.0)</f>
        <v>75</v>
      </c>
      <c r="W165" s="250"/>
      <c r="X165" s="250"/>
      <c r="Y165" s="250"/>
      <c r="Z165" s="250" t="str">
        <f>IFERROR(__xludf.DUMMYFUNCTION("""COMPUTED_VALUE"""),"-")</f>
        <v>-</v>
      </c>
      <c r="AA165" s="235"/>
      <c r="AB165" s="235"/>
      <c r="AC165" s="235"/>
    </row>
    <row r="166">
      <c r="A166" s="235"/>
      <c r="B166" s="250" t="str">
        <f>IFERROR(__xludf.DUMMYFUNCTION("""COMPUTED_VALUE"""),"enemy_glo_00001")</f>
        <v>enemy_glo_00001</v>
      </c>
      <c r="C166" s="252" t="str">
        <f>IFERROR(__xludf.DUMMYFUNCTION("""COMPUTED_VALUE"""),"_general_mag_vh_big")</f>
        <v>_general_mag_vh_big</v>
      </c>
      <c r="D166" s="252" t="str">
        <f>IFERROR(__xludf.DUMMYFUNCTION("""COMPUTED_VALUE"""),"e_glo_00001_general_mag_vh_big_Normal_Green")</f>
        <v>e_glo_00001_general_mag_vh_big_Normal_Green</v>
      </c>
      <c r="E166" s="252" t="str">
        <f>IFERROR(__xludf.DUMMYFUNCTION("""COMPUTED_VALUE"""),"GLOW")</f>
        <v>GLOW</v>
      </c>
      <c r="F166" s="252" t="str">
        <f>IFERROR(__xludf.DUMMYFUNCTION("""COMPUTED_VALUE"""),"ファントム")</f>
        <v>ファントム</v>
      </c>
      <c r="G166" s="252" t="str">
        <f>IFERROR(__xludf.DUMMYFUNCTION("""COMPUTED_VALUE"""),"ファントム_general_mag_vh_big")</f>
        <v>ファントム_general_mag_vh_big</v>
      </c>
      <c r="H166" s="250" t="str">
        <f>IFERROR(__xludf.DUMMYFUNCTION("""COMPUTED_VALUE"""),"Normal")</f>
        <v>Normal</v>
      </c>
      <c r="I166" s="250" t="str">
        <f>IFERROR(__xludf.DUMMYFUNCTION("""COMPUTED_VALUE"""),"Defense")</f>
        <v>Defense</v>
      </c>
      <c r="J166" s="250" t="str">
        <f>IFERROR(__xludf.DUMMYFUNCTION("""COMPUTED_VALUE"""),"Green")</f>
        <v>Green</v>
      </c>
      <c r="K166" s="250">
        <f>IFERROR(__xludf.DUMMYFUNCTION("""COMPUTED_VALUE"""),70000.0)</f>
        <v>70000</v>
      </c>
      <c r="L166" s="250">
        <f>IFERROR(__xludf.DUMMYFUNCTION("""COMPUTED_VALUE"""),2.0)</f>
        <v>2</v>
      </c>
      <c r="M166" s="250">
        <f>IFERROR(__xludf.DUMMYFUNCTION("""COMPUTED_VALUE"""),50.0)</f>
        <v>50</v>
      </c>
      <c r="N166" s="250">
        <f>IFERROR(__xludf.DUMMYFUNCTION("""COMPUTED_VALUE"""),0.2)</f>
        <v>0.2</v>
      </c>
      <c r="O166" s="250">
        <f>IFERROR(__xludf.DUMMYFUNCTION("""COMPUTED_VALUE"""),3000.0)</f>
        <v>3000</v>
      </c>
      <c r="P166" s="250">
        <f>IFERROR(__xludf.DUMMYFUNCTION("""COMPUTED_VALUE"""),0.0)</f>
        <v>0</v>
      </c>
      <c r="Q166" s="250">
        <f>IFERROR(__xludf.DUMMYFUNCTION("""COMPUTED_VALUE"""),0.2)</f>
        <v>0.2</v>
      </c>
      <c r="R166" s="250">
        <f>IFERROR(__xludf.DUMMYFUNCTION("""COMPUTED_VALUE"""),1.0)</f>
        <v>1</v>
      </c>
      <c r="S166" s="250">
        <f>IFERROR(__xludf.DUMMYFUNCTION("""COMPUTED_VALUE"""),1.0)</f>
        <v>1</v>
      </c>
      <c r="T166" s="253" t="str">
        <f>IFERROR(__xludf.DUMMYFUNCTION("""COMPUTED_VALUE"""),"1.00")</f>
        <v>1.00</v>
      </c>
      <c r="U166" s="250" t="str">
        <f>IFERROR(__xludf.DUMMYFUNCTION("""COMPUTED_VALUE"""),"0.50")</f>
        <v>0.50</v>
      </c>
      <c r="V166" s="250">
        <f>IFERROR(__xludf.DUMMYFUNCTION("""COMPUTED_VALUE"""),75.0)</f>
        <v>75</v>
      </c>
      <c r="W166" s="250"/>
      <c r="X166" s="250"/>
      <c r="Y166" s="250"/>
      <c r="Z166" s="250" t="str">
        <f>IFERROR(__xludf.DUMMYFUNCTION("""COMPUTED_VALUE"""),"-")</f>
        <v>-</v>
      </c>
      <c r="AA166" s="235"/>
      <c r="AB166" s="235"/>
      <c r="AC166" s="235"/>
    </row>
    <row r="167">
      <c r="A167" s="235"/>
      <c r="B167" s="250" t="str">
        <f>IFERROR(__xludf.DUMMYFUNCTION("""COMPUTED_VALUE"""),"enemy_glo_00001")</f>
        <v>enemy_glo_00001</v>
      </c>
      <c r="C167" s="252" t="str">
        <f>IFERROR(__xludf.DUMMYFUNCTION("""COMPUTED_VALUE"""),"_general_mag_vh_big")</f>
        <v>_general_mag_vh_big</v>
      </c>
      <c r="D167" s="252" t="str">
        <f>IFERROR(__xludf.DUMMYFUNCTION("""COMPUTED_VALUE"""),"e_glo_00001_general_mag_vh_big_Normal_Blue")</f>
        <v>e_glo_00001_general_mag_vh_big_Normal_Blue</v>
      </c>
      <c r="E167" s="252" t="str">
        <f>IFERROR(__xludf.DUMMYFUNCTION("""COMPUTED_VALUE"""),"GLOW")</f>
        <v>GLOW</v>
      </c>
      <c r="F167" s="252" t="str">
        <f>IFERROR(__xludf.DUMMYFUNCTION("""COMPUTED_VALUE"""),"ファントム")</f>
        <v>ファントム</v>
      </c>
      <c r="G167" s="252" t="str">
        <f>IFERROR(__xludf.DUMMYFUNCTION("""COMPUTED_VALUE"""),"ファントム_general_mag_vh_big")</f>
        <v>ファントム_general_mag_vh_big</v>
      </c>
      <c r="H167" s="250" t="str">
        <f>IFERROR(__xludf.DUMMYFUNCTION("""COMPUTED_VALUE"""),"Normal")</f>
        <v>Normal</v>
      </c>
      <c r="I167" s="250" t="str">
        <f>IFERROR(__xludf.DUMMYFUNCTION("""COMPUTED_VALUE"""),"Attack")</f>
        <v>Attack</v>
      </c>
      <c r="J167" s="250" t="str">
        <f>IFERROR(__xludf.DUMMYFUNCTION("""COMPUTED_VALUE"""),"Blue")</f>
        <v>Blue</v>
      </c>
      <c r="K167" s="250">
        <f>IFERROR(__xludf.DUMMYFUNCTION("""COMPUTED_VALUE"""),70000.0)</f>
        <v>70000</v>
      </c>
      <c r="L167" s="250">
        <f>IFERROR(__xludf.DUMMYFUNCTION("""COMPUTED_VALUE"""),2.0)</f>
        <v>2</v>
      </c>
      <c r="M167" s="250">
        <f>IFERROR(__xludf.DUMMYFUNCTION("""COMPUTED_VALUE"""),50.0)</f>
        <v>50</v>
      </c>
      <c r="N167" s="250">
        <f>IFERROR(__xludf.DUMMYFUNCTION("""COMPUTED_VALUE"""),0.2)</f>
        <v>0.2</v>
      </c>
      <c r="O167" s="250">
        <f>IFERROR(__xludf.DUMMYFUNCTION("""COMPUTED_VALUE"""),3000.0)</f>
        <v>3000</v>
      </c>
      <c r="P167" s="250">
        <f>IFERROR(__xludf.DUMMYFUNCTION("""COMPUTED_VALUE"""),0.0)</f>
        <v>0</v>
      </c>
      <c r="Q167" s="250">
        <f>IFERROR(__xludf.DUMMYFUNCTION("""COMPUTED_VALUE"""),0.2)</f>
        <v>0.2</v>
      </c>
      <c r="R167" s="250">
        <f>IFERROR(__xludf.DUMMYFUNCTION("""COMPUTED_VALUE"""),1.0)</f>
        <v>1</v>
      </c>
      <c r="S167" s="250">
        <f>IFERROR(__xludf.DUMMYFUNCTION("""COMPUTED_VALUE"""),1.0)</f>
        <v>1</v>
      </c>
      <c r="T167" s="253" t="str">
        <f>IFERROR(__xludf.DUMMYFUNCTION("""COMPUTED_VALUE"""),"1.00")</f>
        <v>1.00</v>
      </c>
      <c r="U167" s="250" t="str">
        <f>IFERROR(__xludf.DUMMYFUNCTION("""COMPUTED_VALUE"""),"0.50")</f>
        <v>0.50</v>
      </c>
      <c r="V167" s="250">
        <f>IFERROR(__xludf.DUMMYFUNCTION("""COMPUTED_VALUE"""),75.0)</f>
        <v>75</v>
      </c>
      <c r="W167" s="250"/>
      <c r="X167" s="250"/>
      <c r="Y167" s="250"/>
      <c r="Z167" s="250" t="str">
        <f>IFERROR(__xludf.DUMMYFUNCTION("""COMPUTED_VALUE"""),"-")</f>
        <v>-</v>
      </c>
      <c r="AA167" s="235"/>
      <c r="AB167" s="235"/>
      <c r="AC167" s="235"/>
    </row>
    <row r="168">
      <c r="A168" s="235"/>
      <c r="B168" s="250" t="str">
        <f>IFERROR(__xludf.DUMMYFUNCTION("""COMPUTED_VALUE"""),"enemy_glo_00001")</f>
        <v>enemy_glo_00001</v>
      </c>
      <c r="C168" s="252" t="str">
        <f>IFERROR(__xludf.DUMMYFUNCTION("""COMPUTED_VALUE"""),"_general_mag_vh_big")</f>
        <v>_general_mag_vh_big</v>
      </c>
      <c r="D168" s="252" t="str">
        <f>IFERROR(__xludf.DUMMYFUNCTION("""COMPUTED_VALUE"""),"e_glo_00001_general_mag_vh_big_Normal_Yellow")</f>
        <v>e_glo_00001_general_mag_vh_big_Normal_Yellow</v>
      </c>
      <c r="E168" s="252" t="str">
        <f>IFERROR(__xludf.DUMMYFUNCTION("""COMPUTED_VALUE"""),"GLOW")</f>
        <v>GLOW</v>
      </c>
      <c r="F168" s="252" t="str">
        <f>IFERROR(__xludf.DUMMYFUNCTION("""COMPUTED_VALUE"""),"ファントム")</f>
        <v>ファントム</v>
      </c>
      <c r="G168" s="252" t="str">
        <f>IFERROR(__xludf.DUMMYFUNCTION("""COMPUTED_VALUE"""),"ファントム_general_mag_vh_big")</f>
        <v>ファントム_general_mag_vh_big</v>
      </c>
      <c r="H168" s="250" t="str">
        <f>IFERROR(__xludf.DUMMYFUNCTION("""COMPUTED_VALUE"""),"Normal")</f>
        <v>Normal</v>
      </c>
      <c r="I168" s="250" t="str">
        <f>IFERROR(__xludf.DUMMYFUNCTION("""COMPUTED_VALUE"""),"Attack")</f>
        <v>Attack</v>
      </c>
      <c r="J168" s="250" t="str">
        <f>IFERROR(__xludf.DUMMYFUNCTION("""COMPUTED_VALUE"""),"Yellow")</f>
        <v>Yellow</v>
      </c>
      <c r="K168" s="250">
        <f>IFERROR(__xludf.DUMMYFUNCTION("""COMPUTED_VALUE"""),70000.0)</f>
        <v>70000</v>
      </c>
      <c r="L168" s="250">
        <f>IFERROR(__xludf.DUMMYFUNCTION("""COMPUTED_VALUE"""),2.0)</f>
        <v>2</v>
      </c>
      <c r="M168" s="250">
        <f>IFERROR(__xludf.DUMMYFUNCTION("""COMPUTED_VALUE"""),50.0)</f>
        <v>50</v>
      </c>
      <c r="N168" s="250">
        <f>IFERROR(__xludf.DUMMYFUNCTION("""COMPUTED_VALUE"""),0.2)</f>
        <v>0.2</v>
      </c>
      <c r="O168" s="250">
        <f>IFERROR(__xludf.DUMMYFUNCTION("""COMPUTED_VALUE"""),3000.0)</f>
        <v>3000</v>
      </c>
      <c r="P168" s="250">
        <f>IFERROR(__xludf.DUMMYFUNCTION("""COMPUTED_VALUE"""),0.0)</f>
        <v>0</v>
      </c>
      <c r="Q168" s="250">
        <f>IFERROR(__xludf.DUMMYFUNCTION("""COMPUTED_VALUE"""),0.2)</f>
        <v>0.2</v>
      </c>
      <c r="R168" s="250">
        <f>IFERROR(__xludf.DUMMYFUNCTION("""COMPUTED_VALUE"""),1.0)</f>
        <v>1</v>
      </c>
      <c r="S168" s="250">
        <f>IFERROR(__xludf.DUMMYFUNCTION("""COMPUTED_VALUE"""),1.0)</f>
        <v>1</v>
      </c>
      <c r="T168" s="253" t="str">
        <f>IFERROR(__xludf.DUMMYFUNCTION("""COMPUTED_VALUE"""),"1.00")</f>
        <v>1.00</v>
      </c>
      <c r="U168" s="250" t="str">
        <f>IFERROR(__xludf.DUMMYFUNCTION("""COMPUTED_VALUE"""),"0.50")</f>
        <v>0.50</v>
      </c>
      <c r="V168" s="250">
        <f>IFERROR(__xludf.DUMMYFUNCTION("""COMPUTED_VALUE"""),75.0)</f>
        <v>75</v>
      </c>
      <c r="W168" s="250"/>
      <c r="X168" s="250"/>
      <c r="Y168" s="250"/>
      <c r="Z168" s="250" t="str">
        <f>IFERROR(__xludf.DUMMYFUNCTION("""COMPUTED_VALUE"""),"-")</f>
        <v>-</v>
      </c>
      <c r="AA168" s="235"/>
      <c r="AB168" s="235"/>
      <c r="AC168" s="235"/>
    </row>
    <row r="169">
      <c r="A169" s="235"/>
      <c r="B169" s="250" t="str">
        <f>IFERROR(__xludf.DUMMYFUNCTION("""COMPUTED_VALUE"""),"enemy_mag_00001")</f>
        <v>enemy_mag_00001</v>
      </c>
      <c r="C169" s="252" t="str">
        <f>IFERROR(__xludf.DUMMYFUNCTION("""COMPUTED_VALUE"""),"_general_vh")</f>
        <v>_general_vh</v>
      </c>
      <c r="D169" s="252" t="str">
        <f>IFERROR(__xludf.DUMMYFUNCTION("""COMPUTED_VALUE"""),"e_mag_00001_general_vh_Normal_Blue")</f>
        <v>e_mag_00001_general_vh_Normal_Blue</v>
      </c>
      <c r="E169" s="252" t="str">
        <f>IFERROR(__xludf.DUMMYFUNCTION("""COMPUTED_VALUE"""),"株式会社マジルミエ")</f>
        <v>株式会社マジルミエ</v>
      </c>
      <c r="F169" s="252" t="str">
        <f>IFERROR(__xludf.DUMMYFUNCTION("""COMPUTED_VALUE"""),"冷却系怪異")</f>
        <v>冷却系怪異</v>
      </c>
      <c r="G169" s="252" t="str">
        <f>IFERROR(__xludf.DUMMYFUNCTION("""COMPUTED_VALUE"""),"冷却系の怪異_general_vh")</f>
        <v>冷却系の怪異_general_vh</v>
      </c>
      <c r="H169" s="250" t="str">
        <f>IFERROR(__xludf.DUMMYFUNCTION("""COMPUTED_VALUE"""),"Normal")</f>
        <v>Normal</v>
      </c>
      <c r="I169" s="250" t="str">
        <f>IFERROR(__xludf.DUMMYFUNCTION("""COMPUTED_VALUE"""),"Attack")</f>
        <v>Attack</v>
      </c>
      <c r="J169" s="250" t="str">
        <f>IFERROR(__xludf.DUMMYFUNCTION("""COMPUTED_VALUE"""),"Blue")</f>
        <v>Blue</v>
      </c>
      <c r="K169" s="250">
        <f>IFERROR(__xludf.DUMMYFUNCTION("""COMPUTED_VALUE"""),150000.0)</f>
        <v>150000</v>
      </c>
      <c r="L169" s="250">
        <f>IFERROR(__xludf.DUMMYFUNCTION("""COMPUTED_VALUE"""),1.0)</f>
        <v>1</v>
      </c>
      <c r="M169" s="250">
        <f>IFERROR(__xludf.DUMMYFUNCTION("""COMPUTED_VALUE"""),20.0)</f>
        <v>20</v>
      </c>
      <c r="N169" s="250">
        <f>IFERROR(__xludf.DUMMYFUNCTION("""COMPUTED_VALUE"""),0.3)</f>
        <v>0.3</v>
      </c>
      <c r="O169" s="250">
        <f>IFERROR(__xludf.DUMMYFUNCTION("""COMPUTED_VALUE"""),2500.0)</f>
        <v>2500</v>
      </c>
      <c r="P169" s="250">
        <f>IFERROR(__xludf.DUMMYFUNCTION("""COMPUTED_VALUE"""),0.0)</f>
        <v>0</v>
      </c>
      <c r="Q169" s="250">
        <f>IFERROR(__xludf.DUMMYFUNCTION("""COMPUTED_VALUE"""),0.4)</f>
        <v>0.4</v>
      </c>
      <c r="R169" s="250">
        <f>IFERROR(__xludf.DUMMYFUNCTION("""COMPUTED_VALUE"""),1.0)</f>
        <v>1</v>
      </c>
      <c r="S169" s="250">
        <f>IFERROR(__xludf.DUMMYFUNCTION("""COMPUTED_VALUE"""),1.0)</f>
        <v>1</v>
      </c>
      <c r="T169" s="253" t="str">
        <f>IFERROR(__xludf.DUMMYFUNCTION("""COMPUTED_VALUE"""),"1.50")</f>
        <v>1.50</v>
      </c>
      <c r="U169" s="250" t="str">
        <f>IFERROR(__xludf.DUMMYFUNCTION("""COMPUTED_VALUE"""),"0.80")</f>
        <v>0.80</v>
      </c>
      <c r="V169" s="250">
        <f>IFERROR(__xludf.DUMMYFUNCTION("""COMPUTED_VALUE"""),50.0)</f>
        <v>50</v>
      </c>
      <c r="W169" s="250" t="str">
        <f>IFERROR(__xludf.DUMMYFUNCTION("""COMPUTED_VALUE"""),"-")</f>
        <v>-</v>
      </c>
      <c r="X169" s="250" t="str">
        <f>IFERROR(__xludf.DUMMYFUNCTION("""COMPUTED_VALUE"""),"-")</f>
        <v>-</v>
      </c>
      <c r="Y169" s="250"/>
      <c r="Z169" s="250" t="str">
        <f>IFERROR(__xludf.DUMMYFUNCTION("""COMPUTED_VALUE"""),"-")</f>
        <v>-</v>
      </c>
      <c r="AA169" s="235"/>
      <c r="AB169" s="235"/>
      <c r="AC169" s="235"/>
    </row>
    <row r="170">
      <c r="A170" s="235"/>
      <c r="B170" s="250" t="str">
        <f>IFERROR(__xludf.DUMMYFUNCTION("""COMPUTED_VALUE"""),"enemy_mag_00001")</f>
        <v>enemy_mag_00001</v>
      </c>
      <c r="C170" s="252" t="str">
        <f>IFERROR(__xludf.DUMMYFUNCTION("""COMPUTED_VALUE"""),"_general_vh")</f>
        <v>_general_vh</v>
      </c>
      <c r="D170" s="252" t="str">
        <f>IFERROR(__xludf.DUMMYFUNCTION("""COMPUTED_VALUE"""),"e_mag_00001_general_vh_Boss_Blue")</f>
        <v>e_mag_00001_general_vh_Boss_Blue</v>
      </c>
      <c r="E170" s="252" t="str">
        <f>IFERROR(__xludf.DUMMYFUNCTION("""COMPUTED_VALUE"""),"株式会社マジルミエ")</f>
        <v>株式会社マジルミエ</v>
      </c>
      <c r="F170" s="252" t="str">
        <f>IFERROR(__xludf.DUMMYFUNCTION("""COMPUTED_VALUE"""),"冷却系怪異")</f>
        <v>冷却系怪異</v>
      </c>
      <c r="G170" s="252" t="str">
        <f>IFERROR(__xludf.DUMMYFUNCTION("""COMPUTED_VALUE"""),"冷却系の怪異_general_vh")</f>
        <v>冷却系の怪異_general_vh</v>
      </c>
      <c r="H170" s="250" t="str">
        <f>IFERROR(__xludf.DUMMYFUNCTION("""COMPUTED_VALUE"""),"Boss")</f>
        <v>Boss</v>
      </c>
      <c r="I170" s="250" t="str">
        <f>IFERROR(__xludf.DUMMYFUNCTION("""COMPUTED_VALUE"""),"Attack")</f>
        <v>Attack</v>
      </c>
      <c r="J170" s="250" t="str">
        <f>IFERROR(__xludf.DUMMYFUNCTION("""COMPUTED_VALUE"""),"Blue")</f>
        <v>Blue</v>
      </c>
      <c r="K170" s="250">
        <f>IFERROR(__xludf.DUMMYFUNCTION("""COMPUTED_VALUE"""),250000.0)</f>
        <v>250000</v>
      </c>
      <c r="L170" s="250">
        <f>IFERROR(__xludf.DUMMYFUNCTION("""COMPUTED_VALUE"""),1.0)</f>
        <v>1</v>
      </c>
      <c r="M170" s="250">
        <f>IFERROR(__xludf.DUMMYFUNCTION("""COMPUTED_VALUE"""),35.0)</f>
        <v>35</v>
      </c>
      <c r="N170" s="250">
        <f>IFERROR(__xludf.DUMMYFUNCTION("""COMPUTED_VALUE"""),0.3)</f>
        <v>0.3</v>
      </c>
      <c r="O170" s="250">
        <f>IFERROR(__xludf.DUMMYFUNCTION("""COMPUTED_VALUE"""),3000.0)</f>
        <v>3000</v>
      </c>
      <c r="P170" s="250">
        <f>IFERROR(__xludf.DUMMYFUNCTION("""COMPUTED_VALUE"""),0.0)</f>
        <v>0</v>
      </c>
      <c r="Q170" s="250">
        <f>IFERROR(__xludf.DUMMYFUNCTION("""COMPUTED_VALUE"""),0.4)</f>
        <v>0.4</v>
      </c>
      <c r="R170" s="250">
        <f>IFERROR(__xludf.DUMMYFUNCTION("""COMPUTED_VALUE"""),1.0)</f>
        <v>1</v>
      </c>
      <c r="S170" s="250">
        <f>IFERROR(__xludf.DUMMYFUNCTION("""COMPUTED_VALUE"""),1.0)</f>
        <v>1</v>
      </c>
      <c r="T170" s="253" t="str">
        <f>IFERROR(__xludf.DUMMYFUNCTION("""COMPUTED_VALUE"""),"1.50")</f>
        <v>1.50</v>
      </c>
      <c r="U170" s="250" t="str">
        <f>IFERROR(__xludf.DUMMYFUNCTION("""COMPUTED_VALUE"""),"0.80")</f>
        <v>0.80</v>
      </c>
      <c r="V170" s="250">
        <f>IFERROR(__xludf.DUMMYFUNCTION("""COMPUTED_VALUE"""),50.0)</f>
        <v>50</v>
      </c>
      <c r="W170" s="250" t="str">
        <f>IFERROR(__xludf.DUMMYFUNCTION("""COMPUTED_VALUE"""),"-")</f>
        <v>-</v>
      </c>
      <c r="X170" s="250" t="str">
        <f>IFERROR(__xludf.DUMMYFUNCTION("""COMPUTED_VALUE"""),"-")</f>
        <v>-</v>
      </c>
      <c r="Y170" s="250"/>
      <c r="Z170" s="250" t="str">
        <f>IFERROR(__xludf.DUMMYFUNCTION("""COMPUTED_VALUE"""),"-")</f>
        <v>-</v>
      </c>
      <c r="AA170" s="235"/>
      <c r="AB170" s="235"/>
      <c r="AC170" s="235"/>
    </row>
    <row r="171">
      <c r="A171" s="235"/>
      <c r="B171" s="250" t="str">
        <f>IFERROR(__xludf.DUMMYFUNCTION("""COMPUTED_VALUE"""),"enemy_mag_00101")</f>
        <v>enemy_mag_00101</v>
      </c>
      <c r="C171" s="252" t="str">
        <f>IFERROR(__xludf.DUMMYFUNCTION("""COMPUTED_VALUE"""),"_general_f_vh")</f>
        <v>_general_f_vh</v>
      </c>
      <c r="D171" s="252" t="str">
        <f>IFERROR(__xludf.DUMMYFUNCTION("""COMPUTED_VALUE"""),"e_mag_00101_general_f_vh_Normal_Blue")</f>
        <v>e_mag_00101_general_f_vh_Normal_Blue</v>
      </c>
      <c r="E171" s="252" t="str">
        <f>IFERROR(__xludf.DUMMYFUNCTION("""COMPUTED_VALUE"""),"株式会社マジルミエ")</f>
        <v>株式会社マジルミエ</v>
      </c>
      <c r="F171" s="252" t="str">
        <f>IFERROR(__xludf.DUMMYFUNCTION("""COMPUTED_VALUE"""),"つらら")</f>
        <v>つらら</v>
      </c>
      <c r="G171" s="252" t="str">
        <f>IFERROR(__xludf.DUMMYFUNCTION("""COMPUTED_VALUE"""),"つらら_general_f_vh")</f>
        <v>つらら_general_f_vh</v>
      </c>
      <c r="H171" s="250" t="str">
        <f>IFERROR(__xludf.DUMMYFUNCTION("""COMPUTED_VALUE"""),"Normal")</f>
        <v>Normal</v>
      </c>
      <c r="I171" s="250" t="str">
        <f>IFERROR(__xludf.DUMMYFUNCTION("""COMPUTED_VALUE"""),"Attack")</f>
        <v>Attack</v>
      </c>
      <c r="J171" s="250" t="str">
        <f>IFERROR(__xludf.DUMMYFUNCTION("""COMPUTED_VALUE"""),"Blue")</f>
        <v>Blue</v>
      </c>
      <c r="K171" s="250">
        <f>IFERROR(__xludf.DUMMYFUNCTION("""COMPUTED_VALUE"""),30000.0)</f>
        <v>30000</v>
      </c>
      <c r="L171" s="250">
        <f>IFERROR(__xludf.DUMMYFUNCTION("""COMPUTED_VALUE"""),1.0)</f>
        <v>1</v>
      </c>
      <c r="M171" s="250">
        <f>IFERROR(__xludf.DUMMYFUNCTION("""COMPUTED_VALUE"""),100.0)</f>
        <v>100</v>
      </c>
      <c r="N171" s="250">
        <f>IFERROR(__xludf.DUMMYFUNCTION("""COMPUTED_VALUE"""),0.11)</f>
        <v>0.11</v>
      </c>
      <c r="O171" s="250">
        <f>IFERROR(__xludf.DUMMYFUNCTION("""COMPUTED_VALUE"""),500.0)</f>
        <v>500</v>
      </c>
      <c r="P171" s="250">
        <f>IFERROR(__xludf.DUMMYFUNCTION("""COMPUTED_VALUE"""),0.0)</f>
        <v>0</v>
      </c>
      <c r="Q171" s="250">
        <f>IFERROR(__xludf.DUMMYFUNCTION("""COMPUTED_VALUE"""),0.3)</f>
        <v>0.3</v>
      </c>
      <c r="R171" s="250">
        <f>IFERROR(__xludf.DUMMYFUNCTION("""COMPUTED_VALUE"""),1.0)</f>
        <v>1</v>
      </c>
      <c r="S171" s="250">
        <f>IFERROR(__xludf.DUMMYFUNCTION("""COMPUTED_VALUE"""),1.0)</f>
        <v>1</v>
      </c>
      <c r="T171" s="253" t="str">
        <f>IFERROR(__xludf.DUMMYFUNCTION("""COMPUTED_VALUE"""),"0.37")</f>
        <v>0.37</v>
      </c>
      <c r="U171" s="250" t="str">
        <f>IFERROR(__xludf.DUMMYFUNCTION("""COMPUTED_VALUE"""),"stop有:1回目 0.20")</f>
        <v>stop有:1回目 0.20</v>
      </c>
      <c r="V171" s="250">
        <f>IFERROR(__xludf.DUMMYFUNCTION("""COMPUTED_VALUE"""),0.0)</f>
        <v>0</v>
      </c>
      <c r="W171" s="250" t="str">
        <f>IFERROR(__xludf.DUMMYFUNCTION("""COMPUTED_VALUE"""),"-")</f>
        <v>-</v>
      </c>
      <c r="X171" s="250" t="str">
        <f>IFERROR(__xludf.DUMMYFUNCTION("""COMPUTED_VALUE"""),"-")</f>
        <v>-</v>
      </c>
      <c r="Y171" s="250"/>
      <c r="Z171" s="250" t="str">
        <f>IFERROR(__xludf.DUMMYFUNCTION("""COMPUTED_VALUE"""),"-")</f>
        <v>-</v>
      </c>
      <c r="AA171" s="235"/>
      <c r="AB171" s="235"/>
      <c r="AC171" s="235"/>
    </row>
    <row r="172">
      <c r="A172" s="235"/>
      <c r="B172" s="250" t="str">
        <f>IFERROR(__xludf.DUMMYFUNCTION("""COMPUTED_VALUE"""),"enemy_mag_00101")</f>
        <v>enemy_mag_00101</v>
      </c>
      <c r="C172" s="252" t="str">
        <f>IFERROR(__xludf.DUMMYFUNCTION("""COMPUTED_VALUE"""),"_general_vh")</f>
        <v>_general_vh</v>
      </c>
      <c r="D172" s="252" t="str">
        <f>IFERROR(__xludf.DUMMYFUNCTION("""COMPUTED_VALUE"""),"e_mag_00101_general_vh_Normal_Blue")</f>
        <v>e_mag_00101_general_vh_Normal_Blue</v>
      </c>
      <c r="E172" s="252" t="str">
        <f>IFERROR(__xludf.DUMMYFUNCTION("""COMPUTED_VALUE"""),"株式会社マジルミエ")</f>
        <v>株式会社マジルミエ</v>
      </c>
      <c r="F172" s="252" t="str">
        <f>IFERROR(__xludf.DUMMYFUNCTION("""COMPUTED_VALUE"""),"つらら")</f>
        <v>つらら</v>
      </c>
      <c r="G172" s="252" t="str">
        <f>IFERROR(__xludf.DUMMYFUNCTION("""COMPUTED_VALUE"""),"つらら_general_vh")</f>
        <v>つらら_general_vh</v>
      </c>
      <c r="H172" s="250" t="str">
        <f>IFERROR(__xludf.DUMMYFUNCTION("""COMPUTED_VALUE"""),"Normal")</f>
        <v>Normal</v>
      </c>
      <c r="I172" s="250" t="str">
        <f>IFERROR(__xludf.DUMMYFUNCTION("""COMPUTED_VALUE"""),"Attack")</f>
        <v>Attack</v>
      </c>
      <c r="J172" s="250" t="str">
        <f>IFERROR(__xludf.DUMMYFUNCTION("""COMPUTED_VALUE"""),"Blue")</f>
        <v>Blue</v>
      </c>
      <c r="K172" s="250">
        <f>IFERROR(__xludf.DUMMYFUNCTION("""COMPUTED_VALUE"""),80000.0)</f>
        <v>80000</v>
      </c>
      <c r="L172" s="250">
        <f>IFERROR(__xludf.DUMMYFUNCTION("""COMPUTED_VALUE"""),1.0)</f>
        <v>1</v>
      </c>
      <c r="M172" s="250">
        <f>IFERROR(__xludf.DUMMYFUNCTION("""COMPUTED_VALUE"""),100.0)</f>
        <v>100</v>
      </c>
      <c r="N172" s="250">
        <f>IFERROR(__xludf.DUMMYFUNCTION("""COMPUTED_VALUE"""),0.11)</f>
        <v>0.11</v>
      </c>
      <c r="O172" s="250">
        <f>IFERROR(__xludf.DUMMYFUNCTION("""COMPUTED_VALUE"""),800.0)</f>
        <v>800</v>
      </c>
      <c r="P172" s="250">
        <f>IFERROR(__xludf.DUMMYFUNCTION("""COMPUTED_VALUE"""),0.0)</f>
        <v>0</v>
      </c>
      <c r="Q172" s="250">
        <f>IFERROR(__xludf.DUMMYFUNCTION("""COMPUTED_VALUE"""),0.3)</f>
        <v>0.3</v>
      </c>
      <c r="R172" s="250">
        <f>IFERROR(__xludf.DUMMYFUNCTION("""COMPUTED_VALUE"""),1.0)</f>
        <v>1</v>
      </c>
      <c r="S172" s="250">
        <f>IFERROR(__xludf.DUMMYFUNCTION("""COMPUTED_VALUE"""),1.0)</f>
        <v>1</v>
      </c>
      <c r="T172" s="253" t="str">
        <f>IFERROR(__xludf.DUMMYFUNCTION("""COMPUTED_VALUE"""),"0.37")</f>
        <v>0.37</v>
      </c>
      <c r="U172" s="250" t="str">
        <f>IFERROR(__xludf.DUMMYFUNCTION("""COMPUTED_VALUE"""),"stop有:1回目 0.20")</f>
        <v>stop有:1回目 0.20</v>
      </c>
      <c r="V172" s="250">
        <f>IFERROR(__xludf.DUMMYFUNCTION("""COMPUTED_VALUE"""),0.0)</f>
        <v>0</v>
      </c>
      <c r="W172" s="250" t="str">
        <f>IFERROR(__xludf.DUMMYFUNCTION("""COMPUTED_VALUE"""),"-")</f>
        <v>-</v>
      </c>
      <c r="X172" s="250" t="str">
        <f>IFERROR(__xludf.DUMMYFUNCTION("""COMPUTED_VALUE"""),"-")</f>
        <v>-</v>
      </c>
      <c r="Y172" s="250"/>
      <c r="Z172" s="250" t="str">
        <f>IFERROR(__xludf.DUMMYFUNCTION("""COMPUTED_VALUE"""),"-")</f>
        <v>-</v>
      </c>
      <c r="AA172" s="235"/>
      <c r="AB172" s="235"/>
      <c r="AC172" s="235"/>
    </row>
    <row r="173">
      <c r="A173" s="235"/>
      <c r="B173" s="250" t="str">
        <f>IFERROR(__xludf.DUMMYFUNCTION("""COMPUTED_VALUE"""),"enemy_mag_00201")</f>
        <v>enemy_mag_00201</v>
      </c>
      <c r="C173" s="252" t="str">
        <f>IFERROR(__xludf.DUMMYFUNCTION("""COMPUTED_VALUE"""),"_general_vh")</f>
        <v>_general_vh</v>
      </c>
      <c r="D173" s="252" t="str">
        <f>IFERROR(__xludf.DUMMYFUNCTION("""COMPUTED_VALUE"""),"e_mag_00201_general_vh_Boss_Green")</f>
        <v>e_mag_00201_general_vh_Boss_Green</v>
      </c>
      <c r="E173" s="252" t="str">
        <f>IFERROR(__xludf.DUMMYFUNCTION("""COMPUTED_VALUE"""),"株式会社マジルミエ")</f>
        <v>株式会社マジルミエ</v>
      </c>
      <c r="F173" s="252" t="str">
        <f>IFERROR(__xludf.DUMMYFUNCTION("""COMPUTED_VALUE"""),"建造物寄生型の怪異 (大)")</f>
        <v>建造物寄生型の怪異 (大)</v>
      </c>
      <c r="G173" s="252" t="str">
        <f>IFERROR(__xludf.DUMMYFUNCTION("""COMPUTED_VALUE"""),"建造物寄生型の怪異（大）_general_vh")</f>
        <v>建造物寄生型の怪異（大）_general_vh</v>
      </c>
      <c r="H173" s="250" t="str">
        <f>IFERROR(__xludf.DUMMYFUNCTION("""COMPUTED_VALUE"""),"Boss")</f>
        <v>Boss</v>
      </c>
      <c r="I173" s="250" t="str">
        <f>IFERROR(__xludf.DUMMYFUNCTION("""COMPUTED_VALUE"""),"Attack")</f>
        <v>Attack</v>
      </c>
      <c r="J173" s="250" t="str">
        <f>IFERROR(__xludf.DUMMYFUNCTION("""COMPUTED_VALUE"""),"Green")</f>
        <v>Green</v>
      </c>
      <c r="K173" s="250">
        <f>IFERROR(__xludf.DUMMYFUNCTION("""COMPUTED_VALUE"""),500000.0)</f>
        <v>500000</v>
      </c>
      <c r="L173" s="250">
        <f>IFERROR(__xludf.DUMMYFUNCTION("""COMPUTED_VALUE"""),2.0)</f>
        <v>2</v>
      </c>
      <c r="M173" s="250">
        <f>IFERROR(__xludf.DUMMYFUNCTION("""COMPUTED_VALUE"""),35.0)</f>
        <v>35</v>
      </c>
      <c r="N173" s="250">
        <f>IFERROR(__xludf.DUMMYFUNCTION("""COMPUTED_VALUE"""),0.2)</f>
        <v>0.2</v>
      </c>
      <c r="O173" s="250">
        <f>IFERROR(__xludf.DUMMYFUNCTION("""COMPUTED_VALUE"""),1000.0)</f>
        <v>1000</v>
      </c>
      <c r="P173" s="250">
        <f>IFERROR(__xludf.DUMMYFUNCTION("""COMPUTED_VALUE"""),0.0)</f>
        <v>0</v>
      </c>
      <c r="Q173" s="250">
        <f>IFERROR(__xludf.DUMMYFUNCTION("""COMPUTED_VALUE"""),0.3)</f>
        <v>0.3</v>
      </c>
      <c r="R173" s="250">
        <f>IFERROR(__xludf.DUMMYFUNCTION("""COMPUTED_VALUE"""),1.0)</f>
        <v>1</v>
      </c>
      <c r="S173" s="250">
        <f>IFERROR(__xludf.DUMMYFUNCTION("""COMPUTED_VALUE"""),1.0)</f>
        <v>1</v>
      </c>
      <c r="T173" s="253" t="str">
        <f>IFERROR(__xludf.DUMMYFUNCTION("""COMPUTED_VALUE"""),"1.50")</f>
        <v>1.50</v>
      </c>
      <c r="U173" s="250" t="str">
        <f>IFERROR(__xludf.DUMMYFUNCTION("""COMPUTED_VALUE"""),"0.74")</f>
        <v>0.74</v>
      </c>
      <c r="V173" s="250">
        <f>IFERROR(__xludf.DUMMYFUNCTION("""COMPUTED_VALUE"""),100.0)</f>
        <v>100</v>
      </c>
      <c r="W173" s="250" t="str">
        <f>IFERROR(__xludf.DUMMYFUNCTION("""COMPUTED_VALUE"""),"-")</f>
        <v>-</v>
      </c>
      <c r="X173" s="250" t="str">
        <f>IFERROR(__xludf.DUMMYFUNCTION("""COMPUTED_VALUE"""),"-")</f>
        <v>-</v>
      </c>
      <c r="Y173" s="250"/>
      <c r="Z173" s="250" t="str">
        <f>IFERROR(__xludf.DUMMYFUNCTION("""COMPUTED_VALUE"""),"-")</f>
        <v>-</v>
      </c>
      <c r="AA173" s="235"/>
      <c r="AB173" s="235"/>
      <c r="AC173" s="235"/>
    </row>
    <row r="174">
      <c r="A174" s="235"/>
      <c r="B174" s="250" t="str">
        <f>IFERROR(__xludf.DUMMYFUNCTION("""COMPUTED_VALUE"""),"enemy_mag_00201")</f>
        <v>enemy_mag_00201</v>
      </c>
      <c r="C174" s="252" t="str">
        <f>IFERROR(__xludf.DUMMYFUNCTION("""COMPUTED_VALUE"""),"_general_vh")</f>
        <v>_general_vh</v>
      </c>
      <c r="D174" s="252" t="str">
        <f>IFERROR(__xludf.DUMMYFUNCTION("""COMPUTED_VALUE"""),"e_mag_00201_general_vh_Normal_Green")</f>
        <v>e_mag_00201_general_vh_Normal_Green</v>
      </c>
      <c r="E174" s="252" t="str">
        <f>IFERROR(__xludf.DUMMYFUNCTION("""COMPUTED_VALUE"""),"株式会社マジルミエ")</f>
        <v>株式会社マジルミエ</v>
      </c>
      <c r="F174" s="252" t="str">
        <f>IFERROR(__xludf.DUMMYFUNCTION("""COMPUTED_VALUE"""),"建造物寄生型の怪異 (大)")</f>
        <v>建造物寄生型の怪異 (大)</v>
      </c>
      <c r="G174" s="252" t="str">
        <f>IFERROR(__xludf.DUMMYFUNCTION("""COMPUTED_VALUE"""),"建造物寄生型の怪異（大）_general_vh")</f>
        <v>建造物寄生型の怪異（大）_general_vh</v>
      </c>
      <c r="H174" s="250" t="str">
        <f>IFERROR(__xludf.DUMMYFUNCTION("""COMPUTED_VALUE"""),"Normal")</f>
        <v>Normal</v>
      </c>
      <c r="I174" s="250" t="str">
        <f>IFERROR(__xludf.DUMMYFUNCTION("""COMPUTED_VALUE"""),"Attack")</f>
        <v>Attack</v>
      </c>
      <c r="J174" s="250" t="str">
        <f>IFERROR(__xludf.DUMMYFUNCTION("""COMPUTED_VALUE"""),"Green")</f>
        <v>Green</v>
      </c>
      <c r="K174" s="250">
        <f>IFERROR(__xludf.DUMMYFUNCTION("""COMPUTED_VALUE"""),500000.0)</f>
        <v>500000</v>
      </c>
      <c r="L174" s="250">
        <f>IFERROR(__xludf.DUMMYFUNCTION("""COMPUTED_VALUE"""),2.0)</f>
        <v>2</v>
      </c>
      <c r="M174" s="250">
        <f>IFERROR(__xludf.DUMMYFUNCTION("""COMPUTED_VALUE"""),35.0)</f>
        <v>35</v>
      </c>
      <c r="N174" s="250">
        <f>IFERROR(__xludf.DUMMYFUNCTION("""COMPUTED_VALUE"""),0.2)</f>
        <v>0.2</v>
      </c>
      <c r="O174" s="250">
        <f>IFERROR(__xludf.DUMMYFUNCTION("""COMPUTED_VALUE"""),1000.0)</f>
        <v>1000</v>
      </c>
      <c r="P174" s="250">
        <f>IFERROR(__xludf.DUMMYFUNCTION("""COMPUTED_VALUE"""),0.0)</f>
        <v>0</v>
      </c>
      <c r="Q174" s="250">
        <f>IFERROR(__xludf.DUMMYFUNCTION("""COMPUTED_VALUE"""),0.3)</f>
        <v>0.3</v>
      </c>
      <c r="R174" s="250">
        <f>IFERROR(__xludf.DUMMYFUNCTION("""COMPUTED_VALUE"""),1.0)</f>
        <v>1</v>
      </c>
      <c r="S174" s="250">
        <f>IFERROR(__xludf.DUMMYFUNCTION("""COMPUTED_VALUE"""),1.0)</f>
        <v>1</v>
      </c>
      <c r="T174" s="253" t="str">
        <f>IFERROR(__xludf.DUMMYFUNCTION("""COMPUTED_VALUE"""),"1.50")</f>
        <v>1.50</v>
      </c>
      <c r="U174" s="250" t="str">
        <f>IFERROR(__xludf.DUMMYFUNCTION("""COMPUTED_VALUE"""),"0.74")</f>
        <v>0.74</v>
      </c>
      <c r="V174" s="250">
        <f>IFERROR(__xludf.DUMMYFUNCTION("""COMPUTED_VALUE"""),100.0)</f>
        <v>100</v>
      </c>
      <c r="W174" s="250" t="str">
        <f>IFERROR(__xludf.DUMMYFUNCTION("""COMPUTED_VALUE"""),"-")</f>
        <v>-</v>
      </c>
      <c r="X174" s="250" t="str">
        <f>IFERROR(__xludf.DUMMYFUNCTION("""COMPUTED_VALUE"""),"-")</f>
        <v>-</v>
      </c>
      <c r="Y174" s="250"/>
      <c r="Z174" s="250" t="str">
        <f>IFERROR(__xludf.DUMMYFUNCTION("""COMPUTED_VALUE"""),"-")</f>
        <v>-</v>
      </c>
      <c r="AA174" s="235"/>
      <c r="AB174" s="235"/>
      <c r="AC174" s="235"/>
    </row>
    <row r="175">
      <c r="A175" s="235"/>
      <c r="B175" s="250" t="str">
        <f>IFERROR(__xludf.DUMMYFUNCTION("""COMPUTED_VALUE"""),"enemy_mag_00301")</f>
        <v>enemy_mag_00301</v>
      </c>
      <c r="C175" s="252" t="str">
        <f>IFERROR(__xludf.DUMMYFUNCTION("""COMPUTED_VALUE"""),"_general_vh")</f>
        <v>_general_vh</v>
      </c>
      <c r="D175" s="252" t="str">
        <f>IFERROR(__xludf.DUMMYFUNCTION("""COMPUTED_VALUE"""),"e_mag_00301_general_vh_Normal_Green")</f>
        <v>e_mag_00301_general_vh_Normal_Green</v>
      </c>
      <c r="E175" s="252" t="str">
        <f>IFERROR(__xludf.DUMMYFUNCTION("""COMPUTED_VALUE"""),"株式会社マジルミエ")</f>
        <v>株式会社マジルミエ</v>
      </c>
      <c r="F175" s="252" t="str">
        <f>IFERROR(__xludf.DUMMYFUNCTION("""COMPUTED_VALUE"""),"建造物寄生型の怪異")</f>
        <v>建造物寄生型の怪異</v>
      </c>
      <c r="G175" s="252" t="str">
        <f>IFERROR(__xludf.DUMMYFUNCTION("""COMPUTED_VALUE"""),"建造物寄生型の怪異（小）_general_vh")</f>
        <v>建造物寄生型の怪異（小）_general_vh</v>
      </c>
      <c r="H175" s="250" t="str">
        <f>IFERROR(__xludf.DUMMYFUNCTION("""COMPUTED_VALUE"""),"Normal")</f>
        <v>Normal</v>
      </c>
      <c r="I175" s="250" t="str">
        <f>IFERROR(__xludf.DUMMYFUNCTION("""COMPUTED_VALUE"""),"Attack")</f>
        <v>Attack</v>
      </c>
      <c r="J175" s="250" t="str">
        <f>IFERROR(__xludf.DUMMYFUNCTION("""COMPUTED_VALUE"""),"Green")</f>
        <v>Green</v>
      </c>
      <c r="K175" s="250">
        <f>IFERROR(__xludf.DUMMYFUNCTION("""COMPUTED_VALUE"""),70000.0)</f>
        <v>70000</v>
      </c>
      <c r="L175" s="250">
        <f>IFERROR(__xludf.DUMMYFUNCTION("""COMPUTED_VALUE"""),1.0)</f>
        <v>1</v>
      </c>
      <c r="M175" s="250">
        <f>IFERROR(__xludf.DUMMYFUNCTION("""COMPUTED_VALUE"""),45.0)</f>
        <v>45</v>
      </c>
      <c r="N175" s="250">
        <f>IFERROR(__xludf.DUMMYFUNCTION("""COMPUTED_VALUE"""),0.11)</f>
        <v>0.11</v>
      </c>
      <c r="O175" s="250">
        <f>IFERROR(__xludf.DUMMYFUNCTION("""COMPUTED_VALUE"""),700.0)</f>
        <v>700</v>
      </c>
      <c r="P175" s="250">
        <f>IFERROR(__xludf.DUMMYFUNCTION("""COMPUTED_VALUE"""),0.0)</f>
        <v>0</v>
      </c>
      <c r="Q175" s="250">
        <f>IFERROR(__xludf.DUMMYFUNCTION("""COMPUTED_VALUE"""),0.2)</f>
        <v>0.2</v>
      </c>
      <c r="R175" s="250">
        <f>IFERROR(__xludf.DUMMYFUNCTION("""COMPUTED_VALUE"""),1.0)</f>
        <v>1</v>
      </c>
      <c r="S175" s="250">
        <f>IFERROR(__xludf.DUMMYFUNCTION("""COMPUTED_VALUE"""),1.0)</f>
        <v>1</v>
      </c>
      <c r="T175" s="253" t="str">
        <f>IFERROR(__xludf.DUMMYFUNCTION("""COMPUTED_VALUE"""),"1.50")</f>
        <v>1.50</v>
      </c>
      <c r="U175" s="250" t="str">
        <f>IFERROR(__xludf.DUMMYFUNCTION("""COMPUTED_VALUE"""),"0.74")</f>
        <v>0.74</v>
      </c>
      <c r="V175" s="250">
        <f>IFERROR(__xludf.DUMMYFUNCTION("""COMPUTED_VALUE"""),65.0)</f>
        <v>65</v>
      </c>
      <c r="W175" s="250" t="str">
        <f>IFERROR(__xludf.DUMMYFUNCTION("""COMPUTED_VALUE"""),"-")</f>
        <v>-</v>
      </c>
      <c r="X175" s="250" t="str">
        <f>IFERROR(__xludf.DUMMYFUNCTION("""COMPUTED_VALUE"""),"-")</f>
        <v>-</v>
      </c>
      <c r="Y175" s="250"/>
      <c r="Z175" s="250" t="str">
        <f>IFERROR(__xludf.DUMMYFUNCTION("""COMPUTED_VALUE"""),"-")</f>
        <v>-</v>
      </c>
      <c r="AA175" s="235"/>
      <c r="AB175" s="235"/>
      <c r="AC175" s="235"/>
    </row>
    <row r="176">
      <c r="A176" s="235"/>
      <c r="B176" s="250" t="str">
        <f>IFERROR(__xludf.DUMMYFUNCTION("""COMPUTED_VALUE"""),"enemy_mag_00301")</f>
        <v>enemy_mag_00301</v>
      </c>
      <c r="C176" s="252" t="str">
        <f>IFERROR(__xludf.DUMMYFUNCTION("""COMPUTED_VALUE"""),"_general_vh")</f>
        <v>_general_vh</v>
      </c>
      <c r="D176" s="252" t="str">
        <f>IFERROR(__xludf.DUMMYFUNCTION("""COMPUTED_VALUE"""),"e_mag_00301_general_vh_Normal_Yellow")</f>
        <v>e_mag_00301_general_vh_Normal_Yellow</v>
      </c>
      <c r="E176" s="252" t="str">
        <f>IFERROR(__xludf.DUMMYFUNCTION("""COMPUTED_VALUE"""),"株式会社マジルミエ")</f>
        <v>株式会社マジルミエ</v>
      </c>
      <c r="F176" s="252" t="str">
        <f>IFERROR(__xludf.DUMMYFUNCTION("""COMPUTED_VALUE"""),"建造物寄生型の怪異")</f>
        <v>建造物寄生型の怪異</v>
      </c>
      <c r="G176" s="252" t="str">
        <f>IFERROR(__xludf.DUMMYFUNCTION("""COMPUTED_VALUE"""),"建造物寄生型の怪異（小）_general_vh")</f>
        <v>建造物寄生型の怪異（小）_general_vh</v>
      </c>
      <c r="H176" s="250" t="str">
        <f>IFERROR(__xludf.DUMMYFUNCTION("""COMPUTED_VALUE"""),"Normal")</f>
        <v>Normal</v>
      </c>
      <c r="I176" s="250" t="str">
        <f>IFERROR(__xludf.DUMMYFUNCTION("""COMPUTED_VALUE"""),"Attack")</f>
        <v>Attack</v>
      </c>
      <c r="J176" s="250" t="str">
        <f>IFERROR(__xludf.DUMMYFUNCTION("""COMPUTED_VALUE"""),"Yellow")</f>
        <v>Yellow</v>
      </c>
      <c r="K176" s="250">
        <f>IFERROR(__xludf.DUMMYFUNCTION("""COMPUTED_VALUE"""),20000.0)</f>
        <v>20000</v>
      </c>
      <c r="L176" s="250">
        <f>IFERROR(__xludf.DUMMYFUNCTION("""COMPUTED_VALUE"""),1.0)</f>
        <v>1</v>
      </c>
      <c r="M176" s="250">
        <f>IFERROR(__xludf.DUMMYFUNCTION("""COMPUTED_VALUE"""),45.0)</f>
        <v>45</v>
      </c>
      <c r="N176" s="250">
        <f>IFERROR(__xludf.DUMMYFUNCTION("""COMPUTED_VALUE"""),0.11)</f>
        <v>0.11</v>
      </c>
      <c r="O176" s="250">
        <f>IFERROR(__xludf.DUMMYFUNCTION("""COMPUTED_VALUE"""),500.0)</f>
        <v>500</v>
      </c>
      <c r="P176" s="250">
        <f>IFERROR(__xludf.DUMMYFUNCTION("""COMPUTED_VALUE"""),0.0)</f>
        <v>0</v>
      </c>
      <c r="Q176" s="250">
        <f>IFERROR(__xludf.DUMMYFUNCTION("""COMPUTED_VALUE"""),0.2)</f>
        <v>0.2</v>
      </c>
      <c r="R176" s="250">
        <f>IFERROR(__xludf.DUMMYFUNCTION("""COMPUTED_VALUE"""),1.0)</f>
        <v>1</v>
      </c>
      <c r="S176" s="250">
        <f>IFERROR(__xludf.DUMMYFUNCTION("""COMPUTED_VALUE"""),1.0)</f>
        <v>1</v>
      </c>
      <c r="T176" s="253" t="str">
        <f>IFERROR(__xludf.DUMMYFUNCTION("""COMPUTED_VALUE"""),"1.50")</f>
        <v>1.50</v>
      </c>
      <c r="U176" s="250" t="str">
        <f>IFERROR(__xludf.DUMMYFUNCTION("""COMPUTED_VALUE"""),"0.74")</f>
        <v>0.74</v>
      </c>
      <c r="V176" s="250">
        <f>IFERROR(__xludf.DUMMYFUNCTION("""COMPUTED_VALUE"""),65.0)</f>
        <v>65</v>
      </c>
      <c r="W176" s="250" t="str">
        <f>IFERROR(__xludf.DUMMYFUNCTION("""COMPUTED_VALUE"""),"-")</f>
        <v>-</v>
      </c>
      <c r="X176" s="250" t="str">
        <f>IFERROR(__xludf.DUMMYFUNCTION("""COMPUTED_VALUE"""),"-")</f>
        <v>-</v>
      </c>
      <c r="Y176" s="250"/>
      <c r="Z176" s="250" t="str">
        <f>IFERROR(__xludf.DUMMYFUNCTION("""COMPUTED_VALUE"""),"-")</f>
        <v>-</v>
      </c>
      <c r="AA176" s="235"/>
      <c r="AB176" s="235"/>
      <c r="AC176" s="235"/>
    </row>
    <row r="177">
      <c r="A177" s="235"/>
      <c r="B177" s="250" t="str">
        <f>IFERROR(__xludf.DUMMYFUNCTION("""COMPUTED_VALUE"""),"chara_mag_00001")</f>
        <v>chara_mag_00001</v>
      </c>
      <c r="C177" s="252" t="str">
        <f>IFERROR(__xludf.DUMMYFUNCTION("""COMPUTED_VALUE"""),"_general_vh")</f>
        <v>_general_vh</v>
      </c>
      <c r="D177" s="252" t="str">
        <f>IFERROR(__xludf.DUMMYFUNCTION("""COMPUTED_VALUE"""),"c_mag_00001_general_vh_Boss_Yellow")</f>
        <v>c_mag_00001_general_vh_Boss_Yellow</v>
      </c>
      <c r="E177" s="252" t="str">
        <f>IFERROR(__xludf.DUMMYFUNCTION("""COMPUTED_VALUE"""),"株式会社マジルミエ")</f>
        <v>株式会社マジルミエ</v>
      </c>
      <c r="F177" s="252" t="str">
        <f>IFERROR(__xludf.DUMMYFUNCTION("""COMPUTED_VALUE"""),"新人魔法少女 桜木 カナ")</f>
        <v>新人魔法少女 桜木 カナ</v>
      </c>
      <c r="G177" s="252" t="str">
        <f>IFERROR(__xludf.DUMMYFUNCTION("""COMPUTED_VALUE"""),"新人魔法少女 桜木 カナ_general_vh")</f>
        <v>新人魔法少女 桜木 カナ_general_vh</v>
      </c>
      <c r="H177" s="250" t="str">
        <f>IFERROR(__xludf.DUMMYFUNCTION("""COMPUTED_VALUE"""),"Boss")</f>
        <v>Boss</v>
      </c>
      <c r="I177" s="250" t="str">
        <f>IFERROR(__xludf.DUMMYFUNCTION("""COMPUTED_VALUE"""),"Attack")</f>
        <v>Attack</v>
      </c>
      <c r="J177" s="250" t="str">
        <f>IFERROR(__xludf.DUMMYFUNCTION("""COMPUTED_VALUE"""),"Yellow")</f>
        <v>Yellow</v>
      </c>
      <c r="K177" s="250">
        <f>IFERROR(__xludf.DUMMYFUNCTION("""COMPUTED_VALUE"""),500000.0)</f>
        <v>500000</v>
      </c>
      <c r="L177" s="250">
        <f>IFERROR(__xludf.DUMMYFUNCTION("""COMPUTED_VALUE"""),2.0)</f>
        <v>2</v>
      </c>
      <c r="M177" s="250">
        <f>IFERROR(__xludf.DUMMYFUNCTION("""COMPUTED_VALUE"""),45.0)</f>
        <v>45</v>
      </c>
      <c r="N177" s="250">
        <f>IFERROR(__xludf.DUMMYFUNCTION("""COMPUTED_VALUE"""),0.4)</f>
        <v>0.4</v>
      </c>
      <c r="O177" s="250">
        <f>IFERROR(__xludf.DUMMYFUNCTION("""COMPUTED_VALUE"""),1200.0)</f>
        <v>1200</v>
      </c>
      <c r="P177" s="250">
        <f>IFERROR(__xludf.DUMMYFUNCTION("""COMPUTED_VALUE"""),0.0)</f>
        <v>0</v>
      </c>
      <c r="Q177" s="250">
        <f>IFERROR(__xludf.DUMMYFUNCTION("""COMPUTED_VALUE"""),0.5)</f>
        <v>0.5</v>
      </c>
      <c r="R177" s="250">
        <f>IFERROR(__xludf.DUMMYFUNCTION("""COMPUTED_VALUE"""),1.0)</f>
        <v>1</v>
      </c>
      <c r="S177" s="250">
        <f>IFERROR(__xludf.DUMMYFUNCTION("""COMPUTED_VALUE"""),1.0)</f>
        <v>1</v>
      </c>
      <c r="T177" s="253" t="str">
        <f>IFERROR(__xludf.DUMMYFUNCTION("""COMPUTED_VALUE"""),"1.77")</f>
        <v>1.77</v>
      </c>
      <c r="U177" s="250" t="str">
        <f>IFERROR(__xludf.DUMMYFUNCTION("""COMPUTED_VALUE"""),"stop有:1回目 0.92")</f>
        <v>stop有:1回目 0.92</v>
      </c>
      <c r="V177" s="250">
        <f>IFERROR(__xludf.DUMMYFUNCTION("""COMPUTED_VALUE"""),50.0)</f>
        <v>50</v>
      </c>
      <c r="W177" s="250" t="str">
        <f>IFERROR(__xludf.DUMMYFUNCTION("""COMPUTED_VALUE"""),"2.33")</f>
        <v>2.33</v>
      </c>
      <c r="X177" s="250"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177" s="250" t="str">
        <f>IFERROR(__xludf.DUMMYFUNCTION("""COMPUTED_VALUE"""),"合計1200%の範囲攻撃+中ノックバック+最後の攻撃がHitしたキャラの攻撃を20秒間20%DOWN")</f>
        <v>合計1200%の範囲攻撃+中ノックバック+最後の攻撃がHitしたキャラの攻撃を20秒間20%DOWN</v>
      </c>
      <c r="Z177" s="250">
        <f>IFERROR(__xludf.DUMMYFUNCTION("""COMPUTED_VALUE"""),5.0)</f>
        <v>5</v>
      </c>
      <c r="AA177" s="235"/>
      <c r="AB177" s="235"/>
      <c r="AC177" s="235"/>
    </row>
    <row r="178">
      <c r="A178" s="235"/>
      <c r="B178" s="250" t="str">
        <f>IFERROR(__xludf.DUMMYFUNCTION("""COMPUTED_VALUE"""),"chara_mag_00101")</f>
        <v>chara_mag_00101</v>
      </c>
      <c r="C178" s="252" t="str">
        <f>IFERROR(__xludf.DUMMYFUNCTION("""COMPUTED_VALUE"""),"_general_vh")</f>
        <v>_general_vh</v>
      </c>
      <c r="D178" s="252" t="str">
        <f>IFERROR(__xludf.DUMMYFUNCTION("""COMPUTED_VALUE"""),"c_mag_00101_general_vh_Normal_Blue")</f>
        <v>c_mag_00101_general_vh_Normal_Blue</v>
      </c>
      <c r="E178" s="252" t="str">
        <f>IFERROR(__xludf.DUMMYFUNCTION("""COMPUTED_VALUE"""),"株式会社マジルミエ")</f>
        <v>株式会社マジルミエ</v>
      </c>
      <c r="F178" s="252" t="str">
        <f>IFERROR(__xludf.DUMMYFUNCTION("""COMPUTED_VALUE"""),"越谷 仁美")</f>
        <v>越谷 仁美</v>
      </c>
      <c r="G178" s="252" t="str">
        <f>IFERROR(__xludf.DUMMYFUNCTION("""COMPUTED_VALUE"""),"越谷 仁美_general_vh")</f>
        <v>越谷 仁美_general_vh</v>
      </c>
      <c r="H178" s="250" t="str">
        <f>IFERROR(__xludf.DUMMYFUNCTION("""COMPUTED_VALUE"""),"Normal")</f>
        <v>Normal</v>
      </c>
      <c r="I178" s="250" t="str">
        <f>IFERROR(__xludf.DUMMYFUNCTION("""COMPUTED_VALUE"""),"Attack")</f>
        <v>Attack</v>
      </c>
      <c r="J178" s="250" t="str">
        <f>IFERROR(__xludf.DUMMYFUNCTION("""COMPUTED_VALUE"""),"Blue")</f>
        <v>Blue</v>
      </c>
      <c r="K178" s="250">
        <f>IFERROR(__xludf.DUMMYFUNCTION("""COMPUTED_VALUE"""),80000.0)</f>
        <v>80000</v>
      </c>
      <c r="L178" s="250">
        <f>IFERROR(__xludf.DUMMYFUNCTION("""COMPUTED_VALUE"""),2.0)</f>
        <v>2</v>
      </c>
      <c r="M178" s="250">
        <f>IFERROR(__xludf.DUMMYFUNCTION("""COMPUTED_VALUE"""),55.0)</f>
        <v>55</v>
      </c>
      <c r="N178" s="250">
        <f>IFERROR(__xludf.DUMMYFUNCTION("""COMPUTED_VALUE"""),0.3)</f>
        <v>0.3</v>
      </c>
      <c r="O178" s="250">
        <f>IFERROR(__xludf.DUMMYFUNCTION("""COMPUTED_VALUE"""),1000.0)</f>
        <v>1000</v>
      </c>
      <c r="P178" s="250">
        <f>IFERROR(__xludf.DUMMYFUNCTION("""COMPUTED_VALUE"""),0.0)</f>
        <v>0</v>
      </c>
      <c r="Q178" s="250">
        <f>IFERROR(__xludf.DUMMYFUNCTION("""COMPUTED_VALUE"""),0.32)</f>
        <v>0.32</v>
      </c>
      <c r="R178" s="250">
        <f>IFERROR(__xludf.DUMMYFUNCTION("""COMPUTED_VALUE"""),1.0)</f>
        <v>1</v>
      </c>
      <c r="S178" s="250">
        <f>IFERROR(__xludf.DUMMYFUNCTION("""COMPUTED_VALUE"""),1.0)</f>
        <v>1</v>
      </c>
      <c r="T178" s="253" t="str">
        <f>IFERROR(__xludf.DUMMYFUNCTION("""COMPUTED_VALUE"""),"1.90")</f>
        <v>1.90</v>
      </c>
      <c r="U178" s="250" t="str">
        <f>IFERROR(__xludf.DUMMYFUNCTION("""COMPUTED_VALUE"""),"0.84")</f>
        <v>0.84</v>
      </c>
      <c r="V178" s="250">
        <f>IFERROR(__xludf.DUMMYFUNCTION("""COMPUTED_VALUE"""),50.0)</f>
        <v>50</v>
      </c>
      <c r="W178" s="250" t="str">
        <f>IFERROR(__xludf.DUMMYFUNCTION("""COMPUTED_VALUE"""),"2.67")</f>
        <v>2.67</v>
      </c>
      <c r="X178" s="250" t="str">
        <f>IFERROR(__xludf.DUMMYFUNCTION("""COMPUTED_VALUE"""),"1.50")</f>
        <v>1.50</v>
      </c>
      <c r="Y178" s="250" t="str">
        <f>IFERROR(__xludf.DUMMYFUNCTION("""COMPUTED_VALUE"""),"範囲攻撃+自信の攻撃を10秒間50%Up")</f>
        <v>範囲攻撃+自信の攻撃を10秒間50%Up</v>
      </c>
      <c r="Z178" s="250">
        <f>IFERROR(__xludf.DUMMYFUNCTION("""COMPUTED_VALUE"""),5.0)</f>
        <v>5</v>
      </c>
      <c r="AA178" s="235"/>
      <c r="AB178" s="235"/>
      <c r="AC178" s="235"/>
    </row>
    <row r="179">
      <c r="A179" s="235"/>
      <c r="B179" s="250"/>
      <c r="C179" s="252"/>
      <c r="D179" s="252" t="str">
        <f>IFERROR(__xludf.DUMMYFUNCTION("""COMPUTED_VALUE"""),"___")</f>
        <v>___</v>
      </c>
      <c r="E179" s="252" t="str">
        <f>IFERROR(__xludf.DUMMYFUNCTION("""COMPUTED_VALUE"""),"none")</f>
        <v>none</v>
      </c>
      <c r="F179" s="252" t="str">
        <f>IFERROR(__xludf.DUMMYFUNCTION("""COMPUTED_VALUE"""),"none")</f>
        <v>none</v>
      </c>
      <c r="G179" s="252" t="str">
        <f>IFERROR(__xludf.DUMMYFUNCTION("""COMPUTED_VALUE"""),"none")</f>
        <v>none</v>
      </c>
      <c r="H179" s="250"/>
      <c r="I179" s="250" t="str">
        <f>IFERROR(__xludf.DUMMYFUNCTION("""COMPUTED_VALUE"""),"none")</f>
        <v>none</v>
      </c>
      <c r="J179" s="250"/>
      <c r="K179" s="250"/>
      <c r="L179" s="250"/>
      <c r="M179" s="250"/>
      <c r="N179" s="250"/>
      <c r="O179" s="250"/>
      <c r="P179" s="250"/>
      <c r="Q179" s="250"/>
      <c r="R179" s="250"/>
      <c r="S179" s="250"/>
      <c r="T179" s="253" t="str">
        <f>IFERROR(__xludf.DUMMYFUNCTION("""COMPUTED_VALUE"""),"none")</f>
        <v>none</v>
      </c>
      <c r="U179" s="250" t="str">
        <f>IFERROR(__xludf.DUMMYFUNCTION("""COMPUTED_VALUE"""),"none")</f>
        <v>none</v>
      </c>
      <c r="V179" s="250"/>
      <c r="W179" s="250" t="str">
        <f>IFERROR(__xludf.DUMMYFUNCTION("""COMPUTED_VALUE"""),"none")</f>
        <v>none</v>
      </c>
      <c r="X179" s="250" t="str">
        <f>IFERROR(__xludf.DUMMYFUNCTION("""COMPUTED_VALUE"""),"none")</f>
        <v>none</v>
      </c>
      <c r="Y179" s="250"/>
      <c r="Z179" s="250"/>
      <c r="AA179" s="235"/>
      <c r="AB179" s="235"/>
      <c r="AC179" s="235"/>
    </row>
    <row r="180">
      <c r="A180" s="235"/>
      <c r="B180" s="250" t="str">
        <f>IFERROR(__xludf.DUMMYFUNCTION("""COMPUTED_VALUE"""),"chara_sum_00201")</f>
        <v>chara_sum_00201</v>
      </c>
      <c r="C180" s="252" t="str">
        <f>IFERROR(__xludf.DUMMYFUNCTION("""COMPUTED_VALUE"""),"_general")</f>
        <v>_general</v>
      </c>
      <c r="D180" s="252" t="str">
        <f>IFERROR(__xludf.DUMMYFUNCTION("""COMPUTED_VALUE"""),"c_sum_00201_general_Normal_Colorless")</f>
        <v>c_sum_00201_general_Normal_Colorless</v>
      </c>
      <c r="E180" s="252" t="str">
        <f>IFERROR(__xludf.DUMMYFUNCTION("""COMPUTED_VALUE"""),"サマータイムレンダ")</f>
        <v>サマータイムレンダ</v>
      </c>
      <c r="F180" s="252" t="str">
        <f>IFERROR(__xludf.DUMMYFUNCTION("""COMPUTED_VALUE"""),"小舟 澪")</f>
        <v>小舟 澪</v>
      </c>
      <c r="G180" s="252" t="str">
        <f>IFERROR(__xludf.DUMMYFUNCTION("""COMPUTED_VALUE"""),"小舟 澪_general")</f>
        <v>小舟 澪_general</v>
      </c>
      <c r="H180" s="250" t="str">
        <f>IFERROR(__xludf.DUMMYFUNCTION("""COMPUTED_VALUE"""),"Normal")</f>
        <v>Normal</v>
      </c>
      <c r="I180" s="250" t="str">
        <f>IFERROR(__xludf.DUMMYFUNCTION("""COMPUTED_VALUE"""),"Attack")</f>
        <v>Attack</v>
      </c>
      <c r="J180" s="250" t="str">
        <f>IFERROR(__xludf.DUMMYFUNCTION("""COMPUTED_VALUE"""),"Colorless")</f>
        <v>Colorless</v>
      </c>
      <c r="K180" s="250">
        <f>IFERROR(__xludf.DUMMYFUNCTION("""COMPUTED_VALUE"""),70000.0)</f>
        <v>70000</v>
      </c>
      <c r="L180" s="250">
        <f>IFERROR(__xludf.DUMMYFUNCTION("""COMPUTED_VALUE"""),4.0)</f>
        <v>4</v>
      </c>
      <c r="M180" s="250">
        <f>IFERROR(__xludf.DUMMYFUNCTION("""COMPUTED_VALUE"""),50.0)</f>
        <v>50</v>
      </c>
      <c r="N180" s="250">
        <f>IFERROR(__xludf.DUMMYFUNCTION("""COMPUTED_VALUE"""),0.11)</f>
        <v>0.11</v>
      </c>
      <c r="O180" s="250">
        <f>IFERROR(__xludf.DUMMYFUNCTION("""COMPUTED_VALUE"""),490.0)</f>
        <v>490</v>
      </c>
      <c r="P180" s="250">
        <f>IFERROR(__xludf.DUMMYFUNCTION("""COMPUTED_VALUE"""),0.0)</f>
        <v>0</v>
      </c>
      <c r="Q180" s="250">
        <f>IFERROR(__xludf.DUMMYFUNCTION("""COMPUTED_VALUE"""),0.3)</f>
        <v>0.3</v>
      </c>
      <c r="R180" s="250">
        <f>IFERROR(__xludf.DUMMYFUNCTION("""COMPUTED_VALUE"""),1.0)</f>
        <v>1</v>
      </c>
      <c r="S180" s="250">
        <f>IFERROR(__xludf.DUMMYFUNCTION("""COMPUTED_VALUE"""),10.0)</f>
        <v>10</v>
      </c>
      <c r="T180" s="253" t="str">
        <f>IFERROR(__xludf.DUMMYFUNCTION("""COMPUTED_VALUE"""),"2.37")</f>
        <v>2.37</v>
      </c>
      <c r="U180" s="250" t="str">
        <f>IFERROR(__xludf.DUMMYFUNCTION("""COMPUTED_VALUE"""),"stop有 :1回目 0.67")</f>
        <v>stop有 :1回目 0.67</v>
      </c>
      <c r="V180" s="250">
        <f>IFERROR(__xludf.DUMMYFUNCTION("""COMPUTED_VALUE"""),100.0)</f>
        <v>100</v>
      </c>
      <c r="W180" s="250" t="str">
        <f>IFERROR(__xludf.DUMMYFUNCTION("""COMPUTED_VALUE"""),"3.67")</f>
        <v>3.67</v>
      </c>
      <c r="X180" s="250" t="str">
        <f>IFERROR(__xludf.DUMMYFUNCTION("""COMPUTED_VALUE"""),"stop有 :1回目 1.70")</f>
        <v>stop有 :1回目 1.70</v>
      </c>
      <c r="Y180" s="250" t="str">
        <f>IFERROR(__xludf.DUMMYFUNCTION("""COMPUTED_VALUE"""),"範囲攻撃+小ノックバック")</f>
        <v>範囲攻撃+小ノックバック</v>
      </c>
      <c r="Z180" s="250">
        <f>IFERROR(__xludf.DUMMYFUNCTION("""COMPUTED_VALUE"""),4.0)</f>
        <v>4</v>
      </c>
      <c r="AA180" s="235"/>
      <c r="AB180" s="235" t="str">
        <f>IFERROR(__xludf.DUMMYFUNCTION("""COMPUTED_VALUE"""),"dageki_1")</f>
        <v>dageki_1</v>
      </c>
      <c r="AC180" s="235"/>
    </row>
    <row r="181">
      <c r="A181" s="235"/>
      <c r="B181" s="250" t="str">
        <f>IFERROR(__xludf.DUMMYFUNCTION("""COMPUTED_VALUE"""),"chara_sum_00201")</f>
        <v>chara_sum_00201</v>
      </c>
      <c r="C181" s="252" t="str">
        <f>IFERROR(__xludf.DUMMYFUNCTION("""COMPUTED_VALUE"""),"_general")</f>
        <v>_general</v>
      </c>
      <c r="D181" s="252" t="str">
        <f>IFERROR(__xludf.DUMMYFUNCTION("""COMPUTED_VALUE"""),"c_sum_00201_general_Normal_Yellow")</f>
        <v>c_sum_00201_general_Normal_Yellow</v>
      </c>
      <c r="E181" s="252" t="str">
        <f>IFERROR(__xludf.DUMMYFUNCTION("""COMPUTED_VALUE"""),"サマータイムレンダ")</f>
        <v>サマータイムレンダ</v>
      </c>
      <c r="F181" s="252" t="str">
        <f>IFERROR(__xludf.DUMMYFUNCTION("""COMPUTED_VALUE"""),"小舟 澪")</f>
        <v>小舟 澪</v>
      </c>
      <c r="G181" s="252" t="str">
        <f>IFERROR(__xludf.DUMMYFUNCTION("""COMPUTED_VALUE"""),"小舟 澪_general")</f>
        <v>小舟 澪_general</v>
      </c>
      <c r="H181" s="250" t="str">
        <f>IFERROR(__xludf.DUMMYFUNCTION("""COMPUTED_VALUE"""),"Normal")</f>
        <v>Normal</v>
      </c>
      <c r="I181" s="250" t="str">
        <f>IFERROR(__xludf.DUMMYFUNCTION("""COMPUTED_VALUE"""),"Attack")</f>
        <v>Attack</v>
      </c>
      <c r="J181" s="250" t="str">
        <f>IFERROR(__xludf.DUMMYFUNCTION("""COMPUTED_VALUE"""),"Yellow")</f>
        <v>Yellow</v>
      </c>
      <c r="K181" s="250">
        <f>IFERROR(__xludf.DUMMYFUNCTION("""COMPUTED_VALUE"""),270000.0)</f>
        <v>270000</v>
      </c>
      <c r="L181" s="250">
        <f>IFERROR(__xludf.DUMMYFUNCTION("""COMPUTED_VALUE"""),2.0)</f>
        <v>2</v>
      </c>
      <c r="M181" s="250">
        <f>IFERROR(__xludf.DUMMYFUNCTION("""COMPUTED_VALUE"""),50.0)</f>
        <v>50</v>
      </c>
      <c r="N181" s="250">
        <f>IFERROR(__xludf.DUMMYFUNCTION("""COMPUTED_VALUE"""),0.11)</f>
        <v>0.11</v>
      </c>
      <c r="O181" s="250">
        <f>IFERROR(__xludf.DUMMYFUNCTION("""COMPUTED_VALUE"""),1050.0)</f>
        <v>1050</v>
      </c>
      <c r="P181" s="250">
        <f>IFERROR(__xludf.DUMMYFUNCTION("""COMPUTED_VALUE"""),0.0)</f>
        <v>0</v>
      </c>
      <c r="Q181" s="250">
        <f>IFERROR(__xludf.DUMMYFUNCTION("""COMPUTED_VALUE"""),0.3)</f>
        <v>0.3</v>
      </c>
      <c r="R181" s="250">
        <f>IFERROR(__xludf.DUMMYFUNCTION("""COMPUTED_VALUE"""),1.0)</f>
        <v>1</v>
      </c>
      <c r="S181" s="250">
        <f>IFERROR(__xludf.DUMMYFUNCTION("""COMPUTED_VALUE"""),10.0)</f>
        <v>10</v>
      </c>
      <c r="T181" s="253" t="str">
        <f>IFERROR(__xludf.DUMMYFUNCTION("""COMPUTED_VALUE"""),"2.37")</f>
        <v>2.37</v>
      </c>
      <c r="U181" s="250" t="str">
        <f>IFERROR(__xludf.DUMMYFUNCTION("""COMPUTED_VALUE"""),"stop有 :1回目 0.67")</f>
        <v>stop有 :1回目 0.67</v>
      </c>
      <c r="V181" s="250">
        <f>IFERROR(__xludf.DUMMYFUNCTION("""COMPUTED_VALUE"""),100.0)</f>
        <v>100</v>
      </c>
      <c r="W181" s="250" t="str">
        <f>IFERROR(__xludf.DUMMYFUNCTION("""COMPUTED_VALUE"""),"3.67")</f>
        <v>3.67</v>
      </c>
      <c r="X181" s="250" t="str">
        <f>IFERROR(__xludf.DUMMYFUNCTION("""COMPUTED_VALUE"""),"stop有 :1回目 1.70")</f>
        <v>stop有 :1回目 1.70</v>
      </c>
      <c r="Y181" s="250" t="str">
        <f>IFERROR(__xludf.DUMMYFUNCTION("""COMPUTED_VALUE"""),"範囲攻撃+中ノックバック")</f>
        <v>範囲攻撃+中ノックバック</v>
      </c>
      <c r="Z181" s="250">
        <f>IFERROR(__xludf.DUMMYFUNCTION("""COMPUTED_VALUE"""),4.0)</f>
        <v>4</v>
      </c>
      <c r="AA181" s="235"/>
      <c r="AB181" s="235" t="str">
        <f>IFERROR(__xludf.DUMMYFUNCTION("""COMPUTED_VALUE"""),"dageki_1")</f>
        <v>dageki_1</v>
      </c>
      <c r="AC181" s="235"/>
    </row>
    <row r="182">
      <c r="A182" s="235"/>
      <c r="B182" s="250" t="str">
        <f>IFERROR(__xludf.DUMMYFUNCTION("""COMPUTED_VALUE"""),"chara_sum_00201")</f>
        <v>chara_sum_00201</v>
      </c>
      <c r="C182" s="252" t="str">
        <f>IFERROR(__xludf.DUMMYFUNCTION("""COMPUTED_VALUE"""),"_general")</f>
        <v>_general</v>
      </c>
      <c r="D182" s="252" t="str">
        <f>IFERROR(__xludf.DUMMYFUNCTION("""COMPUTED_VALUE"""),"c_sum_00201_general_Boss_Blue")</f>
        <v>c_sum_00201_general_Boss_Blue</v>
      </c>
      <c r="E182" s="252" t="str">
        <f>IFERROR(__xludf.DUMMYFUNCTION("""COMPUTED_VALUE"""),"サマータイムレンダ")</f>
        <v>サマータイムレンダ</v>
      </c>
      <c r="F182" s="252" t="str">
        <f>IFERROR(__xludf.DUMMYFUNCTION("""COMPUTED_VALUE"""),"小舟 澪")</f>
        <v>小舟 澪</v>
      </c>
      <c r="G182" s="252" t="str">
        <f>IFERROR(__xludf.DUMMYFUNCTION("""COMPUTED_VALUE"""),"小舟 澪_general")</f>
        <v>小舟 澪_general</v>
      </c>
      <c r="H182" s="250" t="str">
        <f>IFERROR(__xludf.DUMMYFUNCTION("""COMPUTED_VALUE"""),"Boss")</f>
        <v>Boss</v>
      </c>
      <c r="I182" s="250" t="str">
        <f>IFERROR(__xludf.DUMMYFUNCTION("""COMPUTED_VALUE"""),"Attack")</f>
        <v>Attack</v>
      </c>
      <c r="J182" s="250" t="str">
        <f>IFERROR(__xludf.DUMMYFUNCTION("""COMPUTED_VALUE"""),"Blue")</f>
        <v>Blue</v>
      </c>
      <c r="K182" s="250">
        <f>IFERROR(__xludf.DUMMYFUNCTION("""COMPUTED_VALUE"""),400000.0)</f>
        <v>400000</v>
      </c>
      <c r="L182" s="250">
        <f>IFERROR(__xludf.DUMMYFUNCTION("""COMPUTED_VALUE"""),2.0)</f>
        <v>2</v>
      </c>
      <c r="M182" s="250">
        <f>IFERROR(__xludf.DUMMYFUNCTION("""COMPUTED_VALUE"""),60.0)</f>
        <v>60</v>
      </c>
      <c r="N182" s="250">
        <f>IFERROR(__xludf.DUMMYFUNCTION("""COMPUTED_VALUE"""),0.11)</f>
        <v>0.11</v>
      </c>
      <c r="O182" s="250">
        <f>IFERROR(__xludf.DUMMYFUNCTION("""COMPUTED_VALUE"""),1400.0)</f>
        <v>1400</v>
      </c>
      <c r="P182" s="250">
        <f>IFERROR(__xludf.DUMMYFUNCTION("""COMPUTED_VALUE"""),0.0)</f>
        <v>0</v>
      </c>
      <c r="Q182" s="250">
        <f>IFERROR(__xludf.DUMMYFUNCTION("""COMPUTED_VALUE"""),0.3)</f>
        <v>0.3</v>
      </c>
      <c r="R182" s="250">
        <f>IFERROR(__xludf.DUMMYFUNCTION("""COMPUTED_VALUE"""),1.0)</f>
        <v>1</v>
      </c>
      <c r="S182" s="250">
        <f>IFERROR(__xludf.DUMMYFUNCTION("""COMPUTED_VALUE"""),10.0)</f>
        <v>10</v>
      </c>
      <c r="T182" s="253" t="str">
        <f>IFERROR(__xludf.DUMMYFUNCTION("""COMPUTED_VALUE"""),"2.37")</f>
        <v>2.37</v>
      </c>
      <c r="U182" s="250" t="str">
        <f>IFERROR(__xludf.DUMMYFUNCTION("""COMPUTED_VALUE"""),"stop有 :1回目 0.67")</f>
        <v>stop有 :1回目 0.67</v>
      </c>
      <c r="V182" s="250">
        <f>IFERROR(__xludf.DUMMYFUNCTION("""COMPUTED_VALUE"""),100.0)</f>
        <v>100</v>
      </c>
      <c r="W182" s="250" t="str">
        <f>IFERROR(__xludf.DUMMYFUNCTION("""COMPUTED_VALUE"""),"3.67")</f>
        <v>3.67</v>
      </c>
      <c r="X182" s="250" t="str">
        <f>IFERROR(__xludf.DUMMYFUNCTION("""COMPUTED_VALUE"""),"stop有 :1回目 1.70")</f>
        <v>stop有 :1回目 1.70</v>
      </c>
      <c r="Y182" s="250" t="str">
        <f>IFERROR(__xludf.DUMMYFUNCTION("""COMPUTED_VALUE"""),"範囲攻撃+大ノックバック")</f>
        <v>範囲攻撃+大ノックバック</v>
      </c>
      <c r="Z182" s="250">
        <f>IFERROR(__xludf.DUMMYFUNCTION("""COMPUTED_VALUE"""),4.0)</f>
        <v>4</v>
      </c>
      <c r="AA182" s="235"/>
      <c r="AB182" s="235" t="str">
        <f>IFERROR(__xludf.DUMMYFUNCTION("""COMPUTED_VALUE"""),"dageki_1")</f>
        <v>dageki_1</v>
      </c>
      <c r="AC182" s="235"/>
    </row>
    <row r="183">
      <c r="A183" s="235"/>
      <c r="B183" s="250" t="str">
        <f>IFERROR(__xludf.DUMMYFUNCTION("""COMPUTED_VALUE"""),"enemy_sum_00101")</f>
        <v>enemy_sum_00101</v>
      </c>
      <c r="C183" s="252" t="str">
        <f>IFERROR(__xludf.DUMMYFUNCTION("""COMPUTED_VALUE"""),"_general")</f>
        <v>_general</v>
      </c>
      <c r="D183" s="252" t="str">
        <f>IFERROR(__xludf.DUMMYFUNCTION("""COMPUTED_VALUE"""),"e_sum_00101_general_Boss_Yellow")</f>
        <v>e_sum_00101_general_Boss_Yellow</v>
      </c>
      <c r="E183" s="252" t="str">
        <f>IFERROR(__xludf.DUMMYFUNCTION("""COMPUTED_VALUE"""),"サマータイムレンダ")</f>
        <v>サマータイムレンダ</v>
      </c>
      <c r="F183" s="252" t="str">
        <f>IFERROR(__xludf.DUMMYFUNCTION("""COMPUTED_VALUE"""),"小舟 澪の影 (拳銃)")</f>
        <v>小舟 澪の影 (拳銃)</v>
      </c>
      <c r="G183" s="252" t="str">
        <f>IFERROR(__xludf.DUMMYFUNCTION("""COMPUTED_VALUE"""),"小舟 澪(影)_拳銃_general")</f>
        <v>小舟 澪(影)_拳銃_general</v>
      </c>
      <c r="H183" s="250" t="str">
        <f>IFERROR(__xludf.DUMMYFUNCTION("""COMPUTED_VALUE"""),"Boss")</f>
        <v>Boss</v>
      </c>
      <c r="I183" s="250" t="str">
        <f>IFERROR(__xludf.DUMMYFUNCTION("""COMPUTED_VALUE"""),"Attack")</f>
        <v>Attack</v>
      </c>
      <c r="J183" s="250" t="str">
        <f>IFERROR(__xludf.DUMMYFUNCTION("""COMPUTED_VALUE"""),"Yellow")</f>
        <v>Yellow</v>
      </c>
      <c r="K183" s="250">
        <f>IFERROR(__xludf.DUMMYFUNCTION("""COMPUTED_VALUE"""),200000.0)</f>
        <v>200000</v>
      </c>
      <c r="L183" s="250">
        <f>IFERROR(__xludf.DUMMYFUNCTION("""COMPUTED_VALUE"""),2.0)</f>
        <v>2</v>
      </c>
      <c r="M183" s="250">
        <f>IFERROR(__xludf.DUMMYFUNCTION("""COMPUTED_VALUE"""),45.0)</f>
        <v>45</v>
      </c>
      <c r="N183" s="250">
        <f>IFERROR(__xludf.DUMMYFUNCTION("""COMPUTED_VALUE"""),0.45)</f>
        <v>0.45</v>
      </c>
      <c r="O183" s="250">
        <f>IFERROR(__xludf.DUMMYFUNCTION("""COMPUTED_VALUE"""),500.0)</f>
        <v>500</v>
      </c>
      <c r="P183" s="250">
        <f>IFERROR(__xludf.DUMMYFUNCTION("""COMPUTED_VALUE"""),0.0)</f>
        <v>0</v>
      </c>
      <c r="Q183" s="250">
        <f>IFERROR(__xludf.DUMMYFUNCTION("""COMPUTED_VALUE"""),0.55)</f>
        <v>0.55</v>
      </c>
      <c r="R183" s="250">
        <f>IFERROR(__xludf.DUMMYFUNCTION("""COMPUTED_VALUE"""),100.0)</f>
        <v>100</v>
      </c>
      <c r="S183" s="250">
        <f>IFERROR(__xludf.DUMMYFUNCTION("""COMPUTED_VALUE"""),10.0)</f>
        <v>10</v>
      </c>
      <c r="T183" s="253" t="str">
        <f>IFERROR(__xludf.DUMMYFUNCTION("""COMPUTED_VALUE"""),"1.40")</f>
        <v>1.40</v>
      </c>
      <c r="U183" s="250" t="str">
        <f>IFERROR(__xludf.DUMMYFUNCTION("""COMPUTED_VALUE"""),"0.60")</f>
        <v>0.60</v>
      </c>
      <c r="V183" s="250">
        <f>IFERROR(__xludf.DUMMYFUNCTION("""COMPUTED_VALUE"""),150.0)</f>
        <v>150</v>
      </c>
      <c r="W183" s="250" t="str">
        <f>IFERROR(__xludf.DUMMYFUNCTION("""COMPUTED_VALUE"""),"-")</f>
        <v>-</v>
      </c>
      <c r="X183" s="250" t="str">
        <f>IFERROR(__xludf.DUMMYFUNCTION("""COMPUTED_VALUE"""),"-")</f>
        <v>-</v>
      </c>
      <c r="Y183" s="250"/>
      <c r="Z183" s="250" t="str">
        <f>IFERROR(__xludf.DUMMYFUNCTION("""COMPUTED_VALUE"""),"-")</f>
        <v>-</v>
      </c>
      <c r="AA183" s="235"/>
      <c r="AB183" s="235" t="str">
        <f>IFERROR(__xludf.DUMMYFUNCTION("""COMPUTED_VALUE"""),"shageki_1")</f>
        <v>shageki_1</v>
      </c>
      <c r="AC183" s="235"/>
    </row>
    <row r="184">
      <c r="A184" s="235"/>
      <c r="B184" s="250" t="str">
        <f>IFERROR(__xludf.DUMMYFUNCTION("""COMPUTED_VALUE"""),"enemy_sum_00201")</f>
        <v>enemy_sum_00201</v>
      </c>
      <c r="C184" s="252" t="str">
        <f>IFERROR(__xludf.DUMMYFUNCTION("""COMPUTED_VALUE"""),"_general")</f>
        <v>_general</v>
      </c>
      <c r="D184" s="252" t="str">
        <f>IFERROR(__xludf.DUMMYFUNCTION("""COMPUTED_VALUE"""),"e_sum_00201_general_Boss_Blue")</f>
        <v>e_sum_00201_general_Boss_Blue</v>
      </c>
      <c r="E184" s="252" t="str">
        <f>IFERROR(__xludf.DUMMYFUNCTION("""COMPUTED_VALUE"""),"サマータイムレンダ")</f>
        <v>サマータイムレンダ</v>
      </c>
      <c r="F184" s="252" t="str">
        <f>IFERROR(__xludf.DUMMYFUNCTION("""COMPUTED_VALUE"""),"小舟 澪の影 (包丁)")</f>
        <v>小舟 澪の影 (包丁)</v>
      </c>
      <c r="G184" s="252" t="str">
        <f>IFERROR(__xludf.DUMMYFUNCTION("""COMPUTED_VALUE"""),"小舟 澪(影)_包丁_general")</f>
        <v>小舟 澪(影)_包丁_general</v>
      </c>
      <c r="H184" s="250" t="str">
        <f>IFERROR(__xludf.DUMMYFUNCTION("""COMPUTED_VALUE"""),"Boss")</f>
        <v>Boss</v>
      </c>
      <c r="I184" s="250" t="str">
        <f>IFERROR(__xludf.DUMMYFUNCTION("""COMPUTED_VALUE"""),"Attack")</f>
        <v>Attack</v>
      </c>
      <c r="J184" s="250" t="str">
        <f>IFERROR(__xludf.DUMMYFUNCTION("""COMPUTED_VALUE"""),"Blue")</f>
        <v>Blue</v>
      </c>
      <c r="K184" s="250">
        <f>IFERROR(__xludf.DUMMYFUNCTION("""COMPUTED_VALUE"""),300000.0)</f>
        <v>300000</v>
      </c>
      <c r="L184" s="250">
        <f>IFERROR(__xludf.DUMMYFUNCTION("""COMPUTED_VALUE"""),2.0)</f>
        <v>2</v>
      </c>
      <c r="M184" s="250">
        <f>IFERROR(__xludf.DUMMYFUNCTION("""COMPUTED_VALUE"""),45.0)</f>
        <v>45</v>
      </c>
      <c r="N184" s="250">
        <f>IFERROR(__xludf.DUMMYFUNCTION("""COMPUTED_VALUE"""),0.11)</f>
        <v>0.11</v>
      </c>
      <c r="O184" s="250">
        <f>IFERROR(__xludf.DUMMYFUNCTION("""COMPUTED_VALUE"""),800.0)</f>
        <v>800</v>
      </c>
      <c r="P184" s="250">
        <f>IFERROR(__xludf.DUMMYFUNCTION("""COMPUTED_VALUE"""),0.0)</f>
        <v>0</v>
      </c>
      <c r="Q184" s="250">
        <f>IFERROR(__xludf.DUMMYFUNCTION("""COMPUTED_VALUE"""),0.3)</f>
        <v>0.3</v>
      </c>
      <c r="R184" s="250">
        <f>IFERROR(__xludf.DUMMYFUNCTION("""COMPUTED_VALUE"""),1.0)</f>
        <v>1</v>
      </c>
      <c r="S184" s="250">
        <f>IFERROR(__xludf.DUMMYFUNCTION("""COMPUTED_VALUE"""),10.0)</f>
        <v>10</v>
      </c>
      <c r="T184" s="253" t="str">
        <f>IFERROR(__xludf.DUMMYFUNCTION("""COMPUTED_VALUE"""),"1.40")</f>
        <v>1.40</v>
      </c>
      <c r="U184" s="250" t="str">
        <f>IFERROR(__xludf.DUMMYFUNCTION("""COMPUTED_VALUE"""),"0.66")</f>
        <v>0.66</v>
      </c>
      <c r="V184" s="250">
        <f>IFERROR(__xludf.DUMMYFUNCTION("""COMPUTED_VALUE"""),100.0)</f>
        <v>100</v>
      </c>
      <c r="W184" s="250" t="str">
        <f>IFERROR(__xludf.DUMMYFUNCTION("""COMPUTED_VALUE"""),"-")</f>
        <v>-</v>
      </c>
      <c r="X184" s="250" t="str">
        <f>IFERROR(__xludf.DUMMYFUNCTION("""COMPUTED_VALUE"""),"-")</f>
        <v>-</v>
      </c>
      <c r="Y184" s="250"/>
      <c r="Z184" s="250" t="str">
        <f>IFERROR(__xludf.DUMMYFUNCTION("""COMPUTED_VALUE"""),"-")</f>
        <v>-</v>
      </c>
      <c r="AA184" s="235"/>
      <c r="AB184" s="235" t="str">
        <f>IFERROR(__xludf.DUMMYFUNCTION("""COMPUTED_VALUE"""),"zangeki_1")</f>
        <v>zangeki_1</v>
      </c>
      <c r="AC184" s="235"/>
    </row>
    <row r="185">
      <c r="A185" s="235"/>
      <c r="B185" s="250" t="str">
        <f>IFERROR(__xludf.DUMMYFUNCTION("""COMPUTED_VALUE"""),"enemy_sum_00001")</f>
        <v>enemy_sum_00001</v>
      </c>
      <c r="C185" s="252" t="str">
        <f>IFERROR(__xludf.DUMMYFUNCTION("""COMPUTED_VALUE"""),"_general")</f>
        <v>_general</v>
      </c>
      <c r="D185" s="252" t="str">
        <f>IFERROR(__xludf.DUMMYFUNCTION("""COMPUTED_VALUE"""),"e_sum_00001_general_Normal_Colorless")</f>
        <v>e_sum_00001_general_Normal_Colorless</v>
      </c>
      <c r="E185" s="252" t="str">
        <f>IFERROR(__xludf.DUMMYFUNCTION("""COMPUTED_VALUE"""),"サマータイムレンダ")</f>
        <v>サマータイムレンダ</v>
      </c>
      <c r="F185" s="252" t="str">
        <f>IFERROR(__xludf.DUMMYFUNCTION("""COMPUTED_VALUE"""),"影")</f>
        <v>影</v>
      </c>
      <c r="G185" s="252" t="str">
        <f>IFERROR(__xludf.DUMMYFUNCTION("""COMPUTED_VALUE"""),"影_general")</f>
        <v>影_general</v>
      </c>
      <c r="H185" s="250" t="str">
        <f>IFERROR(__xludf.DUMMYFUNCTION("""COMPUTED_VALUE"""),"Normal")</f>
        <v>Normal</v>
      </c>
      <c r="I185" s="250" t="str">
        <f>IFERROR(__xludf.DUMMYFUNCTION("""COMPUTED_VALUE"""),"Defense")</f>
        <v>Defense</v>
      </c>
      <c r="J185" s="250" t="str">
        <f>IFERROR(__xludf.DUMMYFUNCTION("""COMPUTED_VALUE"""),"Colorless")</f>
        <v>Colorless</v>
      </c>
      <c r="K185" s="250">
        <f>IFERROR(__xludf.DUMMYFUNCTION("""COMPUTED_VALUE"""),15000.0)</f>
        <v>15000</v>
      </c>
      <c r="L185" s="250">
        <f>IFERROR(__xludf.DUMMYFUNCTION("""COMPUTED_VALUE"""),1.0)</f>
        <v>1</v>
      </c>
      <c r="M185" s="250">
        <f>IFERROR(__xludf.DUMMYFUNCTION("""COMPUTED_VALUE"""),40.0)</f>
        <v>40</v>
      </c>
      <c r="N185" s="250">
        <f>IFERROR(__xludf.DUMMYFUNCTION("""COMPUTED_VALUE"""),0.2)</f>
        <v>0.2</v>
      </c>
      <c r="O185" s="250">
        <f>IFERROR(__xludf.DUMMYFUNCTION("""COMPUTED_VALUE"""),200.0)</f>
        <v>200</v>
      </c>
      <c r="P185" s="250">
        <f>IFERROR(__xludf.DUMMYFUNCTION("""COMPUTED_VALUE"""),0.0)</f>
        <v>0</v>
      </c>
      <c r="Q185" s="250">
        <f>IFERROR(__xludf.DUMMYFUNCTION("""COMPUTED_VALUE"""),0.3)</f>
        <v>0.3</v>
      </c>
      <c r="R185" s="250">
        <f>IFERROR(__xludf.DUMMYFUNCTION("""COMPUTED_VALUE"""),1.0)</f>
        <v>1</v>
      </c>
      <c r="S185" s="250">
        <f>IFERROR(__xludf.DUMMYFUNCTION("""COMPUTED_VALUE"""),10.0)</f>
        <v>10</v>
      </c>
      <c r="T185" s="253" t="str">
        <f>IFERROR(__xludf.DUMMYFUNCTION("""COMPUTED_VALUE"""),"1.50")</f>
        <v>1.50</v>
      </c>
      <c r="U185" s="250" t="str">
        <f>IFERROR(__xludf.DUMMYFUNCTION("""COMPUTED_VALUE"""),"0.66")</f>
        <v>0.66</v>
      </c>
      <c r="V185" s="250">
        <f>IFERROR(__xludf.DUMMYFUNCTION("""COMPUTED_VALUE"""),100.0)</f>
        <v>100</v>
      </c>
      <c r="W185" s="250" t="str">
        <f>IFERROR(__xludf.DUMMYFUNCTION("""COMPUTED_VALUE"""),"-")</f>
        <v>-</v>
      </c>
      <c r="X185" s="250" t="str">
        <f>IFERROR(__xludf.DUMMYFUNCTION("""COMPUTED_VALUE"""),"-")</f>
        <v>-</v>
      </c>
      <c r="Y185" s="250"/>
      <c r="Z185" s="250" t="str">
        <f>IFERROR(__xludf.DUMMYFUNCTION("""COMPUTED_VALUE"""),"-")</f>
        <v>-</v>
      </c>
      <c r="AA185" s="235"/>
      <c r="AB185" s="235" t="str">
        <f>IFERROR(__xludf.DUMMYFUNCTION("""COMPUTED_VALUE"""),"dageki_1")</f>
        <v>dageki_1</v>
      </c>
      <c r="AC185" s="235"/>
    </row>
    <row r="186">
      <c r="A186" s="235"/>
      <c r="B186" s="250" t="str">
        <f>IFERROR(__xludf.DUMMYFUNCTION("""COMPUTED_VALUE"""),"enemy_sum_00001")</f>
        <v>enemy_sum_00001</v>
      </c>
      <c r="C186" s="252" t="str">
        <f>IFERROR(__xludf.DUMMYFUNCTION("""COMPUTED_VALUE"""),"_general")</f>
        <v>_general</v>
      </c>
      <c r="D186" s="252" t="str">
        <f>IFERROR(__xludf.DUMMYFUNCTION("""COMPUTED_VALUE"""),"e_sum_00001_general_Normal_Yellow")</f>
        <v>e_sum_00001_general_Normal_Yellow</v>
      </c>
      <c r="E186" s="252" t="str">
        <f>IFERROR(__xludf.DUMMYFUNCTION("""COMPUTED_VALUE"""),"サマータイムレンダ")</f>
        <v>サマータイムレンダ</v>
      </c>
      <c r="F186" s="252" t="str">
        <f>IFERROR(__xludf.DUMMYFUNCTION("""COMPUTED_VALUE"""),"影")</f>
        <v>影</v>
      </c>
      <c r="G186" s="252" t="str">
        <f>IFERROR(__xludf.DUMMYFUNCTION("""COMPUTED_VALUE"""),"影_general")</f>
        <v>影_general</v>
      </c>
      <c r="H186" s="250" t="str">
        <f>IFERROR(__xludf.DUMMYFUNCTION("""COMPUTED_VALUE"""),"Normal")</f>
        <v>Normal</v>
      </c>
      <c r="I186" s="250" t="str">
        <f>IFERROR(__xludf.DUMMYFUNCTION("""COMPUTED_VALUE"""),"Defense")</f>
        <v>Defense</v>
      </c>
      <c r="J186" s="250" t="str">
        <f>IFERROR(__xludf.DUMMYFUNCTION("""COMPUTED_VALUE"""),"Yellow")</f>
        <v>Yellow</v>
      </c>
      <c r="K186" s="250">
        <f>IFERROR(__xludf.DUMMYFUNCTION("""COMPUTED_VALUE"""),26000.0)</f>
        <v>26000</v>
      </c>
      <c r="L186" s="250">
        <f>IFERROR(__xludf.DUMMYFUNCTION("""COMPUTED_VALUE"""),1.0)</f>
        <v>1</v>
      </c>
      <c r="M186" s="250">
        <f>IFERROR(__xludf.DUMMYFUNCTION("""COMPUTED_VALUE"""),40.0)</f>
        <v>40</v>
      </c>
      <c r="N186" s="250">
        <f>IFERROR(__xludf.DUMMYFUNCTION("""COMPUTED_VALUE"""),0.2)</f>
        <v>0.2</v>
      </c>
      <c r="O186" s="250">
        <f>IFERROR(__xludf.DUMMYFUNCTION("""COMPUTED_VALUE"""),300.0)</f>
        <v>300</v>
      </c>
      <c r="P186" s="250">
        <f>IFERROR(__xludf.DUMMYFUNCTION("""COMPUTED_VALUE"""),0.0)</f>
        <v>0</v>
      </c>
      <c r="Q186" s="250">
        <f>IFERROR(__xludf.DUMMYFUNCTION("""COMPUTED_VALUE"""),0.3)</f>
        <v>0.3</v>
      </c>
      <c r="R186" s="250">
        <f>IFERROR(__xludf.DUMMYFUNCTION("""COMPUTED_VALUE"""),1.0)</f>
        <v>1</v>
      </c>
      <c r="S186" s="250">
        <f>IFERROR(__xludf.DUMMYFUNCTION("""COMPUTED_VALUE"""),10.0)</f>
        <v>10</v>
      </c>
      <c r="T186" s="253" t="str">
        <f>IFERROR(__xludf.DUMMYFUNCTION("""COMPUTED_VALUE"""),"1.50")</f>
        <v>1.50</v>
      </c>
      <c r="U186" s="250" t="str">
        <f>IFERROR(__xludf.DUMMYFUNCTION("""COMPUTED_VALUE"""),"0.66")</f>
        <v>0.66</v>
      </c>
      <c r="V186" s="250">
        <f>IFERROR(__xludf.DUMMYFUNCTION("""COMPUTED_VALUE"""),100.0)</f>
        <v>100</v>
      </c>
      <c r="W186" s="250" t="str">
        <f>IFERROR(__xludf.DUMMYFUNCTION("""COMPUTED_VALUE"""),"-")</f>
        <v>-</v>
      </c>
      <c r="X186" s="250" t="str">
        <f>IFERROR(__xludf.DUMMYFUNCTION("""COMPUTED_VALUE"""),"-")</f>
        <v>-</v>
      </c>
      <c r="Y186" s="250"/>
      <c r="Z186" s="250" t="str">
        <f>IFERROR(__xludf.DUMMYFUNCTION("""COMPUTED_VALUE"""),"-")</f>
        <v>-</v>
      </c>
      <c r="AA186" s="235"/>
      <c r="AB186" s="235" t="str">
        <f>IFERROR(__xludf.DUMMYFUNCTION("""COMPUTED_VALUE"""),"dageki_1")</f>
        <v>dageki_1</v>
      </c>
      <c r="AC186" s="235"/>
    </row>
    <row r="187">
      <c r="A187" s="235"/>
      <c r="B187" s="250" t="str">
        <f>IFERROR(__xludf.DUMMYFUNCTION("""COMPUTED_VALUE"""),"enemy_sum_00001")</f>
        <v>enemy_sum_00001</v>
      </c>
      <c r="C187" s="252" t="str">
        <f>IFERROR(__xludf.DUMMYFUNCTION("""COMPUTED_VALUE"""),"_general")</f>
        <v>_general</v>
      </c>
      <c r="D187" s="252" t="str">
        <f>IFERROR(__xludf.DUMMYFUNCTION("""COMPUTED_VALUE"""),"e_sum_00001_general_Normal_Blue")</f>
        <v>e_sum_00001_general_Normal_Blue</v>
      </c>
      <c r="E187" s="252" t="str">
        <f>IFERROR(__xludf.DUMMYFUNCTION("""COMPUTED_VALUE"""),"サマータイムレンダ")</f>
        <v>サマータイムレンダ</v>
      </c>
      <c r="F187" s="252" t="str">
        <f>IFERROR(__xludf.DUMMYFUNCTION("""COMPUTED_VALUE"""),"影")</f>
        <v>影</v>
      </c>
      <c r="G187" s="252" t="str">
        <f>IFERROR(__xludf.DUMMYFUNCTION("""COMPUTED_VALUE"""),"影_general")</f>
        <v>影_general</v>
      </c>
      <c r="H187" s="250" t="str">
        <f>IFERROR(__xludf.DUMMYFUNCTION("""COMPUTED_VALUE"""),"Normal")</f>
        <v>Normal</v>
      </c>
      <c r="I187" s="250" t="str">
        <f>IFERROR(__xludf.DUMMYFUNCTION("""COMPUTED_VALUE"""),"Defense")</f>
        <v>Defense</v>
      </c>
      <c r="J187" s="250" t="str">
        <f>IFERROR(__xludf.DUMMYFUNCTION("""COMPUTED_VALUE"""),"Blue")</f>
        <v>Blue</v>
      </c>
      <c r="K187" s="250">
        <f>IFERROR(__xludf.DUMMYFUNCTION("""COMPUTED_VALUE"""),18000.0)</f>
        <v>18000</v>
      </c>
      <c r="L187" s="250">
        <f>IFERROR(__xludf.DUMMYFUNCTION("""COMPUTED_VALUE"""),1.0)</f>
        <v>1</v>
      </c>
      <c r="M187" s="250">
        <f>IFERROR(__xludf.DUMMYFUNCTION("""COMPUTED_VALUE"""),40.0)</f>
        <v>40</v>
      </c>
      <c r="N187" s="250">
        <f>IFERROR(__xludf.DUMMYFUNCTION("""COMPUTED_VALUE"""),0.2)</f>
        <v>0.2</v>
      </c>
      <c r="O187" s="250">
        <f>IFERROR(__xludf.DUMMYFUNCTION("""COMPUTED_VALUE"""),400.0)</f>
        <v>400</v>
      </c>
      <c r="P187" s="250">
        <f>IFERROR(__xludf.DUMMYFUNCTION("""COMPUTED_VALUE"""),0.0)</f>
        <v>0</v>
      </c>
      <c r="Q187" s="250">
        <f>IFERROR(__xludf.DUMMYFUNCTION("""COMPUTED_VALUE"""),0.3)</f>
        <v>0.3</v>
      </c>
      <c r="R187" s="250">
        <f>IFERROR(__xludf.DUMMYFUNCTION("""COMPUTED_VALUE"""),1.0)</f>
        <v>1</v>
      </c>
      <c r="S187" s="250">
        <f>IFERROR(__xludf.DUMMYFUNCTION("""COMPUTED_VALUE"""),10.0)</f>
        <v>10</v>
      </c>
      <c r="T187" s="253" t="str">
        <f>IFERROR(__xludf.DUMMYFUNCTION("""COMPUTED_VALUE"""),"1.50")</f>
        <v>1.50</v>
      </c>
      <c r="U187" s="250" t="str">
        <f>IFERROR(__xludf.DUMMYFUNCTION("""COMPUTED_VALUE"""),"0.66")</f>
        <v>0.66</v>
      </c>
      <c r="V187" s="250">
        <f>IFERROR(__xludf.DUMMYFUNCTION("""COMPUTED_VALUE"""),100.0)</f>
        <v>100</v>
      </c>
      <c r="W187" s="250" t="str">
        <f>IFERROR(__xludf.DUMMYFUNCTION("""COMPUTED_VALUE"""),"-")</f>
        <v>-</v>
      </c>
      <c r="X187" s="250" t="str">
        <f>IFERROR(__xludf.DUMMYFUNCTION("""COMPUTED_VALUE"""),"-")</f>
        <v>-</v>
      </c>
      <c r="Y187" s="250"/>
      <c r="Z187" s="250" t="str">
        <f>IFERROR(__xludf.DUMMYFUNCTION("""COMPUTED_VALUE"""),"-")</f>
        <v>-</v>
      </c>
      <c r="AA187" s="235"/>
      <c r="AB187" s="235" t="str">
        <f>IFERROR(__xludf.DUMMYFUNCTION("""COMPUTED_VALUE"""),"dageki_1")</f>
        <v>dageki_1</v>
      </c>
      <c r="AC187" s="235"/>
    </row>
    <row r="188">
      <c r="A188" s="235"/>
      <c r="B188" s="250" t="str">
        <f>IFERROR(__xludf.DUMMYFUNCTION("""COMPUTED_VALUE"""),"enemy_sum_00001")</f>
        <v>enemy_sum_00001</v>
      </c>
      <c r="C188" s="252" t="str">
        <f>IFERROR(__xludf.DUMMYFUNCTION("""COMPUTED_VALUE"""),"_general")</f>
        <v>_general</v>
      </c>
      <c r="D188" s="252" t="str">
        <f>IFERROR(__xludf.DUMMYFUNCTION("""COMPUTED_VALUE"""),"e_sum_00001_general_Normal_Red")</f>
        <v>e_sum_00001_general_Normal_Red</v>
      </c>
      <c r="E188" s="252" t="str">
        <f>IFERROR(__xludf.DUMMYFUNCTION("""COMPUTED_VALUE"""),"サマータイムレンダ")</f>
        <v>サマータイムレンダ</v>
      </c>
      <c r="F188" s="252" t="str">
        <f>IFERROR(__xludf.DUMMYFUNCTION("""COMPUTED_VALUE"""),"影")</f>
        <v>影</v>
      </c>
      <c r="G188" s="252" t="str">
        <f>IFERROR(__xludf.DUMMYFUNCTION("""COMPUTED_VALUE"""),"影_general")</f>
        <v>影_general</v>
      </c>
      <c r="H188" s="250" t="str">
        <f>IFERROR(__xludf.DUMMYFUNCTION("""COMPUTED_VALUE"""),"Normal")</f>
        <v>Normal</v>
      </c>
      <c r="I188" s="250" t="str">
        <f>IFERROR(__xludf.DUMMYFUNCTION("""COMPUTED_VALUE"""),"Defense")</f>
        <v>Defense</v>
      </c>
      <c r="J188" s="250" t="str">
        <f>IFERROR(__xludf.DUMMYFUNCTION("""COMPUTED_VALUE"""),"Red")</f>
        <v>Red</v>
      </c>
      <c r="K188" s="250">
        <f>IFERROR(__xludf.DUMMYFUNCTION("""COMPUTED_VALUE"""),80000.0)</f>
        <v>80000</v>
      </c>
      <c r="L188" s="250">
        <f>IFERROR(__xludf.DUMMYFUNCTION("""COMPUTED_VALUE"""),1.0)</f>
        <v>1</v>
      </c>
      <c r="M188" s="250">
        <f>IFERROR(__xludf.DUMMYFUNCTION("""COMPUTED_VALUE"""),40.0)</f>
        <v>40</v>
      </c>
      <c r="N188" s="250">
        <f>IFERROR(__xludf.DUMMYFUNCTION("""COMPUTED_VALUE"""),0.3)</f>
        <v>0.3</v>
      </c>
      <c r="O188" s="250">
        <f>IFERROR(__xludf.DUMMYFUNCTION("""COMPUTED_VALUE"""),500.0)</f>
        <v>500</v>
      </c>
      <c r="P188" s="250">
        <f>IFERROR(__xludf.DUMMYFUNCTION("""COMPUTED_VALUE"""),0.0)</f>
        <v>0</v>
      </c>
      <c r="Q188" s="250">
        <f>IFERROR(__xludf.DUMMYFUNCTION("""COMPUTED_VALUE"""),0.3)</f>
        <v>0.3</v>
      </c>
      <c r="R188" s="250">
        <f>IFERROR(__xludf.DUMMYFUNCTION("""COMPUTED_VALUE"""),1.0)</f>
        <v>1</v>
      </c>
      <c r="S188" s="250">
        <f>IFERROR(__xludf.DUMMYFUNCTION("""COMPUTED_VALUE"""),10.0)</f>
        <v>10</v>
      </c>
      <c r="T188" s="253" t="str">
        <f>IFERROR(__xludf.DUMMYFUNCTION("""COMPUTED_VALUE"""),"1.50")</f>
        <v>1.50</v>
      </c>
      <c r="U188" s="250" t="str">
        <f>IFERROR(__xludf.DUMMYFUNCTION("""COMPUTED_VALUE"""),"0.66")</f>
        <v>0.66</v>
      </c>
      <c r="V188" s="250">
        <f>IFERROR(__xludf.DUMMYFUNCTION("""COMPUTED_VALUE"""),100.0)</f>
        <v>100</v>
      </c>
      <c r="W188" s="250" t="str">
        <f>IFERROR(__xludf.DUMMYFUNCTION("""COMPUTED_VALUE"""),"-")</f>
        <v>-</v>
      </c>
      <c r="X188" s="250" t="str">
        <f>IFERROR(__xludf.DUMMYFUNCTION("""COMPUTED_VALUE"""),"-")</f>
        <v>-</v>
      </c>
      <c r="Y188" s="250"/>
      <c r="Z188" s="250" t="str">
        <f>IFERROR(__xludf.DUMMYFUNCTION("""COMPUTED_VALUE"""),"-")</f>
        <v>-</v>
      </c>
      <c r="AA188" s="235"/>
      <c r="AB188" s="235" t="str">
        <f>IFERROR(__xludf.DUMMYFUNCTION("""COMPUTED_VALUE"""),"dageki_1")</f>
        <v>dageki_1</v>
      </c>
      <c r="AC188" s="235"/>
    </row>
    <row r="189">
      <c r="A189" s="235"/>
      <c r="B189" s="250" t="str">
        <f>IFERROR(__xludf.DUMMYFUNCTION("""COMPUTED_VALUE"""),"enemy_sum_00001")</f>
        <v>enemy_sum_00001</v>
      </c>
      <c r="C189" s="252" t="str">
        <f>IFERROR(__xludf.DUMMYFUNCTION("""COMPUTED_VALUE"""),"_general")</f>
        <v>_general</v>
      </c>
      <c r="D189" s="252" t="str">
        <f>IFERROR(__xludf.DUMMYFUNCTION("""COMPUTED_VALUE"""),"e_sum_00001_general_Boss_Red")</f>
        <v>e_sum_00001_general_Boss_Red</v>
      </c>
      <c r="E189" s="252" t="str">
        <f>IFERROR(__xludf.DUMMYFUNCTION("""COMPUTED_VALUE"""),"サマータイムレンダ")</f>
        <v>サマータイムレンダ</v>
      </c>
      <c r="F189" s="252" t="str">
        <f>IFERROR(__xludf.DUMMYFUNCTION("""COMPUTED_VALUE"""),"影")</f>
        <v>影</v>
      </c>
      <c r="G189" s="252" t="str">
        <f>IFERROR(__xludf.DUMMYFUNCTION("""COMPUTED_VALUE"""),"影_general")</f>
        <v>影_general</v>
      </c>
      <c r="H189" s="250" t="str">
        <f>IFERROR(__xludf.DUMMYFUNCTION("""COMPUTED_VALUE"""),"Boss")</f>
        <v>Boss</v>
      </c>
      <c r="I189" s="250" t="str">
        <f>IFERROR(__xludf.DUMMYFUNCTION("""COMPUTED_VALUE"""),"Defense")</f>
        <v>Defense</v>
      </c>
      <c r="J189" s="250" t="str">
        <f>IFERROR(__xludf.DUMMYFUNCTION("""COMPUTED_VALUE"""),"Red")</f>
        <v>Red</v>
      </c>
      <c r="K189" s="250">
        <f>IFERROR(__xludf.DUMMYFUNCTION("""COMPUTED_VALUE"""),350000.0)</f>
        <v>350000</v>
      </c>
      <c r="L189" s="250">
        <f>IFERROR(__xludf.DUMMYFUNCTION("""COMPUTED_VALUE"""),1.0)</f>
        <v>1</v>
      </c>
      <c r="M189" s="250">
        <f>IFERROR(__xludf.DUMMYFUNCTION("""COMPUTED_VALUE"""),40.0)</f>
        <v>40</v>
      </c>
      <c r="N189" s="250">
        <f>IFERROR(__xludf.DUMMYFUNCTION("""COMPUTED_VALUE"""),0.2)</f>
        <v>0.2</v>
      </c>
      <c r="O189" s="250">
        <f>IFERROR(__xludf.DUMMYFUNCTION("""COMPUTED_VALUE"""),600.0)</f>
        <v>600</v>
      </c>
      <c r="P189" s="250">
        <f>IFERROR(__xludf.DUMMYFUNCTION("""COMPUTED_VALUE"""),0.0)</f>
        <v>0</v>
      </c>
      <c r="Q189" s="250">
        <f>IFERROR(__xludf.DUMMYFUNCTION("""COMPUTED_VALUE"""),0.3)</f>
        <v>0.3</v>
      </c>
      <c r="R189" s="250">
        <f>IFERROR(__xludf.DUMMYFUNCTION("""COMPUTED_VALUE"""),1.0)</f>
        <v>1</v>
      </c>
      <c r="S189" s="250">
        <f>IFERROR(__xludf.DUMMYFUNCTION("""COMPUTED_VALUE"""),10.0)</f>
        <v>10</v>
      </c>
      <c r="T189" s="253" t="str">
        <f>IFERROR(__xludf.DUMMYFUNCTION("""COMPUTED_VALUE"""),"1.50")</f>
        <v>1.50</v>
      </c>
      <c r="U189" s="250" t="str">
        <f>IFERROR(__xludf.DUMMYFUNCTION("""COMPUTED_VALUE"""),"0.66")</f>
        <v>0.66</v>
      </c>
      <c r="V189" s="250">
        <f>IFERROR(__xludf.DUMMYFUNCTION("""COMPUTED_VALUE"""),50.0)</f>
        <v>50</v>
      </c>
      <c r="W189" s="250" t="str">
        <f>IFERROR(__xludf.DUMMYFUNCTION("""COMPUTED_VALUE"""),"-")</f>
        <v>-</v>
      </c>
      <c r="X189" s="250" t="str">
        <f>IFERROR(__xludf.DUMMYFUNCTION("""COMPUTED_VALUE"""),"-")</f>
        <v>-</v>
      </c>
      <c r="Y189" s="250"/>
      <c r="Z189" s="250" t="str">
        <f>IFERROR(__xludf.DUMMYFUNCTION("""COMPUTED_VALUE"""),"-")</f>
        <v>-</v>
      </c>
      <c r="AA189" s="235"/>
      <c r="AB189" s="235" t="str">
        <f>IFERROR(__xludf.DUMMYFUNCTION("""COMPUTED_VALUE"""),"dageki_1")</f>
        <v>dageki_1</v>
      </c>
      <c r="AC189" s="235"/>
    </row>
    <row r="190">
      <c r="A190" s="235"/>
      <c r="B190" s="250" t="str">
        <f>IFERROR(__xludf.DUMMYFUNCTION("""COMPUTED_VALUE"""),"chara_sum_00001")</f>
        <v>chara_sum_00001</v>
      </c>
      <c r="C190" s="252" t="str">
        <f>IFERROR(__xludf.DUMMYFUNCTION("""COMPUTED_VALUE"""),"_general")</f>
        <v>_general</v>
      </c>
      <c r="D190" s="252" t="str">
        <f>IFERROR(__xludf.DUMMYFUNCTION("""COMPUTED_VALUE"""),"c_sum_00001_general_Normal_Red")</f>
        <v>c_sum_00001_general_Normal_Red</v>
      </c>
      <c r="E190" s="252" t="str">
        <f>IFERROR(__xludf.DUMMYFUNCTION("""COMPUTED_VALUE"""),"サマータイムレンダ")</f>
        <v>サマータイムレンダ</v>
      </c>
      <c r="F190" s="252" t="str">
        <f>IFERROR(__xludf.DUMMYFUNCTION("""COMPUTED_VALUE"""),"網代 慎平")</f>
        <v>網代 慎平</v>
      </c>
      <c r="G190" s="252" t="str">
        <f>IFERROR(__xludf.DUMMYFUNCTION("""COMPUTED_VALUE"""),"網代 慎平_general")</f>
        <v>網代 慎平_general</v>
      </c>
      <c r="H190" s="250" t="str">
        <f>IFERROR(__xludf.DUMMYFUNCTION("""COMPUTED_VALUE"""),"Normal")</f>
        <v>Normal</v>
      </c>
      <c r="I190" s="250" t="str">
        <f>IFERROR(__xludf.DUMMYFUNCTION("""COMPUTED_VALUE"""),"Technical")</f>
        <v>Technical</v>
      </c>
      <c r="J190" s="250" t="str">
        <f>IFERROR(__xludf.DUMMYFUNCTION("""COMPUTED_VALUE"""),"Red")</f>
        <v>Red</v>
      </c>
      <c r="K190" s="250">
        <f>IFERROR(__xludf.DUMMYFUNCTION("""COMPUTED_VALUE"""),245000.0)</f>
        <v>245000</v>
      </c>
      <c r="L190" s="250">
        <f>IFERROR(__xludf.DUMMYFUNCTION("""COMPUTED_VALUE"""),2.0)</f>
        <v>2</v>
      </c>
      <c r="M190" s="250">
        <f>IFERROR(__xludf.DUMMYFUNCTION("""COMPUTED_VALUE"""),45.0)</f>
        <v>45</v>
      </c>
      <c r="N190" s="250">
        <f>IFERROR(__xludf.DUMMYFUNCTION("""COMPUTED_VALUE"""),0.11)</f>
        <v>0.11</v>
      </c>
      <c r="O190" s="250">
        <f>IFERROR(__xludf.DUMMYFUNCTION("""COMPUTED_VALUE"""),500.0)</f>
        <v>500</v>
      </c>
      <c r="P190" s="250">
        <f>IFERROR(__xludf.DUMMYFUNCTION("""COMPUTED_VALUE"""),0.0)</f>
        <v>0</v>
      </c>
      <c r="Q190" s="250">
        <f>IFERROR(__xludf.DUMMYFUNCTION("""COMPUTED_VALUE"""),0.3)</f>
        <v>0.3</v>
      </c>
      <c r="R190" s="250">
        <f>IFERROR(__xludf.DUMMYFUNCTION("""COMPUTED_VALUE"""),1.0)</f>
        <v>1</v>
      </c>
      <c r="S190" s="250">
        <f>IFERROR(__xludf.DUMMYFUNCTION("""COMPUTED_VALUE"""),10.0)</f>
        <v>10</v>
      </c>
      <c r="T190" s="253" t="str">
        <f>IFERROR(__xludf.DUMMYFUNCTION("""COMPUTED_VALUE"""),"1.40")</f>
        <v>1.40</v>
      </c>
      <c r="U190" s="250" t="str">
        <f>IFERROR(__xludf.DUMMYFUNCTION("""COMPUTED_VALUE"""),"stop無:1回目 0.65")</f>
        <v>stop無:1回目 0.65</v>
      </c>
      <c r="V190" s="250">
        <f>IFERROR(__xludf.DUMMYFUNCTION("""COMPUTED_VALUE"""),100.0)</f>
        <v>100</v>
      </c>
      <c r="W190" s="250" t="str">
        <f>IFERROR(__xludf.DUMMYFUNCTION("""COMPUTED_VALUE"""),"2.33")</f>
        <v>2.33</v>
      </c>
      <c r="X190" s="250" t="str">
        <f>IFERROR(__xludf.DUMMYFUNCTION("""COMPUTED_VALUE"""),"stop無:1回目 0.75
stop無:2回目 0.93
stop無:3回目 1.15")</f>
        <v>stop無:1回目 0.75
stop無:2回目 0.93
stop無:3回目 1.15</v>
      </c>
      <c r="Y190" s="250" t="str">
        <f>IFERROR(__xludf.DUMMYFUNCTION("""COMPUTED_VALUE"""),"連続単体攻撃+20秒間20%攻撃DOWN")</f>
        <v>連続単体攻撃+20秒間20%攻撃DOWN</v>
      </c>
      <c r="Z190" s="250">
        <f>IFERROR(__xludf.DUMMYFUNCTION("""COMPUTED_VALUE"""),5.0)</f>
        <v>5</v>
      </c>
      <c r="AA190" s="235"/>
      <c r="AB190" s="235" t="str">
        <f>IFERROR(__xludf.DUMMYFUNCTION("""COMPUTED_VALUE"""),"shageki_1")</f>
        <v>shageki_1</v>
      </c>
      <c r="AC190" s="235"/>
    </row>
    <row r="191">
      <c r="A191" s="235"/>
      <c r="B191" s="250" t="str">
        <f>IFERROR(__xludf.DUMMYFUNCTION("""COMPUTED_VALUE"""),"chara_sum_00101")</f>
        <v>chara_sum_00101</v>
      </c>
      <c r="C191" s="252" t="str">
        <f>IFERROR(__xludf.DUMMYFUNCTION("""COMPUTED_VALUE"""),"_general")</f>
        <v>_general</v>
      </c>
      <c r="D191" s="252" t="str">
        <f>IFERROR(__xludf.DUMMYFUNCTION("""COMPUTED_VALUE"""),"c_sum_00101_general_Boss_Red")</f>
        <v>c_sum_00101_general_Boss_Red</v>
      </c>
      <c r="E191" s="252" t="str">
        <f>IFERROR(__xludf.DUMMYFUNCTION("""COMPUTED_VALUE"""),"サマータイムレンダ")</f>
        <v>サマータイムレンダ</v>
      </c>
      <c r="F191" s="252" t="str">
        <f>IFERROR(__xludf.DUMMYFUNCTION("""COMPUTED_VALUE"""),"影のウシオ 小舟 潮")</f>
        <v>影のウシオ 小舟 潮</v>
      </c>
      <c r="G191" s="252" t="str">
        <f>IFERROR(__xludf.DUMMYFUNCTION("""COMPUTED_VALUE"""),"影のウシオ 小舟 潮_general")</f>
        <v>影のウシオ 小舟 潮_general</v>
      </c>
      <c r="H191" s="250" t="str">
        <f>IFERROR(__xludf.DUMMYFUNCTION("""COMPUTED_VALUE"""),"Boss")</f>
        <v>Boss</v>
      </c>
      <c r="I191" s="250" t="str">
        <f>IFERROR(__xludf.DUMMYFUNCTION("""COMPUTED_VALUE"""),"Support")</f>
        <v>Support</v>
      </c>
      <c r="J191" s="250" t="str">
        <f>IFERROR(__xludf.DUMMYFUNCTION("""COMPUTED_VALUE"""),"Red")</f>
        <v>Red</v>
      </c>
      <c r="K191" s="250">
        <f>IFERROR(__xludf.DUMMYFUNCTION("""COMPUTED_VALUE"""),190000.0)</f>
        <v>190000</v>
      </c>
      <c r="L191" s="250">
        <f>IFERROR(__xludf.DUMMYFUNCTION("""COMPUTED_VALUE"""),2.0)</f>
        <v>2</v>
      </c>
      <c r="M191" s="250">
        <f>IFERROR(__xludf.DUMMYFUNCTION("""COMPUTED_VALUE"""),40.0)</f>
        <v>40</v>
      </c>
      <c r="N191" s="250">
        <f>IFERROR(__xludf.DUMMYFUNCTION("""COMPUTED_VALUE"""),0.3)</f>
        <v>0.3</v>
      </c>
      <c r="O191" s="250">
        <f>IFERROR(__xludf.DUMMYFUNCTION("""COMPUTED_VALUE"""),600.0)</f>
        <v>600</v>
      </c>
      <c r="P191" s="250">
        <f>IFERROR(__xludf.DUMMYFUNCTION("""COMPUTED_VALUE"""),0.0)</f>
        <v>0</v>
      </c>
      <c r="Q191" s="250">
        <f>IFERROR(__xludf.DUMMYFUNCTION("""COMPUTED_VALUE"""),0.4)</f>
        <v>0.4</v>
      </c>
      <c r="R191" s="250">
        <f>IFERROR(__xludf.DUMMYFUNCTION("""COMPUTED_VALUE"""),1.0)</f>
        <v>1</v>
      </c>
      <c r="S191" s="250">
        <f>IFERROR(__xludf.DUMMYFUNCTION("""COMPUTED_VALUE"""),10.0)</f>
        <v>10</v>
      </c>
      <c r="T191" s="253" t="str">
        <f>IFERROR(__xludf.DUMMYFUNCTION("""COMPUTED_VALUE"""),"1.13")</f>
        <v>1.13</v>
      </c>
      <c r="U191" s="250" t="str">
        <f>IFERROR(__xludf.DUMMYFUNCTION("""COMPUTED_VALUE"""),"0.50")</f>
        <v>0.50</v>
      </c>
      <c r="V191" s="250">
        <f>IFERROR(__xludf.DUMMYFUNCTION("""COMPUTED_VALUE"""),100.0)</f>
        <v>100</v>
      </c>
      <c r="W191" s="250" t="str">
        <f>IFERROR(__xludf.DUMMYFUNCTION("""COMPUTED_VALUE"""),"2.20")</f>
        <v>2.20</v>
      </c>
      <c r="X191" s="250" t="str">
        <f>IFERROR(__xludf.DUMMYFUNCTION("""COMPUTED_VALUE"""),"1.00")</f>
        <v>1.00</v>
      </c>
      <c r="Y191" s="250" t="str">
        <f>IFERROR(__xludf.DUMMYFUNCTION("""COMPUTED_VALUE"""),"場面全体の敵のHPを20%回復+10秒間150%攻撃UP")</f>
        <v>場面全体の敵のHPを20%回復+10秒間150%攻撃UP</v>
      </c>
      <c r="Z191" s="250">
        <f>IFERROR(__xludf.DUMMYFUNCTION("""COMPUTED_VALUE"""),7.0)</f>
        <v>7</v>
      </c>
      <c r="AA191" s="235"/>
      <c r="AB191" s="235" t="str">
        <f>IFERROR(__xludf.DUMMYFUNCTION("""COMPUTED_VALUE"""),"zangeki_1")</f>
        <v>zangeki_1</v>
      </c>
      <c r="AC191" s="235"/>
    </row>
    <row r="192">
      <c r="A192" s="235"/>
      <c r="B192" s="250" t="str">
        <f>IFERROR(__xludf.DUMMYFUNCTION("""COMPUTED_VALUE"""),"chara_sum_00201")</f>
        <v>chara_sum_00201</v>
      </c>
      <c r="C192" s="252" t="str">
        <f>IFERROR(__xludf.DUMMYFUNCTION("""COMPUTED_VALUE"""),"_general2")</f>
        <v>_general2</v>
      </c>
      <c r="D192" s="252" t="str">
        <f>IFERROR(__xludf.DUMMYFUNCTION("""COMPUTED_VALUE"""),"c_sum_00201_general2_Normal_Colorless")</f>
        <v>c_sum_00201_general2_Normal_Colorless</v>
      </c>
      <c r="E192" s="252" t="str">
        <f>IFERROR(__xludf.DUMMYFUNCTION("""COMPUTED_VALUE"""),"サマータイムレンダ")</f>
        <v>サマータイムレンダ</v>
      </c>
      <c r="F192" s="252" t="str">
        <f>IFERROR(__xludf.DUMMYFUNCTION("""COMPUTED_VALUE"""),"小舟 澪")</f>
        <v>小舟 澪</v>
      </c>
      <c r="G192" s="252" t="str">
        <f>IFERROR(__xludf.DUMMYFUNCTION("""COMPUTED_VALUE"""),"小舟 澪_general2")</f>
        <v>小舟 澪_general2</v>
      </c>
      <c r="H192" s="250" t="str">
        <f>IFERROR(__xludf.DUMMYFUNCTION("""COMPUTED_VALUE"""),"Normal")</f>
        <v>Normal</v>
      </c>
      <c r="I192" s="250" t="str">
        <f>IFERROR(__xludf.DUMMYFUNCTION("""COMPUTED_VALUE"""),"Attack")</f>
        <v>Attack</v>
      </c>
      <c r="J192" s="250" t="str">
        <f>IFERROR(__xludf.DUMMYFUNCTION("""COMPUTED_VALUE"""),"Colorless")</f>
        <v>Colorless</v>
      </c>
      <c r="K192" s="250">
        <f>IFERROR(__xludf.DUMMYFUNCTION("""COMPUTED_VALUE"""),70000.0)</f>
        <v>70000</v>
      </c>
      <c r="L192" s="250">
        <f>IFERROR(__xludf.DUMMYFUNCTION("""COMPUTED_VALUE"""),3.0)</f>
        <v>3</v>
      </c>
      <c r="M192" s="250">
        <f>IFERROR(__xludf.DUMMYFUNCTION("""COMPUTED_VALUE"""),50.0)</f>
        <v>50</v>
      </c>
      <c r="N192" s="250">
        <f>IFERROR(__xludf.DUMMYFUNCTION("""COMPUTED_VALUE"""),0.11)</f>
        <v>0.11</v>
      </c>
      <c r="O192" s="250">
        <f>IFERROR(__xludf.DUMMYFUNCTION("""COMPUTED_VALUE"""),500.0)</f>
        <v>500</v>
      </c>
      <c r="P192" s="250">
        <f>IFERROR(__xludf.DUMMYFUNCTION("""COMPUTED_VALUE"""),0.0)</f>
        <v>0</v>
      </c>
      <c r="Q192" s="250">
        <f>IFERROR(__xludf.DUMMYFUNCTION("""COMPUTED_VALUE"""),0.3)</f>
        <v>0.3</v>
      </c>
      <c r="R192" s="250">
        <f>IFERROR(__xludf.DUMMYFUNCTION("""COMPUTED_VALUE"""),1.0)</f>
        <v>1</v>
      </c>
      <c r="S192" s="250">
        <f>IFERROR(__xludf.DUMMYFUNCTION("""COMPUTED_VALUE"""),10.0)</f>
        <v>10</v>
      </c>
      <c r="T192" s="253" t="str">
        <f>IFERROR(__xludf.DUMMYFUNCTION("""COMPUTED_VALUE"""),"2.37")</f>
        <v>2.37</v>
      </c>
      <c r="U192" s="250" t="str">
        <f>IFERROR(__xludf.DUMMYFUNCTION("""COMPUTED_VALUE"""),"stop有 :1回目 0.67")</f>
        <v>stop有 :1回目 0.67</v>
      </c>
      <c r="V192" s="250">
        <f>IFERROR(__xludf.DUMMYFUNCTION("""COMPUTED_VALUE"""),100.0)</f>
        <v>100</v>
      </c>
      <c r="W192" s="250" t="str">
        <f>IFERROR(__xludf.DUMMYFUNCTION("""COMPUTED_VALUE"""),"3.67")</f>
        <v>3.67</v>
      </c>
      <c r="X192" s="250" t="str">
        <f>IFERROR(__xludf.DUMMYFUNCTION("""COMPUTED_VALUE"""),"stop有 :1回目 1.70")</f>
        <v>stop有 :1回目 1.70</v>
      </c>
      <c r="Y192" s="250" t="str">
        <f>IFERROR(__xludf.DUMMYFUNCTION("""COMPUTED_VALUE"""),"範囲攻撃+小ノックバック")</f>
        <v>範囲攻撃+小ノックバック</v>
      </c>
      <c r="Z192" s="250">
        <f>IFERROR(__xludf.DUMMYFUNCTION("""COMPUTED_VALUE"""),7.0)</f>
        <v>7</v>
      </c>
      <c r="AA192" s="235"/>
      <c r="AB192" s="235" t="str">
        <f>IFERROR(__xludf.DUMMYFUNCTION("""COMPUTED_VALUE"""),"dageki_1")</f>
        <v>dageki_1</v>
      </c>
      <c r="AC192" s="235"/>
    </row>
    <row r="193">
      <c r="A193" s="235"/>
      <c r="B193" s="250" t="str">
        <f>IFERROR(__xludf.DUMMYFUNCTION("""COMPUTED_VALUE"""),"chara_sum_00201")</f>
        <v>chara_sum_00201</v>
      </c>
      <c r="C193" s="252" t="str">
        <f>IFERROR(__xludf.DUMMYFUNCTION("""COMPUTED_VALUE"""),"_general2")</f>
        <v>_general2</v>
      </c>
      <c r="D193" s="252" t="str">
        <f>IFERROR(__xludf.DUMMYFUNCTION("""COMPUTED_VALUE"""),"c_sum_00201_general2_Normal_Red")</f>
        <v>c_sum_00201_general2_Normal_Red</v>
      </c>
      <c r="E193" s="252" t="str">
        <f>IFERROR(__xludf.DUMMYFUNCTION("""COMPUTED_VALUE"""),"サマータイムレンダ")</f>
        <v>サマータイムレンダ</v>
      </c>
      <c r="F193" s="252" t="str">
        <f>IFERROR(__xludf.DUMMYFUNCTION("""COMPUTED_VALUE"""),"小舟 澪")</f>
        <v>小舟 澪</v>
      </c>
      <c r="G193" s="252" t="str">
        <f>IFERROR(__xludf.DUMMYFUNCTION("""COMPUTED_VALUE"""),"小舟 澪_general2")</f>
        <v>小舟 澪_general2</v>
      </c>
      <c r="H193" s="250" t="str">
        <f>IFERROR(__xludf.DUMMYFUNCTION("""COMPUTED_VALUE"""),"Normal")</f>
        <v>Normal</v>
      </c>
      <c r="I193" s="250" t="str">
        <f>IFERROR(__xludf.DUMMYFUNCTION("""COMPUTED_VALUE"""),"Attack")</f>
        <v>Attack</v>
      </c>
      <c r="J193" s="250" t="str">
        <f>IFERROR(__xludf.DUMMYFUNCTION("""COMPUTED_VALUE"""),"Red")</f>
        <v>Red</v>
      </c>
      <c r="K193" s="250">
        <f>IFERROR(__xludf.DUMMYFUNCTION("""COMPUTED_VALUE"""),140000.0)</f>
        <v>140000</v>
      </c>
      <c r="L193" s="250">
        <f>IFERROR(__xludf.DUMMYFUNCTION("""COMPUTED_VALUE"""),3.0)</f>
        <v>3</v>
      </c>
      <c r="M193" s="250">
        <f>IFERROR(__xludf.DUMMYFUNCTION("""COMPUTED_VALUE"""),50.0)</f>
        <v>50</v>
      </c>
      <c r="N193" s="250">
        <f>IFERROR(__xludf.DUMMYFUNCTION("""COMPUTED_VALUE"""),0.11)</f>
        <v>0.11</v>
      </c>
      <c r="O193" s="250">
        <f>IFERROR(__xludf.DUMMYFUNCTION("""COMPUTED_VALUE"""),700.0)</f>
        <v>700</v>
      </c>
      <c r="P193" s="250">
        <f>IFERROR(__xludf.DUMMYFUNCTION("""COMPUTED_VALUE"""),0.0)</f>
        <v>0</v>
      </c>
      <c r="Q193" s="250">
        <f>IFERROR(__xludf.DUMMYFUNCTION("""COMPUTED_VALUE"""),0.3)</f>
        <v>0.3</v>
      </c>
      <c r="R193" s="250">
        <f>IFERROR(__xludf.DUMMYFUNCTION("""COMPUTED_VALUE"""),1.0)</f>
        <v>1</v>
      </c>
      <c r="S193" s="250">
        <f>IFERROR(__xludf.DUMMYFUNCTION("""COMPUTED_VALUE"""),10.0)</f>
        <v>10</v>
      </c>
      <c r="T193" s="253" t="str">
        <f>IFERROR(__xludf.DUMMYFUNCTION("""COMPUTED_VALUE"""),"2.37")</f>
        <v>2.37</v>
      </c>
      <c r="U193" s="250" t="str">
        <f>IFERROR(__xludf.DUMMYFUNCTION("""COMPUTED_VALUE"""),"stop有 :1回目 0.67")</f>
        <v>stop有 :1回目 0.67</v>
      </c>
      <c r="V193" s="250">
        <f>IFERROR(__xludf.DUMMYFUNCTION("""COMPUTED_VALUE"""),100.0)</f>
        <v>100</v>
      </c>
      <c r="W193" s="250" t="str">
        <f>IFERROR(__xludf.DUMMYFUNCTION("""COMPUTED_VALUE"""),"3.67")</f>
        <v>3.67</v>
      </c>
      <c r="X193" s="250" t="str">
        <f>IFERROR(__xludf.DUMMYFUNCTION("""COMPUTED_VALUE"""),"stop有 :1回目 1.70")</f>
        <v>stop有 :1回目 1.70</v>
      </c>
      <c r="Y193" s="250" t="str">
        <f>IFERROR(__xludf.DUMMYFUNCTION("""COMPUTED_VALUE"""),"範囲攻撃+中ノックバック")</f>
        <v>範囲攻撃+中ノックバック</v>
      </c>
      <c r="Z193" s="250">
        <f>IFERROR(__xludf.DUMMYFUNCTION("""COMPUTED_VALUE"""),5.0)</f>
        <v>5</v>
      </c>
      <c r="AA193" s="235"/>
      <c r="AB193" s="235" t="str">
        <f>IFERROR(__xludf.DUMMYFUNCTION("""COMPUTED_VALUE"""),"dageki_1")</f>
        <v>dageki_1</v>
      </c>
      <c r="AC193" s="235"/>
    </row>
    <row r="194">
      <c r="A194" s="235"/>
      <c r="B194" s="250"/>
      <c r="C194" s="252"/>
      <c r="D194" s="252" t="str">
        <f>IFERROR(__xludf.DUMMYFUNCTION("""COMPUTED_VALUE"""),"___")</f>
        <v>___</v>
      </c>
      <c r="E194" s="252" t="str">
        <f>IFERROR(__xludf.DUMMYFUNCTION("""COMPUTED_VALUE"""),"none")</f>
        <v>none</v>
      </c>
      <c r="F194" s="252" t="str">
        <f>IFERROR(__xludf.DUMMYFUNCTION("""COMPUTED_VALUE"""),"none")</f>
        <v>none</v>
      </c>
      <c r="G194" s="252" t="str">
        <f>IFERROR(__xludf.DUMMYFUNCTION("""COMPUTED_VALUE"""),"none")</f>
        <v>none</v>
      </c>
      <c r="H194" s="250"/>
      <c r="I194" s="250" t="str">
        <f>IFERROR(__xludf.DUMMYFUNCTION("""COMPUTED_VALUE"""),"none")</f>
        <v>none</v>
      </c>
      <c r="J194" s="250"/>
      <c r="K194" s="250"/>
      <c r="L194" s="250"/>
      <c r="M194" s="250"/>
      <c r="N194" s="250"/>
      <c r="O194" s="250"/>
      <c r="P194" s="250"/>
      <c r="Q194" s="250"/>
      <c r="R194" s="250"/>
      <c r="S194" s="250"/>
      <c r="T194" s="253" t="str">
        <f>IFERROR(__xludf.DUMMYFUNCTION("""COMPUTED_VALUE"""),"none")</f>
        <v>none</v>
      </c>
      <c r="U194" s="250" t="str">
        <f>IFERROR(__xludf.DUMMYFUNCTION("""COMPUTED_VALUE"""),"none")</f>
        <v>none</v>
      </c>
      <c r="V194" s="250"/>
      <c r="W194" s="250" t="str">
        <f>IFERROR(__xludf.DUMMYFUNCTION("""COMPUTED_VALUE"""),"none")</f>
        <v>none</v>
      </c>
      <c r="X194" s="250" t="str">
        <f>IFERROR(__xludf.DUMMYFUNCTION("""COMPUTED_VALUE"""),"none")</f>
        <v>none</v>
      </c>
      <c r="Y194" s="250"/>
      <c r="Z194" s="250"/>
      <c r="AA194" s="235"/>
      <c r="AB194" s="235" t="str">
        <f>IFERROR(__xludf.DUMMYFUNCTION("""COMPUTED_VALUE"""),"none")</f>
        <v>none</v>
      </c>
      <c r="AC194" s="235"/>
    </row>
    <row r="195">
      <c r="A195" s="235"/>
      <c r="B195" s="250" t="str">
        <f>IFERROR(__xludf.DUMMYFUNCTION("""COMPUTED_VALUE"""),"enemy_glo_00001")</f>
        <v>enemy_glo_00001</v>
      </c>
      <c r="C195" s="252" t="str">
        <f>IFERROR(__xludf.DUMMYFUNCTION("""COMPUTED_VALUE"""),"_general_sum_vh")</f>
        <v>_general_sum_vh</v>
      </c>
      <c r="D195" s="252" t="str">
        <f>IFERROR(__xludf.DUMMYFUNCTION("""COMPUTED_VALUE"""),"e_glo_00001_general_sum_vh_Normal_Red")</f>
        <v>e_glo_00001_general_sum_vh_Normal_Red</v>
      </c>
      <c r="E195" s="252" t="str">
        <f>IFERROR(__xludf.DUMMYFUNCTION("""COMPUTED_VALUE"""),"GLOW")</f>
        <v>GLOW</v>
      </c>
      <c r="F195" s="252" t="str">
        <f>IFERROR(__xludf.DUMMYFUNCTION("""COMPUTED_VALUE"""),"ファントム")</f>
        <v>ファントム</v>
      </c>
      <c r="G195" s="252" t="str">
        <f>IFERROR(__xludf.DUMMYFUNCTION("""COMPUTED_VALUE"""),"ファントム_general_sum_vh")</f>
        <v>ファントム_general_sum_vh</v>
      </c>
      <c r="H195" s="250" t="str">
        <f>IFERROR(__xludf.DUMMYFUNCTION("""COMPUTED_VALUE"""),"Normal")</f>
        <v>Normal</v>
      </c>
      <c r="I195" s="250" t="str">
        <f>IFERROR(__xludf.DUMMYFUNCTION("""COMPUTED_VALUE"""),"Attack")</f>
        <v>Attack</v>
      </c>
      <c r="J195" s="250" t="str">
        <f>IFERROR(__xludf.DUMMYFUNCTION("""COMPUTED_VALUE"""),"Red")</f>
        <v>Red</v>
      </c>
      <c r="K195" s="250">
        <f>IFERROR(__xludf.DUMMYFUNCTION("""COMPUTED_VALUE"""),16000.0)</f>
        <v>16000</v>
      </c>
      <c r="L195" s="250">
        <f>IFERROR(__xludf.DUMMYFUNCTION("""COMPUTED_VALUE"""),2.0)</f>
        <v>2</v>
      </c>
      <c r="M195" s="250">
        <f>IFERROR(__xludf.DUMMYFUNCTION("""COMPUTED_VALUE"""),65.0)</f>
        <v>65</v>
      </c>
      <c r="N195" s="250">
        <f>IFERROR(__xludf.DUMMYFUNCTION("""COMPUTED_VALUE"""),0.11)</f>
        <v>0.11</v>
      </c>
      <c r="O195" s="250">
        <f>IFERROR(__xludf.DUMMYFUNCTION("""COMPUTED_VALUE"""),1500.0)</f>
        <v>1500</v>
      </c>
      <c r="P195" s="250">
        <f>IFERROR(__xludf.DUMMYFUNCTION("""COMPUTED_VALUE"""),0.0)</f>
        <v>0</v>
      </c>
      <c r="Q195" s="250">
        <f>IFERROR(__xludf.DUMMYFUNCTION("""COMPUTED_VALUE"""),0.2)</f>
        <v>0.2</v>
      </c>
      <c r="R195" s="250">
        <f>IFERROR(__xludf.DUMMYFUNCTION("""COMPUTED_VALUE"""),1.0)</f>
        <v>1</v>
      </c>
      <c r="S195" s="250">
        <f>IFERROR(__xludf.DUMMYFUNCTION("""COMPUTED_VALUE"""),1.0)</f>
        <v>1</v>
      </c>
      <c r="T195" s="253" t="str">
        <f>IFERROR(__xludf.DUMMYFUNCTION("""COMPUTED_VALUE"""),"1.00")</f>
        <v>1.00</v>
      </c>
      <c r="U195" s="250" t="str">
        <f>IFERROR(__xludf.DUMMYFUNCTION("""COMPUTED_VALUE"""),"0.50")</f>
        <v>0.50</v>
      </c>
      <c r="V195" s="250"/>
      <c r="W195" s="250"/>
      <c r="X195" s="250"/>
      <c r="Y195" s="250"/>
      <c r="Z195" s="250"/>
      <c r="AA195" s="235"/>
      <c r="AB195" s="235" t="str">
        <f>IFERROR(__xludf.DUMMYFUNCTION("""COMPUTED_VALUE"""),"dageki_1")</f>
        <v>dageki_1</v>
      </c>
      <c r="AC195" s="235"/>
    </row>
    <row r="196">
      <c r="A196" s="235"/>
      <c r="B196" s="250" t="str">
        <f>IFERROR(__xludf.DUMMYFUNCTION("""COMPUTED_VALUE"""),"enemy_glo_00001")</f>
        <v>enemy_glo_00001</v>
      </c>
      <c r="C196" s="252" t="str">
        <f>IFERROR(__xludf.DUMMYFUNCTION("""COMPUTED_VALUE"""),"_general_sum_vh")</f>
        <v>_general_sum_vh</v>
      </c>
      <c r="D196" s="252" t="str">
        <f>IFERROR(__xludf.DUMMYFUNCTION("""COMPUTED_VALUE"""),"e_glo_00001_general_sum_vh_Normal_Blue")</f>
        <v>e_glo_00001_general_sum_vh_Normal_Blue</v>
      </c>
      <c r="E196" s="252" t="str">
        <f>IFERROR(__xludf.DUMMYFUNCTION("""COMPUTED_VALUE"""),"GLOW")</f>
        <v>GLOW</v>
      </c>
      <c r="F196" s="252" t="str">
        <f>IFERROR(__xludf.DUMMYFUNCTION("""COMPUTED_VALUE"""),"ファントム")</f>
        <v>ファントム</v>
      </c>
      <c r="G196" s="252" t="str">
        <f>IFERROR(__xludf.DUMMYFUNCTION("""COMPUTED_VALUE"""),"ファントム_general_sum_vh")</f>
        <v>ファントム_general_sum_vh</v>
      </c>
      <c r="H196" s="250" t="str">
        <f>IFERROR(__xludf.DUMMYFUNCTION("""COMPUTED_VALUE"""),"Normal")</f>
        <v>Normal</v>
      </c>
      <c r="I196" s="250" t="str">
        <f>IFERROR(__xludf.DUMMYFUNCTION("""COMPUTED_VALUE"""),"Attack")</f>
        <v>Attack</v>
      </c>
      <c r="J196" s="250" t="str">
        <f>IFERROR(__xludf.DUMMYFUNCTION("""COMPUTED_VALUE"""),"Blue")</f>
        <v>Blue</v>
      </c>
      <c r="K196" s="250">
        <f>IFERROR(__xludf.DUMMYFUNCTION("""COMPUTED_VALUE"""),13000.0)</f>
        <v>13000</v>
      </c>
      <c r="L196" s="250">
        <f>IFERROR(__xludf.DUMMYFUNCTION("""COMPUTED_VALUE"""),2.0)</f>
        <v>2</v>
      </c>
      <c r="M196" s="250">
        <f>IFERROR(__xludf.DUMMYFUNCTION("""COMPUTED_VALUE"""),65.0)</f>
        <v>65</v>
      </c>
      <c r="N196" s="250">
        <f>IFERROR(__xludf.DUMMYFUNCTION("""COMPUTED_VALUE"""),0.11)</f>
        <v>0.11</v>
      </c>
      <c r="O196" s="250">
        <f>IFERROR(__xludf.DUMMYFUNCTION("""COMPUTED_VALUE"""),1600.0)</f>
        <v>1600</v>
      </c>
      <c r="P196" s="250">
        <f>IFERROR(__xludf.DUMMYFUNCTION("""COMPUTED_VALUE"""),0.0)</f>
        <v>0</v>
      </c>
      <c r="Q196" s="250">
        <f>IFERROR(__xludf.DUMMYFUNCTION("""COMPUTED_VALUE"""),0.2)</f>
        <v>0.2</v>
      </c>
      <c r="R196" s="250">
        <f>IFERROR(__xludf.DUMMYFUNCTION("""COMPUTED_VALUE"""),1.0)</f>
        <v>1</v>
      </c>
      <c r="S196" s="250">
        <f>IFERROR(__xludf.DUMMYFUNCTION("""COMPUTED_VALUE"""),1.0)</f>
        <v>1</v>
      </c>
      <c r="T196" s="253" t="str">
        <f>IFERROR(__xludf.DUMMYFUNCTION("""COMPUTED_VALUE"""),"1.00")</f>
        <v>1.00</v>
      </c>
      <c r="U196" s="250" t="str">
        <f>IFERROR(__xludf.DUMMYFUNCTION("""COMPUTED_VALUE"""),"0.50")</f>
        <v>0.50</v>
      </c>
      <c r="V196" s="250"/>
      <c r="W196" s="250"/>
      <c r="X196" s="250"/>
      <c r="Y196" s="250"/>
      <c r="Z196" s="250"/>
      <c r="AA196" s="235"/>
      <c r="AB196" s="235" t="str">
        <f>IFERROR(__xludf.DUMMYFUNCTION("""COMPUTED_VALUE"""),"dageki_1")</f>
        <v>dageki_1</v>
      </c>
      <c r="AC196" s="235"/>
    </row>
    <row r="197">
      <c r="A197" s="235"/>
      <c r="B197" s="250" t="str">
        <f>IFERROR(__xludf.DUMMYFUNCTION("""COMPUTED_VALUE"""),"enemy_glo_00001")</f>
        <v>enemy_glo_00001</v>
      </c>
      <c r="C197" s="252" t="str">
        <f>IFERROR(__xludf.DUMMYFUNCTION("""COMPUTED_VALUE"""),"_general_sum_vh")</f>
        <v>_general_sum_vh</v>
      </c>
      <c r="D197" s="252" t="str">
        <f>IFERROR(__xludf.DUMMYFUNCTION("""COMPUTED_VALUE"""),"e_glo_00001_general_sum_vh_Normal_Green")</f>
        <v>e_glo_00001_general_sum_vh_Normal_Green</v>
      </c>
      <c r="E197" s="252" t="str">
        <f>IFERROR(__xludf.DUMMYFUNCTION("""COMPUTED_VALUE"""),"GLOW")</f>
        <v>GLOW</v>
      </c>
      <c r="F197" s="252" t="str">
        <f>IFERROR(__xludf.DUMMYFUNCTION("""COMPUTED_VALUE"""),"ファントム")</f>
        <v>ファントム</v>
      </c>
      <c r="G197" s="252" t="str">
        <f>IFERROR(__xludf.DUMMYFUNCTION("""COMPUTED_VALUE"""),"ファントム_general_sum_vh")</f>
        <v>ファントム_general_sum_vh</v>
      </c>
      <c r="H197" s="250" t="str">
        <f>IFERROR(__xludf.DUMMYFUNCTION("""COMPUTED_VALUE"""),"Normal")</f>
        <v>Normal</v>
      </c>
      <c r="I197" s="250" t="str">
        <f>IFERROR(__xludf.DUMMYFUNCTION("""COMPUTED_VALUE"""),"Attack")</f>
        <v>Attack</v>
      </c>
      <c r="J197" s="250" t="str">
        <f>IFERROR(__xludf.DUMMYFUNCTION("""COMPUTED_VALUE"""),"Green")</f>
        <v>Green</v>
      </c>
      <c r="K197" s="250">
        <f>IFERROR(__xludf.DUMMYFUNCTION("""COMPUTED_VALUE"""),5000.0)</f>
        <v>5000</v>
      </c>
      <c r="L197" s="250">
        <f>IFERROR(__xludf.DUMMYFUNCTION("""COMPUTED_VALUE"""),1.0)</f>
        <v>1</v>
      </c>
      <c r="M197" s="250">
        <f>IFERROR(__xludf.DUMMYFUNCTION("""COMPUTED_VALUE"""),35.0)</f>
        <v>35</v>
      </c>
      <c r="N197" s="250">
        <f>IFERROR(__xludf.DUMMYFUNCTION("""COMPUTED_VALUE"""),0.11)</f>
        <v>0.11</v>
      </c>
      <c r="O197" s="250">
        <f>IFERROR(__xludf.DUMMYFUNCTION("""COMPUTED_VALUE"""),800.0)</f>
        <v>800</v>
      </c>
      <c r="P197" s="250">
        <f>IFERROR(__xludf.DUMMYFUNCTION("""COMPUTED_VALUE"""),0.0)</f>
        <v>0</v>
      </c>
      <c r="Q197" s="250">
        <f>IFERROR(__xludf.DUMMYFUNCTION("""COMPUTED_VALUE"""),0.2)</f>
        <v>0.2</v>
      </c>
      <c r="R197" s="250">
        <f>IFERROR(__xludf.DUMMYFUNCTION("""COMPUTED_VALUE"""),1.0)</f>
        <v>1</v>
      </c>
      <c r="S197" s="250">
        <f>IFERROR(__xludf.DUMMYFUNCTION("""COMPUTED_VALUE"""),1.0)</f>
        <v>1</v>
      </c>
      <c r="T197" s="253" t="str">
        <f>IFERROR(__xludf.DUMMYFUNCTION("""COMPUTED_VALUE"""),"1.00")</f>
        <v>1.00</v>
      </c>
      <c r="U197" s="250" t="str">
        <f>IFERROR(__xludf.DUMMYFUNCTION("""COMPUTED_VALUE"""),"0.50")</f>
        <v>0.50</v>
      </c>
      <c r="V197" s="250"/>
      <c r="W197" s="250"/>
      <c r="X197" s="250"/>
      <c r="Y197" s="250"/>
      <c r="Z197" s="250"/>
      <c r="AA197" s="235"/>
      <c r="AB197" s="235" t="str">
        <f>IFERROR(__xludf.DUMMYFUNCTION("""COMPUTED_VALUE"""),"dageki_1")</f>
        <v>dageki_1</v>
      </c>
      <c r="AC197" s="235"/>
    </row>
    <row r="198">
      <c r="A198" s="235"/>
      <c r="B198" s="250" t="str">
        <f>IFERROR(__xludf.DUMMYFUNCTION("""COMPUTED_VALUE"""),"enemy_glo_00001")</f>
        <v>enemy_glo_00001</v>
      </c>
      <c r="C198" s="252" t="str">
        <f>IFERROR(__xludf.DUMMYFUNCTION("""COMPUTED_VALUE"""),"_general_sum_vh")</f>
        <v>_general_sum_vh</v>
      </c>
      <c r="D198" s="252" t="str">
        <f>IFERROR(__xludf.DUMMYFUNCTION("""COMPUTED_VALUE"""),"e_glo_00001_general_sum_vh_Normal_Yellow")</f>
        <v>e_glo_00001_general_sum_vh_Normal_Yellow</v>
      </c>
      <c r="E198" s="252" t="str">
        <f>IFERROR(__xludf.DUMMYFUNCTION("""COMPUTED_VALUE"""),"GLOW")</f>
        <v>GLOW</v>
      </c>
      <c r="F198" s="252" t="str">
        <f>IFERROR(__xludf.DUMMYFUNCTION("""COMPUTED_VALUE"""),"ファントム")</f>
        <v>ファントム</v>
      </c>
      <c r="G198" s="252" t="str">
        <f>IFERROR(__xludf.DUMMYFUNCTION("""COMPUTED_VALUE"""),"ファントム_general_sum_vh")</f>
        <v>ファントム_general_sum_vh</v>
      </c>
      <c r="H198" s="250" t="str">
        <f>IFERROR(__xludf.DUMMYFUNCTION("""COMPUTED_VALUE"""),"Normal")</f>
        <v>Normal</v>
      </c>
      <c r="I198" s="250" t="str">
        <f>IFERROR(__xludf.DUMMYFUNCTION("""COMPUTED_VALUE"""),"Attack")</f>
        <v>Attack</v>
      </c>
      <c r="J198" s="250" t="str">
        <f>IFERROR(__xludf.DUMMYFUNCTION("""COMPUTED_VALUE"""),"Yellow")</f>
        <v>Yellow</v>
      </c>
      <c r="K198" s="250">
        <f>IFERROR(__xludf.DUMMYFUNCTION("""COMPUTED_VALUE"""),20000.0)</f>
        <v>20000</v>
      </c>
      <c r="L198" s="250">
        <f>IFERROR(__xludf.DUMMYFUNCTION("""COMPUTED_VALUE"""),2.0)</f>
        <v>2</v>
      </c>
      <c r="M198" s="250">
        <f>IFERROR(__xludf.DUMMYFUNCTION("""COMPUTED_VALUE"""),65.0)</f>
        <v>65</v>
      </c>
      <c r="N198" s="250">
        <f>IFERROR(__xludf.DUMMYFUNCTION("""COMPUTED_VALUE"""),0.11)</f>
        <v>0.11</v>
      </c>
      <c r="O198" s="250">
        <f>IFERROR(__xludf.DUMMYFUNCTION("""COMPUTED_VALUE"""),1300.0)</f>
        <v>1300</v>
      </c>
      <c r="P198" s="250">
        <f>IFERROR(__xludf.DUMMYFUNCTION("""COMPUTED_VALUE"""),0.0)</f>
        <v>0</v>
      </c>
      <c r="Q198" s="250">
        <f>IFERROR(__xludf.DUMMYFUNCTION("""COMPUTED_VALUE"""),0.2)</f>
        <v>0.2</v>
      </c>
      <c r="R198" s="250">
        <f>IFERROR(__xludf.DUMMYFUNCTION("""COMPUTED_VALUE"""),1.0)</f>
        <v>1</v>
      </c>
      <c r="S198" s="250">
        <f>IFERROR(__xludf.DUMMYFUNCTION("""COMPUTED_VALUE"""),1.0)</f>
        <v>1</v>
      </c>
      <c r="T198" s="253" t="str">
        <f>IFERROR(__xludf.DUMMYFUNCTION("""COMPUTED_VALUE"""),"1.00")</f>
        <v>1.00</v>
      </c>
      <c r="U198" s="250" t="str">
        <f>IFERROR(__xludf.DUMMYFUNCTION("""COMPUTED_VALUE"""),"0.50")</f>
        <v>0.50</v>
      </c>
      <c r="V198" s="250"/>
      <c r="W198" s="250"/>
      <c r="X198" s="250"/>
      <c r="Y198" s="250"/>
      <c r="Z198" s="250"/>
      <c r="AA198" s="235"/>
      <c r="AB198" s="235" t="str">
        <f>IFERROR(__xludf.DUMMYFUNCTION("""COMPUTED_VALUE"""),"dageki_1")</f>
        <v>dageki_1</v>
      </c>
      <c r="AC198" s="235"/>
    </row>
    <row r="199">
      <c r="A199" s="235"/>
      <c r="B199" s="250" t="str">
        <f>IFERROR(__xludf.DUMMYFUNCTION("""COMPUTED_VALUE"""),"enemy_glo_00001")</f>
        <v>enemy_glo_00001</v>
      </c>
      <c r="C199" s="252" t="str">
        <f>IFERROR(__xludf.DUMMYFUNCTION("""COMPUTED_VALUE"""),"_general_sum_vh_big")</f>
        <v>_general_sum_vh_big</v>
      </c>
      <c r="D199" s="252" t="str">
        <f>IFERROR(__xludf.DUMMYFUNCTION("""COMPUTED_VALUE"""),"e_glo_00001_general_sum_vh_big_Normal_Red")</f>
        <v>e_glo_00001_general_sum_vh_big_Normal_Red</v>
      </c>
      <c r="E199" s="252" t="str">
        <f>IFERROR(__xludf.DUMMYFUNCTION("""COMPUTED_VALUE"""),"GLOW")</f>
        <v>GLOW</v>
      </c>
      <c r="F199" s="252" t="str">
        <f>IFERROR(__xludf.DUMMYFUNCTION("""COMPUTED_VALUE"""),"ファントム")</f>
        <v>ファントム</v>
      </c>
      <c r="G199" s="252" t="str">
        <f>IFERROR(__xludf.DUMMYFUNCTION("""COMPUTED_VALUE"""),"ファントム_general_sum_vh_big")</f>
        <v>ファントム_general_sum_vh_big</v>
      </c>
      <c r="H199" s="250" t="str">
        <f>IFERROR(__xludf.DUMMYFUNCTION("""COMPUTED_VALUE"""),"Normal")</f>
        <v>Normal</v>
      </c>
      <c r="I199" s="250" t="str">
        <f>IFERROR(__xludf.DUMMYFUNCTION("""COMPUTED_VALUE"""),"Attack")</f>
        <v>Attack</v>
      </c>
      <c r="J199" s="250" t="str">
        <f>IFERROR(__xludf.DUMMYFUNCTION("""COMPUTED_VALUE"""),"Red")</f>
        <v>Red</v>
      </c>
      <c r="K199" s="250">
        <f>IFERROR(__xludf.DUMMYFUNCTION("""COMPUTED_VALUE"""),120000.0)</f>
        <v>120000</v>
      </c>
      <c r="L199" s="250">
        <f>IFERROR(__xludf.DUMMYFUNCTION("""COMPUTED_VALUE"""),2.0)</f>
        <v>2</v>
      </c>
      <c r="M199" s="250">
        <f>IFERROR(__xludf.DUMMYFUNCTION("""COMPUTED_VALUE"""),40.0)</f>
        <v>40</v>
      </c>
      <c r="N199" s="250">
        <f>IFERROR(__xludf.DUMMYFUNCTION("""COMPUTED_VALUE"""),0.19)</f>
        <v>0.19</v>
      </c>
      <c r="O199" s="250">
        <f>IFERROR(__xludf.DUMMYFUNCTION("""COMPUTED_VALUE"""),1500.0)</f>
        <v>1500</v>
      </c>
      <c r="P199" s="250">
        <f>IFERROR(__xludf.DUMMYFUNCTION("""COMPUTED_VALUE"""),0.0)</f>
        <v>0</v>
      </c>
      <c r="Q199" s="250">
        <f>IFERROR(__xludf.DUMMYFUNCTION("""COMPUTED_VALUE"""),0.2)</f>
        <v>0.2</v>
      </c>
      <c r="R199" s="250">
        <f>IFERROR(__xludf.DUMMYFUNCTION("""COMPUTED_VALUE"""),1.0)</f>
        <v>1</v>
      </c>
      <c r="S199" s="250">
        <f>IFERROR(__xludf.DUMMYFUNCTION("""COMPUTED_VALUE"""),1.0)</f>
        <v>1</v>
      </c>
      <c r="T199" s="253" t="str">
        <f>IFERROR(__xludf.DUMMYFUNCTION("""COMPUTED_VALUE"""),"1.00")</f>
        <v>1.00</v>
      </c>
      <c r="U199" s="250" t="str">
        <f>IFERROR(__xludf.DUMMYFUNCTION("""COMPUTED_VALUE"""),"0.50")</f>
        <v>0.50</v>
      </c>
      <c r="V199" s="250"/>
      <c r="W199" s="250"/>
      <c r="X199" s="250"/>
      <c r="Y199" s="250"/>
      <c r="Z199" s="250"/>
      <c r="AA199" s="235"/>
      <c r="AB199" s="235" t="str">
        <f>IFERROR(__xludf.DUMMYFUNCTION("""COMPUTED_VALUE"""),"dageki_1")</f>
        <v>dageki_1</v>
      </c>
      <c r="AC199" s="235"/>
    </row>
    <row r="200">
      <c r="A200" s="235"/>
      <c r="B200" s="250" t="str">
        <f>IFERROR(__xludf.DUMMYFUNCTION("""COMPUTED_VALUE"""),"enemy_glo_00001")</f>
        <v>enemy_glo_00001</v>
      </c>
      <c r="C200" s="252" t="str">
        <f>IFERROR(__xludf.DUMMYFUNCTION("""COMPUTED_VALUE"""),"_general_sum_vh_big")</f>
        <v>_general_sum_vh_big</v>
      </c>
      <c r="D200" s="252" t="str">
        <f>IFERROR(__xludf.DUMMYFUNCTION("""COMPUTED_VALUE"""),"e_glo_00001_general_sum_vh_big_Normal_Blue")</f>
        <v>e_glo_00001_general_sum_vh_big_Normal_Blue</v>
      </c>
      <c r="E200" s="252" t="str">
        <f>IFERROR(__xludf.DUMMYFUNCTION("""COMPUTED_VALUE"""),"GLOW")</f>
        <v>GLOW</v>
      </c>
      <c r="F200" s="252" t="str">
        <f>IFERROR(__xludf.DUMMYFUNCTION("""COMPUTED_VALUE"""),"ファントム")</f>
        <v>ファントム</v>
      </c>
      <c r="G200" s="252" t="str">
        <f>IFERROR(__xludf.DUMMYFUNCTION("""COMPUTED_VALUE"""),"ファントム_general_sum_vh_big")</f>
        <v>ファントム_general_sum_vh_big</v>
      </c>
      <c r="H200" s="250" t="str">
        <f>IFERROR(__xludf.DUMMYFUNCTION("""COMPUTED_VALUE"""),"Normal")</f>
        <v>Normal</v>
      </c>
      <c r="I200" s="250" t="str">
        <f>IFERROR(__xludf.DUMMYFUNCTION("""COMPUTED_VALUE"""),"Attack")</f>
        <v>Attack</v>
      </c>
      <c r="J200" s="250" t="str">
        <f>IFERROR(__xludf.DUMMYFUNCTION("""COMPUTED_VALUE"""),"Blue")</f>
        <v>Blue</v>
      </c>
      <c r="K200" s="250">
        <f>IFERROR(__xludf.DUMMYFUNCTION("""COMPUTED_VALUE"""),200000.0)</f>
        <v>200000</v>
      </c>
      <c r="L200" s="250">
        <f>IFERROR(__xludf.DUMMYFUNCTION("""COMPUTED_VALUE"""),2.0)</f>
        <v>2</v>
      </c>
      <c r="M200" s="250">
        <f>IFERROR(__xludf.DUMMYFUNCTION("""COMPUTED_VALUE"""),45.0)</f>
        <v>45</v>
      </c>
      <c r="N200" s="250">
        <f>IFERROR(__xludf.DUMMYFUNCTION("""COMPUTED_VALUE"""),0.19)</f>
        <v>0.19</v>
      </c>
      <c r="O200" s="250">
        <f>IFERROR(__xludf.DUMMYFUNCTION("""COMPUTED_VALUE"""),2500.0)</f>
        <v>2500</v>
      </c>
      <c r="P200" s="250">
        <f>IFERROR(__xludf.DUMMYFUNCTION("""COMPUTED_VALUE"""),0.0)</f>
        <v>0</v>
      </c>
      <c r="Q200" s="250">
        <f>IFERROR(__xludf.DUMMYFUNCTION("""COMPUTED_VALUE"""),0.2)</f>
        <v>0.2</v>
      </c>
      <c r="R200" s="250">
        <f>IFERROR(__xludf.DUMMYFUNCTION("""COMPUTED_VALUE"""),1.0)</f>
        <v>1</v>
      </c>
      <c r="S200" s="250">
        <f>IFERROR(__xludf.DUMMYFUNCTION("""COMPUTED_VALUE"""),1.0)</f>
        <v>1</v>
      </c>
      <c r="T200" s="253" t="str">
        <f>IFERROR(__xludf.DUMMYFUNCTION("""COMPUTED_VALUE"""),"1.00")</f>
        <v>1.00</v>
      </c>
      <c r="U200" s="250" t="str">
        <f>IFERROR(__xludf.DUMMYFUNCTION("""COMPUTED_VALUE"""),"0.50")</f>
        <v>0.50</v>
      </c>
      <c r="V200" s="250"/>
      <c r="W200" s="250"/>
      <c r="X200" s="250"/>
      <c r="Y200" s="250"/>
      <c r="Z200" s="250"/>
      <c r="AA200" s="235"/>
      <c r="AB200" s="235" t="str">
        <f>IFERROR(__xludf.DUMMYFUNCTION("""COMPUTED_VALUE"""),"dageki_1")</f>
        <v>dageki_1</v>
      </c>
      <c r="AC200" s="235"/>
    </row>
    <row r="201">
      <c r="A201" s="235"/>
      <c r="B201" s="250" t="str">
        <f>IFERROR(__xludf.DUMMYFUNCTION("""COMPUTED_VALUE"""),"enemy_glo_00001")</f>
        <v>enemy_glo_00001</v>
      </c>
      <c r="C201" s="252" t="str">
        <f>IFERROR(__xludf.DUMMYFUNCTION("""COMPUTED_VALUE"""),"_general_sum_vh_big")</f>
        <v>_general_sum_vh_big</v>
      </c>
      <c r="D201" s="252" t="str">
        <f>IFERROR(__xludf.DUMMYFUNCTION("""COMPUTED_VALUE"""),"e_glo_00001_general_sum_vh_big_Normal_Green")</f>
        <v>e_glo_00001_general_sum_vh_big_Normal_Green</v>
      </c>
      <c r="E201" s="252" t="str">
        <f>IFERROR(__xludf.DUMMYFUNCTION("""COMPUTED_VALUE"""),"GLOW")</f>
        <v>GLOW</v>
      </c>
      <c r="F201" s="252" t="str">
        <f>IFERROR(__xludf.DUMMYFUNCTION("""COMPUTED_VALUE"""),"ファントム")</f>
        <v>ファントム</v>
      </c>
      <c r="G201" s="252" t="str">
        <f>IFERROR(__xludf.DUMMYFUNCTION("""COMPUTED_VALUE"""),"ファントム_general_sum_vh_big")</f>
        <v>ファントム_general_sum_vh_big</v>
      </c>
      <c r="H201" s="250" t="str">
        <f>IFERROR(__xludf.DUMMYFUNCTION("""COMPUTED_VALUE"""),"Normal")</f>
        <v>Normal</v>
      </c>
      <c r="I201" s="250" t="str">
        <f>IFERROR(__xludf.DUMMYFUNCTION("""COMPUTED_VALUE"""),"Attack")</f>
        <v>Attack</v>
      </c>
      <c r="J201" s="250" t="str">
        <f>IFERROR(__xludf.DUMMYFUNCTION("""COMPUTED_VALUE"""),"Green")</f>
        <v>Green</v>
      </c>
      <c r="K201" s="250">
        <f>IFERROR(__xludf.DUMMYFUNCTION("""COMPUTED_VALUE"""),120000.0)</f>
        <v>120000</v>
      </c>
      <c r="L201" s="250">
        <f>IFERROR(__xludf.DUMMYFUNCTION("""COMPUTED_VALUE"""),2.0)</f>
        <v>2</v>
      </c>
      <c r="M201" s="250">
        <f>IFERROR(__xludf.DUMMYFUNCTION("""COMPUTED_VALUE"""),40.0)</f>
        <v>40</v>
      </c>
      <c r="N201" s="250">
        <f>IFERROR(__xludf.DUMMYFUNCTION("""COMPUTED_VALUE"""),0.19)</f>
        <v>0.19</v>
      </c>
      <c r="O201" s="250">
        <f>IFERROR(__xludf.DUMMYFUNCTION("""COMPUTED_VALUE"""),1500.0)</f>
        <v>1500</v>
      </c>
      <c r="P201" s="250">
        <f>IFERROR(__xludf.DUMMYFUNCTION("""COMPUTED_VALUE"""),0.0)</f>
        <v>0</v>
      </c>
      <c r="Q201" s="250">
        <f>IFERROR(__xludf.DUMMYFUNCTION("""COMPUTED_VALUE"""),0.2)</f>
        <v>0.2</v>
      </c>
      <c r="R201" s="250">
        <f>IFERROR(__xludf.DUMMYFUNCTION("""COMPUTED_VALUE"""),1.0)</f>
        <v>1</v>
      </c>
      <c r="S201" s="250">
        <f>IFERROR(__xludf.DUMMYFUNCTION("""COMPUTED_VALUE"""),1.0)</f>
        <v>1</v>
      </c>
      <c r="T201" s="253" t="str">
        <f>IFERROR(__xludf.DUMMYFUNCTION("""COMPUTED_VALUE"""),"1.00")</f>
        <v>1.00</v>
      </c>
      <c r="U201" s="250" t="str">
        <f>IFERROR(__xludf.DUMMYFUNCTION("""COMPUTED_VALUE"""),"0.50")</f>
        <v>0.50</v>
      </c>
      <c r="V201" s="250"/>
      <c r="W201" s="250"/>
      <c r="X201" s="250"/>
      <c r="Y201" s="250"/>
      <c r="Z201" s="250"/>
      <c r="AA201" s="235"/>
      <c r="AB201" s="235" t="str">
        <f>IFERROR(__xludf.DUMMYFUNCTION("""COMPUTED_VALUE"""),"dageki_1")</f>
        <v>dageki_1</v>
      </c>
      <c r="AC201" s="235"/>
    </row>
    <row r="202">
      <c r="A202" s="235"/>
      <c r="B202" s="250" t="str">
        <f>IFERROR(__xludf.DUMMYFUNCTION("""COMPUTED_VALUE"""),"enemy_glo_00001")</f>
        <v>enemy_glo_00001</v>
      </c>
      <c r="C202" s="252" t="str">
        <f>IFERROR(__xludf.DUMMYFUNCTION("""COMPUTED_VALUE"""),"_general_sum_vh_big")</f>
        <v>_general_sum_vh_big</v>
      </c>
      <c r="D202" s="252" t="str">
        <f>IFERROR(__xludf.DUMMYFUNCTION("""COMPUTED_VALUE"""),"e_glo_00001_general_sum_vh_big_Normal_Yellow")</f>
        <v>e_glo_00001_general_sum_vh_big_Normal_Yellow</v>
      </c>
      <c r="E202" s="252" t="str">
        <f>IFERROR(__xludf.DUMMYFUNCTION("""COMPUTED_VALUE"""),"GLOW")</f>
        <v>GLOW</v>
      </c>
      <c r="F202" s="252" t="str">
        <f>IFERROR(__xludf.DUMMYFUNCTION("""COMPUTED_VALUE"""),"ファントム")</f>
        <v>ファントム</v>
      </c>
      <c r="G202" s="252" t="str">
        <f>IFERROR(__xludf.DUMMYFUNCTION("""COMPUTED_VALUE"""),"ファントム_general_sum_vh_big")</f>
        <v>ファントム_general_sum_vh_big</v>
      </c>
      <c r="H202" s="250" t="str">
        <f>IFERROR(__xludf.DUMMYFUNCTION("""COMPUTED_VALUE"""),"Normal")</f>
        <v>Normal</v>
      </c>
      <c r="I202" s="250" t="str">
        <f>IFERROR(__xludf.DUMMYFUNCTION("""COMPUTED_VALUE"""),"Attack")</f>
        <v>Attack</v>
      </c>
      <c r="J202" s="250" t="str">
        <f>IFERROR(__xludf.DUMMYFUNCTION("""COMPUTED_VALUE"""),"Yellow")</f>
        <v>Yellow</v>
      </c>
      <c r="K202" s="250">
        <f>IFERROR(__xludf.DUMMYFUNCTION("""COMPUTED_VALUE"""),120000.0)</f>
        <v>120000</v>
      </c>
      <c r="L202" s="250">
        <f>IFERROR(__xludf.DUMMYFUNCTION("""COMPUTED_VALUE"""),2.0)</f>
        <v>2</v>
      </c>
      <c r="M202" s="250">
        <f>IFERROR(__xludf.DUMMYFUNCTION("""COMPUTED_VALUE"""),40.0)</f>
        <v>40</v>
      </c>
      <c r="N202" s="250">
        <f>IFERROR(__xludf.DUMMYFUNCTION("""COMPUTED_VALUE"""),0.19)</f>
        <v>0.19</v>
      </c>
      <c r="O202" s="250">
        <f>IFERROR(__xludf.DUMMYFUNCTION("""COMPUTED_VALUE"""),1500.0)</f>
        <v>1500</v>
      </c>
      <c r="P202" s="250">
        <f>IFERROR(__xludf.DUMMYFUNCTION("""COMPUTED_VALUE"""),0.0)</f>
        <v>0</v>
      </c>
      <c r="Q202" s="250">
        <f>IFERROR(__xludf.DUMMYFUNCTION("""COMPUTED_VALUE"""),0.2)</f>
        <v>0.2</v>
      </c>
      <c r="R202" s="250">
        <f>IFERROR(__xludf.DUMMYFUNCTION("""COMPUTED_VALUE"""),1.0)</f>
        <v>1</v>
      </c>
      <c r="S202" s="250">
        <f>IFERROR(__xludf.DUMMYFUNCTION("""COMPUTED_VALUE"""),1.0)</f>
        <v>1</v>
      </c>
      <c r="T202" s="253" t="str">
        <f>IFERROR(__xludf.DUMMYFUNCTION("""COMPUTED_VALUE"""),"1.00")</f>
        <v>1.00</v>
      </c>
      <c r="U202" s="250" t="str">
        <f>IFERROR(__xludf.DUMMYFUNCTION("""COMPUTED_VALUE"""),"0.50")</f>
        <v>0.50</v>
      </c>
      <c r="V202" s="250"/>
      <c r="W202" s="250"/>
      <c r="X202" s="250"/>
      <c r="Y202" s="250"/>
      <c r="Z202" s="250"/>
      <c r="AA202" s="235"/>
      <c r="AB202" s="235" t="str">
        <f>IFERROR(__xludf.DUMMYFUNCTION("""COMPUTED_VALUE"""),"dageki_1")</f>
        <v>dageki_1</v>
      </c>
      <c r="AC202" s="235"/>
    </row>
    <row r="203">
      <c r="A203" s="235"/>
      <c r="B203" s="250" t="str">
        <f>IFERROR(__xludf.DUMMYFUNCTION("""COMPUTED_VALUE"""),"chara_sum_00201")</f>
        <v>chara_sum_00201</v>
      </c>
      <c r="C203" s="252" t="str">
        <f>IFERROR(__xludf.DUMMYFUNCTION("""COMPUTED_VALUE"""),"_general_sum_vh")</f>
        <v>_general_sum_vh</v>
      </c>
      <c r="D203" s="252" t="str">
        <f>IFERROR(__xludf.DUMMYFUNCTION("""COMPUTED_VALUE"""),"c_sum_00201_general_sum_vh_Normal_Blue")</f>
        <v>c_sum_00201_general_sum_vh_Normal_Blue</v>
      </c>
      <c r="E203" s="252" t="str">
        <f>IFERROR(__xludf.DUMMYFUNCTION("""COMPUTED_VALUE"""),"サマータイムレンダ")</f>
        <v>サマータイムレンダ</v>
      </c>
      <c r="F203" s="252" t="str">
        <f>IFERROR(__xludf.DUMMYFUNCTION("""COMPUTED_VALUE"""),"小舟 澪")</f>
        <v>小舟 澪</v>
      </c>
      <c r="G203" s="252" t="str">
        <f>IFERROR(__xludf.DUMMYFUNCTION("""COMPUTED_VALUE"""),"小舟 澪_general_sum_vh")</f>
        <v>小舟 澪_general_sum_vh</v>
      </c>
      <c r="H203" s="250" t="str">
        <f>IFERROR(__xludf.DUMMYFUNCTION("""COMPUTED_VALUE"""),"Normal")</f>
        <v>Normal</v>
      </c>
      <c r="I203" s="250" t="str">
        <f>IFERROR(__xludf.DUMMYFUNCTION("""COMPUTED_VALUE"""),"Defense")</f>
        <v>Defense</v>
      </c>
      <c r="J203" s="250" t="str">
        <f>IFERROR(__xludf.DUMMYFUNCTION("""COMPUTED_VALUE"""),"Blue")</f>
        <v>Blue</v>
      </c>
      <c r="K203" s="250">
        <f>IFERROR(__xludf.DUMMYFUNCTION("""COMPUTED_VALUE"""),200000.0)</f>
        <v>200000</v>
      </c>
      <c r="L203" s="250">
        <f>IFERROR(__xludf.DUMMYFUNCTION("""COMPUTED_VALUE"""),2.0)</f>
        <v>2</v>
      </c>
      <c r="M203" s="250">
        <f>IFERROR(__xludf.DUMMYFUNCTION("""COMPUTED_VALUE"""),65.0)</f>
        <v>65</v>
      </c>
      <c r="N203" s="250">
        <f>IFERROR(__xludf.DUMMYFUNCTION("""COMPUTED_VALUE"""),0.11)</f>
        <v>0.11</v>
      </c>
      <c r="O203" s="250">
        <f>IFERROR(__xludf.DUMMYFUNCTION("""COMPUTED_VALUE"""),2000.0)</f>
        <v>2000</v>
      </c>
      <c r="P203" s="250">
        <f>IFERROR(__xludf.DUMMYFUNCTION("""COMPUTED_VALUE"""),0.0)</f>
        <v>0</v>
      </c>
      <c r="Q203" s="250">
        <f>IFERROR(__xludf.DUMMYFUNCTION("""COMPUTED_VALUE"""),0.2)</f>
        <v>0.2</v>
      </c>
      <c r="R203" s="250">
        <f>IFERROR(__xludf.DUMMYFUNCTION("""COMPUTED_VALUE"""),1.0)</f>
        <v>1</v>
      </c>
      <c r="S203" s="250">
        <f>IFERROR(__xludf.DUMMYFUNCTION("""COMPUTED_VALUE"""),1.0)</f>
        <v>1</v>
      </c>
      <c r="T203" s="253" t="str">
        <f>IFERROR(__xludf.DUMMYFUNCTION("""COMPUTED_VALUE"""),"2.37")</f>
        <v>2.37</v>
      </c>
      <c r="U203" s="250" t="str">
        <f>IFERROR(__xludf.DUMMYFUNCTION("""COMPUTED_VALUE"""),"stop有 :1回目 0.67")</f>
        <v>stop有 :1回目 0.67</v>
      </c>
      <c r="V203" s="250"/>
      <c r="W203" s="250" t="str">
        <f>IFERROR(__xludf.DUMMYFUNCTION("""COMPUTED_VALUE"""),"3.67")</f>
        <v>3.67</v>
      </c>
      <c r="X203" s="250" t="str">
        <f>IFERROR(__xludf.DUMMYFUNCTION("""COMPUTED_VALUE"""),"stop有 :1回目 1.70")</f>
        <v>stop有 :1回目 1.70</v>
      </c>
      <c r="Y203" s="250" t="str">
        <f>IFERROR(__xludf.DUMMYFUNCTION("""COMPUTED_VALUE"""),"範囲攻撃+小ノックバック")</f>
        <v>範囲攻撃+小ノックバック</v>
      </c>
      <c r="Z203" s="250">
        <f>IFERROR(__xludf.DUMMYFUNCTION("""COMPUTED_VALUE"""),4.0)</f>
        <v>4</v>
      </c>
      <c r="AA203" s="235"/>
      <c r="AB203" s="235" t="str">
        <f>IFERROR(__xludf.DUMMYFUNCTION("""COMPUTED_VALUE"""),"dageki_1")</f>
        <v>dageki_1</v>
      </c>
      <c r="AC203" s="235"/>
    </row>
    <row r="204">
      <c r="A204" s="235"/>
      <c r="B204" s="250" t="str">
        <f>IFERROR(__xludf.DUMMYFUNCTION("""COMPUTED_VALUE"""),"chara_sum_00201")</f>
        <v>chara_sum_00201</v>
      </c>
      <c r="C204" s="252" t="str">
        <f>IFERROR(__xludf.DUMMYFUNCTION("""COMPUTED_VALUE"""),"_general_sum_vh")</f>
        <v>_general_sum_vh</v>
      </c>
      <c r="D204" s="252" t="str">
        <f>IFERROR(__xludf.DUMMYFUNCTION("""COMPUTED_VALUE"""),"c_sum_00201_general_sum_vh_Boss_Blue")</f>
        <v>c_sum_00201_general_sum_vh_Boss_Blue</v>
      </c>
      <c r="E204" s="252" t="str">
        <f>IFERROR(__xludf.DUMMYFUNCTION("""COMPUTED_VALUE"""),"サマータイムレンダ")</f>
        <v>サマータイムレンダ</v>
      </c>
      <c r="F204" s="252" t="str">
        <f>IFERROR(__xludf.DUMMYFUNCTION("""COMPUTED_VALUE"""),"小舟 澪")</f>
        <v>小舟 澪</v>
      </c>
      <c r="G204" s="252" t="str">
        <f>IFERROR(__xludf.DUMMYFUNCTION("""COMPUTED_VALUE"""),"小舟 澪_general_sum_vh")</f>
        <v>小舟 澪_general_sum_vh</v>
      </c>
      <c r="H204" s="250" t="str">
        <f>IFERROR(__xludf.DUMMYFUNCTION("""COMPUTED_VALUE"""),"Boss")</f>
        <v>Boss</v>
      </c>
      <c r="I204" s="250" t="str">
        <f>IFERROR(__xludf.DUMMYFUNCTION("""COMPUTED_VALUE"""),"Defense")</f>
        <v>Defense</v>
      </c>
      <c r="J204" s="250" t="str">
        <f>IFERROR(__xludf.DUMMYFUNCTION("""COMPUTED_VALUE"""),"Blue")</f>
        <v>Blue</v>
      </c>
      <c r="K204" s="250">
        <f>IFERROR(__xludf.DUMMYFUNCTION("""COMPUTED_VALUE"""),1000000.0)</f>
        <v>1000000</v>
      </c>
      <c r="L204" s="250">
        <f>IFERROR(__xludf.DUMMYFUNCTION("""COMPUTED_VALUE"""),2.0)</f>
        <v>2</v>
      </c>
      <c r="M204" s="250">
        <f>IFERROR(__xludf.DUMMYFUNCTION("""COMPUTED_VALUE"""),65.0)</f>
        <v>65</v>
      </c>
      <c r="N204" s="250">
        <f>IFERROR(__xludf.DUMMYFUNCTION("""COMPUTED_VALUE"""),0.11)</f>
        <v>0.11</v>
      </c>
      <c r="O204" s="250">
        <f>IFERROR(__xludf.DUMMYFUNCTION("""COMPUTED_VALUE"""),2500.0)</f>
        <v>2500</v>
      </c>
      <c r="P204" s="250">
        <f>IFERROR(__xludf.DUMMYFUNCTION("""COMPUTED_VALUE"""),0.0)</f>
        <v>0</v>
      </c>
      <c r="Q204" s="250">
        <f>IFERROR(__xludf.DUMMYFUNCTION("""COMPUTED_VALUE"""),0.27)</f>
        <v>0.27</v>
      </c>
      <c r="R204" s="250">
        <f>IFERROR(__xludf.DUMMYFUNCTION("""COMPUTED_VALUE"""),1.0)</f>
        <v>1</v>
      </c>
      <c r="S204" s="250">
        <f>IFERROR(__xludf.DUMMYFUNCTION("""COMPUTED_VALUE"""),1.0)</f>
        <v>1</v>
      </c>
      <c r="T204" s="253" t="str">
        <f>IFERROR(__xludf.DUMMYFUNCTION("""COMPUTED_VALUE"""),"2.37")</f>
        <v>2.37</v>
      </c>
      <c r="U204" s="250" t="str">
        <f>IFERROR(__xludf.DUMMYFUNCTION("""COMPUTED_VALUE"""),"stop有 :1回目 0.67")</f>
        <v>stop有 :1回目 0.67</v>
      </c>
      <c r="V204" s="250"/>
      <c r="W204" s="250" t="str">
        <f>IFERROR(__xludf.DUMMYFUNCTION("""COMPUTED_VALUE"""),"3.67")</f>
        <v>3.67</v>
      </c>
      <c r="X204" s="250" t="str">
        <f>IFERROR(__xludf.DUMMYFUNCTION("""COMPUTED_VALUE"""),"stop有 :1回目 1.70")</f>
        <v>stop有 :1回目 1.70</v>
      </c>
      <c r="Y204" s="250" t="str">
        <f>IFERROR(__xludf.DUMMYFUNCTION("""COMPUTED_VALUE"""),"範囲攻撃+小ノックバック")</f>
        <v>範囲攻撃+小ノックバック</v>
      </c>
      <c r="Z204" s="250">
        <f>IFERROR(__xludf.DUMMYFUNCTION("""COMPUTED_VALUE"""),4.0)</f>
        <v>4</v>
      </c>
      <c r="AA204" s="235"/>
      <c r="AB204" s="235" t="str">
        <f>IFERROR(__xludf.DUMMYFUNCTION("""COMPUTED_VALUE"""),"dageki_1")</f>
        <v>dageki_1</v>
      </c>
      <c r="AC204" s="235"/>
    </row>
    <row r="205">
      <c r="A205" s="235"/>
      <c r="B205" s="235" t="str">
        <f>IFERROR(__xludf.DUMMYFUNCTION("""COMPUTED_VALUE"""),"enemy_sum_00001")</f>
        <v>enemy_sum_00001</v>
      </c>
      <c r="C205" s="254" t="str">
        <f>IFERROR(__xludf.DUMMYFUNCTION("""COMPUTED_VALUE"""),"_general_sum_vh")</f>
        <v>_general_sum_vh</v>
      </c>
      <c r="D205" s="254" t="str">
        <f>IFERROR(__xludf.DUMMYFUNCTION("""COMPUTED_VALUE"""),"e_sum_00001_general_sum_vh_Normal_Red")</f>
        <v>e_sum_00001_general_sum_vh_Normal_Red</v>
      </c>
      <c r="E205" s="254" t="str">
        <f>IFERROR(__xludf.DUMMYFUNCTION("""COMPUTED_VALUE"""),"サマータイムレンダ")</f>
        <v>サマータイムレンダ</v>
      </c>
      <c r="F205" s="254" t="str">
        <f>IFERROR(__xludf.DUMMYFUNCTION("""COMPUTED_VALUE"""),"影")</f>
        <v>影</v>
      </c>
      <c r="G205" s="254" t="str">
        <f>IFERROR(__xludf.DUMMYFUNCTION("""COMPUTED_VALUE"""),"影_general_sum_vh")</f>
        <v>影_general_sum_vh</v>
      </c>
      <c r="H205" s="235" t="str">
        <f>IFERROR(__xludf.DUMMYFUNCTION("""COMPUTED_VALUE"""),"Normal")</f>
        <v>Normal</v>
      </c>
      <c r="I205" s="235" t="str">
        <f>IFERROR(__xludf.DUMMYFUNCTION("""COMPUTED_VALUE"""),"Attack")</f>
        <v>Attack</v>
      </c>
      <c r="J205" s="235" t="str">
        <f>IFERROR(__xludf.DUMMYFUNCTION("""COMPUTED_VALUE"""),"Red")</f>
        <v>Red</v>
      </c>
      <c r="K205" s="235">
        <f>IFERROR(__xludf.DUMMYFUNCTION("""COMPUTED_VALUE"""),30000.0)</f>
        <v>30000</v>
      </c>
      <c r="L205" s="235">
        <f>IFERROR(__xludf.DUMMYFUNCTION("""COMPUTED_VALUE"""),1.0)</f>
        <v>1</v>
      </c>
      <c r="M205" s="235">
        <f>IFERROR(__xludf.DUMMYFUNCTION("""COMPUTED_VALUE"""),45.0)</f>
        <v>45</v>
      </c>
      <c r="N205" s="235">
        <f>IFERROR(__xludf.DUMMYFUNCTION("""COMPUTED_VALUE"""),0.11)</f>
        <v>0.11</v>
      </c>
      <c r="O205" s="235">
        <f>IFERROR(__xludf.DUMMYFUNCTION("""COMPUTED_VALUE"""),600.0)</f>
        <v>600</v>
      </c>
      <c r="P205" s="235">
        <f>IFERROR(__xludf.DUMMYFUNCTION("""COMPUTED_VALUE"""),0.0)</f>
        <v>0</v>
      </c>
      <c r="Q205" s="235">
        <f>IFERROR(__xludf.DUMMYFUNCTION("""COMPUTED_VALUE"""),0.4)</f>
        <v>0.4</v>
      </c>
      <c r="R205" s="235">
        <f>IFERROR(__xludf.DUMMYFUNCTION("""COMPUTED_VALUE"""),100.0)</f>
        <v>100</v>
      </c>
      <c r="S205" s="235">
        <f>IFERROR(__xludf.DUMMYFUNCTION("""COMPUTED_VALUE"""),1.0)</f>
        <v>1</v>
      </c>
      <c r="T205" s="244" t="str">
        <f>IFERROR(__xludf.DUMMYFUNCTION("""COMPUTED_VALUE"""),"1.50")</f>
        <v>1.50</v>
      </c>
      <c r="U205" s="235" t="str">
        <f>IFERROR(__xludf.DUMMYFUNCTION("""COMPUTED_VALUE"""),"0.66")</f>
        <v>0.66</v>
      </c>
      <c r="V205" s="235"/>
      <c r="W205" s="235" t="str">
        <f>IFERROR(__xludf.DUMMYFUNCTION("""COMPUTED_VALUE"""),"-")</f>
        <v>-</v>
      </c>
      <c r="X205" s="235" t="str">
        <f>IFERROR(__xludf.DUMMYFUNCTION("""COMPUTED_VALUE"""),"-")</f>
        <v>-</v>
      </c>
      <c r="Y205" s="235"/>
      <c r="Z205" s="235"/>
      <c r="AA205" s="235"/>
      <c r="AB205" s="235" t="str">
        <f>IFERROR(__xludf.DUMMYFUNCTION("""COMPUTED_VALUE"""),"dageki_1")</f>
        <v>dageki_1</v>
      </c>
      <c r="AC205" s="235"/>
    </row>
    <row r="206">
      <c r="A206" s="235"/>
      <c r="B206" s="235" t="str">
        <f>IFERROR(__xludf.DUMMYFUNCTION("""COMPUTED_VALUE"""),"enemy_sum_00001")</f>
        <v>enemy_sum_00001</v>
      </c>
      <c r="C206" s="254" t="str">
        <f>IFERROR(__xludf.DUMMYFUNCTION("""COMPUTED_VALUE"""),"_general_sum_vh")</f>
        <v>_general_sum_vh</v>
      </c>
      <c r="D206" s="254" t="str">
        <f>IFERROR(__xludf.DUMMYFUNCTION("""COMPUTED_VALUE"""),"e_sum_00001_general_sum_vh_Normal_Blue")</f>
        <v>e_sum_00001_general_sum_vh_Normal_Blue</v>
      </c>
      <c r="E206" s="254" t="str">
        <f>IFERROR(__xludf.DUMMYFUNCTION("""COMPUTED_VALUE"""),"サマータイムレンダ")</f>
        <v>サマータイムレンダ</v>
      </c>
      <c r="F206" s="254" t="str">
        <f>IFERROR(__xludf.DUMMYFUNCTION("""COMPUTED_VALUE"""),"影")</f>
        <v>影</v>
      </c>
      <c r="G206" s="254" t="str">
        <f>IFERROR(__xludf.DUMMYFUNCTION("""COMPUTED_VALUE"""),"影_general_sum_vh")</f>
        <v>影_general_sum_vh</v>
      </c>
      <c r="H206" s="235" t="str">
        <f>IFERROR(__xludf.DUMMYFUNCTION("""COMPUTED_VALUE"""),"Normal")</f>
        <v>Normal</v>
      </c>
      <c r="I206" s="235" t="str">
        <f>IFERROR(__xludf.DUMMYFUNCTION("""COMPUTED_VALUE"""),"Attack")</f>
        <v>Attack</v>
      </c>
      <c r="J206" s="235" t="str">
        <f>IFERROR(__xludf.DUMMYFUNCTION("""COMPUTED_VALUE"""),"Blue")</f>
        <v>Blue</v>
      </c>
      <c r="K206" s="235">
        <f>IFERROR(__xludf.DUMMYFUNCTION("""COMPUTED_VALUE"""),38000.0)</f>
        <v>38000</v>
      </c>
      <c r="L206" s="235">
        <f>IFERROR(__xludf.DUMMYFUNCTION("""COMPUTED_VALUE"""),1.0)</f>
        <v>1</v>
      </c>
      <c r="M206" s="235">
        <f>IFERROR(__xludf.DUMMYFUNCTION("""COMPUTED_VALUE"""),45.0)</f>
        <v>45</v>
      </c>
      <c r="N206" s="235">
        <f>IFERROR(__xludf.DUMMYFUNCTION("""COMPUTED_VALUE"""),0.11)</f>
        <v>0.11</v>
      </c>
      <c r="O206" s="235">
        <f>IFERROR(__xludf.DUMMYFUNCTION("""COMPUTED_VALUE"""),500.0)</f>
        <v>500</v>
      </c>
      <c r="P206" s="235">
        <f>IFERROR(__xludf.DUMMYFUNCTION("""COMPUTED_VALUE"""),0.0)</f>
        <v>0</v>
      </c>
      <c r="Q206" s="235">
        <f>IFERROR(__xludf.DUMMYFUNCTION("""COMPUTED_VALUE"""),0.4)</f>
        <v>0.4</v>
      </c>
      <c r="R206" s="235">
        <f>IFERROR(__xludf.DUMMYFUNCTION("""COMPUTED_VALUE"""),100.0)</f>
        <v>100</v>
      </c>
      <c r="S206" s="235">
        <f>IFERROR(__xludf.DUMMYFUNCTION("""COMPUTED_VALUE"""),1.0)</f>
        <v>1</v>
      </c>
      <c r="T206" s="244" t="str">
        <f>IFERROR(__xludf.DUMMYFUNCTION("""COMPUTED_VALUE"""),"1.50")</f>
        <v>1.50</v>
      </c>
      <c r="U206" s="235" t="str">
        <f>IFERROR(__xludf.DUMMYFUNCTION("""COMPUTED_VALUE"""),"0.66")</f>
        <v>0.66</v>
      </c>
      <c r="V206" s="235"/>
      <c r="W206" s="235" t="str">
        <f>IFERROR(__xludf.DUMMYFUNCTION("""COMPUTED_VALUE"""),"-")</f>
        <v>-</v>
      </c>
      <c r="X206" s="235" t="str">
        <f>IFERROR(__xludf.DUMMYFUNCTION("""COMPUTED_VALUE"""),"-")</f>
        <v>-</v>
      </c>
      <c r="Y206" s="235"/>
      <c r="Z206" s="235"/>
      <c r="AA206" s="235"/>
      <c r="AB206" s="235" t="str">
        <f>IFERROR(__xludf.DUMMYFUNCTION("""COMPUTED_VALUE"""),"dageki_1")</f>
        <v>dageki_1</v>
      </c>
      <c r="AC206" s="235"/>
    </row>
    <row r="207">
      <c r="A207" s="235"/>
      <c r="B207" s="235" t="str">
        <f>IFERROR(__xludf.DUMMYFUNCTION("""COMPUTED_VALUE"""),"enemy_sum_00001")</f>
        <v>enemy_sum_00001</v>
      </c>
      <c r="C207" s="254" t="str">
        <f>IFERROR(__xludf.DUMMYFUNCTION("""COMPUTED_VALUE"""),"_general_sum_vh")</f>
        <v>_general_sum_vh</v>
      </c>
      <c r="D207" s="254" t="str">
        <f>IFERROR(__xludf.DUMMYFUNCTION("""COMPUTED_VALUE"""),"e_sum_00001_general_sum_vh_Normal_Green")</f>
        <v>e_sum_00001_general_sum_vh_Normal_Green</v>
      </c>
      <c r="E207" s="254" t="str">
        <f>IFERROR(__xludf.DUMMYFUNCTION("""COMPUTED_VALUE"""),"サマータイムレンダ")</f>
        <v>サマータイムレンダ</v>
      </c>
      <c r="F207" s="254" t="str">
        <f>IFERROR(__xludf.DUMMYFUNCTION("""COMPUTED_VALUE"""),"影")</f>
        <v>影</v>
      </c>
      <c r="G207" s="254" t="str">
        <f>IFERROR(__xludf.DUMMYFUNCTION("""COMPUTED_VALUE"""),"影_general_sum_vh")</f>
        <v>影_general_sum_vh</v>
      </c>
      <c r="H207" s="235" t="str">
        <f>IFERROR(__xludf.DUMMYFUNCTION("""COMPUTED_VALUE"""),"Normal")</f>
        <v>Normal</v>
      </c>
      <c r="I207" s="235" t="str">
        <f>IFERROR(__xludf.DUMMYFUNCTION("""COMPUTED_VALUE"""),"Attack")</f>
        <v>Attack</v>
      </c>
      <c r="J207" s="235" t="str">
        <f>IFERROR(__xludf.DUMMYFUNCTION("""COMPUTED_VALUE"""),"Green")</f>
        <v>Green</v>
      </c>
      <c r="K207" s="235">
        <f>IFERROR(__xludf.DUMMYFUNCTION("""COMPUTED_VALUE"""),21000.0)</f>
        <v>21000</v>
      </c>
      <c r="L207" s="235">
        <f>IFERROR(__xludf.DUMMYFUNCTION("""COMPUTED_VALUE"""),1.0)</f>
        <v>1</v>
      </c>
      <c r="M207" s="235">
        <f>IFERROR(__xludf.DUMMYFUNCTION("""COMPUTED_VALUE"""),45.0)</f>
        <v>45</v>
      </c>
      <c r="N207" s="235">
        <f>IFERROR(__xludf.DUMMYFUNCTION("""COMPUTED_VALUE"""),0.11)</f>
        <v>0.11</v>
      </c>
      <c r="O207" s="235">
        <f>IFERROR(__xludf.DUMMYFUNCTION("""COMPUTED_VALUE"""),800.0)</f>
        <v>800</v>
      </c>
      <c r="P207" s="235">
        <f>IFERROR(__xludf.DUMMYFUNCTION("""COMPUTED_VALUE"""),0.0)</f>
        <v>0</v>
      </c>
      <c r="Q207" s="235">
        <f>IFERROR(__xludf.DUMMYFUNCTION("""COMPUTED_VALUE"""),0.4)</f>
        <v>0.4</v>
      </c>
      <c r="R207" s="235">
        <f>IFERROR(__xludf.DUMMYFUNCTION("""COMPUTED_VALUE"""),100.0)</f>
        <v>100</v>
      </c>
      <c r="S207" s="235">
        <f>IFERROR(__xludf.DUMMYFUNCTION("""COMPUTED_VALUE"""),1.0)</f>
        <v>1</v>
      </c>
      <c r="T207" s="244" t="str">
        <f>IFERROR(__xludf.DUMMYFUNCTION("""COMPUTED_VALUE"""),"1.50")</f>
        <v>1.50</v>
      </c>
      <c r="U207" s="235" t="str">
        <f>IFERROR(__xludf.DUMMYFUNCTION("""COMPUTED_VALUE"""),"0.66")</f>
        <v>0.66</v>
      </c>
      <c r="V207" s="235"/>
      <c r="W207" s="235" t="str">
        <f>IFERROR(__xludf.DUMMYFUNCTION("""COMPUTED_VALUE"""),"-")</f>
        <v>-</v>
      </c>
      <c r="X207" s="235" t="str">
        <f>IFERROR(__xludf.DUMMYFUNCTION("""COMPUTED_VALUE"""),"-")</f>
        <v>-</v>
      </c>
      <c r="Y207" s="235"/>
      <c r="Z207" s="235"/>
      <c r="AA207" s="235"/>
      <c r="AB207" s="235" t="str">
        <f>IFERROR(__xludf.DUMMYFUNCTION("""COMPUTED_VALUE"""),"dageki_1")</f>
        <v>dageki_1</v>
      </c>
      <c r="AC207" s="235"/>
    </row>
    <row r="208">
      <c r="A208" s="235"/>
      <c r="B208" s="235" t="str">
        <f>IFERROR(__xludf.DUMMYFUNCTION("""COMPUTED_VALUE"""),"enemy_sum_00001")</f>
        <v>enemy_sum_00001</v>
      </c>
      <c r="C208" s="254" t="str">
        <f>IFERROR(__xludf.DUMMYFUNCTION("""COMPUTED_VALUE"""),"_general_sum_vh")</f>
        <v>_general_sum_vh</v>
      </c>
      <c r="D208" s="254" t="str">
        <f>IFERROR(__xludf.DUMMYFUNCTION("""COMPUTED_VALUE"""),"e_sum_00001_general_sum_vh_Normal_Yellow")</f>
        <v>e_sum_00001_general_sum_vh_Normal_Yellow</v>
      </c>
      <c r="E208" s="254" t="str">
        <f>IFERROR(__xludf.DUMMYFUNCTION("""COMPUTED_VALUE"""),"サマータイムレンダ")</f>
        <v>サマータイムレンダ</v>
      </c>
      <c r="F208" s="254" t="str">
        <f>IFERROR(__xludf.DUMMYFUNCTION("""COMPUTED_VALUE"""),"影")</f>
        <v>影</v>
      </c>
      <c r="G208" s="254" t="str">
        <f>IFERROR(__xludf.DUMMYFUNCTION("""COMPUTED_VALUE"""),"影_general_sum_vh")</f>
        <v>影_general_sum_vh</v>
      </c>
      <c r="H208" s="235" t="str">
        <f>IFERROR(__xludf.DUMMYFUNCTION("""COMPUTED_VALUE"""),"Normal")</f>
        <v>Normal</v>
      </c>
      <c r="I208" s="235" t="str">
        <f>IFERROR(__xludf.DUMMYFUNCTION("""COMPUTED_VALUE"""),"Attack")</f>
        <v>Attack</v>
      </c>
      <c r="J208" s="235" t="str">
        <f>IFERROR(__xludf.DUMMYFUNCTION("""COMPUTED_VALUE"""),"Yellow")</f>
        <v>Yellow</v>
      </c>
      <c r="K208" s="235">
        <f>IFERROR(__xludf.DUMMYFUNCTION("""COMPUTED_VALUE"""),45000.0)</f>
        <v>45000</v>
      </c>
      <c r="L208" s="235">
        <f>IFERROR(__xludf.DUMMYFUNCTION("""COMPUTED_VALUE"""),1.0)</f>
        <v>1</v>
      </c>
      <c r="M208" s="235">
        <f>IFERROR(__xludf.DUMMYFUNCTION("""COMPUTED_VALUE"""),45.0)</f>
        <v>45</v>
      </c>
      <c r="N208" s="235">
        <f>IFERROR(__xludf.DUMMYFUNCTION("""COMPUTED_VALUE"""),0.11)</f>
        <v>0.11</v>
      </c>
      <c r="O208" s="235">
        <f>IFERROR(__xludf.DUMMYFUNCTION("""COMPUTED_VALUE"""),400.0)</f>
        <v>400</v>
      </c>
      <c r="P208" s="235">
        <f>IFERROR(__xludf.DUMMYFUNCTION("""COMPUTED_VALUE"""),0.0)</f>
        <v>0</v>
      </c>
      <c r="Q208" s="235">
        <f>IFERROR(__xludf.DUMMYFUNCTION("""COMPUTED_VALUE"""),0.4)</f>
        <v>0.4</v>
      </c>
      <c r="R208" s="235">
        <f>IFERROR(__xludf.DUMMYFUNCTION("""COMPUTED_VALUE"""),100.0)</f>
        <v>100</v>
      </c>
      <c r="S208" s="235">
        <f>IFERROR(__xludf.DUMMYFUNCTION("""COMPUTED_VALUE"""),1.0)</f>
        <v>1</v>
      </c>
      <c r="T208" s="244" t="str">
        <f>IFERROR(__xludf.DUMMYFUNCTION("""COMPUTED_VALUE"""),"1.50")</f>
        <v>1.50</v>
      </c>
      <c r="U208" s="235" t="str">
        <f>IFERROR(__xludf.DUMMYFUNCTION("""COMPUTED_VALUE"""),"0.66")</f>
        <v>0.66</v>
      </c>
      <c r="V208" s="235"/>
      <c r="W208" s="235" t="str">
        <f>IFERROR(__xludf.DUMMYFUNCTION("""COMPUTED_VALUE"""),"-")</f>
        <v>-</v>
      </c>
      <c r="X208" s="235" t="str">
        <f>IFERROR(__xludf.DUMMYFUNCTION("""COMPUTED_VALUE"""),"-")</f>
        <v>-</v>
      </c>
      <c r="Y208" s="235"/>
      <c r="Z208" s="235"/>
      <c r="AA208" s="235"/>
      <c r="AB208" s="235" t="str">
        <f>IFERROR(__xludf.DUMMYFUNCTION("""COMPUTED_VALUE"""),"dageki_1")</f>
        <v>dageki_1</v>
      </c>
      <c r="AC208" s="235"/>
    </row>
    <row r="209">
      <c r="A209" s="235"/>
      <c r="B209" s="235" t="str">
        <f>IFERROR(__xludf.DUMMYFUNCTION("""COMPUTED_VALUE"""),"enemy_sum_00001")</f>
        <v>enemy_sum_00001</v>
      </c>
      <c r="C209" s="254" t="str">
        <f>IFERROR(__xludf.DUMMYFUNCTION("""COMPUTED_VALUE"""),"_general_sum_vh_big")</f>
        <v>_general_sum_vh_big</v>
      </c>
      <c r="D209" s="254" t="str">
        <f>IFERROR(__xludf.DUMMYFUNCTION("""COMPUTED_VALUE"""),"e_sum_00001_general_sum_vh_big_Normal_Blue")</f>
        <v>e_sum_00001_general_sum_vh_big_Normal_Blue</v>
      </c>
      <c r="E209" s="254" t="str">
        <f>IFERROR(__xludf.DUMMYFUNCTION("""COMPUTED_VALUE"""),"サマータイムレンダ")</f>
        <v>サマータイムレンダ</v>
      </c>
      <c r="F209" s="254" t="str">
        <f>IFERROR(__xludf.DUMMYFUNCTION("""COMPUTED_VALUE"""),"影")</f>
        <v>影</v>
      </c>
      <c r="G209" s="254" t="str">
        <f>IFERROR(__xludf.DUMMYFUNCTION("""COMPUTED_VALUE"""),"影_general_sum_vh_big")</f>
        <v>影_general_sum_vh_big</v>
      </c>
      <c r="H209" s="235" t="str">
        <f>IFERROR(__xludf.DUMMYFUNCTION("""COMPUTED_VALUE"""),"Normal")</f>
        <v>Normal</v>
      </c>
      <c r="I209" s="235" t="str">
        <f>IFERROR(__xludf.DUMMYFUNCTION("""COMPUTED_VALUE"""),"Attack")</f>
        <v>Attack</v>
      </c>
      <c r="J209" s="235" t="str">
        <f>IFERROR(__xludf.DUMMYFUNCTION("""COMPUTED_VALUE"""),"Blue")</f>
        <v>Blue</v>
      </c>
      <c r="K209" s="235">
        <f>IFERROR(__xludf.DUMMYFUNCTION("""COMPUTED_VALUE"""),150000.0)</f>
        <v>150000</v>
      </c>
      <c r="L209" s="235">
        <f>IFERROR(__xludf.DUMMYFUNCTION("""COMPUTED_VALUE"""),1.0)</f>
        <v>1</v>
      </c>
      <c r="M209" s="235">
        <f>IFERROR(__xludf.DUMMYFUNCTION("""COMPUTED_VALUE"""),50.0)</f>
        <v>50</v>
      </c>
      <c r="N209" s="235">
        <f>IFERROR(__xludf.DUMMYFUNCTION("""COMPUTED_VALUE"""),0.2)</f>
        <v>0.2</v>
      </c>
      <c r="O209" s="235">
        <f>IFERROR(__xludf.DUMMYFUNCTION("""COMPUTED_VALUE"""),700.0)</f>
        <v>700</v>
      </c>
      <c r="P209" s="235">
        <f>IFERROR(__xludf.DUMMYFUNCTION("""COMPUTED_VALUE"""),0.0)</f>
        <v>0</v>
      </c>
      <c r="Q209" s="235">
        <f>IFERROR(__xludf.DUMMYFUNCTION("""COMPUTED_VALUE"""),0.4)</f>
        <v>0.4</v>
      </c>
      <c r="R209" s="235">
        <f>IFERROR(__xludf.DUMMYFUNCTION("""COMPUTED_VALUE"""),100.0)</f>
        <v>100</v>
      </c>
      <c r="S209" s="235">
        <f>IFERROR(__xludf.DUMMYFUNCTION("""COMPUTED_VALUE"""),1.0)</f>
        <v>1</v>
      </c>
      <c r="T209" s="244" t="str">
        <f>IFERROR(__xludf.DUMMYFUNCTION("""COMPUTED_VALUE"""),"1.50")</f>
        <v>1.50</v>
      </c>
      <c r="U209" s="235" t="str">
        <f>IFERROR(__xludf.DUMMYFUNCTION("""COMPUTED_VALUE"""),"0.66")</f>
        <v>0.66</v>
      </c>
      <c r="V209" s="235"/>
      <c r="W209" s="235" t="str">
        <f>IFERROR(__xludf.DUMMYFUNCTION("""COMPUTED_VALUE"""),"-")</f>
        <v>-</v>
      </c>
      <c r="X209" s="235" t="str">
        <f>IFERROR(__xludf.DUMMYFUNCTION("""COMPUTED_VALUE"""),"-")</f>
        <v>-</v>
      </c>
      <c r="Y209" s="235"/>
      <c r="Z209" s="235"/>
      <c r="AA209" s="235"/>
      <c r="AB209" s="235" t="str">
        <f>IFERROR(__xludf.DUMMYFUNCTION("""COMPUTED_VALUE"""),"dageki_1")</f>
        <v>dageki_1</v>
      </c>
      <c r="AC209" s="235"/>
    </row>
    <row r="210">
      <c r="A210" s="235"/>
      <c r="B210" s="235" t="str">
        <f>IFERROR(__xludf.DUMMYFUNCTION("""COMPUTED_VALUE"""),"enemy_sum_00001")</f>
        <v>enemy_sum_00001</v>
      </c>
      <c r="C210" s="254" t="str">
        <f>IFERROR(__xludf.DUMMYFUNCTION("""COMPUTED_VALUE"""),"_general_sum_vh_big")</f>
        <v>_general_sum_vh_big</v>
      </c>
      <c r="D210" s="254" t="str">
        <f>IFERROR(__xludf.DUMMYFUNCTION("""COMPUTED_VALUE"""),"e_sum_00001_general_sum_vh_big_Normal_Yellow")</f>
        <v>e_sum_00001_general_sum_vh_big_Normal_Yellow</v>
      </c>
      <c r="E210" s="254" t="str">
        <f>IFERROR(__xludf.DUMMYFUNCTION("""COMPUTED_VALUE"""),"サマータイムレンダ")</f>
        <v>サマータイムレンダ</v>
      </c>
      <c r="F210" s="254" t="str">
        <f>IFERROR(__xludf.DUMMYFUNCTION("""COMPUTED_VALUE"""),"影")</f>
        <v>影</v>
      </c>
      <c r="G210" s="254" t="str">
        <f>IFERROR(__xludf.DUMMYFUNCTION("""COMPUTED_VALUE"""),"影_general_sum_vh_big")</f>
        <v>影_general_sum_vh_big</v>
      </c>
      <c r="H210" s="235" t="str">
        <f>IFERROR(__xludf.DUMMYFUNCTION("""COMPUTED_VALUE"""),"Normal")</f>
        <v>Normal</v>
      </c>
      <c r="I210" s="235" t="str">
        <f>IFERROR(__xludf.DUMMYFUNCTION("""COMPUTED_VALUE"""),"Attack")</f>
        <v>Attack</v>
      </c>
      <c r="J210" s="235" t="str">
        <f>IFERROR(__xludf.DUMMYFUNCTION("""COMPUTED_VALUE"""),"Yellow")</f>
        <v>Yellow</v>
      </c>
      <c r="K210" s="235">
        <f>IFERROR(__xludf.DUMMYFUNCTION("""COMPUTED_VALUE"""),150000.0)</f>
        <v>150000</v>
      </c>
      <c r="L210" s="235">
        <f>IFERROR(__xludf.DUMMYFUNCTION("""COMPUTED_VALUE"""),1.0)</f>
        <v>1</v>
      </c>
      <c r="M210" s="235">
        <f>IFERROR(__xludf.DUMMYFUNCTION("""COMPUTED_VALUE"""),50.0)</f>
        <v>50</v>
      </c>
      <c r="N210" s="235">
        <f>IFERROR(__xludf.DUMMYFUNCTION("""COMPUTED_VALUE"""),0.2)</f>
        <v>0.2</v>
      </c>
      <c r="O210" s="235">
        <f>IFERROR(__xludf.DUMMYFUNCTION("""COMPUTED_VALUE"""),700.0)</f>
        <v>700</v>
      </c>
      <c r="P210" s="235">
        <f>IFERROR(__xludf.DUMMYFUNCTION("""COMPUTED_VALUE"""),0.0)</f>
        <v>0</v>
      </c>
      <c r="Q210" s="235">
        <f>IFERROR(__xludf.DUMMYFUNCTION("""COMPUTED_VALUE"""),0.4)</f>
        <v>0.4</v>
      </c>
      <c r="R210" s="235">
        <f>IFERROR(__xludf.DUMMYFUNCTION("""COMPUTED_VALUE"""),100.0)</f>
        <v>100</v>
      </c>
      <c r="S210" s="235">
        <f>IFERROR(__xludf.DUMMYFUNCTION("""COMPUTED_VALUE"""),1.0)</f>
        <v>1</v>
      </c>
      <c r="T210" s="244" t="str">
        <f>IFERROR(__xludf.DUMMYFUNCTION("""COMPUTED_VALUE"""),"1.50")</f>
        <v>1.50</v>
      </c>
      <c r="U210" s="235" t="str">
        <f>IFERROR(__xludf.DUMMYFUNCTION("""COMPUTED_VALUE"""),"0.66")</f>
        <v>0.66</v>
      </c>
      <c r="V210" s="235"/>
      <c r="W210" s="235" t="str">
        <f>IFERROR(__xludf.DUMMYFUNCTION("""COMPUTED_VALUE"""),"-")</f>
        <v>-</v>
      </c>
      <c r="X210" s="235" t="str">
        <f>IFERROR(__xludf.DUMMYFUNCTION("""COMPUTED_VALUE"""),"-")</f>
        <v>-</v>
      </c>
      <c r="Y210" s="235"/>
      <c r="Z210" s="235"/>
      <c r="AA210" s="235"/>
      <c r="AB210" s="235" t="str">
        <f>IFERROR(__xludf.DUMMYFUNCTION("""COMPUTED_VALUE"""),"dageki_1")</f>
        <v>dageki_1</v>
      </c>
      <c r="AC210" s="235"/>
    </row>
    <row r="211">
      <c r="A211" s="235"/>
      <c r="B211" s="235" t="str">
        <f>IFERROR(__xludf.DUMMYFUNCTION("""COMPUTED_VALUE"""),"enemy_sum_00101")</f>
        <v>enemy_sum_00101</v>
      </c>
      <c r="C211" s="254" t="str">
        <f>IFERROR(__xludf.DUMMYFUNCTION("""COMPUTED_VALUE"""),"_general_sum_vh")</f>
        <v>_general_sum_vh</v>
      </c>
      <c r="D211" s="254" t="str">
        <f>IFERROR(__xludf.DUMMYFUNCTION("""COMPUTED_VALUE"""),"e_sum_00101_general_sum_vh_Boss_Blue")</f>
        <v>e_sum_00101_general_sum_vh_Boss_Blue</v>
      </c>
      <c r="E211" s="254" t="str">
        <f>IFERROR(__xludf.DUMMYFUNCTION("""COMPUTED_VALUE"""),"サマータイムレンダ")</f>
        <v>サマータイムレンダ</v>
      </c>
      <c r="F211" s="254" t="str">
        <f>IFERROR(__xludf.DUMMYFUNCTION("""COMPUTED_VALUE"""),"小舟 澪の影 (拳銃)")</f>
        <v>小舟 澪の影 (拳銃)</v>
      </c>
      <c r="G211" s="254" t="str">
        <f>IFERROR(__xludf.DUMMYFUNCTION("""COMPUTED_VALUE"""),"小舟 澪(影)_拳銃_general_sum_vh")</f>
        <v>小舟 澪(影)_拳銃_general_sum_vh</v>
      </c>
      <c r="H211" s="235" t="str">
        <f>IFERROR(__xludf.DUMMYFUNCTION("""COMPUTED_VALUE"""),"Boss")</f>
        <v>Boss</v>
      </c>
      <c r="I211" s="235" t="str">
        <f>IFERROR(__xludf.DUMMYFUNCTION("""COMPUTED_VALUE"""),"Attack")</f>
        <v>Attack</v>
      </c>
      <c r="J211" s="235" t="str">
        <f>IFERROR(__xludf.DUMMYFUNCTION("""COMPUTED_VALUE"""),"Blue")</f>
        <v>Blue</v>
      </c>
      <c r="K211" s="235">
        <f>IFERROR(__xludf.DUMMYFUNCTION("""COMPUTED_VALUE"""),800000.0)</f>
        <v>800000</v>
      </c>
      <c r="L211" s="235">
        <f>IFERROR(__xludf.DUMMYFUNCTION("""COMPUTED_VALUE"""),2.0)</f>
        <v>2</v>
      </c>
      <c r="M211" s="235">
        <f>IFERROR(__xludf.DUMMYFUNCTION("""COMPUTED_VALUE"""),55.0)</f>
        <v>55</v>
      </c>
      <c r="N211" s="235">
        <f>IFERROR(__xludf.DUMMYFUNCTION("""COMPUTED_VALUE"""),0.45)</f>
        <v>0.45</v>
      </c>
      <c r="O211" s="235">
        <f>IFERROR(__xludf.DUMMYFUNCTION("""COMPUTED_VALUE"""),1000.0)</f>
        <v>1000</v>
      </c>
      <c r="P211" s="235">
        <f>IFERROR(__xludf.DUMMYFUNCTION("""COMPUTED_VALUE"""),0.0)</f>
        <v>0</v>
      </c>
      <c r="Q211" s="235">
        <f>IFERROR(__xludf.DUMMYFUNCTION("""COMPUTED_VALUE"""),0.55)</f>
        <v>0.55</v>
      </c>
      <c r="R211" s="235">
        <f>IFERROR(__xludf.DUMMYFUNCTION("""COMPUTED_VALUE"""),100.0)</f>
        <v>100</v>
      </c>
      <c r="S211" s="235">
        <f>IFERROR(__xludf.DUMMYFUNCTION("""COMPUTED_VALUE"""),1.0)</f>
        <v>1</v>
      </c>
      <c r="T211" s="244" t="str">
        <f>IFERROR(__xludf.DUMMYFUNCTION("""COMPUTED_VALUE"""),"1.40")</f>
        <v>1.40</v>
      </c>
      <c r="U211" s="235" t="str">
        <f>IFERROR(__xludf.DUMMYFUNCTION("""COMPUTED_VALUE"""),"0.60")</f>
        <v>0.60</v>
      </c>
      <c r="V211" s="235"/>
      <c r="W211" s="235" t="str">
        <f>IFERROR(__xludf.DUMMYFUNCTION("""COMPUTED_VALUE"""),"-")</f>
        <v>-</v>
      </c>
      <c r="X211" s="235" t="str">
        <f>IFERROR(__xludf.DUMMYFUNCTION("""COMPUTED_VALUE"""),"-")</f>
        <v>-</v>
      </c>
      <c r="Y211" s="235"/>
      <c r="Z211" s="235"/>
      <c r="AA211" s="235"/>
      <c r="AB211" s="235" t="str">
        <f>IFERROR(__xludf.DUMMYFUNCTION("""COMPUTED_VALUE"""),"shageki_1")</f>
        <v>shageki_1</v>
      </c>
      <c r="AC211" s="235"/>
    </row>
    <row r="212">
      <c r="A212" s="235"/>
      <c r="B212" s="235" t="str">
        <f>IFERROR(__xludf.DUMMYFUNCTION("""COMPUTED_VALUE"""),"enemy_sum_00201")</f>
        <v>enemy_sum_00201</v>
      </c>
      <c r="C212" s="254" t="str">
        <f>IFERROR(__xludf.DUMMYFUNCTION("""COMPUTED_VALUE"""),"_general_sum_vh")</f>
        <v>_general_sum_vh</v>
      </c>
      <c r="D212" s="254" t="str">
        <f>IFERROR(__xludf.DUMMYFUNCTION("""COMPUTED_VALUE"""),"e_sum_00201_general_sum_vh_Boss_Yellow")</f>
        <v>e_sum_00201_general_sum_vh_Boss_Yellow</v>
      </c>
      <c r="E212" s="254" t="str">
        <f>IFERROR(__xludf.DUMMYFUNCTION("""COMPUTED_VALUE"""),"サマータイムレンダ")</f>
        <v>サマータイムレンダ</v>
      </c>
      <c r="F212" s="254" t="str">
        <f>IFERROR(__xludf.DUMMYFUNCTION("""COMPUTED_VALUE"""),"小舟 澪の影 (包丁)")</f>
        <v>小舟 澪の影 (包丁)</v>
      </c>
      <c r="G212" s="254" t="str">
        <f>IFERROR(__xludf.DUMMYFUNCTION("""COMPUTED_VALUE"""),"小舟 澪(影)_包丁_general_sum_vh")</f>
        <v>小舟 澪(影)_包丁_general_sum_vh</v>
      </c>
      <c r="H212" s="235" t="str">
        <f>IFERROR(__xludf.DUMMYFUNCTION("""COMPUTED_VALUE"""),"Boss")</f>
        <v>Boss</v>
      </c>
      <c r="I212" s="235" t="str">
        <f>IFERROR(__xludf.DUMMYFUNCTION("""COMPUTED_VALUE"""),"Attack")</f>
        <v>Attack</v>
      </c>
      <c r="J212" s="235" t="str">
        <f>IFERROR(__xludf.DUMMYFUNCTION("""COMPUTED_VALUE"""),"Yellow")</f>
        <v>Yellow</v>
      </c>
      <c r="K212" s="235">
        <f>IFERROR(__xludf.DUMMYFUNCTION("""COMPUTED_VALUE"""),500000.0)</f>
        <v>500000</v>
      </c>
      <c r="L212" s="235">
        <f>IFERROR(__xludf.DUMMYFUNCTION("""COMPUTED_VALUE"""),2.0)</f>
        <v>2</v>
      </c>
      <c r="M212" s="235">
        <f>IFERROR(__xludf.DUMMYFUNCTION("""COMPUTED_VALUE"""),55.0)</f>
        <v>55</v>
      </c>
      <c r="N212" s="235">
        <f>IFERROR(__xludf.DUMMYFUNCTION("""COMPUTED_VALUE"""),0.11)</f>
        <v>0.11</v>
      </c>
      <c r="O212" s="235">
        <f>IFERROR(__xludf.DUMMYFUNCTION("""COMPUTED_VALUE"""),1200.0)</f>
        <v>1200</v>
      </c>
      <c r="P212" s="235">
        <f>IFERROR(__xludf.DUMMYFUNCTION("""COMPUTED_VALUE"""),0.0)</f>
        <v>0</v>
      </c>
      <c r="Q212" s="235">
        <f>IFERROR(__xludf.DUMMYFUNCTION("""COMPUTED_VALUE"""),0.3)</f>
        <v>0.3</v>
      </c>
      <c r="R212" s="235">
        <f>IFERROR(__xludf.DUMMYFUNCTION("""COMPUTED_VALUE"""),1.0)</f>
        <v>1</v>
      </c>
      <c r="S212" s="235">
        <f>IFERROR(__xludf.DUMMYFUNCTION("""COMPUTED_VALUE"""),1.0)</f>
        <v>1</v>
      </c>
      <c r="T212" s="244" t="str">
        <f>IFERROR(__xludf.DUMMYFUNCTION("""COMPUTED_VALUE"""),"1.40")</f>
        <v>1.40</v>
      </c>
      <c r="U212" s="235" t="str">
        <f>IFERROR(__xludf.DUMMYFUNCTION("""COMPUTED_VALUE"""),"0.66")</f>
        <v>0.66</v>
      </c>
      <c r="V212" s="235"/>
      <c r="W212" s="235" t="str">
        <f>IFERROR(__xludf.DUMMYFUNCTION("""COMPUTED_VALUE"""),"-")</f>
        <v>-</v>
      </c>
      <c r="X212" s="235" t="str">
        <f>IFERROR(__xludf.DUMMYFUNCTION("""COMPUTED_VALUE"""),"-")</f>
        <v>-</v>
      </c>
      <c r="Y212" s="235"/>
      <c r="Z212" s="235"/>
      <c r="AA212" s="235"/>
      <c r="AB212" s="235" t="str">
        <f>IFERROR(__xludf.DUMMYFUNCTION("""COMPUTED_VALUE"""),"zangeki_1")</f>
        <v>zangeki_1</v>
      </c>
      <c r="AC212" s="235"/>
    </row>
    <row r="213">
      <c r="A213" s="235"/>
      <c r="B213" s="235" t="str">
        <f>IFERROR(__xludf.DUMMYFUNCTION("""COMPUTED_VALUE"""),"enemy_sum_00101")</f>
        <v>enemy_sum_00101</v>
      </c>
      <c r="C213" s="254" t="str">
        <f>IFERROR(__xludf.DUMMYFUNCTION("""COMPUTED_VALUE"""),"_general_sum_vh")</f>
        <v>_general_sum_vh</v>
      </c>
      <c r="D213" s="254" t="str">
        <f>IFERROR(__xludf.DUMMYFUNCTION("""COMPUTED_VALUE"""),"e_sum_00101_general_sum_vh_Normal_Green")</f>
        <v>e_sum_00101_general_sum_vh_Normal_Green</v>
      </c>
      <c r="E213" s="254" t="str">
        <f>IFERROR(__xludf.DUMMYFUNCTION("""COMPUTED_VALUE"""),"サマータイムレンダ")</f>
        <v>サマータイムレンダ</v>
      </c>
      <c r="F213" s="254" t="str">
        <f>IFERROR(__xludf.DUMMYFUNCTION("""COMPUTED_VALUE"""),"小舟 澪の影 (拳銃)")</f>
        <v>小舟 澪の影 (拳銃)</v>
      </c>
      <c r="G213" s="254" t="str">
        <f>IFERROR(__xludf.DUMMYFUNCTION("""COMPUTED_VALUE"""),"小舟 澪(影)_拳銃_general_sum_vh")</f>
        <v>小舟 澪(影)_拳銃_general_sum_vh</v>
      </c>
      <c r="H213" s="235" t="str">
        <f>IFERROR(__xludf.DUMMYFUNCTION("""COMPUTED_VALUE"""),"Normal")</f>
        <v>Normal</v>
      </c>
      <c r="I213" s="235" t="str">
        <f>IFERROR(__xludf.DUMMYFUNCTION("""COMPUTED_VALUE"""),"Attack")</f>
        <v>Attack</v>
      </c>
      <c r="J213" s="235" t="str">
        <f>IFERROR(__xludf.DUMMYFUNCTION("""COMPUTED_VALUE"""),"Green")</f>
        <v>Green</v>
      </c>
      <c r="K213" s="235">
        <f>IFERROR(__xludf.DUMMYFUNCTION("""COMPUTED_VALUE"""),200000.0)</f>
        <v>200000</v>
      </c>
      <c r="L213" s="235">
        <f>IFERROR(__xludf.DUMMYFUNCTION("""COMPUTED_VALUE"""),2.0)</f>
        <v>2</v>
      </c>
      <c r="M213" s="235">
        <f>IFERROR(__xludf.DUMMYFUNCTION("""COMPUTED_VALUE"""),55.0)</f>
        <v>55</v>
      </c>
      <c r="N213" s="235">
        <f>IFERROR(__xludf.DUMMYFUNCTION("""COMPUTED_VALUE"""),0.45)</f>
        <v>0.45</v>
      </c>
      <c r="O213" s="235">
        <f>IFERROR(__xludf.DUMMYFUNCTION("""COMPUTED_VALUE"""),700.0)</f>
        <v>700</v>
      </c>
      <c r="P213" s="235">
        <f>IFERROR(__xludf.DUMMYFUNCTION("""COMPUTED_VALUE"""),0.0)</f>
        <v>0</v>
      </c>
      <c r="Q213" s="235">
        <f>IFERROR(__xludf.DUMMYFUNCTION("""COMPUTED_VALUE"""),0.55)</f>
        <v>0.55</v>
      </c>
      <c r="R213" s="235">
        <f>IFERROR(__xludf.DUMMYFUNCTION("""COMPUTED_VALUE"""),100.0)</f>
        <v>100</v>
      </c>
      <c r="S213" s="235">
        <f>IFERROR(__xludf.DUMMYFUNCTION("""COMPUTED_VALUE"""),1.0)</f>
        <v>1</v>
      </c>
      <c r="T213" s="244" t="str">
        <f>IFERROR(__xludf.DUMMYFUNCTION("""COMPUTED_VALUE"""),"1.40")</f>
        <v>1.40</v>
      </c>
      <c r="U213" s="235" t="str">
        <f>IFERROR(__xludf.DUMMYFUNCTION("""COMPUTED_VALUE"""),"0.60")</f>
        <v>0.60</v>
      </c>
      <c r="V213" s="235"/>
      <c r="W213" s="235" t="str">
        <f>IFERROR(__xludf.DUMMYFUNCTION("""COMPUTED_VALUE"""),"-")</f>
        <v>-</v>
      </c>
      <c r="X213" s="235" t="str">
        <f>IFERROR(__xludf.DUMMYFUNCTION("""COMPUTED_VALUE"""),"-")</f>
        <v>-</v>
      </c>
      <c r="Y213" s="235"/>
      <c r="Z213" s="235"/>
      <c r="AA213" s="235"/>
      <c r="AB213" s="235" t="str">
        <f>IFERROR(__xludf.DUMMYFUNCTION("""COMPUTED_VALUE"""),"shageki_1")</f>
        <v>shageki_1</v>
      </c>
      <c r="AC213" s="235"/>
    </row>
    <row r="214">
      <c r="A214" s="235"/>
      <c r="B214" s="235" t="str">
        <f>IFERROR(__xludf.DUMMYFUNCTION("""COMPUTED_VALUE"""),"enemy_sum_00201")</f>
        <v>enemy_sum_00201</v>
      </c>
      <c r="C214" s="254" t="str">
        <f>IFERROR(__xludf.DUMMYFUNCTION("""COMPUTED_VALUE"""),"_general_sum_vh")</f>
        <v>_general_sum_vh</v>
      </c>
      <c r="D214" s="254" t="str">
        <f>IFERROR(__xludf.DUMMYFUNCTION("""COMPUTED_VALUE"""),"e_sum_00201_general_sum_vh_Normal_Yellow")</f>
        <v>e_sum_00201_general_sum_vh_Normal_Yellow</v>
      </c>
      <c r="E214" s="254" t="str">
        <f>IFERROR(__xludf.DUMMYFUNCTION("""COMPUTED_VALUE"""),"サマータイムレンダ")</f>
        <v>サマータイムレンダ</v>
      </c>
      <c r="F214" s="254" t="str">
        <f>IFERROR(__xludf.DUMMYFUNCTION("""COMPUTED_VALUE"""),"小舟 澪の影 (包丁)")</f>
        <v>小舟 澪の影 (包丁)</v>
      </c>
      <c r="G214" s="254" t="str">
        <f>IFERROR(__xludf.DUMMYFUNCTION("""COMPUTED_VALUE"""),"小舟 澪(影)_包丁_general_sum_vh")</f>
        <v>小舟 澪(影)_包丁_general_sum_vh</v>
      </c>
      <c r="H214" s="235" t="str">
        <f>IFERROR(__xludf.DUMMYFUNCTION("""COMPUTED_VALUE"""),"Normal")</f>
        <v>Normal</v>
      </c>
      <c r="I214" s="235" t="str">
        <f>IFERROR(__xludf.DUMMYFUNCTION("""COMPUTED_VALUE"""),"Attack")</f>
        <v>Attack</v>
      </c>
      <c r="J214" s="235" t="str">
        <f>IFERROR(__xludf.DUMMYFUNCTION("""COMPUTED_VALUE"""),"Yellow")</f>
        <v>Yellow</v>
      </c>
      <c r="K214" s="235">
        <f>IFERROR(__xludf.DUMMYFUNCTION("""COMPUTED_VALUE"""),500000.0)</f>
        <v>500000</v>
      </c>
      <c r="L214" s="235">
        <f>IFERROR(__xludf.DUMMYFUNCTION("""COMPUTED_VALUE"""),2.0)</f>
        <v>2</v>
      </c>
      <c r="M214" s="235">
        <f>IFERROR(__xludf.DUMMYFUNCTION("""COMPUTED_VALUE"""),55.0)</f>
        <v>55</v>
      </c>
      <c r="N214" s="235">
        <f>IFERROR(__xludf.DUMMYFUNCTION("""COMPUTED_VALUE"""),0.11)</f>
        <v>0.11</v>
      </c>
      <c r="O214" s="235">
        <f>IFERROR(__xludf.DUMMYFUNCTION("""COMPUTED_VALUE"""),1200.0)</f>
        <v>1200</v>
      </c>
      <c r="P214" s="235">
        <f>IFERROR(__xludf.DUMMYFUNCTION("""COMPUTED_VALUE"""),0.0)</f>
        <v>0</v>
      </c>
      <c r="Q214" s="235">
        <f>IFERROR(__xludf.DUMMYFUNCTION("""COMPUTED_VALUE"""),0.3)</f>
        <v>0.3</v>
      </c>
      <c r="R214" s="235">
        <f>IFERROR(__xludf.DUMMYFUNCTION("""COMPUTED_VALUE"""),1.0)</f>
        <v>1</v>
      </c>
      <c r="S214" s="235">
        <f>IFERROR(__xludf.DUMMYFUNCTION("""COMPUTED_VALUE"""),1.0)</f>
        <v>1</v>
      </c>
      <c r="T214" s="244" t="str">
        <f>IFERROR(__xludf.DUMMYFUNCTION("""COMPUTED_VALUE"""),"1.40")</f>
        <v>1.40</v>
      </c>
      <c r="U214" s="235" t="str">
        <f>IFERROR(__xludf.DUMMYFUNCTION("""COMPUTED_VALUE"""),"0.66")</f>
        <v>0.66</v>
      </c>
      <c r="V214" s="235"/>
      <c r="W214" s="235" t="str">
        <f>IFERROR(__xludf.DUMMYFUNCTION("""COMPUTED_VALUE"""),"-")</f>
        <v>-</v>
      </c>
      <c r="X214" s="235" t="str">
        <f>IFERROR(__xludf.DUMMYFUNCTION("""COMPUTED_VALUE"""),"-")</f>
        <v>-</v>
      </c>
      <c r="Y214" s="235"/>
      <c r="Z214" s="235"/>
      <c r="AA214" s="235"/>
      <c r="AB214" s="235" t="str">
        <f>IFERROR(__xludf.DUMMYFUNCTION("""COMPUTED_VALUE"""),"zangeki_1")</f>
        <v>zangeki_1</v>
      </c>
      <c r="AC214" s="235"/>
    </row>
    <row r="215">
      <c r="A215" s="235"/>
      <c r="B215" s="235" t="str">
        <f>IFERROR(__xludf.DUMMYFUNCTION("""COMPUTED_VALUE"""),"chara_sum_00001")</f>
        <v>chara_sum_00001</v>
      </c>
      <c r="C215" s="254" t="str">
        <f>IFERROR(__xludf.DUMMYFUNCTION("""COMPUTED_VALUE"""),"_general_sum_vh")</f>
        <v>_general_sum_vh</v>
      </c>
      <c r="D215" s="254" t="str">
        <f>IFERROR(__xludf.DUMMYFUNCTION("""COMPUTED_VALUE"""),"c_sum_00001_general_sum_vh_Normal_Green")</f>
        <v>c_sum_00001_general_sum_vh_Normal_Green</v>
      </c>
      <c r="E215" s="254" t="str">
        <f>IFERROR(__xludf.DUMMYFUNCTION("""COMPUTED_VALUE"""),"サマータイムレンダ")</f>
        <v>サマータイムレンダ</v>
      </c>
      <c r="F215" s="254" t="str">
        <f>IFERROR(__xludf.DUMMYFUNCTION("""COMPUTED_VALUE"""),"網代 慎平")</f>
        <v>網代 慎平</v>
      </c>
      <c r="G215" s="254" t="str">
        <f>IFERROR(__xludf.DUMMYFUNCTION("""COMPUTED_VALUE"""),"網代 慎平_general_sum_vh")</f>
        <v>網代 慎平_general_sum_vh</v>
      </c>
      <c r="H215" s="235" t="str">
        <f>IFERROR(__xludf.DUMMYFUNCTION("""COMPUTED_VALUE"""),"Normal")</f>
        <v>Normal</v>
      </c>
      <c r="I215" s="235" t="str">
        <f>IFERROR(__xludf.DUMMYFUNCTION("""COMPUTED_VALUE"""),"Attack")</f>
        <v>Attack</v>
      </c>
      <c r="J215" s="235" t="str">
        <f>IFERROR(__xludf.DUMMYFUNCTION("""COMPUTED_VALUE"""),"Green")</f>
        <v>Green</v>
      </c>
      <c r="K215" s="235">
        <f>IFERROR(__xludf.DUMMYFUNCTION("""COMPUTED_VALUE"""),400000.0)</f>
        <v>400000</v>
      </c>
      <c r="L215" s="235">
        <f>IFERROR(__xludf.DUMMYFUNCTION("""COMPUTED_VALUE"""),2.0)</f>
        <v>2</v>
      </c>
      <c r="M215" s="235">
        <f>IFERROR(__xludf.DUMMYFUNCTION("""COMPUTED_VALUE"""),50.0)</f>
        <v>50</v>
      </c>
      <c r="N215" s="235">
        <f>IFERROR(__xludf.DUMMYFUNCTION("""COMPUTED_VALUE"""),0.3)</f>
        <v>0.3</v>
      </c>
      <c r="O215" s="235">
        <f>IFERROR(__xludf.DUMMYFUNCTION("""COMPUTED_VALUE"""),1300.0)</f>
        <v>1300</v>
      </c>
      <c r="P215" s="235">
        <f>IFERROR(__xludf.DUMMYFUNCTION("""COMPUTED_VALUE"""),0.0)</f>
        <v>0</v>
      </c>
      <c r="Q215" s="235">
        <f>IFERROR(__xludf.DUMMYFUNCTION("""COMPUTED_VALUE"""),0.4)</f>
        <v>0.4</v>
      </c>
      <c r="R215" s="235">
        <f>IFERROR(__xludf.DUMMYFUNCTION("""COMPUTED_VALUE"""),100.0)</f>
        <v>100</v>
      </c>
      <c r="S215" s="235">
        <f>IFERROR(__xludf.DUMMYFUNCTION("""COMPUTED_VALUE"""),1.0)</f>
        <v>1</v>
      </c>
      <c r="T215" s="244" t="str">
        <f>IFERROR(__xludf.DUMMYFUNCTION("""COMPUTED_VALUE"""),"1.40")</f>
        <v>1.40</v>
      </c>
      <c r="U215" s="235" t="str">
        <f>IFERROR(__xludf.DUMMYFUNCTION("""COMPUTED_VALUE"""),"stop無:1回目 0.65")</f>
        <v>stop無:1回目 0.65</v>
      </c>
      <c r="V215" s="235"/>
      <c r="W215" s="235" t="str">
        <f>IFERROR(__xludf.DUMMYFUNCTION("""COMPUTED_VALUE"""),"2.33")</f>
        <v>2.33</v>
      </c>
      <c r="X215" s="235" t="str">
        <f>IFERROR(__xludf.DUMMYFUNCTION("""COMPUTED_VALUE"""),"stop無:1回目 0.75
stop無:2回目 0.93
stop無:3回目 1.15")</f>
        <v>stop無:1回目 0.75
stop無:2回目 0.93
stop無:3回目 1.15</v>
      </c>
      <c r="Y215" s="235" t="str">
        <f>IFERROR(__xludf.DUMMYFUNCTION("""COMPUTED_VALUE"""),"連続攻撃")</f>
        <v>連続攻撃</v>
      </c>
      <c r="Z215" s="235"/>
      <c r="AA215" s="235"/>
      <c r="AB215" s="235" t="str">
        <f>IFERROR(__xludf.DUMMYFUNCTION("""COMPUTED_VALUE"""),"shageki_1")</f>
        <v>shageki_1</v>
      </c>
      <c r="AC215" s="235"/>
    </row>
    <row r="216">
      <c r="A216" s="235"/>
      <c r="B216" s="235" t="str">
        <f>IFERROR(__xludf.DUMMYFUNCTION("""COMPUTED_VALUE"""),"chara_sum_00001")</f>
        <v>chara_sum_00001</v>
      </c>
      <c r="C216" s="254" t="str">
        <f>IFERROR(__xludf.DUMMYFUNCTION("""COMPUTED_VALUE"""),"_general_sum_vh2")</f>
        <v>_general_sum_vh2</v>
      </c>
      <c r="D216" s="254" t="str">
        <f>IFERROR(__xludf.DUMMYFUNCTION("""COMPUTED_VALUE"""),"c_sum_00001_general_sum_vh2_Normal_Blue")</f>
        <v>c_sum_00001_general_sum_vh2_Normal_Blue</v>
      </c>
      <c r="E216" s="254" t="str">
        <f>IFERROR(__xludf.DUMMYFUNCTION("""COMPUTED_VALUE"""),"サマータイムレンダ")</f>
        <v>サマータイムレンダ</v>
      </c>
      <c r="F216" s="254" t="str">
        <f>IFERROR(__xludf.DUMMYFUNCTION("""COMPUTED_VALUE"""),"網代 慎平")</f>
        <v>網代 慎平</v>
      </c>
      <c r="G216" s="254" t="str">
        <f>IFERROR(__xludf.DUMMYFUNCTION("""COMPUTED_VALUE"""),"網代 慎平_general_sum_vh2")</f>
        <v>網代 慎平_general_sum_vh2</v>
      </c>
      <c r="H216" s="235" t="str">
        <f>IFERROR(__xludf.DUMMYFUNCTION("""COMPUTED_VALUE"""),"Normal")</f>
        <v>Normal</v>
      </c>
      <c r="I216" s="235" t="str">
        <f>IFERROR(__xludf.DUMMYFUNCTION("""COMPUTED_VALUE"""),"Attack")</f>
        <v>Attack</v>
      </c>
      <c r="J216" s="235" t="str">
        <f>IFERROR(__xludf.DUMMYFUNCTION("""COMPUTED_VALUE"""),"Blue")</f>
        <v>Blue</v>
      </c>
      <c r="K216" s="235">
        <f>IFERROR(__xludf.DUMMYFUNCTION("""COMPUTED_VALUE"""),400000.0)</f>
        <v>400000</v>
      </c>
      <c r="L216" s="235">
        <f>IFERROR(__xludf.DUMMYFUNCTION("""COMPUTED_VALUE"""),2.0)</f>
        <v>2</v>
      </c>
      <c r="M216" s="235">
        <f>IFERROR(__xludf.DUMMYFUNCTION("""COMPUTED_VALUE"""),50.0)</f>
        <v>50</v>
      </c>
      <c r="N216" s="235">
        <f>IFERROR(__xludf.DUMMYFUNCTION("""COMPUTED_VALUE"""),0.11)</f>
        <v>0.11</v>
      </c>
      <c r="O216" s="235">
        <f>IFERROR(__xludf.DUMMYFUNCTION("""COMPUTED_VALUE"""),900.0)</f>
        <v>900</v>
      </c>
      <c r="P216" s="235">
        <f>IFERROR(__xludf.DUMMYFUNCTION("""COMPUTED_VALUE"""),0.0)</f>
        <v>0</v>
      </c>
      <c r="Q216" s="235">
        <f>IFERROR(__xludf.DUMMYFUNCTION("""COMPUTED_VALUE"""),0.4)</f>
        <v>0.4</v>
      </c>
      <c r="R216" s="235">
        <f>IFERROR(__xludf.DUMMYFUNCTION("""COMPUTED_VALUE"""),100.0)</f>
        <v>100</v>
      </c>
      <c r="S216" s="235">
        <f>IFERROR(__xludf.DUMMYFUNCTION("""COMPUTED_VALUE"""),1.0)</f>
        <v>1</v>
      </c>
      <c r="T216" s="244" t="str">
        <f>IFERROR(__xludf.DUMMYFUNCTION("""COMPUTED_VALUE"""),"1.40")</f>
        <v>1.40</v>
      </c>
      <c r="U216" s="235" t="str">
        <f>IFERROR(__xludf.DUMMYFUNCTION("""COMPUTED_VALUE"""),"stop無:1回目 0.65")</f>
        <v>stop無:1回目 0.65</v>
      </c>
      <c r="V216" s="235"/>
      <c r="W216" s="235" t="str">
        <f>IFERROR(__xludf.DUMMYFUNCTION("""COMPUTED_VALUE"""),"2.33")</f>
        <v>2.33</v>
      </c>
      <c r="X216" s="235" t="str">
        <f>IFERROR(__xludf.DUMMYFUNCTION("""COMPUTED_VALUE"""),"stop無:1回目 0.75
stop無:2回目 0.93
stop無:3回目 1.15")</f>
        <v>stop無:1回目 0.75
stop無:2回目 0.93
stop無:3回目 1.15</v>
      </c>
      <c r="Y216" s="235" t="str">
        <f>IFERROR(__xludf.DUMMYFUNCTION("""COMPUTED_VALUE"""),"連続攻撃")</f>
        <v>連続攻撃</v>
      </c>
      <c r="Z216" s="235"/>
      <c r="AA216" s="235"/>
      <c r="AB216" s="235" t="str">
        <f>IFERROR(__xludf.DUMMYFUNCTION("""COMPUTED_VALUE"""),"shageki_1")</f>
        <v>shageki_1</v>
      </c>
      <c r="AC216" s="235"/>
    </row>
    <row r="217">
      <c r="A217" s="235"/>
      <c r="B217" s="235" t="str">
        <f>IFERROR(__xludf.DUMMYFUNCTION("""COMPUTED_VALUE"""),"chara_sum_00101")</f>
        <v>chara_sum_00101</v>
      </c>
      <c r="C217" s="254" t="str">
        <f>IFERROR(__xludf.DUMMYFUNCTION("""COMPUTED_VALUE"""),"_general_sum_vh")</f>
        <v>_general_sum_vh</v>
      </c>
      <c r="D217" s="254" t="str">
        <f>IFERROR(__xludf.DUMMYFUNCTION("""COMPUTED_VALUE"""),"c_sum_00101_general_sum_vh_Boss_Blue")</f>
        <v>c_sum_00101_general_sum_vh_Boss_Blue</v>
      </c>
      <c r="E217" s="254" t="str">
        <f>IFERROR(__xludf.DUMMYFUNCTION("""COMPUTED_VALUE"""),"サマータイムレンダ")</f>
        <v>サマータイムレンダ</v>
      </c>
      <c r="F217" s="254" t="str">
        <f>IFERROR(__xludf.DUMMYFUNCTION("""COMPUTED_VALUE"""),"影のウシオ 小舟 潮")</f>
        <v>影のウシオ 小舟 潮</v>
      </c>
      <c r="G217" s="254" t="str">
        <f>IFERROR(__xludf.DUMMYFUNCTION("""COMPUTED_VALUE"""),"影のウシオ 小舟 潮_general_sum_vh")</f>
        <v>影のウシオ 小舟 潮_general_sum_vh</v>
      </c>
      <c r="H217" s="235" t="str">
        <f>IFERROR(__xludf.DUMMYFUNCTION("""COMPUTED_VALUE"""),"Boss")</f>
        <v>Boss</v>
      </c>
      <c r="I217" s="235" t="str">
        <f>IFERROR(__xludf.DUMMYFUNCTION("""COMPUTED_VALUE"""),"Support")</f>
        <v>Support</v>
      </c>
      <c r="J217" s="235" t="str">
        <f>IFERROR(__xludf.DUMMYFUNCTION("""COMPUTED_VALUE"""),"Blue")</f>
        <v>Blue</v>
      </c>
      <c r="K217" s="235">
        <f>IFERROR(__xludf.DUMMYFUNCTION("""COMPUTED_VALUE"""),500000.0)</f>
        <v>500000</v>
      </c>
      <c r="L217" s="235">
        <f>IFERROR(__xludf.DUMMYFUNCTION("""COMPUTED_VALUE"""),4.0)</f>
        <v>4</v>
      </c>
      <c r="M217" s="235">
        <f>IFERROR(__xludf.DUMMYFUNCTION("""COMPUTED_VALUE"""),55.0)</f>
        <v>55</v>
      </c>
      <c r="N217" s="235">
        <f>IFERROR(__xludf.DUMMYFUNCTION("""COMPUTED_VALUE"""),0.3)</f>
        <v>0.3</v>
      </c>
      <c r="O217" s="235">
        <f>IFERROR(__xludf.DUMMYFUNCTION("""COMPUTED_VALUE"""),400.0)</f>
        <v>400</v>
      </c>
      <c r="P217" s="235">
        <f>IFERROR(__xludf.DUMMYFUNCTION("""COMPUTED_VALUE"""),0.0)</f>
        <v>0</v>
      </c>
      <c r="Q217" s="235">
        <f>IFERROR(__xludf.DUMMYFUNCTION("""COMPUTED_VALUE"""),0.4)</f>
        <v>0.4</v>
      </c>
      <c r="R217" s="235">
        <f>IFERROR(__xludf.DUMMYFUNCTION("""COMPUTED_VALUE"""),100.0)</f>
        <v>100</v>
      </c>
      <c r="S217" s="235">
        <f>IFERROR(__xludf.DUMMYFUNCTION("""COMPUTED_VALUE"""),1.0)</f>
        <v>1</v>
      </c>
      <c r="T217" s="244" t="str">
        <f>IFERROR(__xludf.DUMMYFUNCTION("""COMPUTED_VALUE"""),"1.13")</f>
        <v>1.13</v>
      </c>
      <c r="U217" s="235" t="str">
        <f>IFERROR(__xludf.DUMMYFUNCTION("""COMPUTED_VALUE"""),"0.50")</f>
        <v>0.50</v>
      </c>
      <c r="V217" s="235"/>
      <c r="W217" s="235" t="str">
        <f>IFERROR(__xludf.DUMMYFUNCTION("""COMPUTED_VALUE"""),"2.20")</f>
        <v>2.20</v>
      </c>
      <c r="X217" s="235" t="str">
        <f>IFERROR(__xludf.DUMMYFUNCTION("""COMPUTED_VALUE"""),"1.00")</f>
        <v>1.00</v>
      </c>
      <c r="Y217" s="235" t="str">
        <f>IFERROR(__xludf.DUMMYFUNCTION("""COMPUTED_VALUE"""),"10秒間、場面全体の敵攻撃を20%UP+アタックロールの敵の体力を30%回復")</f>
        <v>10秒間、場面全体の敵攻撃を20%UP+アタックロールの敵の体力を30%回復</v>
      </c>
      <c r="Z217" s="235"/>
      <c r="AA217" s="235"/>
      <c r="AB217" s="235" t="str">
        <f>IFERROR(__xludf.DUMMYFUNCTION("""COMPUTED_VALUE"""),"zangeki_1")</f>
        <v>zangeki_1</v>
      </c>
      <c r="AC217" s="235"/>
    </row>
    <row r="218">
      <c r="A218" s="235"/>
      <c r="B218" s="235" t="str">
        <f>IFERROR(__xludf.DUMMYFUNCTION("""COMPUTED_VALUE"""),"chara_sum_00101")</f>
        <v>chara_sum_00101</v>
      </c>
      <c r="C218" s="254" t="str">
        <f>IFERROR(__xludf.DUMMYFUNCTION("""COMPUTED_VALUE"""),"_general_sum_vh")</f>
        <v>_general_sum_vh</v>
      </c>
      <c r="D218" s="254" t="str">
        <f>IFERROR(__xludf.DUMMYFUNCTION("""COMPUTED_VALUE"""),"c_sum_00101_general_sum_vh_Boss_Yellow")</f>
        <v>c_sum_00101_general_sum_vh_Boss_Yellow</v>
      </c>
      <c r="E218" s="254" t="str">
        <f>IFERROR(__xludf.DUMMYFUNCTION("""COMPUTED_VALUE"""),"サマータイムレンダ")</f>
        <v>サマータイムレンダ</v>
      </c>
      <c r="F218" s="254" t="str">
        <f>IFERROR(__xludf.DUMMYFUNCTION("""COMPUTED_VALUE"""),"影のウシオ 小舟 潮")</f>
        <v>影のウシオ 小舟 潮</v>
      </c>
      <c r="G218" s="254" t="str">
        <f>IFERROR(__xludf.DUMMYFUNCTION("""COMPUTED_VALUE"""),"影のウシオ 小舟 潮_general_sum_vh")</f>
        <v>影のウシオ 小舟 潮_general_sum_vh</v>
      </c>
      <c r="H218" s="235" t="str">
        <f>IFERROR(__xludf.DUMMYFUNCTION("""COMPUTED_VALUE"""),"Boss")</f>
        <v>Boss</v>
      </c>
      <c r="I218" s="235" t="str">
        <f>IFERROR(__xludf.DUMMYFUNCTION("""COMPUTED_VALUE"""),"Support")</f>
        <v>Support</v>
      </c>
      <c r="J218" s="235" t="str">
        <f>IFERROR(__xludf.DUMMYFUNCTION("""COMPUTED_VALUE"""),"Yellow")</f>
        <v>Yellow</v>
      </c>
      <c r="K218" s="235">
        <f>IFERROR(__xludf.DUMMYFUNCTION("""COMPUTED_VALUE"""),500000.0)</f>
        <v>500000</v>
      </c>
      <c r="L218" s="235">
        <f>IFERROR(__xludf.DUMMYFUNCTION("""COMPUTED_VALUE"""),4.0)</f>
        <v>4</v>
      </c>
      <c r="M218" s="235">
        <f>IFERROR(__xludf.DUMMYFUNCTION("""COMPUTED_VALUE"""),55.0)</f>
        <v>55</v>
      </c>
      <c r="N218" s="235">
        <f>IFERROR(__xludf.DUMMYFUNCTION("""COMPUTED_VALUE"""),0.3)</f>
        <v>0.3</v>
      </c>
      <c r="O218" s="235">
        <f>IFERROR(__xludf.DUMMYFUNCTION("""COMPUTED_VALUE"""),400.0)</f>
        <v>400</v>
      </c>
      <c r="P218" s="235">
        <f>IFERROR(__xludf.DUMMYFUNCTION("""COMPUTED_VALUE"""),0.0)</f>
        <v>0</v>
      </c>
      <c r="Q218" s="235">
        <f>IFERROR(__xludf.DUMMYFUNCTION("""COMPUTED_VALUE"""),0.4)</f>
        <v>0.4</v>
      </c>
      <c r="R218" s="235">
        <f>IFERROR(__xludf.DUMMYFUNCTION("""COMPUTED_VALUE"""),100.0)</f>
        <v>100</v>
      </c>
      <c r="S218" s="235">
        <f>IFERROR(__xludf.DUMMYFUNCTION("""COMPUTED_VALUE"""),1.0)</f>
        <v>1</v>
      </c>
      <c r="T218" s="244" t="str">
        <f>IFERROR(__xludf.DUMMYFUNCTION("""COMPUTED_VALUE"""),"1.13")</f>
        <v>1.13</v>
      </c>
      <c r="U218" s="235" t="str">
        <f>IFERROR(__xludf.DUMMYFUNCTION("""COMPUTED_VALUE"""),"0.50")</f>
        <v>0.50</v>
      </c>
      <c r="V218" s="235"/>
      <c r="W218" s="235" t="str">
        <f>IFERROR(__xludf.DUMMYFUNCTION("""COMPUTED_VALUE"""),"2.20")</f>
        <v>2.20</v>
      </c>
      <c r="X218" s="235" t="str">
        <f>IFERROR(__xludf.DUMMYFUNCTION("""COMPUTED_VALUE"""),"1.00")</f>
        <v>1.00</v>
      </c>
      <c r="Y218" s="235" t="str">
        <f>IFERROR(__xludf.DUMMYFUNCTION("""COMPUTED_VALUE"""),"10秒間、場面全体の敵攻撃を20%UP+アタックロールの敵の体力を30%回復")</f>
        <v>10秒間、場面全体の敵攻撃を20%UP+アタックロールの敵の体力を30%回復</v>
      </c>
      <c r="Z218" s="235"/>
      <c r="AA218" s="235"/>
      <c r="AB218" s="235" t="str">
        <f>IFERROR(__xludf.DUMMYFUNCTION("""COMPUTED_VALUE"""),"zangeki_1")</f>
        <v>zangeki_1</v>
      </c>
      <c r="AC218" s="235"/>
    </row>
    <row r="219">
      <c r="A219" s="235"/>
      <c r="B219" s="235" t="str">
        <f>IFERROR(__xludf.DUMMYFUNCTION("""COMPUTED_VALUE"""),"chara_sum_00201")</f>
        <v>chara_sum_00201</v>
      </c>
      <c r="C219" s="254" t="str">
        <f>IFERROR(__xludf.DUMMYFUNCTION("""COMPUTED_VALUE"""),"_general_sum_vh2")</f>
        <v>_general_sum_vh2</v>
      </c>
      <c r="D219" s="254" t="str">
        <f>IFERROR(__xludf.DUMMYFUNCTION("""COMPUTED_VALUE"""),"c_sum_00201_general_sum_vh2_Boss_Green")</f>
        <v>c_sum_00201_general_sum_vh2_Boss_Green</v>
      </c>
      <c r="E219" s="254" t="str">
        <f>IFERROR(__xludf.DUMMYFUNCTION("""COMPUTED_VALUE"""),"サマータイムレンダ")</f>
        <v>サマータイムレンダ</v>
      </c>
      <c r="F219" s="254" t="str">
        <f>IFERROR(__xludf.DUMMYFUNCTION("""COMPUTED_VALUE"""),"小舟 澪")</f>
        <v>小舟 澪</v>
      </c>
      <c r="G219" s="254" t="str">
        <f>IFERROR(__xludf.DUMMYFUNCTION("""COMPUTED_VALUE"""),"小舟 澪_general_sum_vh2")</f>
        <v>小舟 澪_general_sum_vh2</v>
      </c>
      <c r="H219" s="235" t="str">
        <f>IFERROR(__xludf.DUMMYFUNCTION("""COMPUTED_VALUE"""),"Boss")</f>
        <v>Boss</v>
      </c>
      <c r="I219" s="235" t="str">
        <f>IFERROR(__xludf.DUMMYFUNCTION("""COMPUTED_VALUE"""),"Defense")</f>
        <v>Defense</v>
      </c>
      <c r="J219" s="235" t="str">
        <f>IFERROR(__xludf.DUMMYFUNCTION("""COMPUTED_VALUE"""),"Green")</f>
        <v>Green</v>
      </c>
      <c r="K219" s="235">
        <f>IFERROR(__xludf.DUMMYFUNCTION("""COMPUTED_VALUE"""),750000.0)</f>
        <v>750000</v>
      </c>
      <c r="L219" s="235">
        <f>IFERROR(__xludf.DUMMYFUNCTION("""COMPUTED_VALUE"""),2.0)</f>
        <v>2</v>
      </c>
      <c r="M219" s="235">
        <f>IFERROR(__xludf.DUMMYFUNCTION("""COMPUTED_VALUE"""),65.0)</f>
        <v>65</v>
      </c>
      <c r="N219" s="235">
        <f>IFERROR(__xludf.DUMMYFUNCTION("""COMPUTED_VALUE"""),0.11)</f>
        <v>0.11</v>
      </c>
      <c r="O219" s="235">
        <f>IFERROR(__xludf.DUMMYFUNCTION("""COMPUTED_VALUE"""),1100.0)</f>
        <v>1100</v>
      </c>
      <c r="P219" s="235">
        <f>IFERROR(__xludf.DUMMYFUNCTION("""COMPUTED_VALUE"""),0.0)</f>
        <v>0</v>
      </c>
      <c r="Q219" s="235">
        <f>IFERROR(__xludf.DUMMYFUNCTION("""COMPUTED_VALUE"""),0.27)</f>
        <v>0.27</v>
      </c>
      <c r="R219" s="235">
        <f>IFERROR(__xludf.DUMMYFUNCTION("""COMPUTED_VALUE"""),1.0)</f>
        <v>1</v>
      </c>
      <c r="S219" s="235">
        <f>IFERROR(__xludf.DUMMYFUNCTION("""COMPUTED_VALUE"""),1.0)</f>
        <v>1</v>
      </c>
      <c r="T219" s="244" t="str">
        <f>IFERROR(__xludf.DUMMYFUNCTION("""COMPUTED_VALUE"""),"2.37")</f>
        <v>2.37</v>
      </c>
      <c r="U219" s="235" t="str">
        <f>IFERROR(__xludf.DUMMYFUNCTION("""COMPUTED_VALUE"""),"stop有 :1回目 0.67")</f>
        <v>stop有 :1回目 0.67</v>
      </c>
      <c r="V219" s="235"/>
      <c r="W219" s="235" t="str">
        <f>IFERROR(__xludf.DUMMYFUNCTION("""COMPUTED_VALUE"""),"3.67")</f>
        <v>3.67</v>
      </c>
      <c r="X219" s="235" t="str">
        <f>IFERROR(__xludf.DUMMYFUNCTION("""COMPUTED_VALUE"""),"stop有 :1回目 1.70")</f>
        <v>stop有 :1回目 1.70</v>
      </c>
      <c r="Y219" s="235" t="str">
        <f>IFERROR(__xludf.DUMMYFUNCTION("""COMPUTED_VALUE"""),"小ノックバック")</f>
        <v>小ノックバック</v>
      </c>
      <c r="Z219" s="235"/>
      <c r="AA219" s="235"/>
      <c r="AB219" s="235" t="str">
        <f>IFERROR(__xludf.DUMMYFUNCTION("""COMPUTED_VALUE"""),"dageki_1")</f>
        <v>dageki_1</v>
      </c>
      <c r="AC219" s="235"/>
    </row>
    <row r="220">
      <c r="A220" s="235"/>
      <c r="B220" s="235" t="str">
        <f>IFERROR(__xludf.DUMMYFUNCTION("""COMPUTED_VALUE"""),"chara_sum_00201")</f>
        <v>chara_sum_00201</v>
      </c>
      <c r="C220" s="254" t="str">
        <f>IFERROR(__xludf.DUMMYFUNCTION("""COMPUTED_VALUE"""),"_general_sum_vh3")</f>
        <v>_general_sum_vh3</v>
      </c>
      <c r="D220" s="254" t="str">
        <f>IFERROR(__xludf.DUMMYFUNCTION("""COMPUTED_VALUE"""),"c_sum_00201_general_sum_vh3_Normal_Green")</f>
        <v>c_sum_00201_general_sum_vh3_Normal_Green</v>
      </c>
      <c r="E220" s="254" t="str">
        <f>IFERROR(__xludf.DUMMYFUNCTION("""COMPUTED_VALUE"""),"サマータイムレンダ")</f>
        <v>サマータイムレンダ</v>
      </c>
      <c r="F220" s="254" t="str">
        <f>IFERROR(__xludf.DUMMYFUNCTION("""COMPUTED_VALUE"""),"小舟 澪")</f>
        <v>小舟 澪</v>
      </c>
      <c r="G220" s="254" t="str">
        <f>IFERROR(__xludf.DUMMYFUNCTION("""COMPUTED_VALUE"""),"小舟 澪_general_sum_vh3")</f>
        <v>小舟 澪_general_sum_vh3</v>
      </c>
      <c r="H220" s="235" t="str">
        <f>IFERROR(__xludf.DUMMYFUNCTION("""COMPUTED_VALUE"""),"Normal")</f>
        <v>Normal</v>
      </c>
      <c r="I220" s="235" t="str">
        <f>IFERROR(__xludf.DUMMYFUNCTION("""COMPUTED_VALUE"""),"Defense")</f>
        <v>Defense</v>
      </c>
      <c r="J220" s="235" t="str">
        <f>IFERROR(__xludf.DUMMYFUNCTION("""COMPUTED_VALUE"""),"Green")</f>
        <v>Green</v>
      </c>
      <c r="K220" s="235">
        <f>IFERROR(__xludf.DUMMYFUNCTION("""COMPUTED_VALUE"""),200000.0)</f>
        <v>200000</v>
      </c>
      <c r="L220" s="235">
        <f>IFERROR(__xludf.DUMMYFUNCTION("""COMPUTED_VALUE"""),2.0)</f>
        <v>2</v>
      </c>
      <c r="M220" s="235">
        <f>IFERROR(__xludf.DUMMYFUNCTION("""COMPUTED_VALUE"""),65.0)</f>
        <v>65</v>
      </c>
      <c r="N220" s="235">
        <f>IFERROR(__xludf.DUMMYFUNCTION("""COMPUTED_VALUE"""),0.11)</f>
        <v>0.11</v>
      </c>
      <c r="O220" s="235">
        <f>IFERROR(__xludf.DUMMYFUNCTION("""COMPUTED_VALUE"""),1100.0)</f>
        <v>1100</v>
      </c>
      <c r="P220" s="235">
        <f>IFERROR(__xludf.DUMMYFUNCTION("""COMPUTED_VALUE"""),0.0)</f>
        <v>0</v>
      </c>
      <c r="Q220" s="235">
        <f>IFERROR(__xludf.DUMMYFUNCTION("""COMPUTED_VALUE"""),0.27)</f>
        <v>0.27</v>
      </c>
      <c r="R220" s="235">
        <f>IFERROR(__xludf.DUMMYFUNCTION("""COMPUTED_VALUE"""),1.0)</f>
        <v>1</v>
      </c>
      <c r="S220" s="235">
        <f>IFERROR(__xludf.DUMMYFUNCTION("""COMPUTED_VALUE"""),1.0)</f>
        <v>1</v>
      </c>
      <c r="T220" s="244" t="str">
        <f>IFERROR(__xludf.DUMMYFUNCTION("""COMPUTED_VALUE"""),"2.37")</f>
        <v>2.37</v>
      </c>
      <c r="U220" s="235" t="str">
        <f>IFERROR(__xludf.DUMMYFUNCTION("""COMPUTED_VALUE"""),"stop有 :1回目 0.67")</f>
        <v>stop有 :1回目 0.67</v>
      </c>
      <c r="V220" s="235"/>
      <c r="W220" s="235" t="str">
        <f>IFERROR(__xludf.DUMMYFUNCTION("""COMPUTED_VALUE"""),"3.67")</f>
        <v>3.67</v>
      </c>
      <c r="X220" s="235" t="str">
        <f>IFERROR(__xludf.DUMMYFUNCTION("""COMPUTED_VALUE"""),"stop有 :1回目 1.70")</f>
        <v>stop有 :1回目 1.70</v>
      </c>
      <c r="Y220" s="235" t="str">
        <f>IFERROR(__xludf.DUMMYFUNCTION("""COMPUTED_VALUE"""),"小ノックバック")</f>
        <v>小ノックバック</v>
      </c>
      <c r="Z220" s="235"/>
      <c r="AA220" s="235"/>
      <c r="AB220" s="235" t="str">
        <f>IFERROR(__xludf.DUMMYFUNCTION("""COMPUTED_VALUE"""),"dageki_1")</f>
        <v>dageki_1</v>
      </c>
      <c r="AC220" s="235"/>
    </row>
    <row r="221">
      <c r="A221" s="235"/>
      <c r="B221" s="235"/>
      <c r="C221" s="254"/>
      <c r="D221" s="254" t="str">
        <f>IFERROR(__xludf.DUMMYFUNCTION("""COMPUTED_VALUE"""),"___")</f>
        <v>___</v>
      </c>
      <c r="E221" s="254" t="str">
        <f>IFERROR(__xludf.DUMMYFUNCTION("""COMPUTED_VALUE"""),"none")</f>
        <v>none</v>
      </c>
      <c r="F221" s="254" t="str">
        <f>IFERROR(__xludf.DUMMYFUNCTION("""COMPUTED_VALUE"""),"none")</f>
        <v>none</v>
      </c>
      <c r="G221" s="254" t="str">
        <f>IFERROR(__xludf.DUMMYFUNCTION("""COMPUTED_VALUE"""),"none")</f>
        <v>none</v>
      </c>
      <c r="H221" s="235"/>
      <c r="I221" s="235" t="str">
        <f>IFERROR(__xludf.DUMMYFUNCTION("""COMPUTED_VALUE"""),"none")</f>
        <v>none</v>
      </c>
      <c r="J221" s="235"/>
      <c r="K221" s="235"/>
      <c r="L221" s="235"/>
      <c r="M221" s="235"/>
      <c r="N221" s="235"/>
      <c r="O221" s="235"/>
      <c r="P221" s="235"/>
      <c r="Q221" s="235"/>
      <c r="R221" s="235"/>
      <c r="S221" s="235"/>
      <c r="T221" s="244" t="str">
        <f>IFERROR(__xludf.DUMMYFUNCTION("""COMPUTED_VALUE"""),"none")</f>
        <v>none</v>
      </c>
      <c r="U221" s="235" t="str">
        <f>IFERROR(__xludf.DUMMYFUNCTION("""COMPUTED_VALUE"""),"none")</f>
        <v>none</v>
      </c>
      <c r="V221" s="235"/>
      <c r="W221" s="235" t="str">
        <f>IFERROR(__xludf.DUMMYFUNCTION("""COMPUTED_VALUE"""),"none")</f>
        <v>none</v>
      </c>
      <c r="X221" s="235" t="str">
        <f>IFERROR(__xludf.DUMMYFUNCTION("""COMPUTED_VALUE"""),"none")</f>
        <v>none</v>
      </c>
      <c r="Y221" s="235"/>
      <c r="Z221" s="235"/>
      <c r="AA221" s="235"/>
      <c r="AB221" s="235" t="str">
        <f>IFERROR(__xludf.DUMMYFUNCTION("""COMPUTED_VALUE"""),"none")</f>
        <v>none</v>
      </c>
      <c r="AC221" s="235"/>
    </row>
    <row r="222">
      <c r="A222" s="235"/>
      <c r="B222" s="235" t="str">
        <f>IFERROR(__xludf.DUMMYFUNCTION("""COMPUTED_VALUE"""),"enemy_kai_00301")</f>
        <v>enemy_kai_00301</v>
      </c>
      <c r="C222" s="254" t="str">
        <f>IFERROR(__xludf.DUMMYFUNCTION("""COMPUTED_VALUE"""),"_general_1")</f>
        <v>_general_1</v>
      </c>
      <c r="D222" s="254" t="str">
        <f>IFERROR(__xludf.DUMMYFUNCTION("""COMPUTED_VALUE"""),"e_kai_00301_general_1_Normal_Colorless")</f>
        <v>e_kai_00301_general_1_Normal_Colorless</v>
      </c>
      <c r="E222" s="254" t="str">
        <f>IFERROR(__xludf.DUMMYFUNCTION("""COMPUTED_VALUE"""),"怪獣８号")</f>
        <v>怪獣８号</v>
      </c>
      <c r="F222" s="254" t="str">
        <f>IFERROR(__xludf.DUMMYFUNCTION("""COMPUTED_VALUE"""),"蜘蛛の怪獣")</f>
        <v>蜘蛛の怪獣</v>
      </c>
      <c r="G222" s="254" t="str">
        <f>IFERROR(__xludf.DUMMYFUNCTION("""COMPUTED_VALUE"""),"蜘蛛の怪獣_general_1")</f>
        <v>蜘蛛の怪獣_general_1</v>
      </c>
      <c r="H222" s="235" t="str">
        <f>IFERROR(__xludf.DUMMYFUNCTION("""COMPUTED_VALUE"""),"Normal")</f>
        <v>Normal</v>
      </c>
      <c r="I222" s="235" t="str">
        <f>IFERROR(__xludf.DUMMYFUNCTION("""COMPUTED_VALUE"""),"Defense")</f>
        <v>Defense</v>
      </c>
      <c r="J222" s="235" t="str">
        <f>IFERROR(__xludf.DUMMYFUNCTION("""COMPUTED_VALUE"""),"Colorless")</f>
        <v>Colorless</v>
      </c>
      <c r="K222" s="235">
        <f>IFERROR(__xludf.DUMMYFUNCTION("""COMPUTED_VALUE"""),150000.0)</f>
        <v>150000</v>
      </c>
      <c r="L222" s="235">
        <f>IFERROR(__xludf.DUMMYFUNCTION("""COMPUTED_VALUE"""),2.0)</f>
        <v>2</v>
      </c>
      <c r="M222" s="235">
        <f>IFERROR(__xludf.DUMMYFUNCTION("""COMPUTED_VALUE"""),45.0)</f>
        <v>45</v>
      </c>
      <c r="N222" s="235">
        <f>IFERROR(__xludf.DUMMYFUNCTION("""COMPUTED_VALUE"""),0.2)</f>
        <v>0.2</v>
      </c>
      <c r="O222" s="235">
        <f>IFERROR(__xludf.DUMMYFUNCTION("""COMPUTED_VALUE"""),600.0)</f>
        <v>600</v>
      </c>
      <c r="P222" s="235">
        <f>IFERROR(__xludf.DUMMYFUNCTION("""COMPUTED_VALUE"""),0.0)</f>
        <v>0</v>
      </c>
      <c r="Q222" s="235">
        <f>IFERROR(__xludf.DUMMYFUNCTION("""COMPUTED_VALUE"""),0.2)</f>
        <v>0.2</v>
      </c>
      <c r="R222" s="235">
        <f>IFERROR(__xludf.DUMMYFUNCTION("""COMPUTED_VALUE"""),1.0)</f>
        <v>1</v>
      </c>
      <c r="S222" s="235">
        <f>IFERROR(__xludf.DUMMYFUNCTION("""COMPUTED_VALUE"""),10.0)</f>
        <v>10</v>
      </c>
      <c r="T222" s="244" t="str">
        <f>IFERROR(__xludf.DUMMYFUNCTION("""COMPUTED_VALUE"""),"1.00")</f>
        <v>1.00</v>
      </c>
      <c r="U222" s="235" t="str">
        <f>IFERROR(__xludf.DUMMYFUNCTION("""COMPUTED_VALUE"""),"0.40")</f>
        <v>0.40</v>
      </c>
      <c r="V222" s="235">
        <f>IFERROR(__xludf.DUMMYFUNCTION("""COMPUTED_VALUE"""),75.0)</f>
        <v>75</v>
      </c>
      <c r="W222" s="235" t="str">
        <f>IFERROR(__xludf.DUMMYFUNCTION("""COMPUTED_VALUE"""),"-")</f>
        <v>-</v>
      </c>
      <c r="X222" s="235" t="str">
        <f>IFERROR(__xludf.DUMMYFUNCTION("""COMPUTED_VALUE"""),"-")</f>
        <v>-</v>
      </c>
      <c r="Y222" s="235"/>
      <c r="Z222" s="235" t="str">
        <f>IFERROR(__xludf.DUMMYFUNCTION("""COMPUTED_VALUE"""),"-")</f>
        <v>-</v>
      </c>
      <c r="AA222" s="235"/>
      <c r="AB222" s="235" t="str">
        <f>IFERROR(__xludf.DUMMYFUNCTION("""COMPUTED_VALUE"""),"dageki_1")</f>
        <v>dageki_1</v>
      </c>
      <c r="AC222" s="235"/>
    </row>
    <row r="223">
      <c r="A223" s="235"/>
      <c r="B223" s="235" t="str">
        <f>IFERROR(__xludf.DUMMYFUNCTION("""COMPUTED_VALUE"""),"enemy_kai_00301")</f>
        <v>enemy_kai_00301</v>
      </c>
      <c r="C223" s="254" t="str">
        <f>IFERROR(__xludf.DUMMYFUNCTION("""COMPUTED_VALUE"""),"_general_1")</f>
        <v>_general_1</v>
      </c>
      <c r="D223" s="254" t="str">
        <f>IFERROR(__xludf.DUMMYFUNCTION("""COMPUTED_VALUE"""),"e_kai_00301_general_1_Boss_Green")</f>
        <v>e_kai_00301_general_1_Boss_Green</v>
      </c>
      <c r="E223" s="254" t="str">
        <f>IFERROR(__xludf.DUMMYFUNCTION("""COMPUTED_VALUE"""),"怪獣８号")</f>
        <v>怪獣８号</v>
      </c>
      <c r="F223" s="254" t="str">
        <f>IFERROR(__xludf.DUMMYFUNCTION("""COMPUTED_VALUE"""),"蜘蛛の怪獣")</f>
        <v>蜘蛛の怪獣</v>
      </c>
      <c r="G223" s="254" t="str">
        <f>IFERROR(__xludf.DUMMYFUNCTION("""COMPUTED_VALUE"""),"蜘蛛の怪獣_general_1")</f>
        <v>蜘蛛の怪獣_general_1</v>
      </c>
      <c r="H223" s="235" t="str">
        <f>IFERROR(__xludf.DUMMYFUNCTION("""COMPUTED_VALUE"""),"Boss")</f>
        <v>Boss</v>
      </c>
      <c r="I223" s="235" t="str">
        <f>IFERROR(__xludf.DUMMYFUNCTION("""COMPUTED_VALUE"""),"Attack")</f>
        <v>Attack</v>
      </c>
      <c r="J223" s="235" t="str">
        <f>IFERROR(__xludf.DUMMYFUNCTION("""COMPUTED_VALUE"""),"Green")</f>
        <v>Green</v>
      </c>
      <c r="K223" s="235">
        <f>IFERROR(__xludf.DUMMYFUNCTION("""COMPUTED_VALUE"""),400000.0)</f>
        <v>400000</v>
      </c>
      <c r="L223" s="235">
        <f>IFERROR(__xludf.DUMMYFUNCTION("""COMPUTED_VALUE"""),3.0)</f>
        <v>3</v>
      </c>
      <c r="M223" s="235">
        <f>IFERROR(__xludf.DUMMYFUNCTION("""COMPUTED_VALUE"""),45.0)</f>
        <v>45</v>
      </c>
      <c r="N223" s="235">
        <f>IFERROR(__xludf.DUMMYFUNCTION("""COMPUTED_VALUE"""),0.2)</f>
        <v>0.2</v>
      </c>
      <c r="O223" s="235">
        <f>IFERROR(__xludf.DUMMYFUNCTION("""COMPUTED_VALUE"""),1200.0)</f>
        <v>1200</v>
      </c>
      <c r="P223" s="235">
        <f>IFERROR(__xludf.DUMMYFUNCTION("""COMPUTED_VALUE"""),0.0)</f>
        <v>0</v>
      </c>
      <c r="Q223" s="235">
        <f>IFERROR(__xludf.DUMMYFUNCTION("""COMPUTED_VALUE"""),0.2)</f>
        <v>0.2</v>
      </c>
      <c r="R223" s="235">
        <f>IFERROR(__xludf.DUMMYFUNCTION("""COMPUTED_VALUE"""),1.0)</f>
        <v>1</v>
      </c>
      <c r="S223" s="235">
        <f>IFERROR(__xludf.DUMMYFUNCTION("""COMPUTED_VALUE"""),10.0)</f>
        <v>10</v>
      </c>
      <c r="T223" s="244" t="str">
        <f>IFERROR(__xludf.DUMMYFUNCTION("""COMPUTED_VALUE"""),"1.00")</f>
        <v>1.00</v>
      </c>
      <c r="U223" s="235" t="str">
        <f>IFERROR(__xludf.DUMMYFUNCTION("""COMPUTED_VALUE"""),"0.40")</f>
        <v>0.40</v>
      </c>
      <c r="V223" s="235">
        <f>IFERROR(__xludf.DUMMYFUNCTION("""COMPUTED_VALUE"""),100.0)</f>
        <v>100</v>
      </c>
      <c r="W223" s="235" t="str">
        <f>IFERROR(__xludf.DUMMYFUNCTION("""COMPUTED_VALUE"""),"-")</f>
        <v>-</v>
      </c>
      <c r="X223" s="235" t="str">
        <f>IFERROR(__xludf.DUMMYFUNCTION("""COMPUTED_VALUE"""),"-")</f>
        <v>-</v>
      </c>
      <c r="Y223" s="235"/>
      <c r="Z223" s="235" t="str">
        <f>IFERROR(__xludf.DUMMYFUNCTION("""COMPUTED_VALUE"""),"-")</f>
        <v>-</v>
      </c>
      <c r="AA223" s="235"/>
      <c r="AB223" s="235" t="str">
        <f>IFERROR(__xludf.DUMMYFUNCTION("""COMPUTED_VALUE"""),"dageki_1")</f>
        <v>dageki_1</v>
      </c>
      <c r="AC223" s="235"/>
    </row>
    <row r="224">
      <c r="A224" s="235"/>
      <c r="B224" s="235" t="str">
        <f>IFERROR(__xludf.DUMMYFUNCTION("""COMPUTED_VALUE"""),"enemy_kai_00301")</f>
        <v>enemy_kai_00301</v>
      </c>
      <c r="C224" s="254" t="str">
        <f>IFERROR(__xludf.DUMMYFUNCTION("""COMPUTED_VALUE"""),"_general")</f>
        <v>_general</v>
      </c>
      <c r="D224" s="254" t="str">
        <f>IFERROR(__xludf.DUMMYFUNCTION("""COMPUTED_VALUE"""),"e_kai_00301_general_Normal_Colorless")</f>
        <v>e_kai_00301_general_Normal_Colorless</v>
      </c>
      <c r="E224" s="254" t="str">
        <f>IFERROR(__xludf.DUMMYFUNCTION("""COMPUTED_VALUE"""),"怪獣８号")</f>
        <v>怪獣８号</v>
      </c>
      <c r="F224" s="254" t="str">
        <f>IFERROR(__xludf.DUMMYFUNCTION("""COMPUTED_VALUE"""),"蜘蛛の怪獣")</f>
        <v>蜘蛛の怪獣</v>
      </c>
      <c r="G224" s="254" t="str">
        <f>IFERROR(__xludf.DUMMYFUNCTION("""COMPUTED_VALUE"""),"蜘蛛の怪獣_general")</f>
        <v>蜘蛛の怪獣_general</v>
      </c>
      <c r="H224" s="235" t="str">
        <f>IFERROR(__xludf.DUMMYFUNCTION("""COMPUTED_VALUE"""),"Normal")</f>
        <v>Normal</v>
      </c>
      <c r="I224" s="235" t="str">
        <f>IFERROR(__xludf.DUMMYFUNCTION("""COMPUTED_VALUE"""),"Defense")</f>
        <v>Defense</v>
      </c>
      <c r="J224" s="235" t="str">
        <f>IFERROR(__xludf.DUMMYFUNCTION("""COMPUTED_VALUE"""),"Colorless")</f>
        <v>Colorless</v>
      </c>
      <c r="K224" s="235">
        <f>IFERROR(__xludf.DUMMYFUNCTION("""COMPUTED_VALUE"""),20000.0)</f>
        <v>20000</v>
      </c>
      <c r="L224" s="235">
        <f>IFERROR(__xludf.DUMMYFUNCTION("""COMPUTED_VALUE"""),2.0)</f>
        <v>2</v>
      </c>
      <c r="M224" s="235">
        <f>IFERROR(__xludf.DUMMYFUNCTION("""COMPUTED_VALUE"""),45.0)</f>
        <v>45</v>
      </c>
      <c r="N224" s="235">
        <f>IFERROR(__xludf.DUMMYFUNCTION("""COMPUTED_VALUE"""),0.2)</f>
        <v>0.2</v>
      </c>
      <c r="O224" s="235">
        <f>IFERROR(__xludf.DUMMYFUNCTION("""COMPUTED_VALUE"""),500.0)</f>
        <v>500</v>
      </c>
      <c r="P224" s="235">
        <f>IFERROR(__xludf.DUMMYFUNCTION("""COMPUTED_VALUE"""),0.0)</f>
        <v>0</v>
      </c>
      <c r="Q224" s="235">
        <f>IFERROR(__xludf.DUMMYFUNCTION("""COMPUTED_VALUE"""),0.3)</f>
        <v>0.3</v>
      </c>
      <c r="R224" s="235">
        <f>IFERROR(__xludf.DUMMYFUNCTION("""COMPUTED_VALUE"""),1.0)</f>
        <v>1</v>
      </c>
      <c r="S224" s="235">
        <f>IFERROR(__xludf.DUMMYFUNCTION("""COMPUTED_VALUE"""),10.0)</f>
        <v>10</v>
      </c>
      <c r="T224" s="244" t="str">
        <f>IFERROR(__xludf.DUMMYFUNCTION("""COMPUTED_VALUE"""),"1.00")</f>
        <v>1.00</v>
      </c>
      <c r="U224" s="235" t="str">
        <f>IFERROR(__xludf.DUMMYFUNCTION("""COMPUTED_VALUE"""),"0.40")</f>
        <v>0.40</v>
      </c>
      <c r="V224" s="235">
        <f>IFERROR(__xludf.DUMMYFUNCTION("""COMPUTED_VALUE"""),50.0)</f>
        <v>50</v>
      </c>
      <c r="W224" s="235" t="str">
        <f>IFERROR(__xludf.DUMMYFUNCTION("""COMPUTED_VALUE"""),"-")</f>
        <v>-</v>
      </c>
      <c r="X224" s="235" t="str">
        <f>IFERROR(__xludf.DUMMYFUNCTION("""COMPUTED_VALUE"""),"-")</f>
        <v>-</v>
      </c>
      <c r="Y224" s="235"/>
      <c r="Z224" s="235" t="str">
        <f>IFERROR(__xludf.DUMMYFUNCTION("""COMPUTED_VALUE"""),"-")</f>
        <v>-</v>
      </c>
      <c r="AA224" s="235"/>
      <c r="AB224" s="235" t="str">
        <f>IFERROR(__xludf.DUMMYFUNCTION("""COMPUTED_VALUE"""),"dageki_1")</f>
        <v>dageki_1</v>
      </c>
      <c r="AC224" s="235"/>
    </row>
    <row r="225">
      <c r="A225" s="235"/>
      <c r="B225" s="235" t="str">
        <f>IFERROR(__xludf.DUMMYFUNCTION("""COMPUTED_VALUE"""),"enemy_kai_00301")</f>
        <v>enemy_kai_00301</v>
      </c>
      <c r="C225" s="254" t="str">
        <f>IFERROR(__xludf.DUMMYFUNCTION("""COMPUTED_VALUE"""),"_general")</f>
        <v>_general</v>
      </c>
      <c r="D225" s="254" t="str">
        <f>IFERROR(__xludf.DUMMYFUNCTION("""COMPUTED_VALUE"""),"e_kai_00301_general_Normal_Green")</f>
        <v>e_kai_00301_general_Normal_Green</v>
      </c>
      <c r="E225" s="254" t="str">
        <f>IFERROR(__xludf.DUMMYFUNCTION("""COMPUTED_VALUE"""),"怪獣８号")</f>
        <v>怪獣８号</v>
      </c>
      <c r="F225" s="254" t="str">
        <f>IFERROR(__xludf.DUMMYFUNCTION("""COMPUTED_VALUE"""),"蜘蛛の怪獣")</f>
        <v>蜘蛛の怪獣</v>
      </c>
      <c r="G225" s="254" t="str">
        <f>IFERROR(__xludf.DUMMYFUNCTION("""COMPUTED_VALUE"""),"蜘蛛の怪獣_general")</f>
        <v>蜘蛛の怪獣_general</v>
      </c>
      <c r="H225" s="235" t="str">
        <f>IFERROR(__xludf.DUMMYFUNCTION("""COMPUTED_VALUE"""),"Normal")</f>
        <v>Normal</v>
      </c>
      <c r="I225" s="235" t="str">
        <f>IFERROR(__xludf.DUMMYFUNCTION("""COMPUTED_VALUE"""),"Attack")</f>
        <v>Attack</v>
      </c>
      <c r="J225" s="235" t="str">
        <f>IFERROR(__xludf.DUMMYFUNCTION("""COMPUTED_VALUE"""),"Green")</f>
        <v>Green</v>
      </c>
      <c r="K225" s="235">
        <f>IFERROR(__xludf.DUMMYFUNCTION("""COMPUTED_VALUE"""),45000.0)</f>
        <v>45000</v>
      </c>
      <c r="L225" s="235">
        <f>IFERROR(__xludf.DUMMYFUNCTION("""COMPUTED_VALUE"""),3.0)</f>
        <v>3</v>
      </c>
      <c r="M225" s="235">
        <f>IFERROR(__xludf.DUMMYFUNCTION("""COMPUTED_VALUE"""),45.0)</f>
        <v>45</v>
      </c>
      <c r="N225" s="235">
        <f>IFERROR(__xludf.DUMMYFUNCTION("""COMPUTED_VALUE"""),0.2)</f>
        <v>0.2</v>
      </c>
      <c r="O225" s="235">
        <f>IFERROR(__xludf.DUMMYFUNCTION("""COMPUTED_VALUE"""),750.0)</f>
        <v>750</v>
      </c>
      <c r="P225" s="235">
        <f>IFERROR(__xludf.DUMMYFUNCTION("""COMPUTED_VALUE"""),0.0)</f>
        <v>0</v>
      </c>
      <c r="Q225" s="235">
        <f>IFERROR(__xludf.DUMMYFUNCTION("""COMPUTED_VALUE"""),0.3)</f>
        <v>0.3</v>
      </c>
      <c r="R225" s="235">
        <f>IFERROR(__xludf.DUMMYFUNCTION("""COMPUTED_VALUE"""),1.0)</f>
        <v>1</v>
      </c>
      <c r="S225" s="235">
        <f>IFERROR(__xludf.DUMMYFUNCTION("""COMPUTED_VALUE"""),10.0)</f>
        <v>10</v>
      </c>
      <c r="T225" s="244" t="str">
        <f>IFERROR(__xludf.DUMMYFUNCTION("""COMPUTED_VALUE"""),"1.00")</f>
        <v>1.00</v>
      </c>
      <c r="U225" s="235" t="str">
        <f>IFERROR(__xludf.DUMMYFUNCTION("""COMPUTED_VALUE"""),"0.40")</f>
        <v>0.40</v>
      </c>
      <c r="V225" s="235">
        <f>IFERROR(__xludf.DUMMYFUNCTION("""COMPUTED_VALUE"""),50.0)</f>
        <v>50</v>
      </c>
      <c r="W225" s="235" t="str">
        <f>IFERROR(__xludf.DUMMYFUNCTION("""COMPUTED_VALUE"""),"-")</f>
        <v>-</v>
      </c>
      <c r="X225" s="235" t="str">
        <f>IFERROR(__xludf.DUMMYFUNCTION("""COMPUTED_VALUE"""),"-")</f>
        <v>-</v>
      </c>
      <c r="Y225" s="235"/>
      <c r="Z225" s="235" t="str">
        <f>IFERROR(__xludf.DUMMYFUNCTION("""COMPUTED_VALUE"""),"-")</f>
        <v>-</v>
      </c>
      <c r="AA225" s="235"/>
      <c r="AB225" s="235" t="str">
        <f>IFERROR(__xludf.DUMMYFUNCTION("""COMPUTED_VALUE"""),"dageki_1")</f>
        <v>dageki_1</v>
      </c>
      <c r="AC225" s="235"/>
    </row>
    <row r="226">
      <c r="A226" s="235"/>
      <c r="B226" s="235" t="str">
        <f>IFERROR(__xludf.DUMMYFUNCTION("""COMPUTED_VALUE"""),"enemy_kai_00001")</f>
        <v>enemy_kai_00001</v>
      </c>
      <c r="C226" s="254" t="str">
        <f>IFERROR(__xludf.DUMMYFUNCTION("""COMPUTED_VALUE"""),"_general")</f>
        <v>_general</v>
      </c>
      <c r="D226" s="254" t="str">
        <f>IFERROR(__xludf.DUMMYFUNCTION("""COMPUTED_VALUE"""),"e_kai_00001_general_Normal_Yellow")</f>
        <v>e_kai_00001_general_Normal_Yellow</v>
      </c>
      <c r="E226" s="254" t="str">
        <f>IFERROR(__xludf.DUMMYFUNCTION("""COMPUTED_VALUE"""),"怪獣８号")</f>
        <v>怪獣８号</v>
      </c>
      <c r="F226" s="254" t="str">
        <f>IFERROR(__xludf.DUMMYFUNCTION("""COMPUTED_VALUE"""),"怪獣 本獣")</f>
        <v>怪獣 本獣</v>
      </c>
      <c r="G226" s="254" t="str">
        <f>IFERROR(__xludf.DUMMYFUNCTION("""COMPUTED_VALUE"""),"怪獣 本獣_general")</f>
        <v>怪獣 本獣_general</v>
      </c>
      <c r="H226" s="235" t="str">
        <f>IFERROR(__xludf.DUMMYFUNCTION("""COMPUTED_VALUE"""),"Normal")</f>
        <v>Normal</v>
      </c>
      <c r="I226" s="235" t="str">
        <f>IFERROR(__xludf.DUMMYFUNCTION("""COMPUTED_VALUE"""),"Attack")</f>
        <v>Attack</v>
      </c>
      <c r="J226" s="235" t="str">
        <f>IFERROR(__xludf.DUMMYFUNCTION("""COMPUTED_VALUE"""),"Yellow")</f>
        <v>Yellow</v>
      </c>
      <c r="K226" s="235">
        <f>IFERROR(__xludf.DUMMYFUNCTION("""COMPUTED_VALUE"""),170000.0)</f>
        <v>170000</v>
      </c>
      <c r="L226" s="235">
        <f>IFERROR(__xludf.DUMMYFUNCTION("""COMPUTED_VALUE"""),3.0)</f>
        <v>3</v>
      </c>
      <c r="M226" s="235">
        <f>IFERROR(__xludf.DUMMYFUNCTION("""COMPUTED_VALUE"""),40.0)</f>
        <v>40</v>
      </c>
      <c r="N226" s="235">
        <f>IFERROR(__xludf.DUMMYFUNCTION("""COMPUTED_VALUE"""),0.11)</f>
        <v>0.11</v>
      </c>
      <c r="O226" s="235">
        <f>IFERROR(__xludf.DUMMYFUNCTION("""COMPUTED_VALUE"""),1000.0)</f>
        <v>1000</v>
      </c>
      <c r="P226" s="235">
        <f>IFERROR(__xludf.DUMMYFUNCTION("""COMPUTED_VALUE"""),0.0)</f>
        <v>0</v>
      </c>
      <c r="Q226" s="235">
        <f>IFERROR(__xludf.DUMMYFUNCTION("""COMPUTED_VALUE"""),0.2)</f>
        <v>0.2</v>
      </c>
      <c r="R226" s="235">
        <f>IFERROR(__xludf.DUMMYFUNCTION("""COMPUTED_VALUE"""),100.0)</f>
        <v>100</v>
      </c>
      <c r="S226" s="235">
        <f>IFERROR(__xludf.DUMMYFUNCTION("""COMPUTED_VALUE"""),10.0)</f>
        <v>10</v>
      </c>
      <c r="T226" s="244" t="str">
        <f>IFERROR(__xludf.DUMMYFUNCTION("""COMPUTED_VALUE"""),"2.34")</f>
        <v>2.34</v>
      </c>
      <c r="U226" s="235" t="str">
        <f>IFERROR(__xludf.DUMMYFUNCTION("""COMPUTED_VALUE"""),"stop有:1回目 1.00")</f>
        <v>stop有:1回目 1.00</v>
      </c>
      <c r="V226" s="235">
        <f>IFERROR(__xludf.DUMMYFUNCTION("""COMPUTED_VALUE"""),100.0)</f>
        <v>100</v>
      </c>
      <c r="W226" s="235" t="str">
        <f>IFERROR(__xludf.DUMMYFUNCTION("""COMPUTED_VALUE"""),"-")</f>
        <v>-</v>
      </c>
      <c r="X226" s="235" t="str">
        <f>IFERROR(__xludf.DUMMYFUNCTION("""COMPUTED_VALUE"""),"-")</f>
        <v>-</v>
      </c>
      <c r="Y226" s="235"/>
      <c r="Z226" s="235" t="str">
        <f>IFERROR(__xludf.DUMMYFUNCTION("""COMPUTED_VALUE"""),"-")</f>
        <v>-</v>
      </c>
      <c r="AA226" s="235"/>
      <c r="AB226" s="235" t="str">
        <f>IFERROR(__xludf.DUMMYFUNCTION("""COMPUTED_VALUE"""),"dageki_1")</f>
        <v>dageki_1</v>
      </c>
      <c r="AC226" s="235"/>
    </row>
    <row r="227">
      <c r="A227" s="235"/>
      <c r="B227" s="235" t="str">
        <f>IFERROR(__xludf.DUMMYFUNCTION("""COMPUTED_VALUE"""),"enemy_kai_00001")</f>
        <v>enemy_kai_00001</v>
      </c>
      <c r="C227" s="254" t="str">
        <f>IFERROR(__xludf.DUMMYFUNCTION("""COMPUTED_VALUE"""),"_general")</f>
        <v>_general</v>
      </c>
      <c r="D227" s="254" t="str">
        <f>IFERROR(__xludf.DUMMYFUNCTION("""COMPUTED_VALUE"""),"e_kai_00001_general_Boss_Yellow")</f>
        <v>e_kai_00001_general_Boss_Yellow</v>
      </c>
      <c r="E227" s="254" t="str">
        <f>IFERROR(__xludf.DUMMYFUNCTION("""COMPUTED_VALUE"""),"怪獣８号")</f>
        <v>怪獣８号</v>
      </c>
      <c r="F227" s="254" t="str">
        <f>IFERROR(__xludf.DUMMYFUNCTION("""COMPUTED_VALUE"""),"怪獣 本獣")</f>
        <v>怪獣 本獣</v>
      </c>
      <c r="G227" s="254" t="str">
        <f>IFERROR(__xludf.DUMMYFUNCTION("""COMPUTED_VALUE"""),"怪獣 本獣_general")</f>
        <v>怪獣 本獣_general</v>
      </c>
      <c r="H227" s="235" t="str">
        <f>IFERROR(__xludf.DUMMYFUNCTION("""COMPUTED_VALUE"""),"Boss")</f>
        <v>Boss</v>
      </c>
      <c r="I227" s="235" t="str">
        <f>IFERROR(__xludf.DUMMYFUNCTION("""COMPUTED_VALUE"""),"Attack")</f>
        <v>Attack</v>
      </c>
      <c r="J227" s="235" t="str">
        <f>IFERROR(__xludf.DUMMYFUNCTION("""COMPUTED_VALUE"""),"Yellow")</f>
        <v>Yellow</v>
      </c>
      <c r="K227" s="235">
        <f>IFERROR(__xludf.DUMMYFUNCTION("""COMPUTED_VALUE"""),550000.0)</f>
        <v>550000</v>
      </c>
      <c r="L227" s="235">
        <f>IFERROR(__xludf.DUMMYFUNCTION("""COMPUTED_VALUE"""),2.0)</f>
        <v>2</v>
      </c>
      <c r="M227" s="235">
        <f>IFERROR(__xludf.DUMMYFUNCTION("""COMPUTED_VALUE"""),40.0)</f>
        <v>40</v>
      </c>
      <c r="N227" s="235">
        <f>IFERROR(__xludf.DUMMYFUNCTION("""COMPUTED_VALUE"""),0.11)</f>
        <v>0.11</v>
      </c>
      <c r="O227" s="235">
        <f>IFERROR(__xludf.DUMMYFUNCTION("""COMPUTED_VALUE"""),700.0)</f>
        <v>700</v>
      </c>
      <c r="P227" s="235">
        <f>IFERROR(__xludf.DUMMYFUNCTION("""COMPUTED_VALUE"""),0.0)</f>
        <v>0</v>
      </c>
      <c r="Q227" s="235">
        <f>IFERROR(__xludf.DUMMYFUNCTION("""COMPUTED_VALUE"""),0.3)</f>
        <v>0.3</v>
      </c>
      <c r="R227" s="235">
        <f>IFERROR(__xludf.DUMMYFUNCTION("""COMPUTED_VALUE"""),100.0)</f>
        <v>100</v>
      </c>
      <c r="S227" s="235">
        <f>IFERROR(__xludf.DUMMYFUNCTION("""COMPUTED_VALUE"""),10.0)</f>
        <v>10</v>
      </c>
      <c r="T227" s="244" t="str">
        <f>IFERROR(__xludf.DUMMYFUNCTION("""COMPUTED_VALUE"""),"2.34")</f>
        <v>2.34</v>
      </c>
      <c r="U227" s="235" t="str">
        <f>IFERROR(__xludf.DUMMYFUNCTION("""COMPUTED_VALUE"""),"stop有:1回目 1.00")</f>
        <v>stop有:1回目 1.00</v>
      </c>
      <c r="V227" s="235">
        <f>IFERROR(__xludf.DUMMYFUNCTION("""COMPUTED_VALUE"""),100.0)</f>
        <v>100</v>
      </c>
      <c r="W227" s="235" t="str">
        <f>IFERROR(__xludf.DUMMYFUNCTION("""COMPUTED_VALUE"""),"-")</f>
        <v>-</v>
      </c>
      <c r="X227" s="235" t="str">
        <f>IFERROR(__xludf.DUMMYFUNCTION("""COMPUTED_VALUE"""),"-")</f>
        <v>-</v>
      </c>
      <c r="Y227" s="235"/>
      <c r="Z227" s="235" t="str">
        <f>IFERROR(__xludf.DUMMYFUNCTION("""COMPUTED_VALUE"""),"-")</f>
        <v>-</v>
      </c>
      <c r="AA227" s="235"/>
      <c r="AB227" s="235" t="str">
        <f>IFERROR(__xludf.DUMMYFUNCTION("""COMPUTED_VALUE"""),"dageki_1")</f>
        <v>dageki_1</v>
      </c>
      <c r="AC227" s="235"/>
    </row>
    <row r="228">
      <c r="A228" s="235"/>
      <c r="B228" s="235" t="str">
        <f>IFERROR(__xludf.DUMMYFUNCTION("""COMPUTED_VALUE"""),"enemy_kai_00101")</f>
        <v>enemy_kai_00101</v>
      </c>
      <c r="C228" s="254" t="str">
        <f>IFERROR(__xludf.DUMMYFUNCTION("""COMPUTED_VALUE"""),"_general")</f>
        <v>_general</v>
      </c>
      <c r="D228" s="254" t="str">
        <f>IFERROR(__xludf.DUMMYFUNCTION("""COMPUTED_VALUE"""),"e_kai_00101_general_Normal_Colorless")</f>
        <v>e_kai_00101_general_Normal_Colorless</v>
      </c>
      <c r="E228" s="254" t="str">
        <f>IFERROR(__xludf.DUMMYFUNCTION("""COMPUTED_VALUE"""),"怪獣８号")</f>
        <v>怪獣８号</v>
      </c>
      <c r="F228" s="254" t="str">
        <f>IFERROR(__xludf.DUMMYFUNCTION("""COMPUTED_VALUE"""),"怪獣 余獣")</f>
        <v>怪獣 余獣</v>
      </c>
      <c r="G228" s="254" t="str">
        <f>IFERROR(__xludf.DUMMYFUNCTION("""COMPUTED_VALUE"""),"怪獣 余獣_general")</f>
        <v>怪獣 余獣_general</v>
      </c>
      <c r="H228" s="235" t="str">
        <f>IFERROR(__xludf.DUMMYFUNCTION("""COMPUTED_VALUE"""),"Normal")</f>
        <v>Normal</v>
      </c>
      <c r="I228" s="235" t="str">
        <f>IFERROR(__xludf.DUMMYFUNCTION("""COMPUTED_VALUE"""),"Defense")</f>
        <v>Defense</v>
      </c>
      <c r="J228" s="235" t="str">
        <f>IFERROR(__xludf.DUMMYFUNCTION("""COMPUTED_VALUE"""),"Colorless")</f>
        <v>Colorless</v>
      </c>
      <c r="K228" s="235">
        <f>IFERROR(__xludf.DUMMYFUNCTION("""COMPUTED_VALUE"""),30000.0)</f>
        <v>30000</v>
      </c>
      <c r="L228" s="235">
        <f>IFERROR(__xludf.DUMMYFUNCTION("""COMPUTED_VALUE"""),1.0)</f>
        <v>1</v>
      </c>
      <c r="M228" s="235">
        <f>IFERROR(__xludf.DUMMYFUNCTION("""COMPUTED_VALUE"""),45.0)</f>
        <v>45</v>
      </c>
      <c r="N228" s="235">
        <f>IFERROR(__xludf.DUMMYFUNCTION("""COMPUTED_VALUE"""),0.11)</f>
        <v>0.11</v>
      </c>
      <c r="O228" s="235">
        <f>IFERROR(__xludf.DUMMYFUNCTION("""COMPUTED_VALUE"""),300.0)</f>
        <v>300</v>
      </c>
      <c r="P228" s="235">
        <f>IFERROR(__xludf.DUMMYFUNCTION("""COMPUTED_VALUE"""),0.0)</f>
        <v>0</v>
      </c>
      <c r="Q228" s="235">
        <f>IFERROR(__xludf.DUMMYFUNCTION("""COMPUTED_VALUE"""),0.2)</f>
        <v>0.2</v>
      </c>
      <c r="R228" s="235">
        <f>IFERROR(__xludf.DUMMYFUNCTION("""COMPUTED_VALUE"""),1.0)</f>
        <v>1</v>
      </c>
      <c r="S228" s="235">
        <f>IFERROR(__xludf.DUMMYFUNCTION("""COMPUTED_VALUE"""),10.0)</f>
        <v>10</v>
      </c>
      <c r="T228" s="244" t="str">
        <f>IFERROR(__xludf.DUMMYFUNCTION("""COMPUTED_VALUE"""),"1.23")</f>
        <v>1.23</v>
      </c>
      <c r="U228" s="235" t="str">
        <f>IFERROR(__xludf.DUMMYFUNCTION("""COMPUTED_VALUE"""),"stop有:1回目 0.56")</f>
        <v>stop有:1回目 0.56</v>
      </c>
      <c r="V228" s="235">
        <f>IFERROR(__xludf.DUMMYFUNCTION("""COMPUTED_VALUE"""),75.0)</f>
        <v>75</v>
      </c>
      <c r="W228" s="235" t="str">
        <f>IFERROR(__xludf.DUMMYFUNCTION("""COMPUTED_VALUE"""),"-")</f>
        <v>-</v>
      </c>
      <c r="X228" s="235" t="str">
        <f>IFERROR(__xludf.DUMMYFUNCTION("""COMPUTED_VALUE"""),"-")</f>
        <v>-</v>
      </c>
      <c r="Y228" s="235"/>
      <c r="Z228" s="235" t="str">
        <f>IFERROR(__xludf.DUMMYFUNCTION("""COMPUTED_VALUE"""),"-")</f>
        <v>-</v>
      </c>
      <c r="AA228" s="235"/>
      <c r="AB228" s="235" t="str">
        <f>IFERROR(__xludf.DUMMYFUNCTION("""COMPUTED_VALUE"""),"dageki_1")</f>
        <v>dageki_1</v>
      </c>
      <c r="AC228" s="235"/>
    </row>
    <row r="229">
      <c r="A229" s="235"/>
      <c r="B229" s="235" t="str">
        <f>IFERROR(__xludf.DUMMYFUNCTION("""COMPUTED_VALUE"""),"enemy_kai_00101")</f>
        <v>enemy_kai_00101</v>
      </c>
      <c r="C229" s="254" t="str">
        <f>IFERROR(__xludf.DUMMYFUNCTION("""COMPUTED_VALUE"""),"_general")</f>
        <v>_general</v>
      </c>
      <c r="D229" s="254" t="str">
        <f>IFERROR(__xludf.DUMMYFUNCTION("""COMPUTED_VALUE"""),"e_kai_00101_general_Normal_Yellow")</f>
        <v>e_kai_00101_general_Normal_Yellow</v>
      </c>
      <c r="E229" s="254" t="str">
        <f>IFERROR(__xludf.DUMMYFUNCTION("""COMPUTED_VALUE"""),"怪獣８号")</f>
        <v>怪獣８号</v>
      </c>
      <c r="F229" s="254" t="str">
        <f>IFERROR(__xludf.DUMMYFUNCTION("""COMPUTED_VALUE"""),"怪獣 余獣")</f>
        <v>怪獣 余獣</v>
      </c>
      <c r="G229" s="254" t="str">
        <f>IFERROR(__xludf.DUMMYFUNCTION("""COMPUTED_VALUE"""),"怪獣 余獣_general")</f>
        <v>怪獣 余獣_general</v>
      </c>
      <c r="H229" s="235" t="str">
        <f>IFERROR(__xludf.DUMMYFUNCTION("""COMPUTED_VALUE"""),"Normal")</f>
        <v>Normal</v>
      </c>
      <c r="I229" s="235" t="str">
        <f>IFERROR(__xludf.DUMMYFUNCTION("""COMPUTED_VALUE"""),"Attack")</f>
        <v>Attack</v>
      </c>
      <c r="J229" s="235" t="str">
        <f>IFERROR(__xludf.DUMMYFUNCTION("""COMPUTED_VALUE"""),"Yellow")</f>
        <v>Yellow</v>
      </c>
      <c r="K229" s="235">
        <f>IFERROR(__xludf.DUMMYFUNCTION("""COMPUTED_VALUE"""),200000.0)</f>
        <v>200000</v>
      </c>
      <c r="L229" s="235">
        <f>IFERROR(__xludf.DUMMYFUNCTION("""COMPUTED_VALUE"""),1.0)</f>
        <v>1</v>
      </c>
      <c r="M229" s="235">
        <f>IFERROR(__xludf.DUMMYFUNCTION("""COMPUTED_VALUE"""),45.0)</f>
        <v>45</v>
      </c>
      <c r="N229" s="235">
        <f>IFERROR(__xludf.DUMMYFUNCTION("""COMPUTED_VALUE"""),0.2)</f>
        <v>0.2</v>
      </c>
      <c r="O229" s="235">
        <f>IFERROR(__xludf.DUMMYFUNCTION("""COMPUTED_VALUE"""),800.0)</f>
        <v>800</v>
      </c>
      <c r="P229" s="235">
        <f>IFERROR(__xludf.DUMMYFUNCTION("""COMPUTED_VALUE"""),0.0)</f>
        <v>0</v>
      </c>
      <c r="Q229" s="235">
        <f>IFERROR(__xludf.DUMMYFUNCTION("""COMPUTED_VALUE"""),0.3)</f>
        <v>0.3</v>
      </c>
      <c r="R229" s="235">
        <f>IFERROR(__xludf.DUMMYFUNCTION("""COMPUTED_VALUE"""),1.0)</f>
        <v>1</v>
      </c>
      <c r="S229" s="235">
        <f>IFERROR(__xludf.DUMMYFUNCTION("""COMPUTED_VALUE"""),10.0)</f>
        <v>10</v>
      </c>
      <c r="T229" s="244" t="str">
        <f>IFERROR(__xludf.DUMMYFUNCTION("""COMPUTED_VALUE"""),"1.23")</f>
        <v>1.23</v>
      </c>
      <c r="U229" s="235" t="str">
        <f>IFERROR(__xludf.DUMMYFUNCTION("""COMPUTED_VALUE"""),"stop有:1回目 0.56")</f>
        <v>stop有:1回目 0.56</v>
      </c>
      <c r="V229" s="235">
        <f>IFERROR(__xludf.DUMMYFUNCTION("""COMPUTED_VALUE"""),50.0)</f>
        <v>50</v>
      </c>
      <c r="W229" s="235" t="str">
        <f>IFERROR(__xludf.DUMMYFUNCTION("""COMPUTED_VALUE"""),"-")</f>
        <v>-</v>
      </c>
      <c r="X229" s="235" t="str">
        <f>IFERROR(__xludf.DUMMYFUNCTION("""COMPUTED_VALUE"""),"-")</f>
        <v>-</v>
      </c>
      <c r="Y229" s="235"/>
      <c r="Z229" s="235" t="str">
        <f>IFERROR(__xludf.DUMMYFUNCTION("""COMPUTED_VALUE"""),"-")</f>
        <v>-</v>
      </c>
      <c r="AA229" s="235"/>
      <c r="AB229" s="235" t="str">
        <f>IFERROR(__xludf.DUMMYFUNCTION("""COMPUTED_VALUE"""),"dageki_1")</f>
        <v>dageki_1</v>
      </c>
      <c r="AC229" s="235"/>
    </row>
    <row r="230">
      <c r="A230" s="235"/>
      <c r="B230" s="235" t="str">
        <f>IFERROR(__xludf.DUMMYFUNCTION("""COMPUTED_VALUE"""),"enemy_kai_00101")</f>
        <v>enemy_kai_00101</v>
      </c>
      <c r="C230" s="254" t="str">
        <f>IFERROR(__xludf.DUMMYFUNCTION("""COMPUTED_VALUE"""),"_general")</f>
        <v>_general</v>
      </c>
      <c r="D230" s="254" t="str">
        <f>IFERROR(__xludf.DUMMYFUNCTION("""COMPUTED_VALUE"""),"e_kai_00101_general_Normal_Green")</f>
        <v>e_kai_00101_general_Normal_Green</v>
      </c>
      <c r="E230" s="254" t="str">
        <f>IFERROR(__xludf.DUMMYFUNCTION("""COMPUTED_VALUE"""),"怪獣８号")</f>
        <v>怪獣８号</v>
      </c>
      <c r="F230" s="254" t="str">
        <f>IFERROR(__xludf.DUMMYFUNCTION("""COMPUTED_VALUE"""),"怪獣 余獣")</f>
        <v>怪獣 余獣</v>
      </c>
      <c r="G230" s="254" t="str">
        <f>IFERROR(__xludf.DUMMYFUNCTION("""COMPUTED_VALUE"""),"怪獣 余獣_general")</f>
        <v>怪獣 余獣_general</v>
      </c>
      <c r="H230" s="235" t="str">
        <f>IFERROR(__xludf.DUMMYFUNCTION("""COMPUTED_VALUE"""),"Normal")</f>
        <v>Normal</v>
      </c>
      <c r="I230" s="235" t="str">
        <f>IFERROR(__xludf.DUMMYFUNCTION("""COMPUTED_VALUE"""),"Attack")</f>
        <v>Attack</v>
      </c>
      <c r="J230" s="235" t="str">
        <f>IFERROR(__xludf.DUMMYFUNCTION("""COMPUTED_VALUE"""),"Green")</f>
        <v>Green</v>
      </c>
      <c r="K230" s="235">
        <f>IFERROR(__xludf.DUMMYFUNCTION("""COMPUTED_VALUE"""),80000.0)</f>
        <v>80000</v>
      </c>
      <c r="L230" s="235">
        <f>IFERROR(__xludf.DUMMYFUNCTION("""COMPUTED_VALUE"""),1.0)</f>
        <v>1</v>
      </c>
      <c r="M230" s="235">
        <f>IFERROR(__xludf.DUMMYFUNCTION("""COMPUTED_VALUE"""),45.0)</f>
        <v>45</v>
      </c>
      <c r="N230" s="235">
        <f>IFERROR(__xludf.DUMMYFUNCTION("""COMPUTED_VALUE"""),0.11)</f>
        <v>0.11</v>
      </c>
      <c r="O230" s="235">
        <f>IFERROR(__xludf.DUMMYFUNCTION("""COMPUTED_VALUE"""),800.0)</f>
        <v>800</v>
      </c>
      <c r="P230" s="235">
        <f>IFERROR(__xludf.DUMMYFUNCTION("""COMPUTED_VALUE"""),0.0)</f>
        <v>0</v>
      </c>
      <c r="Q230" s="235">
        <f>IFERROR(__xludf.DUMMYFUNCTION("""COMPUTED_VALUE"""),0.2)</f>
        <v>0.2</v>
      </c>
      <c r="R230" s="235">
        <f>IFERROR(__xludf.DUMMYFUNCTION("""COMPUTED_VALUE"""),1.0)</f>
        <v>1</v>
      </c>
      <c r="S230" s="235">
        <f>IFERROR(__xludf.DUMMYFUNCTION("""COMPUTED_VALUE"""),10.0)</f>
        <v>10</v>
      </c>
      <c r="T230" s="244" t="str">
        <f>IFERROR(__xludf.DUMMYFUNCTION("""COMPUTED_VALUE"""),"1.23")</f>
        <v>1.23</v>
      </c>
      <c r="U230" s="235" t="str">
        <f>IFERROR(__xludf.DUMMYFUNCTION("""COMPUTED_VALUE"""),"stop有:1回目 0.56")</f>
        <v>stop有:1回目 0.56</v>
      </c>
      <c r="V230" s="235">
        <f>IFERROR(__xludf.DUMMYFUNCTION("""COMPUTED_VALUE"""),75.0)</f>
        <v>75</v>
      </c>
      <c r="W230" s="235" t="str">
        <f>IFERROR(__xludf.DUMMYFUNCTION("""COMPUTED_VALUE"""),"-")</f>
        <v>-</v>
      </c>
      <c r="X230" s="235" t="str">
        <f>IFERROR(__xludf.DUMMYFUNCTION("""COMPUTED_VALUE"""),"-")</f>
        <v>-</v>
      </c>
      <c r="Y230" s="235"/>
      <c r="Z230" s="235" t="str">
        <f>IFERROR(__xludf.DUMMYFUNCTION("""COMPUTED_VALUE"""),"-")</f>
        <v>-</v>
      </c>
      <c r="AA230" s="235"/>
      <c r="AB230" s="235" t="str">
        <f>IFERROR(__xludf.DUMMYFUNCTION("""COMPUTED_VALUE"""),"dageki_1")</f>
        <v>dageki_1</v>
      </c>
      <c r="AC230" s="235"/>
    </row>
    <row r="231">
      <c r="A231" s="235"/>
      <c r="B231" s="235" t="str">
        <f>IFERROR(__xludf.DUMMYFUNCTION("""COMPUTED_VALUE"""),"enemy_kai_00201")</f>
        <v>enemy_kai_00201</v>
      </c>
      <c r="C231" s="254" t="str">
        <f>IFERROR(__xludf.DUMMYFUNCTION("""COMPUTED_VALUE"""),"_general")</f>
        <v>_general</v>
      </c>
      <c r="D231" s="254" t="str">
        <f>IFERROR(__xludf.DUMMYFUNCTION("""COMPUTED_VALUE"""),"e_kai_00201_general_Boss_Yellow")</f>
        <v>e_kai_00201_general_Boss_Yellow</v>
      </c>
      <c r="E231" s="254" t="str">
        <f>IFERROR(__xludf.DUMMYFUNCTION("""COMPUTED_VALUE"""),"怪獣８号")</f>
        <v>怪獣８号</v>
      </c>
      <c r="F231" s="254" t="str">
        <f>IFERROR(__xludf.DUMMYFUNCTION("""COMPUTED_VALUE"""),"怪獣９号")</f>
        <v>怪獣９号</v>
      </c>
      <c r="G231" s="254" t="str">
        <f>IFERROR(__xludf.DUMMYFUNCTION("""COMPUTED_VALUE"""),"怪獣９号_general")</f>
        <v>怪獣９号_general</v>
      </c>
      <c r="H231" s="235" t="str">
        <f>IFERROR(__xludf.DUMMYFUNCTION("""COMPUTED_VALUE"""),"Boss")</f>
        <v>Boss</v>
      </c>
      <c r="I231" s="235" t="str">
        <f>IFERROR(__xludf.DUMMYFUNCTION("""COMPUTED_VALUE"""),"Technical")</f>
        <v>Technical</v>
      </c>
      <c r="J231" s="235" t="str">
        <f>IFERROR(__xludf.DUMMYFUNCTION("""COMPUTED_VALUE"""),"Yellow")</f>
        <v>Yellow</v>
      </c>
      <c r="K231" s="235">
        <f>IFERROR(__xludf.DUMMYFUNCTION("""COMPUTED_VALUE"""),450000.0)</f>
        <v>450000</v>
      </c>
      <c r="L231" s="235">
        <f>IFERROR(__xludf.DUMMYFUNCTION("""COMPUTED_VALUE"""),1.0)</f>
        <v>1</v>
      </c>
      <c r="M231" s="235">
        <f>IFERROR(__xludf.DUMMYFUNCTION("""COMPUTED_VALUE"""),55.0)</f>
        <v>55</v>
      </c>
      <c r="N231" s="235">
        <f>IFERROR(__xludf.DUMMYFUNCTION("""COMPUTED_VALUE"""),0.11)</f>
        <v>0.11</v>
      </c>
      <c r="O231" s="235">
        <f>IFERROR(__xludf.DUMMYFUNCTION("""COMPUTED_VALUE"""),1200.0)</f>
        <v>1200</v>
      </c>
      <c r="P231" s="235">
        <f>IFERROR(__xludf.DUMMYFUNCTION("""COMPUTED_VALUE"""),0.0)</f>
        <v>0</v>
      </c>
      <c r="Q231" s="235">
        <f>IFERROR(__xludf.DUMMYFUNCTION("""COMPUTED_VALUE"""),0.3)</f>
        <v>0.3</v>
      </c>
      <c r="R231" s="235">
        <f>IFERROR(__xludf.DUMMYFUNCTION("""COMPUTED_VALUE"""),100.0)</f>
        <v>100</v>
      </c>
      <c r="S231" s="235">
        <f>IFERROR(__xludf.DUMMYFUNCTION("""COMPUTED_VALUE"""),10.0)</f>
        <v>10</v>
      </c>
      <c r="T231" s="244" t="str">
        <f>IFERROR(__xludf.DUMMYFUNCTION("""COMPUTED_VALUE"""),"2.47")</f>
        <v>2.47</v>
      </c>
      <c r="U231" s="235" t="str">
        <f>IFERROR(__xludf.DUMMYFUNCTION("""COMPUTED_VALUE"""),"stop有:1回目 1.26")</f>
        <v>stop有:1回目 1.26</v>
      </c>
      <c r="V231" s="235">
        <f>IFERROR(__xludf.DUMMYFUNCTION("""COMPUTED_VALUE"""),100.0)</f>
        <v>100</v>
      </c>
      <c r="W231" s="235" t="str">
        <f>IFERROR(__xludf.DUMMYFUNCTION("""COMPUTED_VALUE"""),"-")</f>
        <v>-</v>
      </c>
      <c r="X231" s="235" t="str">
        <f>IFERROR(__xludf.DUMMYFUNCTION("""COMPUTED_VALUE"""),"-")</f>
        <v>-</v>
      </c>
      <c r="Y231" s="235"/>
      <c r="Z231" s="235" t="str">
        <f>IFERROR(__xludf.DUMMYFUNCTION("""COMPUTED_VALUE"""),"-")</f>
        <v>-</v>
      </c>
      <c r="AA231" s="235"/>
      <c r="AB231" s="235" t="str">
        <f>IFERROR(__xludf.DUMMYFUNCTION("""COMPUTED_VALUE"""),"shageki_1")</f>
        <v>shageki_1</v>
      </c>
      <c r="AC231" s="235"/>
    </row>
    <row r="232">
      <c r="A232" s="235"/>
      <c r="B232" s="235" t="str">
        <f>IFERROR(__xludf.DUMMYFUNCTION("""COMPUTED_VALUE"""),"chara_kai_00001")</f>
        <v>chara_kai_00001</v>
      </c>
      <c r="C232" s="254" t="str">
        <f>IFERROR(__xludf.DUMMYFUNCTION("""COMPUTED_VALUE"""),"_general")</f>
        <v>_general</v>
      </c>
      <c r="D232" s="254" t="str">
        <f>IFERROR(__xludf.DUMMYFUNCTION("""COMPUTED_VALUE"""),"c_kai_00001_general_Normal_Yellow")</f>
        <v>c_kai_00001_general_Normal_Yellow</v>
      </c>
      <c r="E232" s="254" t="str">
        <f>IFERROR(__xludf.DUMMYFUNCTION("""COMPUTED_VALUE"""),"怪獣８号")</f>
        <v>怪獣８号</v>
      </c>
      <c r="F232" s="254" t="str">
        <f>IFERROR(__xludf.DUMMYFUNCTION("""COMPUTED_VALUE"""),"日比野 カフカ")</f>
        <v>日比野 カフカ</v>
      </c>
      <c r="G232" s="254" t="str">
        <f>IFERROR(__xludf.DUMMYFUNCTION("""COMPUTED_VALUE"""),"日比野 カフカ_general")</f>
        <v>日比野 カフカ_general</v>
      </c>
      <c r="H232" s="235" t="str">
        <f>IFERROR(__xludf.DUMMYFUNCTION("""COMPUTED_VALUE"""),"Normal")</f>
        <v>Normal</v>
      </c>
      <c r="I232" s="235" t="str">
        <f>IFERROR(__xludf.DUMMYFUNCTION("""COMPUTED_VALUE"""),"Technical")</f>
        <v>Technical</v>
      </c>
      <c r="J232" s="235" t="str">
        <f>IFERROR(__xludf.DUMMYFUNCTION("""COMPUTED_VALUE"""),"Yellow")</f>
        <v>Yellow</v>
      </c>
      <c r="K232" s="235">
        <f>IFERROR(__xludf.DUMMYFUNCTION("""COMPUTED_VALUE"""),150000.0)</f>
        <v>150000</v>
      </c>
      <c r="L232" s="235">
        <f>IFERROR(__xludf.DUMMYFUNCTION("""COMPUTED_VALUE"""),2.0)</f>
        <v>2</v>
      </c>
      <c r="M232" s="235">
        <f>IFERROR(__xludf.DUMMYFUNCTION("""COMPUTED_VALUE"""),35.0)</f>
        <v>35</v>
      </c>
      <c r="N232" s="235">
        <f>IFERROR(__xludf.DUMMYFUNCTION("""COMPUTED_VALUE"""),0.11)</f>
        <v>0.11</v>
      </c>
      <c r="O232" s="235">
        <f>IFERROR(__xludf.DUMMYFUNCTION("""COMPUTED_VALUE"""),700.0)</f>
        <v>700</v>
      </c>
      <c r="P232" s="235">
        <f>IFERROR(__xludf.DUMMYFUNCTION("""COMPUTED_VALUE"""),0.0)</f>
        <v>0</v>
      </c>
      <c r="Q232" s="235">
        <f>IFERROR(__xludf.DUMMYFUNCTION("""COMPUTED_VALUE"""),0.3)</f>
        <v>0.3</v>
      </c>
      <c r="R232" s="235">
        <f>IFERROR(__xludf.DUMMYFUNCTION("""COMPUTED_VALUE"""),1.0)</f>
        <v>1</v>
      </c>
      <c r="S232" s="235">
        <f>IFERROR(__xludf.DUMMYFUNCTION("""COMPUTED_VALUE"""),10.0)</f>
        <v>10</v>
      </c>
      <c r="T232" s="244" t="str">
        <f>IFERROR(__xludf.DUMMYFUNCTION("""COMPUTED_VALUE"""),"1.83")</f>
        <v>1.83</v>
      </c>
      <c r="U232" s="235" t="str">
        <f>IFERROR(__xludf.DUMMYFUNCTION("""COMPUTED_VALUE"""),"1.00")</f>
        <v>1.00</v>
      </c>
      <c r="V232" s="235">
        <f>IFERROR(__xludf.DUMMYFUNCTION("""COMPUTED_VALUE"""),75.0)</f>
        <v>75</v>
      </c>
      <c r="W232" s="235" t="str">
        <f>IFERROR(__xludf.DUMMYFUNCTION("""COMPUTED_VALUE"""),"2.33")</f>
        <v>2.33</v>
      </c>
      <c r="X232" s="235" t="str">
        <f>IFERROR(__xludf.DUMMYFUNCTION("""COMPUTED_VALUE"""),"1.33")</f>
        <v>1.33</v>
      </c>
      <c r="Y232" s="235" t="str">
        <f>IFERROR(__xludf.DUMMYFUNCTION("""COMPUTED_VALUE"""),"自身を4秒間、攻撃200%UP")</f>
        <v>自身を4秒間、攻撃200%UP</v>
      </c>
      <c r="Z232" s="235">
        <f>IFERROR(__xludf.DUMMYFUNCTION("""COMPUTED_VALUE"""),5.0)</f>
        <v>5</v>
      </c>
      <c r="AA232" s="235"/>
      <c r="AB232" s="235" t="str">
        <f>IFERROR(__xludf.DUMMYFUNCTION("""COMPUTED_VALUE"""),"dageki_1")</f>
        <v>dageki_1</v>
      </c>
      <c r="AC232" s="235"/>
    </row>
    <row r="233">
      <c r="A233" s="235"/>
      <c r="B233" s="235" t="str">
        <f>IFERROR(__xludf.DUMMYFUNCTION("""COMPUTED_VALUE"""),"chara_kai_00002")</f>
        <v>chara_kai_00002</v>
      </c>
      <c r="C233" s="254" t="str">
        <f>IFERROR(__xludf.DUMMYFUNCTION("""COMPUTED_VALUE"""),"_general")</f>
        <v>_general</v>
      </c>
      <c r="D233" s="254" t="str">
        <f>IFERROR(__xludf.DUMMYFUNCTION("""COMPUTED_VALUE"""),"c_kai_00002_general_Boss_Yellow")</f>
        <v>c_kai_00002_general_Boss_Yellow</v>
      </c>
      <c r="E233" s="254" t="str">
        <f>IFERROR(__xludf.DUMMYFUNCTION("""COMPUTED_VALUE"""),"怪獣８号")</f>
        <v>怪獣８号</v>
      </c>
      <c r="F233" s="254" t="str">
        <f>IFERROR(__xludf.DUMMYFUNCTION("""COMPUTED_VALUE"""),"隠された英雄の姿 怪獣８号")</f>
        <v>隠された英雄の姿 怪獣８号</v>
      </c>
      <c r="G233" s="254" t="str">
        <f>IFERROR(__xludf.DUMMYFUNCTION("""COMPUTED_VALUE"""),"隠された英雄の姿 怪獣８号_general")</f>
        <v>隠された英雄の姿 怪獣８号_general</v>
      </c>
      <c r="H233" s="235" t="str">
        <f>IFERROR(__xludf.DUMMYFUNCTION("""COMPUTED_VALUE"""),"Boss")</f>
        <v>Boss</v>
      </c>
      <c r="I233" s="235" t="str">
        <f>IFERROR(__xludf.DUMMYFUNCTION("""COMPUTED_VALUE"""),"Support")</f>
        <v>Support</v>
      </c>
      <c r="J233" s="235" t="str">
        <f>IFERROR(__xludf.DUMMYFUNCTION("""COMPUTED_VALUE"""),"Yellow")</f>
        <v>Yellow</v>
      </c>
      <c r="K233" s="235">
        <f>IFERROR(__xludf.DUMMYFUNCTION("""COMPUTED_VALUE"""),700000.0)</f>
        <v>700000</v>
      </c>
      <c r="L233" s="235">
        <f>IFERROR(__xludf.DUMMYFUNCTION("""COMPUTED_VALUE"""),1.0)</f>
        <v>1</v>
      </c>
      <c r="M233" s="235">
        <f>IFERROR(__xludf.DUMMYFUNCTION("""COMPUTED_VALUE"""),45.0)</f>
        <v>45</v>
      </c>
      <c r="N233" s="235">
        <f>IFERROR(__xludf.DUMMYFUNCTION("""COMPUTED_VALUE"""),0.2)</f>
        <v>0.2</v>
      </c>
      <c r="O233" s="235">
        <f>IFERROR(__xludf.DUMMYFUNCTION("""COMPUTED_VALUE"""),1500.0)</f>
        <v>1500</v>
      </c>
      <c r="P233" s="235">
        <f>IFERROR(__xludf.DUMMYFUNCTION("""COMPUTED_VALUE"""),0.0)</f>
        <v>0</v>
      </c>
      <c r="Q233" s="235">
        <f>IFERROR(__xludf.DUMMYFUNCTION("""COMPUTED_VALUE"""),0.3)</f>
        <v>0.3</v>
      </c>
      <c r="R233" s="235">
        <f>IFERROR(__xludf.DUMMYFUNCTION("""COMPUTED_VALUE"""),1.0)</f>
        <v>1</v>
      </c>
      <c r="S233" s="235">
        <f>IFERROR(__xludf.DUMMYFUNCTION("""COMPUTED_VALUE"""),10.0)</f>
        <v>10</v>
      </c>
      <c r="T233" s="244" t="str">
        <f>IFERROR(__xludf.DUMMYFUNCTION("""COMPUTED_VALUE"""),"1.50")</f>
        <v>1.50</v>
      </c>
      <c r="U233" s="235" t="str">
        <f>IFERROR(__xludf.DUMMYFUNCTION("""COMPUTED_VALUE"""),"stop無:1回目 0.54")</f>
        <v>stop無:1回目 0.54</v>
      </c>
      <c r="V233" s="235">
        <f>IFERROR(__xludf.DUMMYFUNCTION("""COMPUTED_VALUE"""),100.0)</f>
        <v>100</v>
      </c>
      <c r="W233" s="235" t="str">
        <f>IFERROR(__xludf.DUMMYFUNCTION("""COMPUTED_VALUE"""),"2.40")</f>
        <v>2.40</v>
      </c>
      <c r="X233" s="23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33" s="235" t="str">
        <f>IFERROR(__xludf.DUMMYFUNCTION("""COMPUTED_VALUE"""),"連続攻撃")</f>
        <v>連続攻撃</v>
      </c>
      <c r="Z233" s="235">
        <f>IFERROR(__xludf.DUMMYFUNCTION("""COMPUTED_VALUE"""),5.0)</f>
        <v>5</v>
      </c>
      <c r="AA233" s="235"/>
      <c r="AB233" s="235" t="str">
        <f>IFERROR(__xludf.DUMMYFUNCTION("""COMPUTED_VALUE"""),"dageki_1")</f>
        <v>dageki_1</v>
      </c>
      <c r="AC233" s="235"/>
    </row>
    <row r="234">
      <c r="A234" s="235"/>
      <c r="B234" s="235" t="str">
        <f>IFERROR(__xludf.DUMMYFUNCTION("""COMPUTED_VALUE"""),"chara_kai_00301")</f>
        <v>chara_kai_00301</v>
      </c>
      <c r="C234" s="254" t="str">
        <f>IFERROR(__xludf.DUMMYFUNCTION("""COMPUTED_VALUE"""),"_general")</f>
        <v>_general</v>
      </c>
      <c r="D234" s="254" t="str">
        <f>IFERROR(__xludf.DUMMYFUNCTION("""COMPUTED_VALUE"""),"c_kai_00301_general_Normal_Yellow")</f>
        <v>c_kai_00301_general_Normal_Yellow</v>
      </c>
      <c r="E234" s="254" t="str">
        <f>IFERROR(__xludf.DUMMYFUNCTION("""COMPUTED_VALUE"""),"怪獣８号")</f>
        <v>怪獣８号</v>
      </c>
      <c r="F234" s="254" t="str">
        <f>IFERROR(__xludf.DUMMYFUNCTION("""COMPUTED_VALUE"""),"四ノ宮 キコル")</f>
        <v>四ノ宮 キコル</v>
      </c>
      <c r="G234" s="254" t="str">
        <f>IFERROR(__xludf.DUMMYFUNCTION("""COMPUTED_VALUE"""),"四ノ宮 キコル_general")</f>
        <v>四ノ宮 キコル_general</v>
      </c>
      <c r="H234" s="235" t="str">
        <f>IFERROR(__xludf.DUMMYFUNCTION("""COMPUTED_VALUE"""),"Normal")</f>
        <v>Normal</v>
      </c>
      <c r="I234" s="235" t="str">
        <f>IFERROR(__xludf.DUMMYFUNCTION("""COMPUTED_VALUE"""),"Attack")</f>
        <v>Attack</v>
      </c>
      <c r="J234" s="235" t="str">
        <f>IFERROR(__xludf.DUMMYFUNCTION("""COMPUTED_VALUE"""),"Yellow")</f>
        <v>Yellow</v>
      </c>
      <c r="K234" s="235">
        <f>IFERROR(__xludf.DUMMYFUNCTION("""COMPUTED_VALUE"""),300000.0)</f>
        <v>300000</v>
      </c>
      <c r="L234" s="235">
        <f>IFERROR(__xludf.DUMMYFUNCTION("""COMPUTED_VALUE"""),2.0)</f>
        <v>2</v>
      </c>
      <c r="M234" s="235">
        <f>IFERROR(__xludf.DUMMYFUNCTION("""COMPUTED_VALUE"""),55.0)</f>
        <v>55</v>
      </c>
      <c r="N234" s="235">
        <f>IFERROR(__xludf.DUMMYFUNCTION("""COMPUTED_VALUE"""),0.11)</f>
        <v>0.11</v>
      </c>
      <c r="O234" s="235">
        <f>IFERROR(__xludf.DUMMYFUNCTION("""COMPUTED_VALUE"""),800.0)</f>
        <v>800</v>
      </c>
      <c r="P234" s="235">
        <f>IFERROR(__xludf.DUMMYFUNCTION("""COMPUTED_VALUE"""),0.0)</f>
        <v>0</v>
      </c>
      <c r="Q234" s="235">
        <f>IFERROR(__xludf.DUMMYFUNCTION("""COMPUTED_VALUE"""),0.3)</f>
        <v>0.3</v>
      </c>
      <c r="R234" s="235">
        <f>IFERROR(__xludf.DUMMYFUNCTION("""COMPUTED_VALUE"""),1.0)</f>
        <v>1</v>
      </c>
      <c r="S234" s="235">
        <f>IFERROR(__xludf.DUMMYFUNCTION("""COMPUTED_VALUE"""),10.0)</f>
        <v>10</v>
      </c>
      <c r="T234" s="244" t="str">
        <f>IFERROR(__xludf.DUMMYFUNCTION("""COMPUTED_VALUE"""),"2.04")</f>
        <v>2.04</v>
      </c>
      <c r="U234" s="235" t="str">
        <f>IFERROR(__xludf.DUMMYFUNCTION("""COMPUTED_VALUE"""),"0.70")</f>
        <v>0.70</v>
      </c>
      <c r="V234" s="235">
        <f>IFERROR(__xludf.DUMMYFUNCTION("""COMPUTED_VALUE"""),75.0)</f>
        <v>75</v>
      </c>
      <c r="W234" s="235" t="str">
        <f>IFERROR(__xludf.DUMMYFUNCTION("""COMPUTED_VALUE"""),"3.34")</f>
        <v>3.34</v>
      </c>
      <c r="X234" s="235" t="str">
        <f>IFERROR(__xludf.DUMMYFUNCTION("""COMPUTED_VALUE"""),"1.07")</f>
        <v>1.07</v>
      </c>
      <c r="Y234" s="235" t="str">
        <f>IFERROR(__xludf.DUMMYFUNCTION("""COMPUTED_VALUE"""),"範囲スタン攻撃+199秒間、攻撃30%UP")</f>
        <v>範囲スタン攻撃+199秒間、攻撃30%UP</v>
      </c>
      <c r="Z234" s="235">
        <f>IFERROR(__xludf.DUMMYFUNCTION("""COMPUTED_VALUE"""),8.0)</f>
        <v>8</v>
      </c>
      <c r="AA234" s="235"/>
      <c r="AB234" s="235" t="str">
        <f>IFERROR(__xludf.DUMMYFUNCTION("""COMPUTED_VALUE"""),"zangeki_1")</f>
        <v>zangeki_1</v>
      </c>
      <c r="AC234" s="235"/>
    </row>
    <row r="235">
      <c r="A235" s="235"/>
      <c r="B235" s="235"/>
      <c r="C235" s="254"/>
      <c r="D235" s="254" t="str">
        <f>IFERROR(__xludf.DUMMYFUNCTION("""COMPUTED_VALUE"""),"___")</f>
        <v>___</v>
      </c>
      <c r="E235" s="254" t="str">
        <f>IFERROR(__xludf.DUMMYFUNCTION("""COMPUTED_VALUE"""),"none")</f>
        <v>none</v>
      </c>
      <c r="F235" s="254" t="str">
        <f>IFERROR(__xludf.DUMMYFUNCTION("""COMPUTED_VALUE"""),"none")</f>
        <v>none</v>
      </c>
      <c r="G235" s="254" t="str">
        <f>IFERROR(__xludf.DUMMYFUNCTION("""COMPUTED_VALUE"""),"none")</f>
        <v>none</v>
      </c>
      <c r="H235" s="235"/>
      <c r="I235" s="235" t="str">
        <f>IFERROR(__xludf.DUMMYFUNCTION("""COMPUTED_VALUE"""),"none")</f>
        <v>none</v>
      </c>
      <c r="J235" s="235"/>
      <c r="K235" s="235"/>
      <c r="L235" s="235"/>
      <c r="M235" s="235"/>
      <c r="N235" s="235"/>
      <c r="O235" s="235"/>
      <c r="P235" s="235"/>
      <c r="Q235" s="235"/>
      <c r="R235" s="235"/>
      <c r="S235" s="235"/>
      <c r="T235" s="244" t="str">
        <f>IFERROR(__xludf.DUMMYFUNCTION("""COMPUTED_VALUE"""),"none")</f>
        <v>none</v>
      </c>
      <c r="U235" s="235" t="str">
        <f>IFERROR(__xludf.DUMMYFUNCTION("""COMPUTED_VALUE"""),"none")</f>
        <v>none</v>
      </c>
      <c r="V235" s="235"/>
      <c r="W235" s="235" t="str">
        <f>IFERROR(__xludf.DUMMYFUNCTION("""COMPUTED_VALUE"""),"none")</f>
        <v>none</v>
      </c>
      <c r="X235" s="235" t="str">
        <f>IFERROR(__xludf.DUMMYFUNCTION("""COMPUTED_VALUE"""),"none")</f>
        <v>none</v>
      </c>
      <c r="Y235" s="235"/>
      <c r="Z235" s="235"/>
      <c r="AA235" s="235"/>
      <c r="AB235" s="235" t="str">
        <f>IFERROR(__xludf.DUMMYFUNCTION("""COMPUTED_VALUE"""),"none")</f>
        <v>none</v>
      </c>
      <c r="AC235" s="235"/>
    </row>
    <row r="236">
      <c r="A236" s="235"/>
      <c r="B236" s="235" t="str">
        <f>IFERROR(__xludf.DUMMYFUNCTION("""COMPUTED_VALUE"""),"enemy_glo_00001")</f>
        <v>enemy_glo_00001</v>
      </c>
      <c r="C236" s="254" t="str">
        <f>IFERROR(__xludf.DUMMYFUNCTION("""COMPUTED_VALUE"""),"_general_kai_vh")</f>
        <v>_general_kai_vh</v>
      </c>
      <c r="D236" s="254" t="str">
        <f>IFERROR(__xludf.DUMMYFUNCTION("""COMPUTED_VALUE"""),"e_glo_00001_general_kai_vh_Normal_Red")</f>
        <v>e_glo_00001_general_kai_vh_Normal_Red</v>
      </c>
      <c r="E236" s="254" t="str">
        <f>IFERROR(__xludf.DUMMYFUNCTION("""COMPUTED_VALUE"""),"GLOW")</f>
        <v>GLOW</v>
      </c>
      <c r="F236" s="254" t="str">
        <f>IFERROR(__xludf.DUMMYFUNCTION("""COMPUTED_VALUE"""),"ファントム")</f>
        <v>ファントム</v>
      </c>
      <c r="G236" s="254" t="str">
        <f>IFERROR(__xludf.DUMMYFUNCTION("""COMPUTED_VALUE"""),"ファントム_general_kai_vh")</f>
        <v>ファントム_general_kai_vh</v>
      </c>
      <c r="H236" s="235" t="str">
        <f>IFERROR(__xludf.DUMMYFUNCTION("""COMPUTED_VALUE"""),"Normal")</f>
        <v>Normal</v>
      </c>
      <c r="I236" s="235" t="str">
        <f>IFERROR(__xludf.DUMMYFUNCTION("""COMPUTED_VALUE"""),"Attack")</f>
        <v>Attack</v>
      </c>
      <c r="J236" s="235" t="str">
        <f>IFERROR(__xludf.DUMMYFUNCTION("""COMPUTED_VALUE"""),"Red")</f>
        <v>Red</v>
      </c>
      <c r="K236" s="235">
        <f>IFERROR(__xludf.DUMMYFUNCTION("""COMPUTED_VALUE"""),19000.0)</f>
        <v>19000</v>
      </c>
      <c r="L236" s="235">
        <f>IFERROR(__xludf.DUMMYFUNCTION("""COMPUTED_VALUE"""),2.0)</f>
        <v>2</v>
      </c>
      <c r="M236" s="235">
        <f>IFERROR(__xludf.DUMMYFUNCTION("""COMPUTED_VALUE"""),65.0)</f>
        <v>65</v>
      </c>
      <c r="N236" s="235">
        <f>IFERROR(__xludf.DUMMYFUNCTION("""COMPUTED_VALUE"""),0.15)</f>
        <v>0.15</v>
      </c>
      <c r="O236" s="235">
        <f>IFERROR(__xludf.DUMMYFUNCTION("""COMPUTED_VALUE"""),400.0)</f>
        <v>400</v>
      </c>
      <c r="P236" s="235">
        <f>IFERROR(__xludf.DUMMYFUNCTION("""COMPUTED_VALUE"""),0.0)</f>
        <v>0</v>
      </c>
      <c r="Q236" s="235">
        <f>IFERROR(__xludf.DUMMYFUNCTION("""COMPUTED_VALUE"""),0.2)</f>
        <v>0.2</v>
      </c>
      <c r="R236" s="235"/>
      <c r="S236" s="235">
        <f>IFERROR(__xludf.DUMMYFUNCTION("""COMPUTED_VALUE"""),1.0)</f>
        <v>1</v>
      </c>
      <c r="T236" s="244" t="str">
        <f>IFERROR(__xludf.DUMMYFUNCTION("""COMPUTED_VALUE"""),"1.00")</f>
        <v>1.00</v>
      </c>
      <c r="U236" s="235" t="str">
        <f>IFERROR(__xludf.DUMMYFUNCTION("""COMPUTED_VALUE"""),"0.50")</f>
        <v>0.50</v>
      </c>
      <c r="V236" s="235">
        <f>IFERROR(__xludf.DUMMYFUNCTION("""COMPUTED_VALUE"""),35.0)</f>
        <v>35</v>
      </c>
      <c r="W236" s="235"/>
      <c r="X236" s="235"/>
      <c r="Y236" s="235"/>
      <c r="Z236" s="235"/>
      <c r="AA236" s="235"/>
      <c r="AB236" s="235" t="str">
        <f>IFERROR(__xludf.DUMMYFUNCTION("""COMPUTED_VALUE"""),"dageki_1")</f>
        <v>dageki_1</v>
      </c>
      <c r="AC236" s="235"/>
    </row>
    <row r="237">
      <c r="A237" s="235"/>
      <c r="B237" s="235" t="str">
        <f>IFERROR(__xludf.DUMMYFUNCTION("""COMPUTED_VALUE"""),"enemy_glo_00001")</f>
        <v>enemy_glo_00001</v>
      </c>
      <c r="C237" s="254" t="str">
        <f>IFERROR(__xludf.DUMMYFUNCTION("""COMPUTED_VALUE"""),"_general_kai_vh")</f>
        <v>_general_kai_vh</v>
      </c>
      <c r="D237" s="254" t="str">
        <f>IFERROR(__xludf.DUMMYFUNCTION("""COMPUTED_VALUE"""),"e_glo_00001_general_kai_vh_Normal_Blue")</f>
        <v>e_glo_00001_general_kai_vh_Normal_Blue</v>
      </c>
      <c r="E237" s="254" t="str">
        <f>IFERROR(__xludf.DUMMYFUNCTION("""COMPUTED_VALUE"""),"GLOW")</f>
        <v>GLOW</v>
      </c>
      <c r="F237" s="254" t="str">
        <f>IFERROR(__xludf.DUMMYFUNCTION("""COMPUTED_VALUE"""),"ファントム")</f>
        <v>ファントム</v>
      </c>
      <c r="G237" s="254" t="str">
        <f>IFERROR(__xludf.DUMMYFUNCTION("""COMPUTED_VALUE"""),"ファントム_general_kai_vh")</f>
        <v>ファントム_general_kai_vh</v>
      </c>
      <c r="H237" s="235" t="str">
        <f>IFERROR(__xludf.DUMMYFUNCTION("""COMPUTED_VALUE"""),"Normal")</f>
        <v>Normal</v>
      </c>
      <c r="I237" s="235" t="str">
        <f>IFERROR(__xludf.DUMMYFUNCTION("""COMPUTED_VALUE"""),"Attack")</f>
        <v>Attack</v>
      </c>
      <c r="J237" s="235" t="str">
        <f>IFERROR(__xludf.DUMMYFUNCTION("""COMPUTED_VALUE"""),"Blue")</f>
        <v>Blue</v>
      </c>
      <c r="K237" s="235">
        <f>IFERROR(__xludf.DUMMYFUNCTION("""COMPUTED_VALUE"""),17000.0)</f>
        <v>17000</v>
      </c>
      <c r="L237" s="235">
        <f>IFERROR(__xludf.DUMMYFUNCTION("""COMPUTED_VALUE"""),2.0)</f>
        <v>2</v>
      </c>
      <c r="M237" s="235">
        <f>IFERROR(__xludf.DUMMYFUNCTION("""COMPUTED_VALUE"""),65.0)</f>
        <v>65</v>
      </c>
      <c r="N237" s="235">
        <f>IFERROR(__xludf.DUMMYFUNCTION("""COMPUTED_VALUE"""),0.15)</f>
        <v>0.15</v>
      </c>
      <c r="O237" s="235">
        <f>IFERROR(__xludf.DUMMYFUNCTION("""COMPUTED_VALUE"""),600.0)</f>
        <v>600</v>
      </c>
      <c r="P237" s="235">
        <f>IFERROR(__xludf.DUMMYFUNCTION("""COMPUTED_VALUE"""),0.0)</f>
        <v>0</v>
      </c>
      <c r="Q237" s="235">
        <f>IFERROR(__xludf.DUMMYFUNCTION("""COMPUTED_VALUE"""),0.2)</f>
        <v>0.2</v>
      </c>
      <c r="R237" s="235"/>
      <c r="S237" s="235">
        <f>IFERROR(__xludf.DUMMYFUNCTION("""COMPUTED_VALUE"""),1.0)</f>
        <v>1</v>
      </c>
      <c r="T237" s="244" t="str">
        <f>IFERROR(__xludf.DUMMYFUNCTION("""COMPUTED_VALUE"""),"1.00")</f>
        <v>1.00</v>
      </c>
      <c r="U237" s="235" t="str">
        <f>IFERROR(__xludf.DUMMYFUNCTION("""COMPUTED_VALUE"""),"0.50")</f>
        <v>0.50</v>
      </c>
      <c r="V237" s="235">
        <f>IFERROR(__xludf.DUMMYFUNCTION("""COMPUTED_VALUE"""),35.0)</f>
        <v>35</v>
      </c>
      <c r="W237" s="235"/>
      <c r="X237" s="235"/>
      <c r="Y237" s="235"/>
      <c r="Z237" s="235"/>
      <c r="AA237" s="235"/>
      <c r="AB237" s="235" t="str">
        <f>IFERROR(__xludf.DUMMYFUNCTION("""COMPUTED_VALUE"""),"dageki_1")</f>
        <v>dageki_1</v>
      </c>
      <c r="AC237" s="235"/>
    </row>
    <row r="238">
      <c r="A238" s="235"/>
      <c r="B238" s="235" t="str">
        <f>IFERROR(__xludf.DUMMYFUNCTION("""COMPUTED_VALUE"""),"enemy_glo_00001")</f>
        <v>enemy_glo_00001</v>
      </c>
      <c r="C238" s="254" t="str">
        <f>IFERROR(__xludf.DUMMYFUNCTION("""COMPUTED_VALUE"""),"_general_kai_vh")</f>
        <v>_general_kai_vh</v>
      </c>
      <c r="D238" s="254" t="str">
        <f>IFERROR(__xludf.DUMMYFUNCTION("""COMPUTED_VALUE"""),"e_glo_00001_general_kai_vh_Normal_Green")</f>
        <v>e_glo_00001_general_kai_vh_Normal_Green</v>
      </c>
      <c r="E238" s="254" t="str">
        <f>IFERROR(__xludf.DUMMYFUNCTION("""COMPUTED_VALUE"""),"GLOW")</f>
        <v>GLOW</v>
      </c>
      <c r="F238" s="254" t="str">
        <f>IFERROR(__xludf.DUMMYFUNCTION("""COMPUTED_VALUE"""),"ファントム")</f>
        <v>ファントム</v>
      </c>
      <c r="G238" s="254" t="str">
        <f>IFERROR(__xludf.DUMMYFUNCTION("""COMPUTED_VALUE"""),"ファントム_general_kai_vh")</f>
        <v>ファントム_general_kai_vh</v>
      </c>
      <c r="H238" s="235" t="str">
        <f>IFERROR(__xludf.DUMMYFUNCTION("""COMPUTED_VALUE"""),"Normal")</f>
        <v>Normal</v>
      </c>
      <c r="I238" s="235" t="str">
        <f>IFERROR(__xludf.DUMMYFUNCTION("""COMPUTED_VALUE"""),"Attack")</f>
        <v>Attack</v>
      </c>
      <c r="J238" s="235" t="str">
        <f>IFERROR(__xludf.DUMMYFUNCTION("""COMPUTED_VALUE"""),"Green")</f>
        <v>Green</v>
      </c>
      <c r="K238" s="235">
        <f>IFERROR(__xludf.DUMMYFUNCTION("""COMPUTED_VALUE"""),25000.0)</f>
        <v>25000</v>
      </c>
      <c r="L238" s="235">
        <f>IFERROR(__xludf.DUMMYFUNCTION("""COMPUTED_VALUE"""),2.0)</f>
        <v>2</v>
      </c>
      <c r="M238" s="235">
        <f>IFERROR(__xludf.DUMMYFUNCTION("""COMPUTED_VALUE"""),65.0)</f>
        <v>65</v>
      </c>
      <c r="N238" s="235">
        <f>IFERROR(__xludf.DUMMYFUNCTION("""COMPUTED_VALUE"""),0.15)</f>
        <v>0.15</v>
      </c>
      <c r="O238" s="235">
        <f>IFERROR(__xludf.DUMMYFUNCTION("""COMPUTED_VALUE"""),800.0)</f>
        <v>800</v>
      </c>
      <c r="P238" s="235">
        <f>IFERROR(__xludf.DUMMYFUNCTION("""COMPUTED_VALUE"""),0.0)</f>
        <v>0</v>
      </c>
      <c r="Q238" s="235">
        <f>IFERROR(__xludf.DUMMYFUNCTION("""COMPUTED_VALUE"""),0.2)</f>
        <v>0.2</v>
      </c>
      <c r="R238" s="235"/>
      <c r="S238" s="235">
        <f>IFERROR(__xludf.DUMMYFUNCTION("""COMPUTED_VALUE"""),1.0)</f>
        <v>1</v>
      </c>
      <c r="T238" s="244" t="str">
        <f>IFERROR(__xludf.DUMMYFUNCTION("""COMPUTED_VALUE"""),"1.00")</f>
        <v>1.00</v>
      </c>
      <c r="U238" s="235" t="str">
        <f>IFERROR(__xludf.DUMMYFUNCTION("""COMPUTED_VALUE"""),"0.50")</f>
        <v>0.50</v>
      </c>
      <c r="V238" s="235">
        <f>IFERROR(__xludf.DUMMYFUNCTION("""COMPUTED_VALUE"""),35.0)</f>
        <v>35</v>
      </c>
      <c r="W238" s="235"/>
      <c r="X238" s="235"/>
      <c r="Y238" s="235"/>
      <c r="Z238" s="235"/>
      <c r="AA238" s="235"/>
      <c r="AB238" s="235" t="str">
        <f>IFERROR(__xludf.DUMMYFUNCTION("""COMPUTED_VALUE"""),"dageki_1")</f>
        <v>dageki_1</v>
      </c>
      <c r="AC238" s="235"/>
    </row>
    <row r="239">
      <c r="A239" s="235"/>
      <c r="B239" s="235" t="str">
        <f>IFERROR(__xludf.DUMMYFUNCTION("""COMPUTED_VALUE"""),"enemy_glo_00001")</f>
        <v>enemy_glo_00001</v>
      </c>
      <c r="C239" s="254" t="str">
        <f>IFERROR(__xludf.DUMMYFUNCTION("""COMPUTED_VALUE"""),"_general_kai_vh_big")</f>
        <v>_general_kai_vh_big</v>
      </c>
      <c r="D239" s="254" t="str">
        <f>IFERROR(__xludf.DUMMYFUNCTION("""COMPUTED_VALUE"""),"e_glo_00001_general_kai_vh_big_Normal_Red")</f>
        <v>e_glo_00001_general_kai_vh_big_Normal_Red</v>
      </c>
      <c r="E239" s="254" t="str">
        <f>IFERROR(__xludf.DUMMYFUNCTION("""COMPUTED_VALUE"""),"GLOW")</f>
        <v>GLOW</v>
      </c>
      <c r="F239" s="254" t="str">
        <f>IFERROR(__xludf.DUMMYFUNCTION("""COMPUTED_VALUE"""),"ファントム")</f>
        <v>ファントム</v>
      </c>
      <c r="G239" s="254" t="str">
        <f>IFERROR(__xludf.DUMMYFUNCTION("""COMPUTED_VALUE"""),"ファントム_general_kai_vh_big")</f>
        <v>ファントム_general_kai_vh_big</v>
      </c>
      <c r="H239" s="235" t="str">
        <f>IFERROR(__xludf.DUMMYFUNCTION("""COMPUTED_VALUE"""),"Normal")</f>
        <v>Normal</v>
      </c>
      <c r="I239" s="235" t="str">
        <f>IFERROR(__xludf.DUMMYFUNCTION("""COMPUTED_VALUE"""),"Attack")</f>
        <v>Attack</v>
      </c>
      <c r="J239" s="235" t="str">
        <f>IFERROR(__xludf.DUMMYFUNCTION("""COMPUTED_VALUE"""),"Red")</f>
        <v>Red</v>
      </c>
      <c r="K239" s="235">
        <f>IFERROR(__xludf.DUMMYFUNCTION("""COMPUTED_VALUE"""),180000.0)</f>
        <v>180000</v>
      </c>
      <c r="L239" s="235">
        <f>IFERROR(__xludf.DUMMYFUNCTION("""COMPUTED_VALUE"""),2.0)</f>
        <v>2</v>
      </c>
      <c r="M239" s="235">
        <f>IFERROR(__xludf.DUMMYFUNCTION("""COMPUTED_VALUE"""),65.0)</f>
        <v>65</v>
      </c>
      <c r="N239" s="235">
        <f>IFERROR(__xludf.DUMMYFUNCTION("""COMPUTED_VALUE"""),0.15)</f>
        <v>0.15</v>
      </c>
      <c r="O239" s="235">
        <f>IFERROR(__xludf.DUMMYFUNCTION("""COMPUTED_VALUE"""),200.0)</f>
        <v>200</v>
      </c>
      <c r="P239" s="235">
        <f>IFERROR(__xludf.DUMMYFUNCTION("""COMPUTED_VALUE"""),0.0)</f>
        <v>0</v>
      </c>
      <c r="Q239" s="235">
        <f>IFERROR(__xludf.DUMMYFUNCTION("""COMPUTED_VALUE"""),0.2)</f>
        <v>0.2</v>
      </c>
      <c r="R239" s="235"/>
      <c r="S239" s="235">
        <f>IFERROR(__xludf.DUMMYFUNCTION("""COMPUTED_VALUE"""),1.0)</f>
        <v>1</v>
      </c>
      <c r="T239" s="244" t="str">
        <f>IFERROR(__xludf.DUMMYFUNCTION("""COMPUTED_VALUE"""),"1.00")</f>
        <v>1.00</v>
      </c>
      <c r="U239" s="235" t="str">
        <f>IFERROR(__xludf.DUMMYFUNCTION("""COMPUTED_VALUE"""),"0.50")</f>
        <v>0.50</v>
      </c>
      <c r="V239" s="235">
        <f>IFERROR(__xludf.DUMMYFUNCTION("""COMPUTED_VALUE"""),35.0)</f>
        <v>35</v>
      </c>
      <c r="W239" s="235"/>
      <c r="X239" s="235"/>
      <c r="Y239" s="235"/>
      <c r="Z239" s="235"/>
      <c r="AA239" s="235"/>
      <c r="AB239" s="235" t="str">
        <f>IFERROR(__xludf.DUMMYFUNCTION("""COMPUTED_VALUE"""),"dageki_1")</f>
        <v>dageki_1</v>
      </c>
      <c r="AC239" s="235"/>
    </row>
    <row r="240">
      <c r="A240" s="235"/>
      <c r="B240" s="235" t="str">
        <f>IFERROR(__xludf.DUMMYFUNCTION("""COMPUTED_VALUE"""),"enemy_glo_00001")</f>
        <v>enemy_glo_00001</v>
      </c>
      <c r="C240" s="254" t="str">
        <f>IFERROR(__xludf.DUMMYFUNCTION("""COMPUTED_VALUE"""),"_general_kai_vh_big")</f>
        <v>_general_kai_vh_big</v>
      </c>
      <c r="D240" s="254" t="str">
        <f>IFERROR(__xludf.DUMMYFUNCTION("""COMPUTED_VALUE"""),"e_glo_00001_general_kai_vh_big_Normal_Green")</f>
        <v>e_glo_00001_general_kai_vh_big_Normal_Green</v>
      </c>
      <c r="E240" s="254" t="str">
        <f>IFERROR(__xludf.DUMMYFUNCTION("""COMPUTED_VALUE"""),"GLOW")</f>
        <v>GLOW</v>
      </c>
      <c r="F240" s="254" t="str">
        <f>IFERROR(__xludf.DUMMYFUNCTION("""COMPUTED_VALUE"""),"ファントム")</f>
        <v>ファントム</v>
      </c>
      <c r="G240" s="254" t="str">
        <f>IFERROR(__xludf.DUMMYFUNCTION("""COMPUTED_VALUE"""),"ファントム_general_kai_vh_big")</f>
        <v>ファントム_general_kai_vh_big</v>
      </c>
      <c r="H240" s="235" t="str">
        <f>IFERROR(__xludf.DUMMYFUNCTION("""COMPUTED_VALUE"""),"Normal")</f>
        <v>Normal</v>
      </c>
      <c r="I240" s="235" t="str">
        <f>IFERROR(__xludf.DUMMYFUNCTION("""COMPUTED_VALUE"""),"Attack")</f>
        <v>Attack</v>
      </c>
      <c r="J240" s="235" t="str">
        <f>IFERROR(__xludf.DUMMYFUNCTION("""COMPUTED_VALUE"""),"Green")</f>
        <v>Green</v>
      </c>
      <c r="K240" s="235">
        <f>IFERROR(__xludf.DUMMYFUNCTION("""COMPUTED_VALUE"""),200000.0)</f>
        <v>200000</v>
      </c>
      <c r="L240" s="235">
        <f>IFERROR(__xludf.DUMMYFUNCTION("""COMPUTED_VALUE"""),2.0)</f>
        <v>2</v>
      </c>
      <c r="M240" s="235">
        <f>IFERROR(__xludf.DUMMYFUNCTION("""COMPUTED_VALUE"""),65.0)</f>
        <v>65</v>
      </c>
      <c r="N240" s="235">
        <f>IFERROR(__xludf.DUMMYFUNCTION("""COMPUTED_VALUE"""),0.15)</f>
        <v>0.15</v>
      </c>
      <c r="O240" s="235">
        <f>IFERROR(__xludf.DUMMYFUNCTION("""COMPUTED_VALUE"""),400.0)</f>
        <v>400</v>
      </c>
      <c r="P240" s="235">
        <f>IFERROR(__xludf.DUMMYFUNCTION("""COMPUTED_VALUE"""),0.0)</f>
        <v>0</v>
      </c>
      <c r="Q240" s="235">
        <f>IFERROR(__xludf.DUMMYFUNCTION("""COMPUTED_VALUE"""),0.2)</f>
        <v>0.2</v>
      </c>
      <c r="R240" s="235"/>
      <c r="S240" s="235">
        <f>IFERROR(__xludf.DUMMYFUNCTION("""COMPUTED_VALUE"""),1.0)</f>
        <v>1</v>
      </c>
      <c r="T240" s="244" t="str">
        <f>IFERROR(__xludf.DUMMYFUNCTION("""COMPUTED_VALUE"""),"1.00")</f>
        <v>1.00</v>
      </c>
      <c r="U240" s="235" t="str">
        <f>IFERROR(__xludf.DUMMYFUNCTION("""COMPUTED_VALUE"""),"0.50")</f>
        <v>0.50</v>
      </c>
      <c r="V240" s="235">
        <f>IFERROR(__xludf.DUMMYFUNCTION("""COMPUTED_VALUE"""),35.0)</f>
        <v>35</v>
      </c>
      <c r="W240" s="235"/>
      <c r="X240" s="235"/>
      <c r="Y240" s="235"/>
      <c r="Z240" s="235"/>
      <c r="AA240" s="235"/>
      <c r="AB240" s="235" t="str">
        <f>IFERROR(__xludf.DUMMYFUNCTION("""COMPUTED_VALUE"""),"dageki_1")</f>
        <v>dageki_1</v>
      </c>
      <c r="AC240" s="235"/>
    </row>
    <row r="241">
      <c r="A241" s="235"/>
      <c r="B241" s="235" t="str">
        <f>IFERROR(__xludf.DUMMYFUNCTION("""COMPUTED_VALUE"""),"enemy_kai_00301")</f>
        <v>enemy_kai_00301</v>
      </c>
      <c r="C241" s="254" t="str">
        <f>IFERROR(__xludf.DUMMYFUNCTION("""COMPUTED_VALUE"""),"_general_kai_vh")</f>
        <v>_general_kai_vh</v>
      </c>
      <c r="D241" s="254" t="str">
        <f>IFERROR(__xludf.DUMMYFUNCTION("""COMPUTED_VALUE"""),"e_kai_00301_general_kai_vh_Normal_Green")</f>
        <v>e_kai_00301_general_kai_vh_Normal_Green</v>
      </c>
      <c r="E241" s="254" t="str">
        <f>IFERROR(__xludf.DUMMYFUNCTION("""COMPUTED_VALUE"""),"怪獣８号")</f>
        <v>怪獣８号</v>
      </c>
      <c r="F241" s="254" t="str">
        <f>IFERROR(__xludf.DUMMYFUNCTION("""COMPUTED_VALUE"""),"蜘蛛の怪獣")</f>
        <v>蜘蛛の怪獣</v>
      </c>
      <c r="G241" s="254" t="str">
        <f>IFERROR(__xludf.DUMMYFUNCTION("""COMPUTED_VALUE"""),"蜘蛛の怪獣_general_kai_vh")</f>
        <v>蜘蛛の怪獣_general_kai_vh</v>
      </c>
      <c r="H241" s="235" t="str">
        <f>IFERROR(__xludf.DUMMYFUNCTION("""COMPUTED_VALUE"""),"Normal")</f>
        <v>Normal</v>
      </c>
      <c r="I241" s="235" t="str">
        <f>IFERROR(__xludf.DUMMYFUNCTION("""COMPUTED_VALUE"""),"Defense")</f>
        <v>Defense</v>
      </c>
      <c r="J241" s="235" t="str">
        <f>IFERROR(__xludf.DUMMYFUNCTION("""COMPUTED_VALUE"""),"Green")</f>
        <v>Green</v>
      </c>
      <c r="K241" s="235">
        <f>IFERROR(__xludf.DUMMYFUNCTION("""COMPUTED_VALUE"""),120000.0)</f>
        <v>120000</v>
      </c>
      <c r="L241" s="235">
        <f>IFERROR(__xludf.DUMMYFUNCTION("""COMPUTED_VALUE"""),2.0)</f>
        <v>2</v>
      </c>
      <c r="M241" s="235">
        <f>IFERROR(__xludf.DUMMYFUNCTION("""COMPUTED_VALUE"""),45.0)</f>
        <v>45</v>
      </c>
      <c r="N241" s="235">
        <f>IFERROR(__xludf.DUMMYFUNCTION("""COMPUTED_VALUE"""),0.2)</f>
        <v>0.2</v>
      </c>
      <c r="O241" s="235">
        <f>IFERROR(__xludf.DUMMYFUNCTION("""COMPUTED_VALUE"""),1000.0)</f>
        <v>1000</v>
      </c>
      <c r="P241" s="235">
        <f>IFERROR(__xludf.DUMMYFUNCTION("""COMPUTED_VALUE"""),0.0)</f>
        <v>0</v>
      </c>
      <c r="Q241" s="235">
        <f>IFERROR(__xludf.DUMMYFUNCTION("""COMPUTED_VALUE"""),0.3)</f>
        <v>0.3</v>
      </c>
      <c r="R241" s="235"/>
      <c r="S241" s="235">
        <f>IFERROR(__xludf.DUMMYFUNCTION("""COMPUTED_VALUE"""),1.0)</f>
        <v>1</v>
      </c>
      <c r="T241" s="244" t="str">
        <f>IFERROR(__xludf.DUMMYFUNCTION("""COMPUTED_VALUE"""),"1.00")</f>
        <v>1.00</v>
      </c>
      <c r="U241" s="235" t="str">
        <f>IFERROR(__xludf.DUMMYFUNCTION("""COMPUTED_VALUE"""),"0.40")</f>
        <v>0.40</v>
      </c>
      <c r="V241" s="235">
        <f>IFERROR(__xludf.DUMMYFUNCTION("""COMPUTED_VALUE"""),125.0)</f>
        <v>125</v>
      </c>
      <c r="W241" s="235" t="str">
        <f>IFERROR(__xludf.DUMMYFUNCTION("""COMPUTED_VALUE"""),"-")</f>
        <v>-</v>
      </c>
      <c r="X241" s="235" t="str">
        <f>IFERROR(__xludf.DUMMYFUNCTION("""COMPUTED_VALUE"""),"-")</f>
        <v>-</v>
      </c>
      <c r="Y241" s="235"/>
      <c r="Z241" s="235"/>
      <c r="AA241" s="235"/>
      <c r="AB241" s="235" t="str">
        <f>IFERROR(__xludf.DUMMYFUNCTION("""COMPUTED_VALUE"""),"dageki_1")</f>
        <v>dageki_1</v>
      </c>
      <c r="AC241" s="235"/>
    </row>
    <row r="242">
      <c r="A242" s="235"/>
      <c r="B242" s="235" t="str">
        <f>IFERROR(__xludf.DUMMYFUNCTION("""COMPUTED_VALUE"""),"enemy_kai_00301")</f>
        <v>enemy_kai_00301</v>
      </c>
      <c r="C242" s="254" t="str">
        <f>IFERROR(__xludf.DUMMYFUNCTION("""COMPUTED_VALUE"""),"_general_kai_vh")</f>
        <v>_general_kai_vh</v>
      </c>
      <c r="D242" s="254" t="str">
        <f>IFERROR(__xludf.DUMMYFUNCTION("""COMPUTED_VALUE"""),"e_kai_00301_general_kai_vh_Normal_Yellow")</f>
        <v>e_kai_00301_general_kai_vh_Normal_Yellow</v>
      </c>
      <c r="E242" s="254" t="str">
        <f>IFERROR(__xludf.DUMMYFUNCTION("""COMPUTED_VALUE"""),"怪獣８号")</f>
        <v>怪獣８号</v>
      </c>
      <c r="F242" s="254" t="str">
        <f>IFERROR(__xludf.DUMMYFUNCTION("""COMPUTED_VALUE"""),"蜘蛛の怪獣")</f>
        <v>蜘蛛の怪獣</v>
      </c>
      <c r="G242" s="254" t="str">
        <f>IFERROR(__xludf.DUMMYFUNCTION("""COMPUTED_VALUE"""),"蜘蛛の怪獣_general_kai_vh")</f>
        <v>蜘蛛の怪獣_general_kai_vh</v>
      </c>
      <c r="H242" s="235" t="str">
        <f>IFERROR(__xludf.DUMMYFUNCTION("""COMPUTED_VALUE"""),"Normal")</f>
        <v>Normal</v>
      </c>
      <c r="I242" s="235" t="str">
        <f>IFERROR(__xludf.DUMMYFUNCTION("""COMPUTED_VALUE"""),"Defense")</f>
        <v>Defense</v>
      </c>
      <c r="J242" s="235" t="str">
        <f>IFERROR(__xludf.DUMMYFUNCTION("""COMPUTED_VALUE"""),"Yellow")</f>
        <v>Yellow</v>
      </c>
      <c r="K242" s="235">
        <f>IFERROR(__xludf.DUMMYFUNCTION("""COMPUTED_VALUE"""),190000.0)</f>
        <v>190000</v>
      </c>
      <c r="L242" s="235">
        <f>IFERROR(__xludf.DUMMYFUNCTION("""COMPUTED_VALUE"""),2.0)</f>
        <v>2</v>
      </c>
      <c r="M242" s="235">
        <f>IFERROR(__xludf.DUMMYFUNCTION("""COMPUTED_VALUE"""),45.0)</f>
        <v>45</v>
      </c>
      <c r="N242" s="235">
        <f>IFERROR(__xludf.DUMMYFUNCTION("""COMPUTED_VALUE"""),0.2)</f>
        <v>0.2</v>
      </c>
      <c r="O242" s="235">
        <f>IFERROR(__xludf.DUMMYFUNCTION("""COMPUTED_VALUE"""),1000.0)</f>
        <v>1000</v>
      </c>
      <c r="P242" s="235">
        <f>IFERROR(__xludf.DUMMYFUNCTION("""COMPUTED_VALUE"""),0.0)</f>
        <v>0</v>
      </c>
      <c r="Q242" s="235">
        <f>IFERROR(__xludf.DUMMYFUNCTION("""COMPUTED_VALUE"""),0.3)</f>
        <v>0.3</v>
      </c>
      <c r="R242" s="235"/>
      <c r="S242" s="235">
        <f>IFERROR(__xludf.DUMMYFUNCTION("""COMPUTED_VALUE"""),1.0)</f>
        <v>1</v>
      </c>
      <c r="T242" s="244" t="str">
        <f>IFERROR(__xludf.DUMMYFUNCTION("""COMPUTED_VALUE"""),"1.00")</f>
        <v>1.00</v>
      </c>
      <c r="U242" s="235" t="str">
        <f>IFERROR(__xludf.DUMMYFUNCTION("""COMPUTED_VALUE"""),"0.40")</f>
        <v>0.40</v>
      </c>
      <c r="V242" s="235">
        <f>IFERROR(__xludf.DUMMYFUNCTION("""COMPUTED_VALUE"""),125.0)</f>
        <v>125</v>
      </c>
      <c r="W242" s="235" t="str">
        <f>IFERROR(__xludf.DUMMYFUNCTION("""COMPUTED_VALUE"""),"-")</f>
        <v>-</v>
      </c>
      <c r="X242" s="235" t="str">
        <f>IFERROR(__xludf.DUMMYFUNCTION("""COMPUTED_VALUE"""),"-")</f>
        <v>-</v>
      </c>
      <c r="Y242" s="235"/>
      <c r="Z242" s="235"/>
      <c r="AA242" s="235"/>
      <c r="AB242" s="235" t="str">
        <f>IFERROR(__xludf.DUMMYFUNCTION("""COMPUTED_VALUE"""),"dageki_1")</f>
        <v>dageki_1</v>
      </c>
      <c r="AC242" s="235"/>
    </row>
    <row r="243">
      <c r="A243" s="235"/>
      <c r="B243" s="235" t="str">
        <f>IFERROR(__xludf.DUMMYFUNCTION("""COMPUTED_VALUE"""),"enemy_kai_00301")</f>
        <v>enemy_kai_00301</v>
      </c>
      <c r="C243" s="254" t="str">
        <f>IFERROR(__xludf.DUMMYFUNCTION("""COMPUTED_VALUE"""),"_general_kai_vh")</f>
        <v>_general_kai_vh</v>
      </c>
      <c r="D243" s="254" t="str">
        <f>IFERROR(__xludf.DUMMYFUNCTION("""COMPUTED_VALUE"""),"e_kai_00301_general_kai_vh_Boss_Green")</f>
        <v>e_kai_00301_general_kai_vh_Boss_Green</v>
      </c>
      <c r="E243" s="254" t="str">
        <f>IFERROR(__xludf.DUMMYFUNCTION("""COMPUTED_VALUE"""),"怪獣８号")</f>
        <v>怪獣８号</v>
      </c>
      <c r="F243" s="254" t="str">
        <f>IFERROR(__xludf.DUMMYFUNCTION("""COMPUTED_VALUE"""),"蜘蛛の怪獣")</f>
        <v>蜘蛛の怪獣</v>
      </c>
      <c r="G243" s="254" t="str">
        <f>IFERROR(__xludf.DUMMYFUNCTION("""COMPUTED_VALUE"""),"蜘蛛の怪獣_general_kai_vh")</f>
        <v>蜘蛛の怪獣_general_kai_vh</v>
      </c>
      <c r="H243" s="235" t="str">
        <f>IFERROR(__xludf.DUMMYFUNCTION("""COMPUTED_VALUE"""),"Boss")</f>
        <v>Boss</v>
      </c>
      <c r="I243" s="235" t="str">
        <f>IFERROR(__xludf.DUMMYFUNCTION("""COMPUTED_VALUE"""),"Defense")</f>
        <v>Defense</v>
      </c>
      <c r="J243" s="235" t="str">
        <f>IFERROR(__xludf.DUMMYFUNCTION("""COMPUTED_VALUE"""),"Green")</f>
        <v>Green</v>
      </c>
      <c r="K243" s="235">
        <f>IFERROR(__xludf.DUMMYFUNCTION("""COMPUTED_VALUE"""),500000.0)</f>
        <v>500000</v>
      </c>
      <c r="L243" s="235">
        <f>IFERROR(__xludf.DUMMYFUNCTION("""COMPUTED_VALUE"""),2.0)</f>
        <v>2</v>
      </c>
      <c r="M243" s="235">
        <f>IFERROR(__xludf.DUMMYFUNCTION("""COMPUTED_VALUE"""),45.0)</f>
        <v>45</v>
      </c>
      <c r="N243" s="235">
        <f>IFERROR(__xludf.DUMMYFUNCTION("""COMPUTED_VALUE"""),0.2)</f>
        <v>0.2</v>
      </c>
      <c r="O243" s="235">
        <f>IFERROR(__xludf.DUMMYFUNCTION("""COMPUTED_VALUE"""),1500.0)</f>
        <v>1500</v>
      </c>
      <c r="P243" s="235">
        <f>IFERROR(__xludf.DUMMYFUNCTION("""COMPUTED_VALUE"""),0.0)</f>
        <v>0</v>
      </c>
      <c r="Q243" s="235">
        <f>IFERROR(__xludf.DUMMYFUNCTION("""COMPUTED_VALUE"""),0.3)</f>
        <v>0.3</v>
      </c>
      <c r="R243" s="235"/>
      <c r="S243" s="235">
        <f>IFERROR(__xludf.DUMMYFUNCTION("""COMPUTED_VALUE"""),1.0)</f>
        <v>1</v>
      </c>
      <c r="T243" s="244" t="str">
        <f>IFERROR(__xludf.DUMMYFUNCTION("""COMPUTED_VALUE"""),"1.00")</f>
        <v>1.00</v>
      </c>
      <c r="U243" s="235" t="str">
        <f>IFERROR(__xludf.DUMMYFUNCTION("""COMPUTED_VALUE"""),"0.40")</f>
        <v>0.40</v>
      </c>
      <c r="V243" s="235">
        <f>IFERROR(__xludf.DUMMYFUNCTION("""COMPUTED_VALUE"""),125.0)</f>
        <v>125</v>
      </c>
      <c r="W243" s="235" t="str">
        <f>IFERROR(__xludf.DUMMYFUNCTION("""COMPUTED_VALUE"""),"-")</f>
        <v>-</v>
      </c>
      <c r="X243" s="235" t="str">
        <f>IFERROR(__xludf.DUMMYFUNCTION("""COMPUTED_VALUE"""),"-")</f>
        <v>-</v>
      </c>
      <c r="Y243" s="235"/>
      <c r="Z243" s="235"/>
      <c r="AA243" s="235"/>
      <c r="AB243" s="235" t="str">
        <f>IFERROR(__xludf.DUMMYFUNCTION("""COMPUTED_VALUE"""),"dageki_1")</f>
        <v>dageki_1</v>
      </c>
      <c r="AC243" s="235"/>
    </row>
    <row r="244">
      <c r="A244" s="235"/>
      <c r="B244" s="235" t="str">
        <f>IFERROR(__xludf.DUMMYFUNCTION("""COMPUTED_VALUE"""),"enemy_kai_00301")</f>
        <v>enemy_kai_00301</v>
      </c>
      <c r="C244" s="254" t="str">
        <f>IFERROR(__xludf.DUMMYFUNCTION("""COMPUTED_VALUE"""),"_general_kai_vh")</f>
        <v>_general_kai_vh</v>
      </c>
      <c r="D244" s="254" t="str">
        <f>IFERROR(__xludf.DUMMYFUNCTION("""COMPUTED_VALUE"""),"e_kai_00301_general_kai_vh_Normal_Blue")</f>
        <v>e_kai_00301_general_kai_vh_Normal_Blue</v>
      </c>
      <c r="E244" s="254" t="str">
        <f>IFERROR(__xludf.DUMMYFUNCTION("""COMPUTED_VALUE"""),"怪獣８号")</f>
        <v>怪獣８号</v>
      </c>
      <c r="F244" s="254" t="str">
        <f>IFERROR(__xludf.DUMMYFUNCTION("""COMPUTED_VALUE"""),"蜘蛛の怪獣")</f>
        <v>蜘蛛の怪獣</v>
      </c>
      <c r="G244" s="254" t="str">
        <f>IFERROR(__xludf.DUMMYFUNCTION("""COMPUTED_VALUE"""),"蜘蛛の怪獣_general_kai_vh")</f>
        <v>蜘蛛の怪獣_general_kai_vh</v>
      </c>
      <c r="H244" s="235" t="str">
        <f>IFERROR(__xludf.DUMMYFUNCTION("""COMPUTED_VALUE"""),"Normal")</f>
        <v>Normal</v>
      </c>
      <c r="I244" s="235" t="str">
        <f>IFERROR(__xludf.DUMMYFUNCTION("""COMPUTED_VALUE"""),"Attack")</f>
        <v>Attack</v>
      </c>
      <c r="J244" s="235" t="str">
        <f>IFERROR(__xludf.DUMMYFUNCTION("""COMPUTED_VALUE"""),"Blue")</f>
        <v>Blue</v>
      </c>
      <c r="K244" s="235">
        <f>IFERROR(__xludf.DUMMYFUNCTION("""COMPUTED_VALUE"""),250000.0)</f>
        <v>250000</v>
      </c>
      <c r="L244" s="235">
        <f>IFERROR(__xludf.DUMMYFUNCTION("""COMPUTED_VALUE"""),2.0)</f>
        <v>2</v>
      </c>
      <c r="M244" s="235">
        <f>IFERROR(__xludf.DUMMYFUNCTION("""COMPUTED_VALUE"""),45.0)</f>
        <v>45</v>
      </c>
      <c r="N244" s="235">
        <f>IFERROR(__xludf.DUMMYFUNCTION("""COMPUTED_VALUE"""),0.2)</f>
        <v>0.2</v>
      </c>
      <c r="O244" s="235">
        <f>IFERROR(__xludf.DUMMYFUNCTION("""COMPUTED_VALUE"""),1200.0)</f>
        <v>1200</v>
      </c>
      <c r="P244" s="235">
        <f>IFERROR(__xludf.DUMMYFUNCTION("""COMPUTED_VALUE"""),0.0)</f>
        <v>0</v>
      </c>
      <c r="Q244" s="235">
        <f>IFERROR(__xludf.DUMMYFUNCTION("""COMPUTED_VALUE"""),0.3)</f>
        <v>0.3</v>
      </c>
      <c r="R244" s="235"/>
      <c r="S244" s="235">
        <f>IFERROR(__xludf.DUMMYFUNCTION("""COMPUTED_VALUE"""),1.0)</f>
        <v>1</v>
      </c>
      <c r="T244" s="244" t="str">
        <f>IFERROR(__xludf.DUMMYFUNCTION("""COMPUTED_VALUE"""),"1.00")</f>
        <v>1.00</v>
      </c>
      <c r="U244" s="235" t="str">
        <f>IFERROR(__xludf.DUMMYFUNCTION("""COMPUTED_VALUE"""),"0.40")</f>
        <v>0.40</v>
      </c>
      <c r="V244" s="235">
        <f>IFERROR(__xludf.DUMMYFUNCTION("""COMPUTED_VALUE"""),125.0)</f>
        <v>125</v>
      </c>
      <c r="W244" s="235" t="str">
        <f>IFERROR(__xludf.DUMMYFUNCTION("""COMPUTED_VALUE"""),"-")</f>
        <v>-</v>
      </c>
      <c r="X244" s="235" t="str">
        <f>IFERROR(__xludf.DUMMYFUNCTION("""COMPUTED_VALUE"""),"-")</f>
        <v>-</v>
      </c>
      <c r="Y244" s="235"/>
      <c r="Z244" s="235"/>
      <c r="AA244" s="235"/>
      <c r="AB244" s="235" t="str">
        <f>IFERROR(__xludf.DUMMYFUNCTION("""COMPUTED_VALUE"""),"dageki_1")</f>
        <v>dageki_1</v>
      </c>
      <c r="AC244" s="235"/>
    </row>
    <row r="245">
      <c r="A245" s="235"/>
      <c r="B245" s="235" t="str">
        <f>IFERROR(__xludf.DUMMYFUNCTION("""COMPUTED_VALUE"""),"enemy_kai_00001")</f>
        <v>enemy_kai_00001</v>
      </c>
      <c r="C245" s="254" t="str">
        <f>IFERROR(__xludf.DUMMYFUNCTION("""COMPUTED_VALUE"""),"_general_kai_vh")</f>
        <v>_general_kai_vh</v>
      </c>
      <c r="D245" s="254" t="str">
        <f>IFERROR(__xludf.DUMMYFUNCTION("""COMPUTED_VALUE"""),"e_kai_00001_general_kai_vh_Normal_Green")</f>
        <v>e_kai_00001_general_kai_vh_Normal_Green</v>
      </c>
      <c r="E245" s="254" t="str">
        <f>IFERROR(__xludf.DUMMYFUNCTION("""COMPUTED_VALUE"""),"怪獣８号")</f>
        <v>怪獣８号</v>
      </c>
      <c r="F245" s="254" t="str">
        <f>IFERROR(__xludf.DUMMYFUNCTION("""COMPUTED_VALUE"""),"怪獣 本獣")</f>
        <v>怪獣 本獣</v>
      </c>
      <c r="G245" s="254" t="str">
        <f>IFERROR(__xludf.DUMMYFUNCTION("""COMPUTED_VALUE"""),"怪獣 本獣_general_kai_vh")</f>
        <v>怪獣 本獣_general_kai_vh</v>
      </c>
      <c r="H245" s="235" t="str">
        <f>IFERROR(__xludf.DUMMYFUNCTION("""COMPUTED_VALUE"""),"Normal")</f>
        <v>Normal</v>
      </c>
      <c r="I245" s="235" t="str">
        <f>IFERROR(__xludf.DUMMYFUNCTION("""COMPUTED_VALUE"""),"Attack")</f>
        <v>Attack</v>
      </c>
      <c r="J245" s="235" t="str">
        <f>IFERROR(__xludf.DUMMYFUNCTION("""COMPUTED_VALUE"""),"Green")</f>
        <v>Green</v>
      </c>
      <c r="K245" s="235">
        <f>IFERROR(__xludf.DUMMYFUNCTION("""COMPUTED_VALUE"""),250000.0)</f>
        <v>250000</v>
      </c>
      <c r="L245" s="235">
        <f>IFERROR(__xludf.DUMMYFUNCTION("""COMPUTED_VALUE"""),2.0)</f>
        <v>2</v>
      </c>
      <c r="M245" s="235">
        <f>IFERROR(__xludf.DUMMYFUNCTION("""COMPUTED_VALUE"""),65.0)</f>
        <v>65</v>
      </c>
      <c r="N245" s="235">
        <f>IFERROR(__xludf.DUMMYFUNCTION("""COMPUTED_VALUE"""),0.11)</f>
        <v>0.11</v>
      </c>
      <c r="O245" s="235">
        <f>IFERROR(__xludf.DUMMYFUNCTION("""COMPUTED_VALUE"""),800.0)</f>
        <v>800</v>
      </c>
      <c r="P245" s="235">
        <f>IFERROR(__xludf.DUMMYFUNCTION("""COMPUTED_VALUE"""),0.0)</f>
        <v>0</v>
      </c>
      <c r="Q245" s="235">
        <f>IFERROR(__xludf.DUMMYFUNCTION("""COMPUTED_VALUE"""),0.4)</f>
        <v>0.4</v>
      </c>
      <c r="R245" s="235"/>
      <c r="S245" s="235">
        <f>IFERROR(__xludf.DUMMYFUNCTION("""COMPUTED_VALUE"""),1.0)</f>
        <v>1</v>
      </c>
      <c r="T245" s="244" t="str">
        <f>IFERROR(__xludf.DUMMYFUNCTION("""COMPUTED_VALUE"""),"2.34")</f>
        <v>2.34</v>
      </c>
      <c r="U245" s="235" t="str">
        <f>IFERROR(__xludf.DUMMYFUNCTION("""COMPUTED_VALUE"""),"stop有:1回目 1.00")</f>
        <v>stop有:1回目 1.00</v>
      </c>
      <c r="V245" s="235">
        <f>IFERROR(__xludf.DUMMYFUNCTION("""COMPUTED_VALUE"""),75.0)</f>
        <v>75</v>
      </c>
      <c r="W245" s="235" t="str">
        <f>IFERROR(__xludf.DUMMYFUNCTION("""COMPUTED_VALUE"""),"-")</f>
        <v>-</v>
      </c>
      <c r="X245" s="235" t="str">
        <f>IFERROR(__xludf.DUMMYFUNCTION("""COMPUTED_VALUE"""),"-")</f>
        <v>-</v>
      </c>
      <c r="Y245" s="235"/>
      <c r="Z245" s="235"/>
      <c r="AA245" s="235"/>
      <c r="AB245" s="235" t="str">
        <f>IFERROR(__xludf.DUMMYFUNCTION("""COMPUTED_VALUE"""),"dageki_1")</f>
        <v>dageki_1</v>
      </c>
      <c r="AC245" s="235"/>
    </row>
    <row r="246">
      <c r="A246" s="235"/>
      <c r="B246" s="235" t="str">
        <f>IFERROR(__xludf.DUMMYFUNCTION("""COMPUTED_VALUE"""),"enemy_kai_00001")</f>
        <v>enemy_kai_00001</v>
      </c>
      <c r="C246" s="254" t="str">
        <f>IFERROR(__xludf.DUMMYFUNCTION("""COMPUTED_VALUE"""),"_general_kai_vh")</f>
        <v>_general_kai_vh</v>
      </c>
      <c r="D246" s="254" t="str">
        <f>IFERROR(__xludf.DUMMYFUNCTION("""COMPUTED_VALUE"""),"e_kai_00001_general_kai_vh_Normal_Blue")</f>
        <v>e_kai_00001_general_kai_vh_Normal_Blue</v>
      </c>
      <c r="E246" s="254" t="str">
        <f>IFERROR(__xludf.DUMMYFUNCTION("""COMPUTED_VALUE"""),"怪獣８号")</f>
        <v>怪獣８号</v>
      </c>
      <c r="F246" s="254" t="str">
        <f>IFERROR(__xludf.DUMMYFUNCTION("""COMPUTED_VALUE"""),"怪獣 本獣")</f>
        <v>怪獣 本獣</v>
      </c>
      <c r="G246" s="254" t="str">
        <f>IFERROR(__xludf.DUMMYFUNCTION("""COMPUTED_VALUE"""),"怪獣 本獣_general_kai_vh")</f>
        <v>怪獣 本獣_general_kai_vh</v>
      </c>
      <c r="H246" s="235" t="str">
        <f>IFERROR(__xludf.DUMMYFUNCTION("""COMPUTED_VALUE"""),"Normal")</f>
        <v>Normal</v>
      </c>
      <c r="I246" s="235" t="str">
        <f>IFERROR(__xludf.DUMMYFUNCTION("""COMPUTED_VALUE"""),"Attack")</f>
        <v>Attack</v>
      </c>
      <c r="J246" s="235" t="str">
        <f>IFERROR(__xludf.DUMMYFUNCTION("""COMPUTED_VALUE"""),"Blue")</f>
        <v>Blue</v>
      </c>
      <c r="K246" s="235">
        <f>IFERROR(__xludf.DUMMYFUNCTION("""COMPUTED_VALUE"""),100000.0)</f>
        <v>100000</v>
      </c>
      <c r="L246" s="235">
        <f>IFERROR(__xludf.DUMMYFUNCTION("""COMPUTED_VALUE"""),2.0)</f>
        <v>2</v>
      </c>
      <c r="M246" s="235">
        <f>IFERROR(__xludf.DUMMYFUNCTION("""COMPUTED_VALUE"""),35.0)</f>
        <v>35</v>
      </c>
      <c r="N246" s="235">
        <f>IFERROR(__xludf.DUMMYFUNCTION("""COMPUTED_VALUE"""),0.2)</f>
        <v>0.2</v>
      </c>
      <c r="O246" s="235">
        <f>IFERROR(__xludf.DUMMYFUNCTION("""COMPUTED_VALUE"""),600.0)</f>
        <v>600</v>
      </c>
      <c r="P246" s="235">
        <f>IFERROR(__xludf.DUMMYFUNCTION("""COMPUTED_VALUE"""),0.0)</f>
        <v>0</v>
      </c>
      <c r="Q246" s="235">
        <f>IFERROR(__xludf.DUMMYFUNCTION("""COMPUTED_VALUE"""),0.4)</f>
        <v>0.4</v>
      </c>
      <c r="R246" s="235"/>
      <c r="S246" s="235">
        <f>IFERROR(__xludf.DUMMYFUNCTION("""COMPUTED_VALUE"""),1.0)</f>
        <v>1</v>
      </c>
      <c r="T246" s="244" t="str">
        <f>IFERROR(__xludf.DUMMYFUNCTION("""COMPUTED_VALUE"""),"2.34")</f>
        <v>2.34</v>
      </c>
      <c r="U246" s="235" t="str">
        <f>IFERROR(__xludf.DUMMYFUNCTION("""COMPUTED_VALUE"""),"stop有:1回目 1.00")</f>
        <v>stop有:1回目 1.00</v>
      </c>
      <c r="V246" s="235">
        <f>IFERROR(__xludf.DUMMYFUNCTION("""COMPUTED_VALUE"""),125.0)</f>
        <v>125</v>
      </c>
      <c r="W246" s="235" t="str">
        <f>IFERROR(__xludf.DUMMYFUNCTION("""COMPUTED_VALUE"""),"-")</f>
        <v>-</v>
      </c>
      <c r="X246" s="235" t="str">
        <f>IFERROR(__xludf.DUMMYFUNCTION("""COMPUTED_VALUE"""),"-")</f>
        <v>-</v>
      </c>
      <c r="Y246" s="235"/>
      <c r="Z246" s="235"/>
      <c r="AA246" s="235"/>
      <c r="AB246" s="235" t="str">
        <f>IFERROR(__xludf.DUMMYFUNCTION("""COMPUTED_VALUE"""),"dageki_1")</f>
        <v>dageki_1</v>
      </c>
      <c r="AC246" s="235"/>
    </row>
    <row r="247">
      <c r="A247" s="235"/>
      <c r="B247" s="235" t="str">
        <f>IFERROR(__xludf.DUMMYFUNCTION("""COMPUTED_VALUE"""),"enemy_kai_00001")</f>
        <v>enemy_kai_00001</v>
      </c>
      <c r="C247" s="254" t="str">
        <f>IFERROR(__xludf.DUMMYFUNCTION("""COMPUTED_VALUE"""),"_general_kai_vh")</f>
        <v>_general_kai_vh</v>
      </c>
      <c r="D247" s="254" t="str">
        <f>IFERROR(__xludf.DUMMYFUNCTION("""COMPUTED_VALUE"""),"e_kai_00001_general_kai_vh_Normal_Red")</f>
        <v>e_kai_00001_general_kai_vh_Normal_Red</v>
      </c>
      <c r="E247" s="254" t="str">
        <f>IFERROR(__xludf.DUMMYFUNCTION("""COMPUTED_VALUE"""),"怪獣８号")</f>
        <v>怪獣８号</v>
      </c>
      <c r="F247" s="254" t="str">
        <f>IFERROR(__xludf.DUMMYFUNCTION("""COMPUTED_VALUE"""),"怪獣 本獣")</f>
        <v>怪獣 本獣</v>
      </c>
      <c r="G247" s="254" t="str">
        <f>IFERROR(__xludf.DUMMYFUNCTION("""COMPUTED_VALUE"""),"怪獣 本獣_general_kai_vh")</f>
        <v>怪獣 本獣_general_kai_vh</v>
      </c>
      <c r="H247" s="235" t="str">
        <f>IFERROR(__xludf.DUMMYFUNCTION("""COMPUTED_VALUE"""),"Normal")</f>
        <v>Normal</v>
      </c>
      <c r="I247" s="235" t="str">
        <f>IFERROR(__xludf.DUMMYFUNCTION("""COMPUTED_VALUE"""),"Attack")</f>
        <v>Attack</v>
      </c>
      <c r="J247" s="235" t="str">
        <f>IFERROR(__xludf.DUMMYFUNCTION("""COMPUTED_VALUE"""),"Red")</f>
        <v>Red</v>
      </c>
      <c r="K247" s="235">
        <f>IFERROR(__xludf.DUMMYFUNCTION("""COMPUTED_VALUE"""),120000.0)</f>
        <v>120000</v>
      </c>
      <c r="L247" s="235">
        <f>IFERROR(__xludf.DUMMYFUNCTION("""COMPUTED_VALUE"""),2.0)</f>
        <v>2</v>
      </c>
      <c r="M247" s="235">
        <f>IFERROR(__xludf.DUMMYFUNCTION("""COMPUTED_VALUE"""),35.0)</f>
        <v>35</v>
      </c>
      <c r="N247" s="235">
        <f>IFERROR(__xludf.DUMMYFUNCTION("""COMPUTED_VALUE"""),0.2)</f>
        <v>0.2</v>
      </c>
      <c r="O247" s="235">
        <f>IFERROR(__xludf.DUMMYFUNCTION("""COMPUTED_VALUE"""),800.0)</f>
        <v>800</v>
      </c>
      <c r="P247" s="235">
        <f>IFERROR(__xludf.DUMMYFUNCTION("""COMPUTED_VALUE"""),0.0)</f>
        <v>0</v>
      </c>
      <c r="Q247" s="235">
        <f>IFERROR(__xludf.DUMMYFUNCTION("""COMPUTED_VALUE"""),0.4)</f>
        <v>0.4</v>
      </c>
      <c r="R247" s="235"/>
      <c r="S247" s="235">
        <f>IFERROR(__xludf.DUMMYFUNCTION("""COMPUTED_VALUE"""),1.0)</f>
        <v>1</v>
      </c>
      <c r="T247" s="244" t="str">
        <f>IFERROR(__xludf.DUMMYFUNCTION("""COMPUTED_VALUE"""),"2.34")</f>
        <v>2.34</v>
      </c>
      <c r="U247" s="235" t="str">
        <f>IFERROR(__xludf.DUMMYFUNCTION("""COMPUTED_VALUE"""),"stop有:1回目 1.00")</f>
        <v>stop有:1回目 1.00</v>
      </c>
      <c r="V247" s="235">
        <f>IFERROR(__xludf.DUMMYFUNCTION("""COMPUTED_VALUE"""),125.0)</f>
        <v>125</v>
      </c>
      <c r="W247" s="235" t="str">
        <f>IFERROR(__xludf.DUMMYFUNCTION("""COMPUTED_VALUE"""),"-")</f>
        <v>-</v>
      </c>
      <c r="X247" s="235" t="str">
        <f>IFERROR(__xludf.DUMMYFUNCTION("""COMPUTED_VALUE"""),"-")</f>
        <v>-</v>
      </c>
      <c r="Y247" s="235"/>
      <c r="Z247" s="235"/>
      <c r="AA247" s="235"/>
      <c r="AB247" s="235" t="str">
        <f>IFERROR(__xludf.DUMMYFUNCTION("""COMPUTED_VALUE"""),"dageki_1")</f>
        <v>dageki_1</v>
      </c>
      <c r="AC247" s="235"/>
    </row>
    <row r="248">
      <c r="A248" s="235"/>
      <c r="B248" s="235" t="str">
        <f>IFERROR(__xludf.DUMMYFUNCTION("""COMPUTED_VALUE"""),"enemy_kai_00001")</f>
        <v>enemy_kai_00001</v>
      </c>
      <c r="C248" s="254" t="str">
        <f>IFERROR(__xludf.DUMMYFUNCTION("""COMPUTED_VALUE"""),"_general_kai_vh")</f>
        <v>_general_kai_vh</v>
      </c>
      <c r="D248" s="254" t="str">
        <f>IFERROR(__xludf.DUMMYFUNCTION("""COMPUTED_VALUE"""),"e_kai_00001_general_kai_vh_Boss_Green")</f>
        <v>e_kai_00001_general_kai_vh_Boss_Green</v>
      </c>
      <c r="E248" s="254" t="str">
        <f>IFERROR(__xludf.DUMMYFUNCTION("""COMPUTED_VALUE"""),"怪獣８号")</f>
        <v>怪獣８号</v>
      </c>
      <c r="F248" s="254" t="str">
        <f>IFERROR(__xludf.DUMMYFUNCTION("""COMPUTED_VALUE"""),"怪獣 本獣")</f>
        <v>怪獣 本獣</v>
      </c>
      <c r="G248" s="254" t="str">
        <f>IFERROR(__xludf.DUMMYFUNCTION("""COMPUTED_VALUE"""),"怪獣 本獣_general_kai_vh")</f>
        <v>怪獣 本獣_general_kai_vh</v>
      </c>
      <c r="H248" s="235" t="str">
        <f>IFERROR(__xludf.DUMMYFUNCTION("""COMPUTED_VALUE"""),"Boss")</f>
        <v>Boss</v>
      </c>
      <c r="I248" s="235" t="str">
        <f>IFERROR(__xludf.DUMMYFUNCTION("""COMPUTED_VALUE"""),"Attack")</f>
        <v>Attack</v>
      </c>
      <c r="J248" s="235" t="str">
        <f>IFERROR(__xludf.DUMMYFUNCTION("""COMPUTED_VALUE"""),"Green")</f>
        <v>Green</v>
      </c>
      <c r="K248" s="235">
        <f>IFERROR(__xludf.DUMMYFUNCTION("""COMPUTED_VALUE"""),610000.0)</f>
        <v>610000</v>
      </c>
      <c r="L248" s="235">
        <f>IFERROR(__xludf.DUMMYFUNCTION("""COMPUTED_VALUE"""),2.0)</f>
        <v>2</v>
      </c>
      <c r="M248" s="235">
        <f>IFERROR(__xludf.DUMMYFUNCTION("""COMPUTED_VALUE"""),35.0)</f>
        <v>35</v>
      </c>
      <c r="N248" s="235">
        <f>IFERROR(__xludf.DUMMYFUNCTION("""COMPUTED_VALUE"""),0.2)</f>
        <v>0.2</v>
      </c>
      <c r="O248" s="235">
        <f>IFERROR(__xludf.DUMMYFUNCTION("""COMPUTED_VALUE"""),1200.0)</f>
        <v>1200</v>
      </c>
      <c r="P248" s="235">
        <f>IFERROR(__xludf.DUMMYFUNCTION("""COMPUTED_VALUE"""),0.0)</f>
        <v>0</v>
      </c>
      <c r="Q248" s="235">
        <f>IFERROR(__xludf.DUMMYFUNCTION("""COMPUTED_VALUE"""),0.4)</f>
        <v>0.4</v>
      </c>
      <c r="R248" s="235"/>
      <c r="S248" s="235">
        <f>IFERROR(__xludf.DUMMYFUNCTION("""COMPUTED_VALUE"""),1.0)</f>
        <v>1</v>
      </c>
      <c r="T248" s="244" t="str">
        <f>IFERROR(__xludf.DUMMYFUNCTION("""COMPUTED_VALUE"""),"2.34")</f>
        <v>2.34</v>
      </c>
      <c r="U248" s="235" t="str">
        <f>IFERROR(__xludf.DUMMYFUNCTION("""COMPUTED_VALUE"""),"stop有:1回目 1.00")</f>
        <v>stop有:1回目 1.00</v>
      </c>
      <c r="V248" s="235">
        <f>IFERROR(__xludf.DUMMYFUNCTION("""COMPUTED_VALUE"""),125.0)</f>
        <v>125</v>
      </c>
      <c r="W248" s="235" t="str">
        <f>IFERROR(__xludf.DUMMYFUNCTION("""COMPUTED_VALUE"""),"-")</f>
        <v>-</v>
      </c>
      <c r="X248" s="235" t="str">
        <f>IFERROR(__xludf.DUMMYFUNCTION("""COMPUTED_VALUE"""),"-")</f>
        <v>-</v>
      </c>
      <c r="Y248" s="235"/>
      <c r="Z248" s="235"/>
      <c r="AA248" s="235"/>
      <c r="AB248" s="235" t="str">
        <f>IFERROR(__xludf.DUMMYFUNCTION("""COMPUTED_VALUE"""),"dageki_1")</f>
        <v>dageki_1</v>
      </c>
      <c r="AC248" s="235"/>
    </row>
    <row r="249">
      <c r="A249" s="235"/>
      <c r="B249" s="235" t="str">
        <f>IFERROR(__xludf.DUMMYFUNCTION("""COMPUTED_VALUE"""),"enemy_kai_00001")</f>
        <v>enemy_kai_00001</v>
      </c>
      <c r="C249" s="254" t="str">
        <f>IFERROR(__xludf.DUMMYFUNCTION("""COMPUTED_VALUE"""),"_general_kai_vh")</f>
        <v>_general_kai_vh</v>
      </c>
      <c r="D249" s="254" t="str">
        <f>IFERROR(__xludf.DUMMYFUNCTION("""COMPUTED_VALUE"""),"e_kai_00001_general_kai_vh_Boss_Blue")</f>
        <v>e_kai_00001_general_kai_vh_Boss_Blue</v>
      </c>
      <c r="E249" s="254" t="str">
        <f>IFERROR(__xludf.DUMMYFUNCTION("""COMPUTED_VALUE"""),"怪獣８号")</f>
        <v>怪獣８号</v>
      </c>
      <c r="F249" s="254" t="str">
        <f>IFERROR(__xludf.DUMMYFUNCTION("""COMPUTED_VALUE"""),"怪獣 本獣")</f>
        <v>怪獣 本獣</v>
      </c>
      <c r="G249" s="254" t="str">
        <f>IFERROR(__xludf.DUMMYFUNCTION("""COMPUTED_VALUE"""),"怪獣 本獣_general_kai_vh")</f>
        <v>怪獣 本獣_general_kai_vh</v>
      </c>
      <c r="H249" s="235" t="str">
        <f>IFERROR(__xludf.DUMMYFUNCTION("""COMPUTED_VALUE"""),"Boss")</f>
        <v>Boss</v>
      </c>
      <c r="I249" s="235" t="str">
        <f>IFERROR(__xludf.DUMMYFUNCTION("""COMPUTED_VALUE"""),"Attack")</f>
        <v>Attack</v>
      </c>
      <c r="J249" s="235" t="str">
        <f>IFERROR(__xludf.DUMMYFUNCTION("""COMPUTED_VALUE"""),"Blue")</f>
        <v>Blue</v>
      </c>
      <c r="K249" s="235">
        <f>IFERROR(__xludf.DUMMYFUNCTION("""COMPUTED_VALUE"""),1500000.0)</f>
        <v>1500000</v>
      </c>
      <c r="L249" s="235">
        <f>IFERROR(__xludf.DUMMYFUNCTION("""COMPUTED_VALUE"""),2.0)</f>
        <v>2</v>
      </c>
      <c r="M249" s="235">
        <f>IFERROR(__xludf.DUMMYFUNCTION("""COMPUTED_VALUE"""),55.0)</f>
        <v>55</v>
      </c>
      <c r="N249" s="235">
        <f>IFERROR(__xludf.DUMMYFUNCTION("""COMPUTED_VALUE"""),0.11)</f>
        <v>0.11</v>
      </c>
      <c r="O249" s="235">
        <f>IFERROR(__xludf.DUMMYFUNCTION("""COMPUTED_VALUE"""),1000.0)</f>
        <v>1000</v>
      </c>
      <c r="P249" s="235">
        <f>IFERROR(__xludf.DUMMYFUNCTION("""COMPUTED_VALUE"""),0.0)</f>
        <v>0</v>
      </c>
      <c r="Q249" s="235">
        <f>IFERROR(__xludf.DUMMYFUNCTION("""COMPUTED_VALUE"""),0.4)</f>
        <v>0.4</v>
      </c>
      <c r="R249" s="235"/>
      <c r="S249" s="235">
        <f>IFERROR(__xludf.DUMMYFUNCTION("""COMPUTED_VALUE"""),1.0)</f>
        <v>1</v>
      </c>
      <c r="T249" s="244" t="str">
        <f>IFERROR(__xludf.DUMMYFUNCTION("""COMPUTED_VALUE"""),"2.34")</f>
        <v>2.34</v>
      </c>
      <c r="U249" s="235" t="str">
        <f>IFERROR(__xludf.DUMMYFUNCTION("""COMPUTED_VALUE"""),"stop有:1回目 1.00")</f>
        <v>stop有:1回目 1.00</v>
      </c>
      <c r="V249" s="235">
        <f>IFERROR(__xludf.DUMMYFUNCTION("""COMPUTED_VALUE"""),125.0)</f>
        <v>125</v>
      </c>
      <c r="W249" s="235" t="str">
        <f>IFERROR(__xludf.DUMMYFUNCTION("""COMPUTED_VALUE"""),"-")</f>
        <v>-</v>
      </c>
      <c r="X249" s="235" t="str">
        <f>IFERROR(__xludf.DUMMYFUNCTION("""COMPUTED_VALUE"""),"-")</f>
        <v>-</v>
      </c>
      <c r="Y249" s="235"/>
      <c r="Z249" s="235"/>
      <c r="AA249" s="235"/>
      <c r="AB249" s="235" t="str">
        <f>IFERROR(__xludf.DUMMYFUNCTION("""COMPUTED_VALUE"""),"dageki_1")</f>
        <v>dageki_1</v>
      </c>
      <c r="AC249" s="235"/>
    </row>
    <row r="250">
      <c r="A250" s="235"/>
      <c r="B250" s="235" t="str">
        <f>IFERROR(__xludf.DUMMYFUNCTION("""COMPUTED_VALUE"""),"enemy_kai_00101")</f>
        <v>enemy_kai_00101</v>
      </c>
      <c r="C250" s="254" t="str">
        <f>IFERROR(__xludf.DUMMYFUNCTION("""COMPUTED_VALUE"""),"_general_kai_vh")</f>
        <v>_general_kai_vh</v>
      </c>
      <c r="D250" s="254" t="str">
        <f>IFERROR(__xludf.DUMMYFUNCTION("""COMPUTED_VALUE"""),"e_kai_00101_general_kai_vh_Normal_Green")</f>
        <v>e_kai_00101_general_kai_vh_Normal_Green</v>
      </c>
      <c r="E250" s="254" t="str">
        <f>IFERROR(__xludf.DUMMYFUNCTION("""COMPUTED_VALUE"""),"怪獣８号")</f>
        <v>怪獣８号</v>
      </c>
      <c r="F250" s="254" t="str">
        <f>IFERROR(__xludf.DUMMYFUNCTION("""COMPUTED_VALUE"""),"怪獣 余獣")</f>
        <v>怪獣 余獣</v>
      </c>
      <c r="G250" s="254" t="str">
        <f>IFERROR(__xludf.DUMMYFUNCTION("""COMPUTED_VALUE"""),"怪獣 余獣_general_kai_vh")</f>
        <v>怪獣 余獣_general_kai_vh</v>
      </c>
      <c r="H250" s="235" t="str">
        <f>IFERROR(__xludf.DUMMYFUNCTION("""COMPUTED_VALUE"""),"Normal")</f>
        <v>Normal</v>
      </c>
      <c r="I250" s="235" t="str">
        <f>IFERROR(__xludf.DUMMYFUNCTION("""COMPUTED_VALUE"""),"Attack")</f>
        <v>Attack</v>
      </c>
      <c r="J250" s="235" t="str">
        <f>IFERROR(__xludf.DUMMYFUNCTION("""COMPUTED_VALUE"""),"Green")</f>
        <v>Green</v>
      </c>
      <c r="K250" s="235">
        <f>IFERROR(__xludf.DUMMYFUNCTION("""COMPUTED_VALUE"""),80000.0)</f>
        <v>80000</v>
      </c>
      <c r="L250" s="235">
        <f>IFERROR(__xludf.DUMMYFUNCTION("""COMPUTED_VALUE"""),2.0)</f>
        <v>2</v>
      </c>
      <c r="M250" s="235">
        <f>IFERROR(__xludf.DUMMYFUNCTION("""COMPUTED_VALUE"""),55.0)</f>
        <v>55</v>
      </c>
      <c r="N250" s="235">
        <f>IFERROR(__xludf.DUMMYFUNCTION("""COMPUTED_VALUE"""),0.11)</f>
        <v>0.11</v>
      </c>
      <c r="O250" s="235">
        <f>IFERROR(__xludf.DUMMYFUNCTION("""COMPUTED_VALUE"""),600.0)</f>
        <v>600</v>
      </c>
      <c r="P250" s="235">
        <f>IFERROR(__xludf.DUMMYFUNCTION("""COMPUTED_VALUE"""),0.0)</f>
        <v>0</v>
      </c>
      <c r="Q250" s="235">
        <f>IFERROR(__xludf.DUMMYFUNCTION("""COMPUTED_VALUE"""),0.2)</f>
        <v>0.2</v>
      </c>
      <c r="R250" s="235"/>
      <c r="S250" s="235">
        <f>IFERROR(__xludf.DUMMYFUNCTION("""COMPUTED_VALUE"""),1.0)</f>
        <v>1</v>
      </c>
      <c r="T250" s="244" t="str">
        <f>IFERROR(__xludf.DUMMYFUNCTION("""COMPUTED_VALUE"""),"1.23")</f>
        <v>1.23</v>
      </c>
      <c r="U250" s="235" t="str">
        <f>IFERROR(__xludf.DUMMYFUNCTION("""COMPUTED_VALUE"""),"stop有:1回目 0.56")</f>
        <v>stop有:1回目 0.56</v>
      </c>
      <c r="V250" s="235">
        <f>IFERROR(__xludf.DUMMYFUNCTION("""COMPUTED_VALUE"""),75.0)</f>
        <v>75</v>
      </c>
      <c r="W250" s="235" t="str">
        <f>IFERROR(__xludf.DUMMYFUNCTION("""COMPUTED_VALUE"""),"-")</f>
        <v>-</v>
      </c>
      <c r="X250" s="235" t="str">
        <f>IFERROR(__xludf.DUMMYFUNCTION("""COMPUTED_VALUE"""),"-")</f>
        <v>-</v>
      </c>
      <c r="Y250" s="235"/>
      <c r="Z250" s="235"/>
      <c r="AA250" s="235"/>
      <c r="AB250" s="235" t="str">
        <f>IFERROR(__xludf.DUMMYFUNCTION("""COMPUTED_VALUE"""),"dageki_1")</f>
        <v>dageki_1</v>
      </c>
      <c r="AC250" s="235"/>
    </row>
    <row r="251">
      <c r="A251" s="235"/>
      <c r="B251" s="235" t="str">
        <f>IFERROR(__xludf.DUMMYFUNCTION("""COMPUTED_VALUE"""),"enemy_kai_00101")</f>
        <v>enemy_kai_00101</v>
      </c>
      <c r="C251" s="254" t="str">
        <f>IFERROR(__xludf.DUMMYFUNCTION("""COMPUTED_VALUE"""),"_general_kai_vh")</f>
        <v>_general_kai_vh</v>
      </c>
      <c r="D251" s="254" t="str">
        <f>IFERROR(__xludf.DUMMYFUNCTION("""COMPUTED_VALUE"""),"e_kai_00101_general_kai_vh_Normal_Blue")</f>
        <v>e_kai_00101_general_kai_vh_Normal_Blue</v>
      </c>
      <c r="E251" s="254" t="str">
        <f>IFERROR(__xludf.DUMMYFUNCTION("""COMPUTED_VALUE"""),"怪獣８号")</f>
        <v>怪獣８号</v>
      </c>
      <c r="F251" s="254" t="str">
        <f>IFERROR(__xludf.DUMMYFUNCTION("""COMPUTED_VALUE"""),"怪獣 余獣")</f>
        <v>怪獣 余獣</v>
      </c>
      <c r="G251" s="254" t="str">
        <f>IFERROR(__xludf.DUMMYFUNCTION("""COMPUTED_VALUE"""),"怪獣 余獣_general_kai_vh")</f>
        <v>怪獣 余獣_general_kai_vh</v>
      </c>
      <c r="H251" s="235" t="str">
        <f>IFERROR(__xludf.DUMMYFUNCTION("""COMPUTED_VALUE"""),"Normal")</f>
        <v>Normal</v>
      </c>
      <c r="I251" s="235" t="str">
        <f>IFERROR(__xludf.DUMMYFUNCTION("""COMPUTED_VALUE"""),"Attack")</f>
        <v>Attack</v>
      </c>
      <c r="J251" s="235" t="str">
        <f>IFERROR(__xludf.DUMMYFUNCTION("""COMPUTED_VALUE"""),"Blue")</f>
        <v>Blue</v>
      </c>
      <c r="K251" s="235">
        <f>IFERROR(__xludf.DUMMYFUNCTION("""COMPUTED_VALUE"""),90000.0)</f>
        <v>90000</v>
      </c>
      <c r="L251" s="235">
        <f>IFERROR(__xludf.DUMMYFUNCTION("""COMPUTED_VALUE"""),2.0)</f>
        <v>2</v>
      </c>
      <c r="M251" s="235">
        <f>IFERROR(__xludf.DUMMYFUNCTION("""COMPUTED_VALUE"""),55.0)</f>
        <v>55</v>
      </c>
      <c r="N251" s="235">
        <f>IFERROR(__xludf.DUMMYFUNCTION("""COMPUTED_VALUE"""),0.11)</f>
        <v>0.11</v>
      </c>
      <c r="O251" s="235">
        <f>IFERROR(__xludf.DUMMYFUNCTION("""COMPUTED_VALUE"""),700.0)</f>
        <v>700</v>
      </c>
      <c r="P251" s="235">
        <f>IFERROR(__xludf.DUMMYFUNCTION("""COMPUTED_VALUE"""),0.0)</f>
        <v>0</v>
      </c>
      <c r="Q251" s="235">
        <f>IFERROR(__xludf.DUMMYFUNCTION("""COMPUTED_VALUE"""),0.2)</f>
        <v>0.2</v>
      </c>
      <c r="R251" s="235"/>
      <c r="S251" s="235">
        <f>IFERROR(__xludf.DUMMYFUNCTION("""COMPUTED_VALUE"""),1.0)</f>
        <v>1</v>
      </c>
      <c r="T251" s="244" t="str">
        <f>IFERROR(__xludf.DUMMYFUNCTION("""COMPUTED_VALUE"""),"1.23")</f>
        <v>1.23</v>
      </c>
      <c r="U251" s="235" t="str">
        <f>IFERROR(__xludf.DUMMYFUNCTION("""COMPUTED_VALUE"""),"stop有:1回目 0.56")</f>
        <v>stop有:1回目 0.56</v>
      </c>
      <c r="V251" s="235">
        <f>IFERROR(__xludf.DUMMYFUNCTION("""COMPUTED_VALUE"""),50.0)</f>
        <v>50</v>
      </c>
      <c r="W251" s="235" t="str">
        <f>IFERROR(__xludf.DUMMYFUNCTION("""COMPUTED_VALUE"""),"-")</f>
        <v>-</v>
      </c>
      <c r="X251" s="235" t="str">
        <f>IFERROR(__xludf.DUMMYFUNCTION("""COMPUTED_VALUE"""),"-")</f>
        <v>-</v>
      </c>
      <c r="Y251" s="235"/>
      <c r="Z251" s="235"/>
      <c r="AA251" s="235"/>
      <c r="AB251" s="235" t="str">
        <f>IFERROR(__xludf.DUMMYFUNCTION("""COMPUTED_VALUE"""),"dageki_1")</f>
        <v>dageki_1</v>
      </c>
      <c r="AC251" s="235"/>
    </row>
    <row r="252">
      <c r="A252" s="235"/>
      <c r="B252" s="235" t="str">
        <f>IFERROR(__xludf.DUMMYFUNCTION("""COMPUTED_VALUE"""),"enemy_kai_00101")</f>
        <v>enemy_kai_00101</v>
      </c>
      <c r="C252" s="254" t="str">
        <f>IFERROR(__xludf.DUMMYFUNCTION("""COMPUTED_VALUE"""),"_general_kai_vh")</f>
        <v>_general_kai_vh</v>
      </c>
      <c r="D252" s="254" t="str">
        <f>IFERROR(__xludf.DUMMYFUNCTION("""COMPUTED_VALUE"""),"e_kai_00101_general_kai_vh_Normal_Red")</f>
        <v>e_kai_00101_general_kai_vh_Normal_Red</v>
      </c>
      <c r="E252" s="254" t="str">
        <f>IFERROR(__xludf.DUMMYFUNCTION("""COMPUTED_VALUE"""),"怪獣８号")</f>
        <v>怪獣８号</v>
      </c>
      <c r="F252" s="254" t="str">
        <f>IFERROR(__xludf.DUMMYFUNCTION("""COMPUTED_VALUE"""),"怪獣 余獣")</f>
        <v>怪獣 余獣</v>
      </c>
      <c r="G252" s="254" t="str">
        <f>IFERROR(__xludf.DUMMYFUNCTION("""COMPUTED_VALUE"""),"怪獣 余獣_general_kai_vh")</f>
        <v>怪獣 余獣_general_kai_vh</v>
      </c>
      <c r="H252" s="235" t="str">
        <f>IFERROR(__xludf.DUMMYFUNCTION("""COMPUTED_VALUE"""),"Normal")</f>
        <v>Normal</v>
      </c>
      <c r="I252" s="235" t="str">
        <f>IFERROR(__xludf.DUMMYFUNCTION("""COMPUTED_VALUE"""),"Attack")</f>
        <v>Attack</v>
      </c>
      <c r="J252" s="235" t="str">
        <f>IFERROR(__xludf.DUMMYFUNCTION("""COMPUTED_VALUE"""),"Red")</f>
        <v>Red</v>
      </c>
      <c r="K252" s="235">
        <f>IFERROR(__xludf.DUMMYFUNCTION("""COMPUTED_VALUE"""),30000.0)</f>
        <v>30000</v>
      </c>
      <c r="L252" s="235">
        <f>IFERROR(__xludf.DUMMYFUNCTION("""COMPUTED_VALUE"""),2.0)</f>
        <v>2</v>
      </c>
      <c r="M252" s="235">
        <f>IFERROR(__xludf.DUMMYFUNCTION("""COMPUTED_VALUE"""),65.0)</f>
        <v>65</v>
      </c>
      <c r="N252" s="235">
        <f>IFERROR(__xludf.DUMMYFUNCTION("""COMPUTED_VALUE"""),0.11)</f>
        <v>0.11</v>
      </c>
      <c r="O252" s="235">
        <f>IFERROR(__xludf.DUMMYFUNCTION("""COMPUTED_VALUE"""),300.0)</f>
        <v>300</v>
      </c>
      <c r="P252" s="235">
        <f>IFERROR(__xludf.DUMMYFUNCTION("""COMPUTED_VALUE"""),0.0)</f>
        <v>0</v>
      </c>
      <c r="Q252" s="235">
        <f>IFERROR(__xludf.DUMMYFUNCTION("""COMPUTED_VALUE"""),0.2)</f>
        <v>0.2</v>
      </c>
      <c r="R252" s="235"/>
      <c r="S252" s="235">
        <f>IFERROR(__xludf.DUMMYFUNCTION("""COMPUTED_VALUE"""),1.0)</f>
        <v>1</v>
      </c>
      <c r="T252" s="244" t="str">
        <f>IFERROR(__xludf.DUMMYFUNCTION("""COMPUTED_VALUE"""),"1.23")</f>
        <v>1.23</v>
      </c>
      <c r="U252" s="235" t="str">
        <f>IFERROR(__xludf.DUMMYFUNCTION("""COMPUTED_VALUE"""),"stop有:1回目 0.56")</f>
        <v>stop有:1回目 0.56</v>
      </c>
      <c r="V252" s="235">
        <f>IFERROR(__xludf.DUMMYFUNCTION("""COMPUTED_VALUE"""),50.0)</f>
        <v>50</v>
      </c>
      <c r="W252" s="235" t="str">
        <f>IFERROR(__xludf.DUMMYFUNCTION("""COMPUTED_VALUE"""),"-")</f>
        <v>-</v>
      </c>
      <c r="X252" s="235" t="str">
        <f>IFERROR(__xludf.DUMMYFUNCTION("""COMPUTED_VALUE"""),"-")</f>
        <v>-</v>
      </c>
      <c r="Y252" s="235"/>
      <c r="Z252" s="235"/>
      <c r="AA252" s="235"/>
      <c r="AB252" s="235" t="str">
        <f>IFERROR(__xludf.DUMMYFUNCTION("""COMPUTED_VALUE"""),"dageki_1")</f>
        <v>dageki_1</v>
      </c>
      <c r="AC252" s="235"/>
    </row>
    <row r="253">
      <c r="A253" s="235"/>
      <c r="B253" s="235" t="str">
        <f>IFERROR(__xludf.DUMMYFUNCTION("""COMPUTED_VALUE"""),"enemy_kai_00101")</f>
        <v>enemy_kai_00101</v>
      </c>
      <c r="C253" s="254" t="str">
        <f>IFERROR(__xludf.DUMMYFUNCTION("""COMPUTED_VALUE"""),"_general_kai_vh")</f>
        <v>_general_kai_vh</v>
      </c>
      <c r="D253" s="254" t="str">
        <f>IFERROR(__xludf.DUMMYFUNCTION("""COMPUTED_VALUE"""),"e_kai_00101_general_kai_vh_Normal_Yellow")</f>
        <v>e_kai_00101_general_kai_vh_Normal_Yellow</v>
      </c>
      <c r="E253" s="254" t="str">
        <f>IFERROR(__xludf.DUMMYFUNCTION("""COMPUTED_VALUE"""),"怪獣８号")</f>
        <v>怪獣８号</v>
      </c>
      <c r="F253" s="254" t="str">
        <f>IFERROR(__xludf.DUMMYFUNCTION("""COMPUTED_VALUE"""),"怪獣 余獣")</f>
        <v>怪獣 余獣</v>
      </c>
      <c r="G253" s="254" t="str">
        <f>IFERROR(__xludf.DUMMYFUNCTION("""COMPUTED_VALUE"""),"怪獣 余獣_general_kai_vh")</f>
        <v>怪獣 余獣_general_kai_vh</v>
      </c>
      <c r="H253" s="235" t="str">
        <f>IFERROR(__xludf.DUMMYFUNCTION("""COMPUTED_VALUE"""),"Normal")</f>
        <v>Normal</v>
      </c>
      <c r="I253" s="235" t="str">
        <f>IFERROR(__xludf.DUMMYFUNCTION("""COMPUTED_VALUE"""),"Attack")</f>
        <v>Attack</v>
      </c>
      <c r="J253" s="235" t="str">
        <f>IFERROR(__xludf.DUMMYFUNCTION("""COMPUTED_VALUE"""),"Yellow")</f>
        <v>Yellow</v>
      </c>
      <c r="K253" s="235">
        <f>IFERROR(__xludf.DUMMYFUNCTION("""COMPUTED_VALUE"""),40000.0)</f>
        <v>40000</v>
      </c>
      <c r="L253" s="235">
        <f>IFERROR(__xludf.DUMMYFUNCTION("""COMPUTED_VALUE"""),2.0)</f>
        <v>2</v>
      </c>
      <c r="M253" s="235">
        <f>IFERROR(__xludf.DUMMYFUNCTION("""COMPUTED_VALUE"""),65.0)</f>
        <v>65</v>
      </c>
      <c r="N253" s="235">
        <f>IFERROR(__xludf.DUMMYFUNCTION("""COMPUTED_VALUE"""),0.11)</f>
        <v>0.11</v>
      </c>
      <c r="O253" s="235">
        <f>IFERROR(__xludf.DUMMYFUNCTION("""COMPUTED_VALUE"""),400.0)</f>
        <v>400</v>
      </c>
      <c r="P253" s="235">
        <f>IFERROR(__xludf.DUMMYFUNCTION("""COMPUTED_VALUE"""),0.0)</f>
        <v>0</v>
      </c>
      <c r="Q253" s="235">
        <f>IFERROR(__xludf.DUMMYFUNCTION("""COMPUTED_VALUE"""),0.2)</f>
        <v>0.2</v>
      </c>
      <c r="R253" s="235"/>
      <c r="S253" s="235">
        <f>IFERROR(__xludf.DUMMYFUNCTION("""COMPUTED_VALUE"""),1.0)</f>
        <v>1</v>
      </c>
      <c r="T253" s="244" t="str">
        <f>IFERROR(__xludf.DUMMYFUNCTION("""COMPUTED_VALUE"""),"1.23")</f>
        <v>1.23</v>
      </c>
      <c r="U253" s="235" t="str">
        <f>IFERROR(__xludf.DUMMYFUNCTION("""COMPUTED_VALUE"""),"stop有:1回目 0.56")</f>
        <v>stop有:1回目 0.56</v>
      </c>
      <c r="V253" s="235">
        <f>IFERROR(__xludf.DUMMYFUNCTION("""COMPUTED_VALUE"""),50.0)</f>
        <v>50</v>
      </c>
      <c r="W253" s="235" t="str">
        <f>IFERROR(__xludf.DUMMYFUNCTION("""COMPUTED_VALUE"""),"-")</f>
        <v>-</v>
      </c>
      <c r="X253" s="235" t="str">
        <f>IFERROR(__xludf.DUMMYFUNCTION("""COMPUTED_VALUE"""),"-")</f>
        <v>-</v>
      </c>
      <c r="Y253" s="235"/>
      <c r="Z253" s="235"/>
      <c r="AA253" s="235"/>
      <c r="AB253" s="235" t="str">
        <f>IFERROR(__xludf.DUMMYFUNCTION("""COMPUTED_VALUE"""),"dageki_1")</f>
        <v>dageki_1</v>
      </c>
      <c r="AC253" s="235"/>
    </row>
    <row r="254">
      <c r="A254" s="235"/>
      <c r="B254" s="235" t="str">
        <f>IFERROR(__xludf.DUMMYFUNCTION("""COMPUTED_VALUE"""),"enemy_kai_00201")</f>
        <v>enemy_kai_00201</v>
      </c>
      <c r="C254" s="254" t="str">
        <f>IFERROR(__xludf.DUMMYFUNCTION("""COMPUTED_VALUE"""),"_general_kai_vh2")</f>
        <v>_general_kai_vh2</v>
      </c>
      <c r="D254" s="254" t="str">
        <f>IFERROR(__xludf.DUMMYFUNCTION("""COMPUTED_VALUE"""),"e_kai_00201_general_kai_vh2_Normal_Red")</f>
        <v>e_kai_00201_general_kai_vh2_Normal_Red</v>
      </c>
      <c r="E254" s="254" t="str">
        <f>IFERROR(__xludf.DUMMYFUNCTION("""COMPUTED_VALUE"""),"怪獣８号")</f>
        <v>怪獣８号</v>
      </c>
      <c r="F254" s="254" t="str">
        <f>IFERROR(__xludf.DUMMYFUNCTION("""COMPUTED_VALUE"""),"怪獣９号")</f>
        <v>怪獣９号</v>
      </c>
      <c r="G254" s="254" t="str">
        <f>IFERROR(__xludf.DUMMYFUNCTION("""COMPUTED_VALUE"""),"怪獣９号_general_kai_vh2")</f>
        <v>怪獣９号_general_kai_vh2</v>
      </c>
      <c r="H254" s="235" t="str">
        <f>IFERROR(__xludf.DUMMYFUNCTION("""COMPUTED_VALUE"""),"Normal")</f>
        <v>Normal</v>
      </c>
      <c r="I254" s="235" t="str">
        <f>IFERROR(__xludf.DUMMYFUNCTION("""COMPUTED_VALUE"""),"Attack")</f>
        <v>Attack</v>
      </c>
      <c r="J254" s="235" t="str">
        <f>IFERROR(__xludf.DUMMYFUNCTION("""COMPUTED_VALUE"""),"Red")</f>
        <v>Red</v>
      </c>
      <c r="K254" s="235">
        <f>IFERROR(__xludf.DUMMYFUNCTION("""COMPUTED_VALUE"""),650000.0)</f>
        <v>650000</v>
      </c>
      <c r="L254" s="235">
        <f>IFERROR(__xludf.DUMMYFUNCTION("""COMPUTED_VALUE"""),2.0)</f>
        <v>2</v>
      </c>
      <c r="M254" s="235">
        <f>IFERROR(__xludf.DUMMYFUNCTION("""COMPUTED_VALUE"""),65.0)</f>
        <v>65</v>
      </c>
      <c r="N254" s="235">
        <f>IFERROR(__xludf.DUMMYFUNCTION("""COMPUTED_VALUE"""),0.4)</f>
        <v>0.4</v>
      </c>
      <c r="O254" s="235">
        <f>IFERROR(__xludf.DUMMYFUNCTION("""COMPUTED_VALUE"""),500.0)</f>
        <v>500</v>
      </c>
      <c r="P254" s="235">
        <f>IFERROR(__xludf.DUMMYFUNCTION("""COMPUTED_VALUE"""),0.0)</f>
        <v>0</v>
      </c>
      <c r="Q254" s="235">
        <f>IFERROR(__xludf.DUMMYFUNCTION("""COMPUTED_VALUE"""),0.42)</f>
        <v>0.42</v>
      </c>
      <c r="R254" s="235"/>
      <c r="S254" s="235">
        <f>IFERROR(__xludf.DUMMYFUNCTION("""COMPUTED_VALUE"""),1.0)</f>
        <v>1</v>
      </c>
      <c r="T254" s="244" t="str">
        <f>IFERROR(__xludf.DUMMYFUNCTION("""COMPUTED_VALUE"""),"2.47")</f>
        <v>2.47</v>
      </c>
      <c r="U254" s="235" t="str">
        <f>IFERROR(__xludf.DUMMYFUNCTION("""COMPUTED_VALUE"""),"stop有:1回目 1.26")</f>
        <v>stop有:1回目 1.26</v>
      </c>
      <c r="V254" s="235">
        <f>IFERROR(__xludf.DUMMYFUNCTION("""COMPUTED_VALUE"""),250.0)</f>
        <v>250</v>
      </c>
      <c r="W254" s="235" t="str">
        <f>IFERROR(__xludf.DUMMYFUNCTION("""COMPUTED_VALUE"""),"-")</f>
        <v>-</v>
      </c>
      <c r="X254" s="235" t="str">
        <f>IFERROR(__xludf.DUMMYFUNCTION("""COMPUTED_VALUE"""),"-")</f>
        <v>-</v>
      </c>
      <c r="Y254" s="235"/>
      <c r="Z254" s="235"/>
      <c r="AA254" s="235"/>
      <c r="AB254" s="235" t="str">
        <f>IFERROR(__xludf.DUMMYFUNCTION("""COMPUTED_VALUE"""),"shageki_1")</f>
        <v>shageki_1</v>
      </c>
      <c r="AC254" s="235"/>
    </row>
    <row r="255">
      <c r="A255" s="235"/>
      <c r="B255" s="235" t="str">
        <f>IFERROR(__xludf.DUMMYFUNCTION("""COMPUTED_VALUE"""),"enemy_kai_00201")</f>
        <v>enemy_kai_00201</v>
      </c>
      <c r="C255" s="254" t="str">
        <f>IFERROR(__xludf.DUMMYFUNCTION("""COMPUTED_VALUE"""),"_general_kai_vh2")</f>
        <v>_general_kai_vh2</v>
      </c>
      <c r="D255" s="254" t="str">
        <f>IFERROR(__xludf.DUMMYFUNCTION("""COMPUTED_VALUE"""),"e_kai_00201_general_kai_vh2_Boss_Red")</f>
        <v>e_kai_00201_general_kai_vh2_Boss_Red</v>
      </c>
      <c r="E255" s="254" t="str">
        <f>IFERROR(__xludf.DUMMYFUNCTION("""COMPUTED_VALUE"""),"怪獣８号")</f>
        <v>怪獣８号</v>
      </c>
      <c r="F255" s="254" t="str">
        <f>IFERROR(__xludf.DUMMYFUNCTION("""COMPUTED_VALUE"""),"怪獣９号")</f>
        <v>怪獣９号</v>
      </c>
      <c r="G255" s="254" t="str">
        <f>IFERROR(__xludf.DUMMYFUNCTION("""COMPUTED_VALUE"""),"怪獣９号_general_kai_vh2")</f>
        <v>怪獣９号_general_kai_vh2</v>
      </c>
      <c r="H255" s="235" t="str">
        <f>IFERROR(__xludf.DUMMYFUNCTION("""COMPUTED_VALUE"""),"Boss")</f>
        <v>Boss</v>
      </c>
      <c r="I255" s="235" t="str">
        <f>IFERROR(__xludf.DUMMYFUNCTION("""COMPUTED_VALUE"""),"Attack")</f>
        <v>Attack</v>
      </c>
      <c r="J255" s="235" t="str">
        <f>IFERROR(__xludf.DUMMYFUNCTION("""COMPUTED_VALUE"""),"Red")</f>
        <v>Red</v>
      </c>
      <c r="K255" s="235">
        <f>IFERROR(__xludf.DUMMYFUNCTION("""COMPUTED_VALUE"""),1500000.0)</f>
        <v>1500000</v>
      </c>
      <c r="L255" s="235">
        <f>IFERROR(__xludf.DUMMYFUNCTION("""COMPUTED_VALUE"""),2.0)</f>
        <v>2</v>
      </c>
      <c r="M255" s="235">
        <f>IFERROR(__xludf.DUMMYFUNCTION("""COMPUTED_VALUE"""),65.0)</f>
        <v>65</v>
      </c>
      <c r="N255" s="235">
        <f>IFERROR(__xludf.DUMMYFUNCTION("""COMPUTED_VALUE"""),0.11)</f>
        <v>0.11</v>
      </c>
      <c r="O255" s="235">
        <f>IFERROR(__xludf.DUMMYFUNCTION("""COMPUTED_VALUE"""),1000.0)</f>
        <v>1000</v>
      </c>
      <c r="P255" s="235">
        <f>IFERROR(__xludf.DUMMYFUNCTION("""COMPUTED_VALUE"""),0.0)</f>
        <v>0</v>
      </c>
      <c r="Q255" s="235">
        <f>IFERROR(__xludf.DUMMYFUNCTION("""COMPUTED_VALUE"""),0.42)</f>
        <v>0.42</v>
      </c>
      <c r="R255" s="235"/>
      <c r="S255" s="235">
        <f>IFERROR(__xludf.DUMMYFUNCTION("""COMPUTED_VALUE"""),1.0)</f>
        <v>1</v>
      </c>
      <c r="T255" s="244" t="str">
        <f>IFERROR(__xludf.DUMMYFUNCTION("""COMPUTED_VALUE"""),"2.47")</f>
        <v>2.47</v>
      </c>
      <c r="U255" s="235" t="str">
        <f>IFERROR(__xludf.DUMMYFUNCTION("""COMPUTED_VALUE"""),"stop有:1回目 1.26")</f>
        <v>stop有:1回目 1.26</v>
      </c>
      <c r="V255" s="235">
        <f>IFERROR(__xludf.DUMMYFUNCTION("""COMPUTED_VALUE"""),75.0)</f>
        <v>75</v>
      </c>
      <c r="W255" s="235" t="str">
        <f>IFERROR(__xludf.DUMMYFUNCTION("""COMPUTED_VALUE"""),"-")</f>
        <v>-</v>
      </c>
      <c r="X255" s="235" t="str">
        <f>IFERROR(__xludf.DUMMYFUNCTION("""COMPUTED_VALUE"""),"-")</f>
        <v>-</v>
      </c>
      <c r="Y255" s="235"/>
      <c r="Z255" s="235"/>
      <c r="AA255" s="235"/>
      <c r="AB255" s="235" t="str">
        <f>IFERROR(__xludf.DUMMYFUNCTION("""COMPUTED_VALUE"""),"shageki_1")</f>
        <v>shageki_1</v>
      </c>
      <c r="AC255" s="235"/>
    </row>
    <row r="256">
      <c r="A256" s="235"/>
      <c r="B256" s="235" t="str">
        <f>IFERROR(__xludf.DUMMYFUNCTION("""COMPUTED_VALUE"""),"enemy_kai_00201")</f>
        <v>enemy_kai_00201</v>
      </c>
      <c r="C256" s="254" t="str">
        <f>IFERROR(__xludf.DUMMYFUNCTION("""COMPUTED_VALUE"""),"_general_kai_vh")</f>
        <v>_general_kai_vh</v>
      </c>
      <c r="D256" s="254" t="str">
        <f>IFERROR(__xludf.DUMMYFUNCTION("""COMPUTED_VALUE"""),"e_kai_00201_general_kai_vh_Boss_Yellow")</f>
        <v>e_kai_00201_general_kai_vh_Boss_Yellow</v>
      </c>
      <c r="E256" s="254" t="str">
        <f>IFERROR(__xludf.DUMMYFUNCTION("""COMPUTED_VALUE"""),"怪獣８号")</f>
        <v>怪獣８号</v>
      </c>
      <c r="F256" s="254" t="str">
        <f>IFERROR(__xludf.DUMMYFUNCTION("""COMPUTED_VALUE"""),"怪獣９号")</f>
        <v>怪獣９号</v>
      </c>
      <c r="G256" s="254" t="str">
        <f>IFERROR(__xludf.DUMMYFUNCTION("""COMPUTED_VALUE"""),"怪獣９号_general_kai_vh")</f>
        <v>怪獣９号_general_kai_vh</v>
      </c>
      <c r="H256" s="235" t="str">
        <f>IFERROR(__xludf.DUMMYFUNCTION("""COMPUTED_VALUE"""),"Boss")</f>
        <v>Boss</v>
      </c>
      <c r="I256" s="235" t="str">
        <f>IFERROR(__xludf.DUMMYFUNCTION("""COMPUTED_VALUE"""),"Attack")</f>
        <v>Attack</v>
      </c>
      <c r="J256" s="235" t="str">
        <f>IFERROR(__xludf.DUMMYFUNCTION("""COMPUTED_VALUE"""),"Yellow")</f>
        <v>Yellow</v>
      </c>
      <c r="K256" s="235">
        <f>IFERROR(__xludf.DUMMYFUNCTION("""COMPUTED_VALUE"""),1000000.0)</f>
        <v>1000000</v>
      </c>
      <c r="L256" s="235">
        <f>IFERROR(__xludf.DUMMYFUNCTION("""COMPUTED_VALUE"""),2.0)</f>
        <v>2</v>
      </c>
      <c r="M256" s="235">
        <f>IFERROR(__xludf.DUMMYFUNCTION("""COMPUTED_VALUE"""),55.0)</f>
        <v>55</v>
      </c>
      <c r="N256" s="235">
        <f>IFERROR(__xludf.DUMMYFUNCTION("""COMPUTED_VALUE"""),0.11)</f>
        <v>0.11</v>
      </c>
      <c r="O256" s="235">
        <f>IFERROR(__xludf.DUMMYFUNCTION("""COMPUTED_VALUE"""),800.0)</f>
        <v>800</v>
      </c>
      <c r="P256" s="235">
        <f>IFERROR(__xludf.DUMMYFUNCTION("""COMPUTED_VALUE"""),0.0)</f>
        <v>0</v>
      </c>
      <c r="Q256" s="235">
        <f>IFERROR(__xludf.DUMMYFUNCTION("""COMPUTED_VALUE"""),0.42)</f>
        <v>0.42</v>
      </c>
      <c r="R256" s="235"/>
      <c r="S256" s="235">
        <f>IFERROR(__xludf.DUMMYFUNCTION("""COMPUTED_VALUE"""),1.0)</f>
        <v>1</v>
      </c>
      <c r="T256" s="244" t="str">
        <f>IFERROR(__xludf.DUMMYFUNCTION("""COMPUTED_VALUE"""),"2.47")</f>
        <v>2.47</v>
      </c>
      <c r="U256" s="235" t="str">
        <f>IFERROR(__xludf.DUMMYFUNCTION("""COMPUTED_VALUE"""),"stop有:1回目 1.26")</f>
        <v>stop有:1回目 1.26</v>
      </c>
      <c r="V256" s="235">
        <f>IFERROR(__xludf.DUMMYFUNCTION("""COMPUTED_VALUE"""),75.0)</f>
        <v>75</v>
      </c>
      <c r="W256" s="235" t="str">
        <f>IFERROR(__xludf.DUMMYFUNCTION("""COMPUTED_VALUE"""),"-")</f>
        <v>-</v>
      </c>
      <c r="X256" s="235" t="str">
        <f>IFERROR(__xludf.DUMMYFUNCTION("""COMPUTED_VALUE"""),"-")</f>
        <v>-</v>
      </c>
      <c r="Y256" s="235"/>
      <c r="Z256" s="235">
        <f>IFERROR(__xludf.DUMMYFUNCTION("""COMPUTED_VALUE"""),5.0)</f>
        <v>5</v>
      </c>
      <c r="AA256" s="235"/>
      <c r="AB256" s="235" t="str">
        <f>IFERROR(__xludf.DUMMYFUNCTION("""COMPUTED_VALUE"""),"shageki_1")</f>
        <v>shageki_1</v>
      </c>
      <c r="AC256" s="235"/>
    </row>
    <row r="257">
      <c r="A257" s="235"/>
      <c r="B257" s="235" t="str">
        <f>IFERROR(__xludf.DUMMYFUNCTION("""COMPUTED_VALUE"""),"chara_kai_00001")</f>
        <v>chara_kai_00001</v>
      </c>
      <c r="C257" s="254" t="str">
        <f>IFERROR(__xludf.DUMMYFUNCTION("""COMPUTED_VALUE"""),"_general_kai_vh")</f>
        <v>_general_kai_vh</v>
      </c>
      <c r="D257" s="254" t="str">
        <f>IFERROR(__xludf.DUMMYFUNCTION("""COMPUTED_VALUE"""),"c_kai_00001_general_kai_vh_Boss_Yellow")</f>
        <v>c_kai_00001_general_kai_vh_Boss_Yellow</v>
      </c>
      <c r="E257" s="254" t="str">
        <f>IFERROR(__xludf.DUMMYFUNCTION("""COMPUTED_VALUE"""),"怪獣８号")</f>
        <v>怪獣８号</v>
      </c>
      <c r="F257" s="254" t="str">
        <f>IFERROR(__xludf.DUMMYFUNCTION("""COMPUTED_VALUE"""),"日比野 カフカ")</f>
        <v>日比野 カフカ</v>
      </c>
      <c r="G257" s="254" t="str">
        <f>IFERROR(__xludf.DUMMYFUNCTION("""COMPUTED_VALUE"""),"日比野 カフカ_general_kai_vh")</f>
        <v>日比野 カフカ_general_kai_vh</v>
      </c>
      <c r="H257" s="235" t="str">
        <f>IFERROR(__xludf.DUMMYFUNCTION("""COMPUTED_VALUE"""),"Boss")</f>
        <v>Boss</v>
      </c>
      <c r="I257" s="235" t="str">
        <f>IFERROR(__xludf.DUMMYFUNCTION("""COMPUTED_VALUE"""),"Attack")</f>
        <v>Attack</v>
      </c>
      <c r="J257" s="235" t="str">
        <f>IFERROR(__xludf.DUMMYFUNCTION("""COMPUTED_VALUE"""),"Yellow")</f>
        <v>Yellow</v>
      </c>
      <c r="K257" s="235">
        <f>IFERROR(__xludf.DUMMYFUNCTION("""COMPUTED_VALUE"""),300000.0)</f>
        <v>300000</v>
      </c>
      <c r="L257" s="235">
        <f>IFERROR(__xludf.DUMMYFUNCTION("""COMPUTED_VALUE"""),3.0)</f>
        <v>3</v>
      </c>
      <c r="M257" s="235">
        <f>IFERROR(__xludf.DUMMYFUNCTION("""COMPUTED_VALUE"""),45.0)</f>
        <v>45</v>
      </c>
      <c r="N257" s="235">
        <f>IFERROR(__xludf.DUMMYFUNCTION("""COMPUTED_VALUE"""),0.11)</f>
        <v>0.11</v>
      </c>
      <c r="O257" s="235">
        <f>IFERROR(__xludf.DUMMYFUNCTION("""COMPUTED_VALUE"""),800.0)</f>
        <v>800</v>
      </c>
      <c r="P257" s="235">
        <f>IFERROR(__xludf.DUMMYFUNCTION("""COMPUTED_VALUE"""),0.0)</f>
        <v>0</v>
      </c>
      <c r="Q257" s="235">
        <f>IFERROR(__xludf.DUMMYFUNCTION("""COMPUTED_VALUE"""),0.3)</f>
        <v>0.3</v>
      </c>
      <c r="R257" s="235"/>
      <c r="S257" s="235">
        <f>IFERROR(__xludf.DUMMYFUNCTION("""COMPUTED_VALUE"""),1.0)</f>
        <v>1</v>
      </c>
      <c r="T257" s="244" t="str">
        <f>IFERROR(__xludf.DUMMYFUNCTION("""COMPUTED_VALUE"""),"1.83")</f>
        <v>1.83</v>
      </c>
      <c r="U257" s="235" t="str">
        <f>IFERROR(__xludf.DUMMYFUNCTION("""COMPUTED_VALUE"""),"1.00")</f>
        <v>1.00</v>
      </c>
      <c r="V257" s="235">
        <f>IFERROR(__xludf.DUMMYFUNCTION("""COMPUTED_VALUE"""),100.0)</f>
        <v>100</v>
      </c>
      <c r="W257" s="235" t="str">
        <f>IFERROR(__xludf.DUMMYFUNCTION("""COMPUTED_VALUE"""),"2.33")</f>
        <v>2.33</v>
      </c>
      <c r="X257" s="235" t="str">
        <f>IFERROR(__xludf.DUMMYFUNCTION("""COMPUTED_VALUE"""),"1.33")</f>
        <v>1.33</v>
      </c>
      <c r="Y257" s="235" t="str">
        <f>IFERROR(__xludf.DUMMYFUNCTION("""COMPUTED_VALUE"""),"自身を4秒間、300%攻撃UP")</f>
        <v>自身を4秒間、300%攻撃UP</v>
      </c>
      <c r="Z257" s="235">
        <f>IFERROR(__xludf.DUMMYFUNCTION("""COMPUTED_VALUE"""),4.0)</f>
        <v>4</v>
      </c>
      <c r="AA257" s="235"/>
      <c r="AB257" s="235" t="str">
        <f>IFERROR(__xludf.DUMMYFUNCTION("""COMPUTED_VALUE"""),"dageki_1")</f>
        <v>dageki_1</v>
      </c>
      <c r="AC257" s="235"/>
    </row>
    <row r="258">
      <c r="A258" s="235"/>
      <c r="B258" s="235" t="str">
        <f>IFERROR(__xludf.DUMMYFUNCTION("""COMPUTED_VALUE"""),"chara_kai_00002")</f>
        <v>chara_kai_00002</v>
      </c>
      <c r="C258" s="254" t="str">
        <f>IFERROR(__xludf.DUMMYFUNCTION("""COMPUTED_VALUE"""),"_general_kai_vh")</f>
        <v>_general_kai_vh</v>
      </c>
      <c r="D258" s="254" t="str">
        <f>IFERROR(__xludf.DUMMYFUNCTION("""COMPUTED_VALUE"""),"c_kai_00002_general_kai_vh_Boss_Red")</f>
        <v>c_kai_00002_general_kai_vh_Boss_Red</v>
      </c>
      <c r="E258" s="254" t="str">
        <f>IFERROR(__xludf.DUMMYFUNCTION("""COMPUTED_VALUE"""),"怪獣８号")</f>
        <v>怪獣８号</v>
      </c>
      <c r="F258" s="254" t="str">
        <f>IFERROR(__xludf.DUMMYFUNCTION("""COMPUTED_VALUE"""),"隠された英雄の姿 怪獣８号")</f>
        <v>隠された英雄の姿 怪獣８号</v>
      </c>
      <c r="G258" s="254" t="str">
        <f>IFERROR(__xludf.DUMMYFUNCTION("""COMPUTED_VALUE"""),"隠された英雄の姿 怪獣８号_general_kai_vh")</f>
        <v>隠された英雄の姿 怪獣８号_general_kai_vh</v>
      </c>
      <c r="H258" s="235" t="str">
        <f>IFERROR(__xludf.DUMMYFUNCTION("""COMPUTED_VALUE"""),"Boss")</f>
        <v>Boss</v>
      </c>
      <c r="I258" s="235" t="str">
        <f>IFERROR(__xludf.DUMMYFUNCTION("""COMPUTED_VALUE"""),"Attack")</f>
        <v>Attack</v>
      </c>
      <c r="J258" s="235" t="str">
        <f>IFERROR(__xludf.DUMMYFUNCTION("""COMPUTED_VALUE"""),"Red")</f>
        <v>Red</v>
      </c>
      <c r="K258" s="235">
        <f>IFERROR(__xludf.DUMMYFUNCTION("""COMPUTED_VALUE"""),700000.0)</f>
        <v>700000</v>
      </c>
      <c r="L258" s="235">
        <f>IFERROR(__xludf.DUMMYFUNCTION("""COMPUTED_VALUE"""),3.0)</f>
        <v>3</v>
      </c>
      <c r="M258" s="235">
        <f>IFERROR(__xludf.DUMMYFUNCTION("""COMPUTED_VALUE"""),55.0)</f>
        <v>55</v>
      </c>
      <c r="N258" s="235">
        <f>IFERROR(__xludf.DUMMYFUNCTION("""COMPUTED_VALUE"""),0.11)</f>
        <v>0.11</v>
      </c>
      <c r="O258" s="235">
        <f>IFERROR(__xludf.DUMMYFUNCTION("""COMPUTED_VALUE"""),1200.0)</f>
        <v>1200</v>
      </c>
      <c r="P258" s="235">
        <f>IFERROR(__xludf.DUMMYFUNCTION("""COMPUTED_VALUE"""),0.0)</f>
        <v>0</v>
      </c>
      <c r="Q258" s="235">
        <f>IFERROR(__xludf.DUMMYFUNCTION("""COMPUTED_VALUE"""),0.3)</f>
        <v>0.3</v>
      </c>
      <c r="R258" s="235"/>
      <c r="S258" s="235">
        <f>IFERROR(__xludf.DUMMYFUNCTION("""COMPUTED_VALUE"""),1.0)</f>
        <v>1</v>
      </c>
      <c r="T258" s="244" t="str">
        <f>IFERROR(__xludf.DUMMYFUNCTION("""COMPUTED_VALUE"""),"1.50")</f>
        <v>1.50</v>
      </c>
      <c r="U258" s="235" t="str">
        <f>IFERROR(__xludf.DUMMYFUNCTION("""COMPUTED_VALUE"""),"stop無:1回目 0.54")</f>
        <v>stop無:1回目 0.54</v>
      </c>
      <c r="V258" s="235">
        <f>IFERROR(__xludf.DUMMYFUNCTION("""COMPUTED_VALUE"""),100.0)</f>
        <v>100</v>
      </c>
      <c r="W258" s="235" t="str">
        <f>IFERROR(__xludf.DUMMYFUNCTION("""COMPUTED_VALUE"""),"2.40")</f>
        <v>2.40</v>
      </c>
      <c r="X258" s="23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58" s="235"/>
      <c r="Z258" s="235">
        <f>IFERROR(__xludf.DUMMYFUNCTION("""COMPUTED_VALUE"""),5.0)</f>
        <v>5</v>
      </c>
      <c r="AA258" s="235"/>
      <c r="AB258" s="235" t="str">
        <f>IFERROR(__xludf.DUMMYFUNCTION("""COMPUTED_VALUE"""),"dageki_1")</f>
        <v>dageki_1</v>
      </c>
      <c r="AC258" s="235"/>
    </row>
    <row r="259">
      <c r="A259" s="235"/>
      <c r="B259" s="235" t="str">
        <f>IFERROR(__xludf.DUMMYFUNCTION("""COMPUTED_VALUE"""),"chara_kai_00301")</f>
        <v>chara_kai_00301</v>
      </c>
      <c r="C259" s="254" t="str">
        <f>IFERROR(__xludf.DUMMYFUNCTION("""COMPUTED_VALUE"""),"_general_kai_vh")</f>
        <v>_general_kai_vh</v>
      </c>
      <c r="D259" s="254" t="str">
        <f>IFERROR(__xludf.DUMMYFUNCTION("""COMPUTED_VALUE"""),"c_kai_00301_general_kai_vh_Boss_Green")</f>
        <v>c_kai_00301_general_kai_vh_Boss_Green</v>
      </c>
      <c r="E259" s="254" t="str">
        <f>IFERROR(__xludf.DUMMYFUNCTION("""COMPUTED_VALUE"""),"怪獣８号")</f>
        <v>怪獣８号</v>
      </c>
      <c r="F259" s="254" t="str">
        <f>IFERROR(__xludf.DUMMYFUNCTION("""COMPUTED_VALUE"""),"四ノ宮 キコル")</f>
        <v>四ノ宮 キコル</v>
      </c>
      <c r="G259" s="254" t="str">
        <f>IFERROR(__xludf.DUMMYFUNCTION("""COMPUTED_VALUE"""),"四ノ宮 キコル_general_kai_vh")</f>
        <v>四ノ宮 キコル_general_kai_vh</v>
      </c>
      <c r="H259" s="235" t="str">
        <f>IFERROR(__xludf.DUMMYFUNCTION("""COMPUTED_VALUE"""),"Boss")</f>
        <v>Boss</v>
      </c>
      <c r="I259" s="235" t="str">
        <f>IFERROR(__xludf.DUMMYFUNCTION("""COMPUTED_VALUE"""),"Attack")</f>
        <v>Attack</v>
      </c>
      <c r="J259" s="235" t="str">
        <f>IFERROR(__xludf.DUMMYFUNCTION("""COMPUTED_VALUE"""),"Green")</f>
        <v>Green</v>
      </c>
      <c r="K259" s="235">
        <f>IFERROR(__xludf.DUMMYFUNCTION("""COMPUTED_VALUE"""),1000000.0)</f>
        <v>1000000</v>
      </c>
      <c r="L259" s="235">
        <f>IFERROR(__xludf.DUMMYFUNCTION("""COMPUTED_VALUE"""),3.0)</f>
        <v>3</v>
      </c>
      <c r="M259" s="235">
        <f>IFERROR(__xludf.DUMMYFUNCTION("""COMPUTED_VALUE"""),50.0)</f>
        <v>50</v>
      </c>
      <c r="N259" s="235">
        <f>IFERROR(__xludf.DUMMYFUNCTION("""COMPUTED_VALUE"""),0.2)</f>
        <v>0.2</v>
      </c>
      <c r="O259" s="235">
        <f>IFERROR(__xludf.DUMMYFUNCTION("""COMPUTED_VALUE"""),1000.0)</f>
        <v>1000</v>
      </c>
      <c r="P259" s="235">
        <f>IFERROR(__xludf.DUMMYFUNCTION("""COMPUTED_VALUE"""),0.0)</f>
        <v>0</v>
      </c>
      <c r="Q259" s="235">
        <f>IFERROR(__xludf.DUMMYFUNCTION("""COMPUTED_VALUE"""),0.35)</f>
        <v>0.35</v>
      </c>
      <c r="R259" s="235"/>
      <c r="S259" s="235">
        <f>IFERROR(__xludf.DUMMYFUNCTION("""COMPUTED_VALUE"""),1.0)</f>
        <v>1</v>
      </c>
      <c r="T259" s="244" t="str">
        <f>IFERROR(__xludf.DUMMYFUNCTION("""COMPUTED_VALUE"""),"2.04")</f>
        <v>2.04</v>
      </c>
      <c r="U259" s="235" t="str">
        <f>IFERROR(__xludf.DUMMYFUNCTION("""COMPUTED_VALUE"""),"0.70")</f>
        <v>0.70</v>
      </c>
      <c r="V259" s="235">
        <f>IFERROR(__xludf.DUMMYFUNCTION("""COMPUTED_VALUE"""),50.0)</f>
        <v>50</v>
      </c>
      <c r="W259" s="235" t="str">
        <f>IFERROR(__xludf.DUMMYFUNCTION("""COMPUTED_VALUE"""),"3.34")</f>
        <v>3.34</v>
      </c>
      <c r="X259" s="235" t="str">
        <f>IFERROR(__xludf.DUMMYFUNCTION("""COMPUTED_VALUE"""),"1.07")</f>
        <v>1.07</v>
      </c>
      <c r="Y259" s="235" t="str">
        <f>IFERROR(__xludf.DUMMYFUNCTION("""COMPUTED_VALUE"""),"100%の確率で4.5秒間スタン＋自身を199秒間攻撃50%Up")</f>
        <v>100%の確率で4.5秒間スタン＋自身を199秒間攻撃50%Up</v>
      </c>
      <c r="Z259" s="235">
        <f>IFERROR(__xludf.DUMMYFUNCTION("""COMPUTED_VALUE"""),5.0)</f>
        <v>5</v>
      </c>
      <c r="AA259" s="235"/>
      <c r="AB259" s="235" t="str">
        <f>IFERROR(__xludf.DUMMYFUNCTION("""COMPUTED_VALUE"""),"zangeki_1")</f>
        <v>zangeki_1</v>
      </c>
      <c r="AC259" s="235"/>
    </row>
    <row r="260">
      <c r="A260" s="235"/>
      <c r="B260" s="235"/>
      <c r="C260" s="254"/>
      <c r="D260" s="254" t="str">
        <f>IFERROR(__xludf.DUMMYFUNCTION("""COMPUTED_VALUE"""),"___")</f>
        <v>___</v>
      </c>
      <c r="E260" s="254" t="str">
        <f>IFERROR(__xludf.DUMMYFUNCTION("""COMPUTED_VALUE"""),"none")</f>
        <v>none</v>
      </c>
      <c r="F260" s="254" t="str">
        <f>IFERROR(__xludf.DUMMYFUNCTION("""COMPUTED_VALUE"""),"none")</f>
        <v>none</v>
      </c>
      <c r="G260" s="254" t="str">
        <f>IFERROR(__xludf.DUMMYFUNCTION("""COMPUTED_VALUE"""),"none")</f>
        <v>none</v>
      </c>
      <c r="H260" s="235"/>
      <c r="I260" s="235" t="str">
        <f>IFERROR(__xludf.DUMMYFUNCTION("""COMPUTED_VALUE"""),"none")</f>
        <v>none</v>
      </c>
      <c r="J260" s="235"/>
      <c r="K260" s="235"/>
      <c r="L260" s="235"/>
      <c r="M260" s="235"/>
      <c r="N260" s="235"/>
      <c r="O260" s="235"/>
      <c r="P260" s="235"/>
      <c r="Q260" s="235"/>
      <c r="R260" s="235"/>
      <c r="S260" s="235"/>
      <c r="T260" s="244" t="str">
        <f>IFERROR(__xludf.DUMMYFUNCTION("""COMPUTED_VALUE"""),"none")</f>
        <v>none</v>
      </c>
      <c r="U260" s="235" t="str">
        <f>IFERROR(__xludf.DUMMYFUNCTION("""COMPUTED_VALUE"""),"none")</f>
        <v>none</v>
      </c>
      <c r="V260" s="235"/>
      <c r="W260" s="235" t="str">
        <f>IFERROR(__xludf.DUMMYFUNCTION("""COMPUTED_VALUE"""),"none")</f>
        <v>none</v>
      </c>
      <c r="X260" s="235" t="str">
        <f>IFERROR(__xludf.DUMMYFUNCTION("""COMPUTED_VALUE"""),"none")</f>
        <v>none</v>
      </c>
      <c r="Y260" s="235"/>
      <c r="Z260" s="235"/>
      <c r="AA260" s="235"/>
      <c r="AB260" s="235" t="str">
        <f>IFERROR(__xludf.DUMMYFUNCTION("""COMPUTED_VALUE"""),"none")</f>
        <v>none</v>
      </c>
      <c r="AC260" s="235"/>
    </row>
    <row r="261">
      <c r="A261" s="235"/>
      <c r="B261" s="235" t="str">
        <f>IFERROR(__xludf.DUMMYFUNCTION("""COMPUTED_VALUE"""),"chara_kai_00002")</f>
        <v>chara_kai_00002</v>
      </c>
      <c r="C261" s="254" t="str">
        <f>IFERROR(__xludf.DUMMYFUNCTION("""COMPUTED_VALUE"""),"_general_as4")</f>
        <v>_general_as4</v>
      </c>
      <c r="D261" s="254" t="str">
        <f>IFERROR(__xludf.DUMMYFUNCTION("""COMPUTED_VALUE"""),"c_kai_00002_general_as4_Normal_Green")</f>
        <v>c_kai_00002_general_as4_Normal_Green</v>
      </c>
      <c r="E261" s="254" t="str">
        <f>IFERROR(__xludf.DUMMYFUNCTION("""COMPUTED_VALUE"""),"怪獣８号")</f>
        <v>怪獣８号</v>
      </c>
      <c r="F261" s="254" t="str">
        <f>IFERROR(__xludf.DUMMYFUNCTION("""COMPUTED_VALUE"""),"隠された英雄の姿 怪獣８号")</f>
        <v>隠された英雄の姿 怪獣８号</v>
      </c>
      <c r="G261" s="254" t="str">
        <f>IFERROR(__xludf.DUMMYFUNCTION("""COMPUTED_VALUE"""),"隠された英雄の姿 怪獣８号_general_as4")</f>
        <v>隠された英雄の姿 怪獣８号_general_as4</v>
      </c>
      <c r="H261" s="235" t="str">
        <f>IFERROR(__xludf.DUMMYFUNCTION("""COMPUTED_VALUE"""),"Normal")</f>
        <v>Normal</v>
      </c>
      <c r="I261" s="235" t="str">
        <f>IFERROR(__xludf.DUMMYFUNCTION("""COMPUTED_VALUE"""),"Attack")</f>
        <v>Attack</v>
      </c>
      <c r="J261" s="235" t="str">
        <f>IFERROR(__xludf.DUMMYFUNCTION("""COMPUTED_VALUE"""),"Green")</f>
        <v>Green</v>
      </c>
      <c r="K261" s="235">
        <f>IFERROR(__xludf.DUMMYFUNCTION("""COMPUTED_VALUE"""),400000.0)</f>
        <v>400000</v>
      </c>
      <c r="L261" s="235">
        <f>IFERROR(__xludf.DUMMYFUNCTION("""COMPUTED_VALUE"""),1.0)</f>
        <v>1</v>
      </c>
      <c r="M261" s="235">
        <f>IFERROR(__xludf.DUMMYFUNCTION("""COMPUTED_VALUE"""),40.0)</f>
        <v>40</v>
      </c>
      <c r="N261" s="235">
        <f>IFERROR(__xludf.DUMMYFUNCTION("""COMPUTED_VALUE"""),0.11)</f>
        <v>0.11</v>
      </c>
      <c r="O261" s="235">
        <f>IFERROR(__xludf.DUMMYFUNCTION("""COMPUTED_VALUE"""),1000.0)</f>
        <v>1000</v>
      </c>
      <c r="P261" s="235">
        <f>IFERROR(__xludf.DUMMYFUNCTION("""COMPUTED_VALUE"""),0.0)</f>
        <v>0</v>
      </c>
      <c r="Q261" s="235">
        <f>IFERROR(__xludf.DUMMYFUNCTION("""COMPUTED_VALUE"""),0.3)</f>
        <v>0.3</v>
      </c>
      <c r="R261" s="235">
        <f>IFERROR(__xludf.DUMMYFUNCTION("""COMPUTED_VALUE"""),1.0)</f>
        <v>1</v>
      </c>
      <c r="S261" s="235">
        <f>IFERROR(__xludf.DUMMYFUNCTION("""COMPUTED_VALUE"""),10.0)</f>
        <v>10</v>
      </c>
      <c r="T261" s="244" t="str">
        <f>IFERROR(__xludf.DUMMYFUNCTION("""COMPUTED_VALUE"""),"1.50")</f>
        <v>1.50</v>
      </c>
      <c r="U261" s="235" t="str">
        <f>IFERROR(__xludf.DUMMYFUNCTION("""COMPUTED_VALUE"""),"stop無:1回目 0.54")</f>
        <v>stop無:1回目 0.54</v>
      </c>
      <c r="V261" s="235">
        <f>IFERROR(__xludf.DUMMYFUNCTION("""COMPUTED_VALUE"""),100.0)</f>
        <v>100</v>
      </c>
      <c r="W261" s="235" t="str">
        <f>IFERROR(__xludf.DUMMYFUNCTION("""COMPUTED_VALUE"""),"2.40")</f>
        <v>2.40</v>
      </c>
      <c r="X261" s="23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61" s="235" t="str">
        <f>IFERROR(__xludf.DUMMYFUNCTION("""COMPUTED_VALUE"""),"最大6回ヒットの連続攻撃")</f>
        <v>最大6回ヒットの連続攻撃</v>
      </c>
      <c r="Z261" s="235">
        <f>IFERROR(__xludf.DUMMYFUNCTION("""COMPUTED_VALUE"""),9.0)</f>
        <v>9</v>
      </c>
      <c r="AA261" s="235"/>
      <c r="AB261" s="235" t="str">
        <f>IFERROR(__xludf.DUMMYFUNCTION("""COMPUTED_VALUE"""),"dageki_1")</f>
        <v>dageki_1</v>
      </c>
      <c r="AC261" s="235"/>
    </row>
    <row r="262">
      <c r="A262" s="235"/>
      <c r="B262" s="235" t="str">
        <f>IFERROR(__xludf.DUMMYFUNCTION("""COMPUTED_VALUE"""),"chara_sum_00101")</f>
        <v>chara_sum_00101</v>
      </c>
      <c r="C262" s="254" t="str">
        <f>IFERROR(__xludf.DUMMYFUNCTION("""COMPUTED_VALUE"""),"_general_as4")</f>
        <v>_general_as4</v>
      </c>
      <c r="D262" s="254" t="str">
        <f>IFERROR(__xludf.DUMMYFUNCTION("""COMPUTED_VALUE"""),"c_sum_00101_general_as4_Boss_Green")</f>
        <v>c_sum_00101_general_as4_Boss_Green</v>
      </c>
      <c r="E262" s="254" t="str">
        <f>IFERROR(__xludf.DUMMYFUNCTION("""COMPUTED_VALUE"""),"サマータイムレンダ")</f>
        <v>サマータイムレンダ</v>
      </c>
      <c r="F262" s="254" t="str">
        <f>IFERROR(__xludf.DUMMYFUNCTION("""COMPUTED_VALUE"""),"影のウシオ 小舟 潮")</f>
        <v>影のウシオ 小舟 潮</v>
      </c>
      <c r="G262" s="254" t="str">
        <f>IFERROR(__xludf.DUMMYFUNCTION("""COMPUTED_VALUE"""),"影のウシオ 小舟 潮_general_as4")</f>
        <v>影のウシオ 小舟 潮_general_as4</v>
      </c>
      <c r="H262" s="235" t="str">
        <f>IFERROR(__xludf.DUMMYFUNCTION("""COMPUTED_VALUE"""),"Boss")</f>
        <v>Boss</v>
      </c>
      <c r="I262" s="235" t="str">
        <f>IFERROR(__xludf.DUMMYFUNCTION("""COMPUTED_VALUE"""),"Support")</f>
        <v>Support</v>
      </c>
      <c r="J262" s="235" t="str">
        <f>IFERROR(__xludf.DUMMYFUNCTION("""COMPUTED_VALUE"""),"Green")</f>
        <v>Green</v>
      </c>
      <c r="K262" s="235">
        <f>IFERROR(__xludf.DUMMYFUNCTION("""COMPUTED_VALUE"""),500000.0)</f>
        <v>500000</v>
      </c>
      <c r="L262" s="235">
        <f>IFERROR(__xludf.DUMMYFUNCTION("""COMPUTED_VALUE"""),2.0)</f>
        <v>2</v>
      </c>
      <c r="M262" s="235">
        <f>IFERROR(__xludf.DUMMYFUNCTION("""COMPUTED_VALUE"""),45.0)</f>
        <v>45</v>
      </c>
      <c r="N262" s="235">
        <f>IFERROR(__xludf.DUMMYFUNCTION("""COMPUTED_VALUE"""),0.3)</f>
        <v>0.3</v>
      </c>
      <c r="O262" s="235">
        <f>IFERROR(__xludf.DUMMYFUNCTION("""COMPUTED_VALUE"""),900.0)</f>
        <v>900</v>
      </c>
      <c r="P262" s="235">
        <f>IFERROR(__xludf.DUMMYFUNCTION("""COMPUTED_VALUE"""),0.0)</f>
        <v>0</v>
      </c>
      <c r="Q262" s="235">
        <f>IFERROR(__xludf.DUMMYFUNCTION("""COMPUTED_VALUE"""),0.3)</f>
        <v>0.3</v>
      </c>
      <c r="R262" s="235">
        <f>IFERROR(__xludf.DUMMYFUNCTION("""COMPUTED_VALUE"""),1.0)</f>
        <v>1</v>
      </c>
      <c r="S262" s="235">
        <f>IFERROR(__xludf.DUMMYFUNCTION("""COMPUTED_VALUE"""),10.0)</f>
        <v>10</v>
      </c>
      <c r="T262" s="244" t="str">
        <f>IFERROR(__xludf.DUMMYFUNCTION("""COMPUTED_VALUE"""),"1.13")</f>
        <v>1.13</v>
      </c>
      <c r="U262" s="235" t="str">
        <f>IFERROR(__xludf.DUMMYFUNCTION("""COMPUTED_VALUE"""),"0.50")</f>
        <v>0.50</v>
      </c>
      <c r="V262" s="235">
        <f>IFERROR(__xludf.DUMMYFUNCTION("""COMPUTED_VALUE"""),150.0)</f>
        <v>150</v>
      </c>
      <c r="W262" s="235" t="str">
        <f>IFERROR(__xludf.DUMMYFUNCTION("""COMPUTED_VALUE"""),"2.20")</f>
        <v>2.20</v>
      </c>
      <c r="X262" s="235" t="str">
        <f>IFERROR(__xludf.DUMMYFUNCTION("""COMPUTED_VALUE"""),"1.00")</f>
        <v>1.00</v>
      </c>
      <c r="Y262" s="235" t="str">
        <f>IFERROR(__xludf.DUMMYFUNCTION("""COMPUTED_VALUE"""),"盤面全体の敵のHP20%回復+20秒間攻撃50%UP")</f>
        <v>盤面全体の敵のHP20%回復+20秒間攻撃50%UP</v>
      </c>
      <c r="Z262" s="235">
        <f>IFERROR(__xludf.DUMMYFUNCTION("""COMPUTED_VALUE"""),7.0)</f>
        <v>7</v>
      </c>
      <c r="AA262" s="235"/>
      <c r="AB262" s="235" t="str">
        <f>IFERROR(__xludf.DUMMYFUNCTION("""COMPUTED_VALUE"""),"zangeki_1")</f>
        <v>zangeki_1</v>
      </c>
      <c r="AC262" s="235"/>
    </row>
    <row r="263">
      <c r="A263" s="235"/>
      <c r="B263" s="235" t="str">
        <f>IFERROR(__xludf.DUMMYFUNCTION("""COMPUTED_VALUE"""),"chara_kai_00101")</f>
        <v>chara_kai_00101</v>
      </c>
      <c r="C263" s="254" t="str">
        <f>IFERROR(__xludf.DUMMYFUNCTION("""COMPUTED_VALUE"""),"_general_as4")</f>
        <v>_general_as4</v>
      </c>
      <c r="D263" s="254" t="str">
        <f>IFERROR(__xludf.DUMMYFUNCTION("""COMPUTED_VALUE"""),"c_kai_00101_general_as4_Normal_Green")</f>
        <v>c_kai_00101_general_as4_Normal_Green</v>
      </c>
      <c r="E263" s="254" t="str">
        <f>IFERROR(__xludf.DUMMYFUNCTION("""COMPUTED_VALUE"""),"怪獣８号")</f>
        <v>怪獣８号</v>
      </c>
      <c r="F263" s="254" t="str">
        <f>IFERROR(__xludf.DUMMYFUNCTION("""COMPUTED_VALUE"""),"市川 レノ")</f>
        <v>市川 レノ</v>
      </c>
      <c r="G263" s="254" t="str">
        <f>IFERROR(__xludf.DUMMYFUNCTION("""COMPUTED_VALUE"""),"市川 レノ_general_as4")</f>
        <v>市川 レノ_general_as4</v>
      </c>
      <c r="H263" s="235" t="str">
        <f>IFERROR(__xludf.DUMMYFUNCTION("""COMPUTED_VALUE"""),"Normal")</f>
        <v>Normal</v>
      </c>
      <c r="I263" s="235" t="str">
        <f>IFERROR(__xludf.DUMMYFUNCTION("""COMPUTED_VALUE"""),"Technical")</f>
        <v>Technical</v>
      </c>
      <c r="J263" s="235" t="str">
        <f>IFERROR(__xludf.DUMMYFUNCTION("""COMPUTED_VALUE"""),"Green")</f>
        <v>Green</v>
      </c>
      <c r="K263" s="235">
        <f>IFERROR(__xludf.DUMMYFUNCTION("""COMPUTED_VALUE"""),250000.0)</f>
        <v>250000</v>
      </c>
      <c r="L263" s="235">
        <f>IFERROR(__xludf.DUMMYFUNCTION("""COMPUTED_VALUE"""),3.0)</f>
        <v>3</v>
      </c>
      <c r="M263" s="235">
        <f>IFERROR(__xludf.DUMMYFUNCTION("""COMPUTED_VALUE"""),35.0)</f>
        <v>35</v>
      </c>
      <c r="N263" s="235">
        <f>IFERROR(__xludf.DUMMYFUNCTION("""COMPUTED_VALUE"""),0.4)</f>
        <v>0.4</v>
      </c>
      <c r="O263" s="235">
        <f>IFERROR(__xludf.DUMMYFUNCTION("""COMPUTED_VALUE"""),700.0)</f>
        <v>700</v>
      </c>
      <c r="P263" s="235">
        <f>IFERROR(__xludf.DUMMYFUNCTION("""COMPUTED_VALUE"""),0.0)</f>
        <v>0</v>
      </c>
      <c r="Q263" s="235">
        <f>IFERROR(__xludf.DUMMYFUNCTION("""COMPUTED_VALUE"""),0.5)</f>
        <v>0.5</v>
      </c>
      <c r="R263" s="235">
        <f>IFERROR(__xludf.DUMMYFUNCTION("""COMPUTED_VALUE"""),100.0)</f>
        <v>100</v>
      </c>
      <c r="S263" s="235">
        <f>IFERROR(__xludf.DUMMYFUNCTION("""COMPUTED_VALUE"""),10.0)</f>
        <v>10</v>
      </c>
      <c r="T263" s="244" t="str">
        <f>IFERROR(__xludf.DUMMYFUNCTION("""COMPUTED_VALUE"""),"1.40")</f>
        <v>1.40</v>
      </c>
      <c r="U263" s="235" t="str">
        <f>IFERROR(__xludf.DUMMYFUNCTION("""COMPUTED_VALUE"""),"stop無:1回目 0.91")</f>
        <v>stop無:1回目 0.91</v>
      </c>
      <c r="V263" s="235">
        <f>IFERROR(__xludf.DUMMYFUNCTION("""COMPUTED_VALUE"""),130.0)</f>
        <v>130</v>
      </c>
      <c r="W263" s="235" t="str">
        <f>IFERROR(__xludf.DUMMYFUNCTION("""COMPUTED_VALUE"""),"3.17")</f>
        <v>3.17</v>
      </c>
      <c r="X263" s="235" t="str">
        <f>IFERROR(__xludf.DUMMYFUNCTION("""COMPUTED_VALUE"""),"stop無:1回目 1.05
stop無:2回目 1.33
stop無:3回目 1.76")</f>
        <v>stop無:1回目 1.05
stop無:2回目 1.33
stop無:3回目 1.76</v>
      </c>
      <c r="Y263" s="235" t="str">
        <f>IFERROR(__xludf.DUMMYFUNCTION("""COMPUTED_VALUE"""),"最大3回ヒットの連続攻撃＋5秒間自身の攻撃300%UP")</f>
        <v>最大3回ヒットの連続攻撃＋5秒間自身の攻撃300%UP</v>
      </c>
      <c r="Z263" s="235">
        <f>IFERROR(__xludf.DUMMYFUNCTION("""COMPUTED_VALUE"""),7.0)</f>
        <v>7</v>
      </c>
      <c r="AA263" s="235"/>
      <c r="AB263" s="235" t="str">
        <f>IFERROR(__xludf.DUMMYFUNCTION("""COMPUTED_VALUE"""),"shageki_1")</f>
        <v>shageki_1</v>
      </c>
      <c r="AC263" s="235"/>
    </row>
    <row r="264">
      <c r="A264" s="235"/>
      <c r="B264" s="235" t="str">
        <f>IFERROR(__xludf.DUMMYFUNCTION("""COMPUTED_VALUE"""),"chara_sum_00201")</f>
        <v>chara_sum_00201</v>
      </c>
      <c r="C264" s="254" t="str">
        <f>IFERROR(__xludf.DUMMYFUNCTION("""COMPUTED_VALUE"""),"_general_as4")</f>
        <v>_general_as4</v>
      </c>
      <c r="D264" s="254" t="str">
        <f>IFERROR(__xludf.DUMMYFUNCTION("""COMPUTED_VALUE"""),"c_sum_00201_general_as4_Normal_Green")</f>
        <v>c_sum_00201_general_as4_Normal_Green</v>
      </c>
      <c r="E264" s="254" t="str">
        <f>IFERROR(__xludf.DUMMYFUNCTION("""COMPUTED_VALUE"""),"サマータイムレンダ")</f>
        <v>サマータイムレンダ</v>
      </c>
      <c r="F264" s="254" t="str">
        <f>IFERROR(__xludf.DUMMYFUNCTION("""COMPUTED_VALUE"""),"小舟 澪")</f>
        <v>小舟 澪</v>
      </c>
      <c r="G264" s="254" t="str">
        <f>IFERROR(__xludf.DUMMYFUNCTION("""COMPUTED_VALUE"""),"小舟 澪_general_as4")</f>
        <v>小舟 澪_general_as4</v>
      </c>
      <c r="H264" s="235" t="str">
        <f>IFERROR(__xludf.DUMMYFUNCTION("""COMPUTED_VALUE"""),"Normal")</f>
        <v>Normal</v>
      </c>
      <c r="I264" s="235" t="str">
        <f>IFERROR(__xludf.DUMMYFUNCTION("""COMPUTED_VALUE"""),"Attack")</f>
        <v>Attack</v>
      </c>
      <c r="J264" s="235" t="str">
        <f>IFERROR(__xludf.DUMMYFUNCTION("""COMPUTED_VALUE"""),"Green")</f>
        <v>Green</v>
      </c>
      <c r="K264" s="235">
        <f>IFERROR(__xludf.DUMMYFUNCTION("""COMPUTED_VALUE"""),250000.0)</f>
        <v>250000</v>
      </c>
      <c r="L264" s="235">
        <f>IFERROR(__xludf.DUMMYFUNCTION("""COMPUTED_VALUE"""),2.0)</f>
        <v>2</v>
      </c>
      <c r="M264" s="235">
        <f>IFERROR(__xludf.DUMMYFUNCTION("""COMPUTED_VALUE"""),45.0)</f>
        <v>45</v>
      </c>
      <c r="N264" s="235">
        <f>IFERROR(__xludf.DUMMYFUNCTION("""COMPUTED_VALUE"""),0.3)</f>
        <v>0.3</v>
      </c>
      <c r="O264" s="235">
        <f>IFERROR(__xludf.DUMMYFUNCTION("""COMPUTED_VALUE"""),500.0)</f>
        <v>500</v>
      </c>
      <c r="P264" s="235">
        <f>IFERROR(__xludf.DUMMYFUNCTION("""COMPUTED_VALUE"""),0.0)</f>
        <v>0</v>
      </c>
      <c r="Q264" s="235">
        <f>IFERROR(__xludf.DUMMYFUNCTION("""COMPUTED_VALUE"""),0.3)</f>
        <v>0.3</v>
      </c>
      <c r="R264" s="235">
        <f>IFERROR(__xludf.DUMMYFUNCTION("""COMPUTED_VALUE"""),1.0)</f>
        <v>1</v>
      </c>
      <c r="S264" s="235">
        <f>IFERROR(__xludf.DUMMYFUNCTION("""COMPUTED_VALUE"""),10.0)</f>
        <v>10</v>
      </c>
      <c r="T264" s="244" t="str">
        <f>IFERROR(__xludf.DUMMYFUNCTION("""COMPUTED_VALUE"""),"2.37")</f>
        <v>2.37</v>
      </c>
      <c r="U264" s="235" t="str">
        <f>IFERROR(__xludf.DUMMYFUNCTION("""COMPUTED_VALUE"""),"stop有 :1回目 0.67")</f>
        <v>stop有 :1回目 0.67</v>
      </c>
      <c r="V264" s="235">
        <f>IFERROR(__xludf.DUMMYFUNCTION("""COMPUTED_VALUE"""),50.0)</f>
        <v>50</v>
      </c>
      <c r="W264" s="235" t="str">
        <f>IFERROR(__xludf.DUMMYFUNCTION("""COMPUTED_VALUE"""),"3.67")</f>
        <v>3.67</v>
      </c>
      <c r="X264" s="235" t="str">
        <f>IFERROR(__xludf.DUMMYFUNCTION("""COMPUTED_VALUE"""),"stop有 :1回目 1.70")</f>
        <v>stop有 :1回目 1.70</v>
      </c>
      <c r="Y264" s="235" t="str">
        <f>IFERROR(__xludf.DUMMYFUNCTION("""COMPUTED_VALUE"""),"範囲攻撃＋大ノックバック＋20秒間攻撃20%DOWN")</f>
        <v>範囲攻撃＋大ノックバック＋20秒間攻撃20%DOWN</v>
      </c>
      <c r="Z264" s="235">
        <f>IFERROR(__xludf.DUMMYFUNCTION("""COMPUTED_VALUE"""),5.0)</f>
        <v>5</v>
      </c>
      <c r="AA264" s="235"/>
      <c r="AB264" s="235" t="str">
        <f>IFERROR(__xludf.DUMMYFUNCTION("""COMPUTED_VALUE"""),"dageki_1")</f>
        <v>dageki_1</v>
      </c>
      <c r="AC264" s="235"/>
    </row>
    <row r="265">
      <c r="A265" s="235"/>
      <c r="B265" s="235" t="str">
        <f>IFERROR(__xludf.DUMMYFUNCTION("""COMPUTED_VALUE"""),"enemy_sum_00101")</f>
        <v>enemy_sum_00101</v>
      </c>
      <c r="C265" s="254" t="str">
        <f>IFERROR(__xludf.DUMMYFUNCTION("""COMPUTED_VALUE"""),"_general_as4")</f>
        <v>_general_as4</v>
      </c>
      <c r="D265" s="254" t="str">
        <f>IFERROR(__xludf.DUMMYFUNCTION("""COMPUTED_VALUE"""),"e_sum_00101_general_as4_Normal_Green")</f>
        <v>e_sum_00101_general_as4_Normal_Green</v>
      </c>
      <c r="E265" s="254" t="str">
        <f>IFERROR(__xludf.DUMMYFUNCTION("""COMPUTED_VALUE"""),"サマータイムレンダ")</f>
        <v>サマータイムレンダ</v>
      </c>
      <c r="F265" s="254" t="str">
        <f>IFERROR(__xludf.DUMMYFUNCTION("""COMPUTED_VALUE"""),"小舟 澪の影 (拳銃)")</f>
        <v>小舟 澪の影 (拳銃)</v>
      </c>
      <c r="G265" s="254" t="str">
        <f>IFERROR(__xludf.DUMMYFUNCTION("""COMPUTED_VALUE"""),"小舟 澪(影)_拳銃_general_as4")</f>
        <v>小舟 澪(影)_拳銃_general_as4</v>
      </c>
      <c r="H265" s="235" t="str">
        <f>IFERROR(__xludf.DUMMYFUNCTION("""COMPUTED_VALUE"""),"Normal")</f>
        <v>Normal</v>
      </c>
      <c r="I265" s="235" t="str">
        <f>IFERROR(__xludf.DUMMYFUNCTION("""COMPUTED_VALUE"""),"Attack")</f>
        <v>Attack</v>
      </c>
      <c r="J265" s="235" t="str">
        <f>IFERROR(__xludf.DUMMYFUNCTION("""COMPUTED_VALUE"""),"Green")</f>
        <v>Green</v>
      </c>
      <c r="K265" s="235">
        <f>IFERROR(__xludf.DUMMYFUNCTION("""COMPUTED_VALUE"""),170000.0)</f>
        <v>170000</v>
      </c>
      <c r="L265" s="235">
        <f>IFERROR(__xludf.DUMMYFUNCTION("""COMPUTED_VALUE"""),3.0)</f>
        <v>3</v>
      </c>
      <c r="M265" s="235">
        <f>IFERROR(__xludf.DUMMYFUNCTION("""COMPUTED_VALUE"""),45.0)</f>
        <v>45</v>
      </c>
      <c r="N265" s="235">
        <f>IFERROR(__xludf.DUMMYFUNCTION("""COMPUTED_VALUE"""),0.3)</f>
        <v>0.3</v>
      </c>
      <c r="O265" s="235">
        <f>IFERROR(__xludf.DUMMYFUNCTION("""COMPUTED_VALUE"""),500.0)</f>
        <v>500</v>
      </c>
      <c r="P265" s="235">
        <f>IFERROR(__xludf.DUMMYFUNCTION("""COMPUTED_VALUE"""),0.0)</f>
        <v>0</v>
      </c>
      <c r="Q265" s="235">
        <f>IFERROR(__xludf.DUMMYFUNCTION("""COMPUTED_VALUE"""),0.5)</f>
        <v>0.5</v>
      </c>
      <c r="R265" s="235">
        <f>IFERROR(__xludf.DUMMYFUNCTION("""COMPUTED_VALUE"""),100.0)</f>
        <v>100</v>
      </c>
      <c r="S265" s="235">
        <f>IFERROR(__xludf.DUMMYFUNCTION("""COMPUTED_VALUE"""),10.0)</f>
        <v>10</v>
      </c>
      <c r="T265" s="244" t="str">
        <f>IFERROR(__xludf.DUMMYFUNCTION("""COMPUTED_VALUE"""),"1.40")</f>
        <v>1.40</v>
      </c>
      <c r="U265" s="235" t="str">
        <f>IFERROR(__xludf.DUMMYFUNCTION("""COMPUTED_VALUE"""),"0.60")</f>
        <v>0.60</v>
      </c>
      <c r="V265" s="235">
        <f>IFERROR(__xludf.DUMMYFUNCTION("""COMPUTED_VALUE"""),150.0)</f>
        <v>150</v>
      </c>
      <c r="W265" s="235" t="str">
        <f>IFERROR(__xludf.DUMMYFUNCTION("""COMPUTED_VALUE"""),"-")</f>
        <v>-</v>
      </c>
      <c r="X265" s="235" t="str">
        <f>IFERROR(__xludf.DUMMYFUNCTION("""COMPUTED_VALUE"""),"-")</f>
        <v>-</v>
      </c>
      <c r="Y265" s="235"/>
      <c r="Z265" s="235" t="str">
        <f>IFERROR(__xludf.DUMMYFUNCTION("""COMPUTED_VALUE"""),"-")</f>
        <v>-</v>
      </c>
      <c r="AA265" s="235"/>
      <c r="AB265" s="235" t="str">
        <f>IFERROR(__xludf.DUMMYFUNCTION("""COMPUTED_VALUE"""),"shageki_1")</f>
        <v>shageki_1</v>
      </c>
      <c r="AC265" s="235"/>
    </row>
    <row r="266">
      <c r="A266" s="235"/>
      <c r="B266" s="235" t="str">
        <f>IFERROR(__xludf.DUMMYFUNCTION("""COMPUTED_VALUE"""),"enemy_sum_00201")</f>
        <v>enemy_sum_00201</v>
      </c>
      <c r="C266" s="254" t="str">
        <f>IFERROR(__xludf.DUMMYFUNCTION("""COMPUTED_VALUE"""),"_general_as4")</f>
        <v>_general_as4</v>
      </c>
      <c r="D266" s="254" t="str">
        <f>IFERROR(__xludf.DUMMYFUNCTION("""COMPUTED_VALUE"""),"e_sum_00201_general_as4_Normal_Green")</f>
        <v>e_sum_00201_general_as4_Normal_Green</v>
      </c>
      <c r="E266" s="254" t="str">
        <f>IFERROR(__xludf.DUMMYFUNCTION("""COMPUTED_VALUE"""),"サマータイムレンダ")</f>
        <v>サマータイムレンダ</v>
      </c>
      <c r="F266" s="254" t="str">
        <f>IFERROR(__xludf.DUMMYFUNCTION("""COMPUTED_VALUE"""),"小舟 澪の影 (包丁)")</f>
        <v>小舟 澪の影 (包丁)</v>
      </c>
      <c r="G266" s="254" t="str">
        <f>IFERROR(__xludf.DUMMYFUNCTION("""COMPUTED_VALUE"""),"小舟 澪(影)_包丁_general_as4")</f>
        <v>小舟 澪(影)_包丁_general_as4</v>
      </c>
      <c r="H266" s="235" t="str">
        <f>IFERROR(__xludf.DUMMYFUNCTION("""COMPUTED_VALUE"""),"Normal")</f>
        <v>Normal</v>
      </c>
      <c r="I266" s="235" t="str">
        <f>IFERROR(__xludf.DUMMYFUNCTION("""COMPUTED_VALUE"""),"Attack")</f>
        <v>Attack</v>
      </c>
      <c r="J266" s="235" t="str">
        <f>IFERROR(__xludf.DUMMYFUNCTION("""COMPUTED_VALUE"""),"Green")</f>
        <v>Green</v>
      </c>
      <c r="K266" s="235">
        <f>IFERROR(__xludf.DUMMYFUNCTION("""COMPUTED_VALUE"""),170000.0)</f>
        <v>170000</v>
      </c>
      <c r="L266" s="235">
        <f>IFERROR(__xludf.DUMMYFUNCTION("""COMPUTED_VALUE"""),2.0)</f>
        <v>2</v>
      </c>
      <c r="M266" s="235">
        <f>IFERROR(__xludf.DUMMYFUNCTION("""COMPUTED_VALUE"""),45.0)</f>
        <v>45</v>
      </c>
      <c r="N266" s="235">
        <f>IFERROR(__xludf.DUMMYFUNCTION("""COMPUTED_VALUE"""),0.11)</f>
        <v>0.11</v>
      </c>
      <c r="O266" s="235">
        <f>IFERROR(__xludf.DUMMYFUNCTION("""COMPUTED_VALUE"""),100.0)</f>
        <v>100</v>
      </c>
      <c r="P266" s="235">
        <f>IFERROR(__xludf.DUMMYFUNCTION("""COMPUTED_VALUE"""),0.0)</f>
        <v>0</v>
      </c>
      <c r="Q266" s="235">
        <f>IFERROR(__xludf.DUMMYFUNCTION("""COMPUTED_VALUE"""),0.3)</f>
        <v>0.3</v>
      </c>
      <c r="R266" s="235">
        <f>IFERROR(__xludf.DUMMYFUNCTION("""COMPUTED_VALUE"""),1.0)</f>
        <v>1</v>
      </c>
      <c r="S266" s="235">
        <f>IFERROR(__xludf.DUMMYFUNCTION("""COMPUTED_VALUE"""),10.0)</f>
        <v>10</v>
      </c>
      <c r="T266" s="244" t="str">
        <f>IFERROR(__xludf.DUMMYFUNCTION("""COMPUTED_VALUE"""),"1.40")</f>
        <v>1.40</v>
      </c>
      <c r="U266" s="235" t="str">
        <f>IFERROR(__xludf.DUMMYFUNCTION("""COMPUTED_VALUE"""),"0.66")</f>
        <v>0.66</v>
      </c>
      <c r="V266" s="235">
        <f>IFERROR(__xludf.DUMMYFUNCTION("""COMPUTED_VALUE"""),10.0)</f>
        <v>10</v>
      </c>
      <c r="W266" s="235" t="str">
        <f>IFERROR(__xludf.DUMMYFUNCTION("""COMPUTED_VALUE"""),"-")</f>
        <v>-</v>
      </c>
      <c r="X266" s="235" t="str">
        <f>IFERROR(__xludf.DUMMYFUNCTION("""COMPUTED_VALUE"""),"-")</f>
        <v>-</v>
      </c>
      <c r="Y266" s="235"/>
      <c r="Z266" s="235" t="str">
        <f>IFERROR(__xludf.DUMMYFUNCTION("""COMPUTED_VALUE"""),"-")</f>
        <v>-</v>
      </c>
      <c r="AA266" s="235"/>
      <c r="AB266" s="235" t="str">
        <f>IFERROR(__xludf.DUMMYFUNCTION("""COMPUTED_VALUE"""),"zangeki_1")</f>
        <v>zangeki_1</v>
      </c>
      <c r="AC266" s="235"/>
    </row>
    <row r="267">
      <c r="A267" s="235"/>
      <c r="B267" s="235"/>
      <c r="C267" s="254"/>
      <c r="D267" s="254" t="str">
        <f>IFERROR(__xludf.DUMMYFUNCTION("""COMPUTED_VALUE"""),"___")</f>
        <v>___</v>
      </c>
      <c r="E267" s="254" t="str">
        <f>IFERROR(__xludf.DUMMYFUNCTION("""COMPUTED_VALUE"""),"none")</f>
        <v>none</v>
      </c>
      <c r="F267" s="254" t="str">
        <f>IFERROR(__xludf.DUMMYFUNCTION("""COMPUTED_VALUE"""),"none")</f>
        <v>none</v>
      </c>
      <c r="G267" s="254" t="str">
        <f>IFERROR(__xludf.DUMMYFUNCTION("""COMPUTED_VALUE"""),"none")</f>
        <v>none</v>
      </c>
      <c r="H267" s="235"/>
      <c r="I267" s="235" t="str">
        <f>IFERROR(__xludf.DUMMYFUNCTION("""COMPUTED_VALUE"""),"none")</f>
        <v>none</v>
      </c>
      <c r="J267" s="235"/>
      <c r="K267" s="235"/>
      <c r="L267" s="235"/>
      <c r="M267" s="235"/>
      <c r="N267" s="235"/>
      <c r="O267" s="235"/>
      <c r="P267" s="235"/>
      <c r="Q267" s="235"/>
      <c r="R267" s="235"/>
      <c r="S267" s="235"/>
      <c r="T267" s="244" t="str">
        <f>IFERROR(__xludf.DUMMYFUNCTION("""COMPUTED_VALUE"""),"none")</f>
        <v>none</v>
      </c>
      <c r="U267" s="235" t="str">
        <f>IFERROR(__xludf.DUMMYFUNCTION("""COMPUTED_VALUE"""),"none")</f>
        <v>none</v>
      </c>
      <c r="V267" s="235"/>
      <c r="W267" s="235" t="str">
        <f>IFERROR(__xludf.DUMMYFUNCTION("""COMPUTED_VALUE"""),"none")</f>
        <v>none</v>
      </c>
      <c r="X267" s="235" t="str">
        <f>IFERROR(__xludf.DUMMYFUNCTION("""COMPUTED_VALUE"""),"none")</f>
        <v>none</v>
      </c>
      <c r="Y267" s="235"/>
      <c r="Z267" s="235"/>
      <c r="AA267" s="235"/>
      <c r="AB267" s="235" t="str">
        <f>IFERROR(__xludf.DUMMYFUNCTION("""COMPUTED_VALUE"""),"none")</f>
        <v>none</v>
      </c>
      <c r="AC267" s="235"/>
    </row>
    <row r="268">
      <c r="A268" s="235"/>
      <c r="B268" s="235" t="str">
        <f>IFERROR(__xludf.DUMMYFUNCTION("""COMPUTED_VALUE"""),"chara_mag_00001")</f>
        <v>chara_mag_00001</v>
      </c>
      <c r="C268" s="254" t="str">
        <f>IFERROR(__xludf.DUMMYFUNCTION("""COMPUTED_VALUE"""),"_general_as4")</f>
        <v>_general_as4</v>
      </c>
      <c r="D268" s="254" t="str">
        <f>IFERROR(__xludf.DUMMYFUNCTION("""COMPUTED_VALUE"""),"c_mag_00001_general_as4_Boss_Blue")</f>
        <v>c_mag_00001_general_as4_Boss_Blue</v>
      </c>
      <c r="E268" s="254" t="str">
        <f>IFERROR(__xludf.DUMMYFUNCTION("""COMPUTED_VALUE"""),"株式会社マジルミエ")</f>
        <v>株式会社マジルミエ</v>
      </c>
      <c r="F268" s="254" t="str">
        <f>IFERROR(__xludf.DUMMYFUNCTION("""COMPUTED_VALUE"""),"新人魔法少女 桜木 カナ")</f>
        <v>新人魔法少女 桜木 カナ</v>
      </c>
      <c r="G268" s="254" t="str">
        <f>IFERROR(__xludf.DUMMYFUNCTION("""COMPUTED_VALUE"""),"新人魔法少女 桜木 カナ_general_as4")</f>
        <v>新人魔法少女 桜木 カナ_general_as4</v>
      </c>
      <c r="H268" s="235" t="str">
        <f>IFERROR(__xludf.DUMMYFUNCTION("""COMPUTED_VALUE"""),"Boss")</f>
        <v>Boss</v>
      </c>
      <c r="I268" s="235" t="str">
        <f>IFERROR(__xludf.DUMMYFUNCTION("""COMPUTED_VALUE"""),"Attack")</f>
        <v>Attack</v>
      </c>
      <c r="J268" s="235" t="str">
        <f>IFERROR(__xludf.DUMMYFUNCTION("""COMPUTED_VALUE"""),"Blue")</f>
        <v>Blue</v>
      </c>
      <c r="K268" s="235">
        <f>IFERROR(__xludf.DUMMYFUNCTION("""COMPUTED_VALUE"""),350000.0)</f>
        <v>350000</v>
      </c>
      <c r="L268" s="235">
        <f>IFERROR(__xludf.DUMMYFUNCTION("""COMPUTED_VALUE"""),3.0)</f>
        <v>3</v>
      </c>
      <c r="M268" s="235">
        <f>IFERROR(__xludf.DUMMYFUNCTION("""COMPUTED_VALUE"""),45.0)</f>
        <v>45</v>
      </c>
      <c r="N268" s="235">
        <f>IFERROR(__xludf.DUMMYFUNCTION("""COMPUTED_VALUE"""),0.3)</f>
        <v>0.3</v>
      </c>
      <c r="O268" s="235">
        <f>IFERROR(__xludf.DUMMYFUNCTION("""COMPUTED_VALUE"""),800.0)</f>
        <v>800</v>
      </c>
      <c r="P268" s="235">
        <f>IFERROR(__xludf.DUMMYFUNCTION("""COMPUTED_VALUE"""),0.0)</f>
        <v>0</v>
      </c>
      <c r="Q268" s="235">
        <f>IFERROR(__xludf.DUMMYFUNCTION("""COMPUTED_VALUE"""),0.6)</f>
        <v>0.6</v>
      </c>
      <c r="R268" s="235">
        <f>IFERROR(__xludf.DUMMYFUNCTION("""COMPUTED_VALUE"""),1.0)</f>
        <v>1</v>
      </c>
      <c r="S268" s="235">
        <f>IFERROR(__xludf.DUMMYFUNCTION("""COMPUTED_VALUE"""),10.0)</f>
        <v>10</v>
      </c>
      <c r="T268" s="244" t="str">
        <f>IFERROR(__xludf.DUMMYFUNCTION("""COMPUTED_VALUE"""),"1.77")</f>
        <v>1.77</v>
      </c>
      <c r="U268" s="235" t="str">
        <f>IFERROR(__xludf.DUMMYFUNCTION("""COMPUTED_VALUE"""),"stop有:1回目 0.92")</f>
        <v>stop有:1回目 0.92</v>
      </c>
      <c r="V268" s="235">
        <f>IFERROR(__xludf.DUMMYFUNCTION("""COMPUTED_VALUE"""),75.0)</f>
        <v>75</v>
      </c>
      <c r="W268" s="235" t="str">
        <f>IFERROR(__xludf.DUMMYFUNCTION("""COMPUTED_VALUE"""),"2.33")</f>
        <v>2.33</v>
      </c>
      <c r="X268" s="23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268" s="235" t="str">
        <f>IFERROR(__xludf.DUMMYFUNCTION("""COMPUTED_VALUE"""),"連続範囲攻撃")</f>
        <v>連続範囲攻撃</v>
      </c>
      <c r="Z268" s="235">
        <f>IFERROR(__xludf.DUMMYFUNCTION("""COMPUTED_VALUE"""),7.0)</f>
        <v>7</v>
      </c>
      <c r="AA268" s="235"/>
      <c r="AB268" s="235" t="str">
        <f>IFERROR(__xludf.DUMMYFUNCTION("""COMPUTED_VALUE"""),"shageki_1")</f>
        <v>shageki_1</v>
      </c>
      <c r="AC268" s="235"/>
    </row>
    <row r="269">
      <c r="A269" s="235"/>
      <c r="B269" s="235" t="str">
        <f>IFERROR(__xludf.DUMMYFUNCTION("""COMPUTED_VALUE"""),"chara_kai_00301")</f>
        <v>chara_kai_00301</v>
      </c>
      <c r="C269" s="254" t="str">
        <f>IFERROR(__xludf.DUMMYFUNCTION("""COMPUTED_VALUE"""),"_general_as4")</f>
        <v>_general_as4</v>
      </c>
      <c r="D269" s="254" t="str">
        <f>IFERROR(__xludf.DUMMYFUNCTION("""COMPUTED_VALUE"""),"c_kai_00301_general_as4_Normal_Blue")</f>
        <v>c_kai_00301_general_as4_Normal_Blue</v>
      </c>
      <c r="E269" s="254" t="str">
        <f>IFERROR(__xludf.DUMMYFUNCTION("""COMPUTED_VALUE"""),"怪獣８号")</f>
        <v>怪獣８号</v>
      </c>
      <c r="F269" s="254" t="str">
        <f>IFERROR(__xludf.DUMMYFUNCTION("""COMPUTED_VALUE"""),"四ノ宮 キコル")</f>
        <v>四ノ宮 キコル</v>
      </c>
      <c r="G269" s="254" t="str">
        <f>IFERROR(__xludf.DUMMYFUNCTION("""COMPUTED_VALUE"""),"四ノ宮 キコル_general_as4")</f>
        <v>四ノ宮 キコル_general_as4</v>
      </c>
      <c r="H269" s="235" t="str">
        <f>IFERROR(__xludf.DUMMYFUNCTION("""COMPUTED_VALUE"""),"Normal")</f>
        <v>Normal</v>
      </c>
      <c r="I269" s="235" t="str">
        <f>IFERROR(__xludf.DUMMYFUNCTION("""COMPUTED_VALUE"""),"Defense")</f>
        <v>Defense</v>
      </c>
      <c r="J269" s="235" t="str">
        <f>IFERROR(__xludf.DUMMYFUNCTION("""COMPUTED_VALUE"""),"Blue")</f>
        <v>Blue</v>
      </c>
      <c r="K269" s="235">
        <f>IFERROR(__xludf.DUMMYFUNCTION("""COMPUTED_VALUE"""),350000.0)</f>
        <v>350000</v>
      </c>
      <c r="L269" s="235">
        <f>IFERROR(__xludf.DUMMYFUNCTION("""COMPUTED_VALUE"""),1.0)</f>
        <v>1</v>
      </c>
      <c r="M269" s="235">
        <f>IFERROR(__xludf.DUMMYFUNCTION("""COMPUTED_VALUE"""),35.0)</f>
        <v>35</v>
      </c>
      <c r="N269" s="235">
        <f>IFERROR(__xludf.DUMMYFUNCTION("""COMPUTED_VALUE"""),0.11)</f>
        <v>0.11</v>
      </c>
      <c r="O269" s="235">
        <f>IFERROR(__xludf.DUMMYFUNCTION("""COMPUTED_VALUE"""),900.0)</f>
        <v>900</v>
      </c>
      <c r="P269" s="235">
        <f>IFERROR(__xludf.DUMMYFUNCTION("""COMPUTED_VALUE"""),0.0)</f>
        <v>0</v>
      </c>
      <c r="Q269" s="235">
        <f>IFERROR(__xludf.DUMMYFUNCTION("""COMPUTED_VALUE"""),0.2)</f>
        <v>0.2</v>
      </c>
      <c r="R269" s="235">
        <f>IFERROR(__xludf.DUMMYFUNCTION("""COMPUTED_VALUE"""),100.0)</f>
        <v>100</v>
      </c>
      <c r="S269" s="235">
        <f>IFERROR(__xludf.DUMMYFUNCTION("""COMPUTED_VALUE"""),10.0)</f>
        <v>10</v>
      </c>
      <c r="T269" s="244" t="str">
        <f>IFERROR(__xludf.DUMMYFUNCTION("""COMPUTED_VALUE"""),"2.04")</f>
        <v>2.04</v>
      </c>
      <c r="U269" s="235" t="str">
        <f>IFERROR(__xludf.DUMMYFUNCTION("""COMPUTED_VALUE"""),"0.70")</f>
        <v>0.70</v>
      </c>
      <c r="V269" s="235">
        <f>IFERROR(__xludf.DUMMYFUNCTION("""COMPUTED_VALUE"""),50.0)</f>
        <v>50</v>
      </c>
      <c r="W269" s="235" t="str">
        <f>IFERROR(__xludf.DUMMYFUNCTION("""COMPUTED_VALUE"""),"3.34")</f>
        <v>3.34</v>
      </c>
      <c r="X269" s="235" t="str">
        <f>IFERROR(__xludf.DUMMYFUNCTION("""COMPUTED_VALUE"""),"1.07")</f>
        <v>1.07</v>
      </c>
      <c r="Y269" s="235" t="str">
        <f>IFERROR(__xludf.DUMMYFUNCTION("""COMPUTED_VALUE"""),"100%の確率で4.5秒間のスタン攻撃+199秒間、自身の攻撃30%UP")</f>
        <v>100%の確率で4.5秒間のスタン攻撃+199秒間、自身の攻撃30%UP</v>
      </c>
      <c r="Z269" s="235">
        <f>IFERROR(__xludf.DUMMYFUNCTION("""COMPUTED_VALUE"""),5.0)</f>
        <v>5</v>
      </c>
      <c r="AA269" s="235"/>
      <c r="AB269" s="235" t="str">
        <f>IFERROR(__xludf.DUMMYFUNCTION("""COMPUTED_VALUE"""),"zangeki_1")</f>
        <v>zangeki_1</v>
      </c>
      <c r="AC269" s="235"/>
    </row>
    <row r="270">
      <c r="A270" s="235"/>
      <c r="B270" s="235" t="str">
        <f>IFERROR(__xludf.DUMMYFUNCTION("""COMPUTED_VALUE"""),"chara_mag_00101")</f>
        <v>chara_mag_00101</v>
      </c>
      <c r="C270" s="254" t="str">
        <f>IFERROR(__xludf.DUMMYFUNCTION("""COMPUTED_VALUE"""),"_general_as4")</f>
        <v>_general_as4</v>
      </c>
      <c r="D270" s="254" t="str">
        <f>IFERROR(__xludf.DUMMYFUNCTION("""COMPUTED_VALUE"""),"c_mag_00101_general_as4_Normal_Blue")</f>
        <v>c_mag_00101_general_as4_Normal_Blue</v>
      </c>
      <c r="E270" s="254" t="str">
        <f>IFERROR(__xludf.DUMMYFUNCTION("""COMPUTED_VALUE"""),"株式会社マジルミエ")</f>
        <v>株式会社マジルミエ</v>
      </c>
      <c r="F270" s="254" t="str">
        <f>IFERROR(__xludf.DUMMYFUNCTION("""COMPUTED_VALUE"""),"越谷 仁美")</f>
        <v>越谷 仁美</v>
      </c>
      <c r="G270" s="254" t="str">
        <f>IFERROR(__xludf.DUMMYFUNCTION("""COMPUTED_VALUE"""),"越谷 仁美_general_as4")</f>
        <v>越谷 仁美_general_as4</v>
      </c>
      <c r="H270" s="235" t="str">
        <f>IFERROR(__xludf.DUMMYFUNCTION("""COMPUTED_VALUE"""),"Normal")</f>
        <v>Normal</v>
      </c>
      <c r="I270" s="235" t="str">
        <f>IFERROR(__xludf.DUMMYFUNCTION("""COMPUTED_VALUE"""),"Attack")</f>
        <v>Attack</v>
      </c>
      <c r="J270" s="235" t="str">
        <f>IFERROR(__xludf.DUMMYFUNCTION("""COMPUTED_VALUE"""),"Blue")</f>
        <v>Blue</v>
      </c>
      <c r="K270" s="235">
        <f>IFERROR(__xludf.DUMMYFUNCTION("""COMPUTED_VALUE"""),500000.0)</f>
        <v>500000</v>
      </c>
      <c r="L270" s="235">
        <f>IFERROR(__xludf.DUMMYFUNCTION("""COMPUTED_VALUE"""),2.0)</f>
        <v>2</v>
      </c>
      <c r="M270" s="235">
        <f>IFERROR(__xludf.DUMMYFUNCTION("""COMPUTED_VALUE"""),45.0)</f>
        <v>45</v>
      </c>
      <c r="N270" s="235">
        <f>IFERROR(__xludf.DUMMYFUNCTION("""COMPUTED_VALUE"""),0.2)</f>
        <v>0.2</v>
      </c>
      <c r="O270" s="235">
        <f>IFERROR(__xludf.DUMMYFUNCTION("""COMPUTED_VALUE"""),900.0)</f>
        <v>900</v>
      </c>
      <c r="P270" s="235">
        <f>IFERROR(__xludf.DUMMYFUNCTION("""COMPUTED_VALUE"""),0.0)</f>
        <v>0</v>
      </c>
      <c r="Q270" s="235">
        <f>IFERROR(__xludf.DUMMYFUNCTION("""COMPUTED_VALUE"""),0.3)</f>
        <v>0.3</v>
      </c>
      <c r="R270" s="235">
        <f>IFERROR(__xludf.DUMMYFUNCTION("""COMPUTED_VALUE"""),1.0)</f>
        <v>1</v>
      </c>
      <c r="S270" s="235">
        <f>IFERROR(__xludf.DUMMYFUNCTION("""COMPUTED_VALUE"""),10.0)</f>
        <v>10</v>
      </c>
      <c r="T270" s="244" t="str">
        <f>IFERROR(__xludf.DUMMYFUNCTION("""COMPUTED_VALUE"""),"1.90")</f>
        <v>1.90</v>
      </c>
      <c r="U270" s="235" t="str">
        <f>IFERROR(__xludf.DUMMYFUNCTION("""COMPUTED_VALUE"""),"0.84")</f>
        <v>0.84</v>
      </c>
      <c r="V270" s="235">
        <f>IFERROR(__xludf.DUMMYFUNCTION("""COMPUTED_VALUE"""),75.0)</f>
        <v>75</v>
      </c>
      <c r="W270" s="235" t="str">
        <f>IFERROR(__xludf.DUMMYFUNCTION("""COMPUTED_VALUE"""),"2.67")</f>
        <v>2.67</v>
      </c>
      <c r="X270" s="235" t="str">
        <f>IFERROR(__xludf.DUMMYFUNCTION("""COMPUTED_VALUE"""),"1.50")</f>
        <v>1.50</v>
      </c>
      <c r="Y270" s="235" t="str">
        <f>IFERROR(__xludf.DUMMYFUNCTION("""COMPUTED_VALUE"""),"範囲攻撃+100%の確率で4.5秒間のスタン攻撃")</f>
        <v>範囲攻撃+100%の確率で4.5秒間のスタン攻撃</v>
      </c>
      <c r="Z270" s="235">
        <f>IFERROR(__xludf.DUMMYFUNCTION("""COMPUTED_VALUE"""),6.0)</f>
        <v>6</v>
      </c>
      <c r="AA270" s="235"/>
      <c r="AB270" s="235" t="str">
        <f>IFERROR(__xludf.DUMMYFUNCTION("""COMPUTED_VALUE"""),"shageki_1")</f>
        <v>shageki_1</v>
      </c>
      <c r="AC270" s="235"/>
    </row>
    <row r="271">
      <c r="A271" s="235"/>
      <c r="B271" s="235" t="str">
        <f>IFERROR(__xludf.DUMMYFUNCTION("""COMPUTED_VALUE"""),"chara_sum_00001")</f>
        <v>chara_sum_00001</v>
      </c>
      <c r="C271" s="254" t="str">
        <f>IFERROR(__xludf.DUMMYFUNCTION("""COMPUTED_VALUE"""),"_general_as4")</f>
        <v>_general_as4</v>
      </c>
      <c r="D271" s="254" t="str">
        <f>IFERROR(__xludf.DUMMYFUNCTION("""COMPUTED_VALUE"""),"c_sum_00001_general_as4_Normal_Blue")</f>
        <v>c_sum_00001_general_as4_Normal_Blue</v>
      </c>
      <c r="E271" s="254" t="str">
        <f>IFERROR(__xludf.DUMMYFUNCTION("""COMPUTED_VALUE"""),"サマータイムレンダ")</f>
        <v>サマータイムレンダ</v>
      </c>
      <c r="F271" s="254" t="str">
        <f>IFERROR(__xludf.DUMMYFUNCTION("""COMPUTED_VALUE"""),"網代 慎平")</f>
        <v>網代 慎平</v>
      </c>
      <c r="G271" s="254" t="str">
        <f>IFERROR(__xludf.DUMMYFUNCTION("""COMPUTED_VALUE"""),"網代 慎平_general_as4")</f>
        <v>網代 慎平_general_as4</v>
      </c>
      <c r="H271" s="235" t="str">
        <f>IFERROR(__xludf.DUMMYFUNCTION("""COMPUTED_VALUE"""),"Normal")</f>
        <v>Normal</v>
      </c>
      <c r="I271" s="235" t="str">
        <f>IFERROR(__xludf.DUMMYFUNCTION("""COMPUTED_VALUE"""),"Technical")</f>
        <v>Technical</v>
      </c>
      <c r="J271" s="235" t="str">
        <f>IFERROR(__xludf.DUMMYFUNCTION("""COMPUTED_VALUE"""),"Blue")</f>
        <v>Blue</v>
      </c>
      <c r="K271" s="235">
        <f>IFERROR(__xludf.DUMMYFUNCTION("""COMPUTED_VALUE"""),150000.0)</f>
        <v>150000</v>
      </c>
      <c r="L271" s="235">
        <f>IFERROR(__xludf.DUMMYFUNCTION("""COMPUTED_VALUE"""),3.0)</f>
        <v>3</v>
      </c>
      <c r="M271" s="235">
        <f>IFERROR(__xludf.DUMMYFUNCTION("""COMPUTED_VALUE"""),40.0)</f>
        <v>40</v>
      </c>
      <c r="N271" s="235">
        <f>IFERROR(__xludf.DUMMYFUNCTION("""COMPUTED_VALUE"""),0.3)</f>
        <v>0.3</v>
      </c>
      <c r="O271" s="235">
        <f>IFERROR(__xludf.DUMMYFUNCTION("""COMPUTED_VALUE"""),900.0)</f>
        <v>900</v>
      </c>
      <c r="P271" s="235">
        <f>IFERROR(__xludf.DUMMYFUNCTION("""COMPUTED_VALUE"""),0.0)</f>
        <v>0</v>
      </c>
      <c r="Q271" s="235">
        <f>IFERROR(__xludf.DUMMYFUNCTION("""COMPUTED_VALUE"""),0.6)</f>
        <v>0.6</v>
      </c>
      <c r="R271" s="235">
        <f>IFERROR(__xludf.DUMMYFUNCTION("""COMPUTED_VALUE"""),1.0)</f>
        <v>1</v>
      </c>
      <c r="S271" s="235">
        <f>IFERROR(__xludf.DUMMYFUNCTION("""COMPUTED_VALUE"""),10.0)</f>
        <v>10</v>
      </c>
      <c r="T271" s="244" t="str">
        <f>IFERROR(__xludf.DUMMYFUNCTION("""COMPUTED_VALUE"""),"1.40")</f>
        <v>1.40</v>
      </c>
      <c r="U271" s="235" t="str">
        <f>IFERROR(__xludf.DUMMYFUNCTION("""COMPUTED_VALUE"""),"stop無:1回目 0.65")</f>
        <v>stop無:1回目 0.65</v>
      </c>
      <c r="V271" s="235">
        <f>IFERROR(__xludf.DUMMYFUNCTION("""COMPUTED_VALUE"""),150.0)</f>
        <v>150</v>
      </c>
      <c r="W271" s="235" t="str">
        <f>IFERROR(__xludf.DUMMYFUNCTION("""COMPUTED_VALUE"""),"2.33")</f>
        <v>2.33</v>
      </c>
      <c r="X271" s="235" t="str">
        <f>IFERROR(__xludf.DUMMYFUNCTION("""COMPUTED_VALUE"""),"stop無:1回目 0.75
stop無:2回目 0.93
stop無:3回目 1.15")</f>
        <v>stop無:1回目 0.75
stop無:2回目 0.93
stop無:3回目 1.15</v>
      </c>
      <c r="Y271" s="235" t="str">
        <f>IFERROR(__xludf.DUMMYFUNCTION("""COMPUTED_VALUE"""),"連続3回攻撃+10秒間敵の攻撃15%down")</f>
        <v>連続3回攻撃+10秒間敵の攻撃15%down</v>
      </c>
      <c r="Z271" s="235">
        <f>IFERROR(__xludf.DUMMYFUNCTION("""COMPUTED_VALUE"""),7.0)</f>
        <v>7</v>
      </c>
      <c r="AA271" s="235"/>
      <c r="AB271" s="235" t="str">
        <f>IFERROR(__xludf.DUMMYFUNCTION("""COMPUTED_VALUE"""),"shageki_1")</f>
        <v>shageki_1</v>
      </c>
      <c r="AC271" s="235"/>
    </row>
    <row r="272">
      <c r="A272" s="235"/>
      <c r="B272" s="235" t="str">
        <f>IFERROR(__xludf.DUMMYFUNCTION("""COMPUTED_VALUE"""),"chara_kai_00001")</f>
        <v>chara_kai_00001</v>
      </c>
      <c r="C272" s="254" t="str">
        <f>IFERROR(__xludf.DUMMYFUNCTION("""COMPUTED_VALUE"""),"_general_as4")</f>
        <v>_general_as4</v>
      </c>
      <c r="D272" s="254" t="str">
        <f>IFERROR(__xludf.DUMMYFUNCTION("""COMPUTED_VALUE"""),"c_kai_00001_general_as4_Normal_Blue")</f>
        <v>c_kai_00001_general_as4_Normal_Blue</v>
      </c>
      <c r="E272" s="254" t="str">
        <f>IFERROR(__xludf.DUMMYFUNCTION("""COMPUTED_VALUE"""),"怪獣８号")</f>
        <v>怪獣８号</v>
      </c>
      <c r="F272" s="254" t="str">
        <f>IFERROR(__xludf.DUMMYFUNCTION("""COMPUTED_VALUE"""),"日比野 カフカ")</f>
        <v>日比野 カフカ</v>
      </c>
      <c r="G272" s="254" t="str">
        <f>IFERROR(__xludf.DUMMYFUNCTION("""COMPUTED_VALUE"""),"日比野 カフカ_general_as4")</f>
        <v>日比野 カフカ_general_as4</v>
      </c>
      <c r="H272" s="235" t="str">
        <f>IFERROR(__xludf.DUMMYFUNCTION("""COMPUTED_VALUE"""),"Normal")</f>
        <v>Normal</v>
      </c>
      <c r="I272" s="235" t="str">
        <f>IFERROR(__xludf.DUMMYFUNCTION("""COMPUTED_VALUE"""),"Technical")</f>
        <v>Technical</v>
      </c>
      <c r="J272" s="235" t="str">
        <f>IFERROR(__xludf.DUMMYFUNCTION("""COMPUTED_VALUE"""),"Blue")</f>
        <v>Blue</v>
      </c>
      <c r="K272" s="235">
        <f>IFERROR(__xludf.DUMMYFUNCTION("""COMPUTED_VALUE"""),150000.0)</f>
        <v>150000</v>
      </c>
      <c r="L272" s="235">
        <f>IFERROR(__xludf.DUMMYFUNCTION("""COMPUTED_VALUE"""),2.0)</f>
        <v>2</v>
      </c>
      <c r="M272" s="235">
        <f>IFERROR(__xludf.DUMMYFUNCTION("""COMPUTED_VALUE"""),40.0)</f>
        <v>40</v>
      </c>
      <c r="N272" s="235">
        <f>IFERROR(__xludf.DUMMYFUNCTION("""COMPUTED_VALUE"""),0.11)</f>
        <v>0.11</v>
      </c>
      <c r="O272" s="235">
        <f>IFERROR(__xludf.DUMMYFUNCTION("""COMPUTED_VALUE"""),900.0)</f>
        <v>900</v>
      </c>
      <c r="P272" s="235">
        <f>IFERROR(__xludf.DUMMYFUNCTION("""COMPUTED_VALUE"""),0.0)</f>
        <v>0</v>
      </c>
      <c r="Q272" s="235">
        <f>IFERROR(__xludf.DUMMYFUNCTION("""COMPUTED_VALUE"""),0.3)</f>
        <v>0.3</v>
      </c>
      <c r="R272" s="235">
        <f>IFERROR(__xludf.DUMMYFUNCTION("""COMPUTED_VALUE"""),1.0)</f>
        <v>1</v>
      </c>
      <c r="S272" s="235">
        <f>IFERROR(__xludf.DUMMYFUNCTION("""COMPUTED_VALUE"""),10.0)</f>
        <v>10</v>
      </c>
      <c r="T272" s="244" t="str">
        <f>IFERROR(__xludf.DUMMYFUNCTION("""COMPUTED_VALUE"""),"1.83")</f>
        <v>1.83</v>
      </c>
      <c r="U272" s="235" t="str">
        <f>IFERROR(__xludf.DUMMYFUNCTION("""COMPUTED_VALUE"""),"1.00")</f>
        <v>1.00</v>
      </c>
      <c r="V272" s="235">
        <f>IFERROR(__xludf.DUMMYFUNCTION("""COMPUTED_VALUE"""),75.0)</f>
        <v>75</v>
      </c>
      <c r="W272" s="235" t="str">
        <f>IFERROR(__xludf.DUMMYFUNCTION("""COMPUTED_VALUE"""),"2.33")</f>
        <v>2.33</v>
      </c>
      <c r="X272" s="235" t="str">
        <f>IFERROR(__xludf.DUMMYFUNCTION("""COMPUTED_VALUE"""),"1.33")</f>
        <v>1.33</v>
      </c>
      <c r="Y272" s="235" t="str">
        <f>IFERROR(__xludf.DUMMYFUNCTION("""COMPUTED_VALUE"""),"4秒間、自身に攻撃300%UP")</f>
        <v>4秒間、自身に攻撃300%UP</v>
      </c>
      <c r="Z272" s="235">
        <f>IFERROR(__xludf.DUMMYFUNCTION("""COMPUTED_VALUE"""),5.0)</f>
        <v>5</v>
      </c>
      <c r="AA272" s="235"/>
      <c r="AB272" s="235" t="str">
        <f>IFERROR(__xludf.DUMMYFUNCTION("""COMPUTED_VALUE"""),"dageki_1")</f>
        <v>dageki_1</v>
      </c>
      <c r="AC272" s="235"/>
    </row>
    <row r="273">
      <c r="A273" s="235"/>
      <c r="B273" s="235" t="str">
        <f>IFERROR(__xludf.DUMMYFUNCTION("""COMPUTED_VALUE"""),"enemy_mag_00101")</f>
        <v>enemy_mag_00101</v>
      </c>
      <c r="C273" s="254" t="str">
        <f>IFERROR(__xludf.DUMMYFUNCTION("""COMPUTED_VALUE"""),"_general_as4")</f>
        <v>_general_as4</v>
      </c>
      <c r="D273" s="254" t="str">
        <f>IFERROR(__xludf.DUMMYFUNCTION("""COMPUTED_VALUE"""),"e_mag_00101_general_as4_Normal_Blue")</f>
        <v>e_mag_00101_general_as4_Normal_Blue</v>
      </c>
      <c r="E273" s="254" t="str">
        <f>IFERROR(__xludf.DUMMYFUNCTION("""COMPUTED_VALUE"""),"株式会社マジルミエ")</f>
        <v>株式会社マジルミエ</v>
      </c>
      <c r="F273" s="254" t="str">
        <f>IFERROR(__xludf.DUMMYFUNCTION("""COMPUTED_VALUE"""),"つらら")</f>
        <v>つらら</v>
      </c>
      <c r="G273" s="254" t="str">
        <f>IFERROR(__xludf.DUMMYFUNCTION("""COMPUTED_VALUE"""),"つらら_general_as4")</f>
        <v>つらら_general_as4</v>
      </c>
      <c r="H273" s="235" t="str">
        <f>IFERROR(__xludf.DUMMYFUNCTION("""COMPUTED_VALUE"""),"Normal")</f>
        <v>Normal</v>
      </c>
      <c r="I273" s="235" t="str">
        <f>IFERROR(__xludf.DUMMYFUNCTION("""COMPUTED_VALUE"""),"Technical")</f>
        <v>Technical</v>
      </c>
      <c r="J273" s="235" t="str">
        <f>IFERROR(__xludf.DUMMYFUNCTION("""COMPUTED_VALUE"""),"Blue")</f>
        <v>Blue</v>
      </c>
      <c r="K273" s="235">
        <f>IFERROR(__xludf.DUMMYFUNCTION("""COMPUTED_VALUE"""),200000.0)</f>
        <v>200000</v>
      </c>
      <c r="L273" s="235">
        <f>IFERROR(__xludf.DUMMYFUNCTION("""COMPUTED_VALUE"""),1.0)</f>
        <v>1</v>
      </c>
      <c r="M273" s="235">
        <f>IFERROR(__xludf.DUMMYFUNCTION("""COMPUTED_VALUE"""),75.0)</f>
        <v>75</v>
      </c>
      <c r="N273" s="235">
        <f>IFERROR(__xludf.DUMMYFUNCTION("""COMPUTED_VALUE"""),0.11)</f>
        <v>0.11</v>
      </c>
      <c r="O273" s="235">
        <f>IFERROR(__xludf.DUMMYFUNCTION("""COMPUTED_VALUE"""),1500.0)</f>
        <v>1500</v>
      </c>
      <c r="P273" s="235">
        <f>IFERROR(__xludf.DUMMYFUNCTION("""COMPUTED_VALUE"""),0.0)</f>
        <v>0</v>
      </c>
      <c r="Q273" s="235">
        <f>IFERROR(__xludf.DUMMYFUNCTION("""COMPUTED_VALUE"""),0.3)</f>
        <v>0.3</v>
      </c>
      <c r="R273" s="235">
        <f>IFERROR(__xludf.DUMMYFUNCTION("""COMPUTED_VALUE"""),1.0)</f>
        <v>1</v>
      </c>
      <c r="S273" s="235">
        <f>IFERROR(__xludf.DUMMYFUNCTION("""COMPUTED_VALUE"""),10.0)</f>
        <v>10</v>
      </c>
      <c r="T273" s="244" t="str">
        <f>IFERROR(__xludf.DUMMYFUNCTION("""COMPUTED_VALUE"""),"0.37")</f>
        <v>0.37</v>
      </c>
      <c r="U273" s="235" t="str">
        <f>IFERROR(__xludf.DUMMYFUNCTION("""COMPUTED_VALUE"""),"stop有:1回目 0.20")</f>
        <v>stop有:1回目 0.20</v>
      </c>
      <c r="V273" s="235">
        <f>IFERROR(__xludf.DUMMYFUNCTION("""COMPUTED_VALUE"""),0.0)</f>
        <v>0</v>
      </c>
      <c r="W273" s="235" t="str">
        <f>IFERROR(__xludf.DUMMYFUNCTION("""COMPUTED_VALUE"""),"-")</f>
        <v>-</v>
      </c>
      <c r="X273" s="235" t="str">
        <f>IFERROR(__xludf.DUMMYFUNCTION("""COMPUTED_VALUE"""),"-")</f>
        <v>-</v>
      </c>
      <c r="Y273" s="235"/>
      <c r="Z273" s="235" t="str">
        <f>IFERROR(__xludf.DUMMYFUNCTION("""COMPUTED_VALUE"""),"-")</f>
        <v>-</v>
      </c>
      <c r="AA273" s="235"/>
      <c r="AB273" s="235" t="str">
        <f>IFERROR(__xludf.DUMMYFUNCTION("""COMPUTED_VALUE"""),"zangeki_1")</f>
        <v>zangeki_1</v>
      </c>
      <c r="AC273" s="235"/>
    </row>
    <row r="274">
      <c r="A274" s="235"/>
      <c r="B274" s="235" t="str">
        <f>IFERROR(__xludf.DUMMYFUNCTION("""COMPUTED_VALUE"""),"enemy_mag_00101")</f>
        <v>enemy_mag_00101</v>
      </c>
      <c r="C274" s="254" t="str">
        <f>IFERROR(__xludf.DUMMYFUNCTION("""COMPUTED_VALUE"""),"_general_as4")</f>
        <v>_general_as4</v>
      </c>
      <c r="D274" s="254" t="str">
        <f>IFERROR(__xludf.DUMMYFUNCTION("""COMPUTED_VALUE"""),"e_mag_00101_general_as4_Normal_Colorless")</f>
        <v>e_mag_00101_general_as4_Normal_Colorless</v>
      </c>
      <c r="E274" s="254" t="str">
        <f>IFERROR(__xludf.DUMMYFUNCTION("""COMPUTED_VALUE"""),"株式会社マジルミエ")</f>
        <v>株式会社マジルミエ</v>
      </c>
      <c r="F274" s="254" t="str">
        <f>IFERROR(__xludf.DUMMYFUNCTION("""COMPUTED_VALUE"""),"つらら")</f>
        <v>つらら</v>
      </c>
      <c r="G274" s="254" t="str">
        <f>IFERROR(__xludf.DUMMYFUNCTION("""COMPUTED_VALUE"""),"つらら_general_as4")</f>
        <v>つらら_general_as4</v>
      </c>
      <c r="H274" s="235" t="str">
        <f>IFERROR(__xludf.DUMMYFUNCTION("""COMPUTED_VALUE"""),"Normal")</f>
        <v>Normal</v>
      </c>
      <c r="I274" s="235" t="str">
        <f>IFERROR(__xludf.DUMMYFUNCTION("""COMPUTED_VALUE"""),"Technical")</f>
        <v>Technical</v>
      </c>
      <c r="J274" s="235" t="str">
        <f>IFERROR(__xludf.DUMMYFUNCTION("""COMPUTED_VALUE"""),"Colorless")</f>
        <v>Colorless</v>
      </c>
      <c r="K274" s="235">
        <f>IFERROR(__xludf.DUMMYFUNCTION("""COMPUTED_VALUE"""),200000.0)</f>
        <v>200000</v>
      </c>
      <c r="L274" s="235">
        <f>IFERROR(__xludf.DUMMYFUNCTION("""COMPUTED_VALUE"""),1.0)</f>
        <v>1</v>
      </c>
      <c r="M274" s="235">
        <f>IFERROR(__xludf.DUMMYFUNCTION("""COMPUTED_VALUE"""),75.0)</f>
        <v>75</v>
      </c>
      <c r="N274" s="235">
        <f>IFERROR(__xludf.DUMMYFUNCTION("""COMPUTED_VALUE"""),0.11)</f>
        <v>0.11</v>
      </c>
      <c r="O274" s="235">
        <f>IFERROR(__xludf.DUMMYFUNCTION("""COMPUTED_VALUE"""),1500.0)</f>
        <v>1500</v>
      </c>
      <c r="P274" s="235">
        <f>IFERROR(__xludf.DUMMYFUNCTION("""COMPUTED_VALUE"""),0.0)</f>
        <v>0</v>
      </c>
      <c r="Q274" s="235">
        <f>IFERROR(__xludf.DUMMYFUNCTION("""COMPUTED_VALUE"""),0.3)</f>
        <v>0.3</v>
      </c>
      <c r="R274" s="235">
        <f>IFERROR(__xludf.DUMMYFUNCTION("""COMPUTED_VALUE"""),1.0)</f>
        <v>1</v>
      </c>
      <c r="S274" s="235">
        <f>IFERROR(__xludf.DUMMYFUNCTION("""COMPUTED_VALUE"""),10.0)</f>
        <v>10</v>
      </c>
      <c r="T274" s="244" t="str">
        <f>IFERROR(__xludf.DUMMYFUNCTION("""COMPUTED_VALUE"""),"0.37")</f>
        <v>0.37</v>
      </c>
      <c r="U274" s="235" t="str">
        <f>IFERROR(__xludf.DUMMYFUNCTION("""COMPUTED_VALUE"""),"stop有:1回目 0.20")</f>
        <v>stop有:1回目 0.20</v>
      </c>
      <c r="V274" s="235">
        <f>IFERROR(__xludf.DUMMYFUNCTION("""COMPUTED_VALUE"""),0.0)</f>
        <v>0</v>
      </c>
      <c r="W274" s="235" t="str">
        <f>IFERROR(__xludf.DUMMYFUNCTION("""COMPUTED_VALUE"""),"-")</f>
        <v>-</v>
      </c>
      <c r="X274" s="235" t="str">
        <f>IFERROR(__xludf.DUMMYFUNCTION("""COMPUTED_VALUE"""),"-")</f>
        <v>-</v>
      </c>
      <c r="Y274" s="235"/>
      <c r="Z274" s="235" t="str">
        <f>IFERROR(__xludf.DUMMYFUNCTION("""COMPUTED_VALUE"""),"-")</f>
        <v>-</v>
      </c>
      <c r="AA274" s="235"/>
      <c r="AB274" s="235" t="str">
        <f>IFERROR(__xludf.DUMMYFUNCTION("""COMPUTED_VALUE"""),"zangeki_1")</f>
        <v>zangeki_1</v>
      </c>
      <c r="AC274" s="235"/>
    </row>
    <row r="275">
      <c r="A275" s="235"/>
      <c r="B275" s="235"/>
      <c r="C275" s="254"/>
      <c r="D275" s="254" t="str">
        <f>IFERROR(__xludf.DUMMYFUNCTION("""COMPUTED_VALUE"""),"___")</f>
        <v>___</v>
      </c>
      <c r="E275" s="254" t="str">
        <f>IFERROR(__xludf.DUMMYFUNCTION("""COMPUTED_VALUE"""),"none")</f>
        <v>none</v>
      </c>
      <c r="F275" s="254" t="str">
        <f>IFERROR(__xludf.DUMMYFUNCTION("""COMPUTED_VALUE"""),"none")</f>
        <v>none</v>
      </c>
      <c r="G275" s="254" t="str">
        <f>IFERROR(__xludf.DUMMYFUNCTION("""COMPUTED_VALUE"""),"none")</f>
        <v>none</v>
      </c>
      <c r="H275" s="235"/>
      <c r="I275" s="235" t="str">
        <f>IFERROR(__xludf.DUMMYFUNCTION("""COMPUTED_VALUE"""),"none")</f>
        <v>none</v>
      </c>
      <c r="J275" s="235"/>
      <c r="K275" s="235"/>
      <c r="L275" s="235"/>
      <c r="M275" s="235"/>
      <c r="N275" s="235"/>
      <c r="O275" s="235"/>
      <c r="P275" s="235"/>
      <c r="Q275" s="235"/>
      <c r="R275" s="235"/>
      <c r="S275" s="235"/>
      <c r="T275" s="244" t="str">
        <f>IFERROR(__xludf.DUMMYFUNCTION("""COMPUTED_VALUE"""),"none")</f>
        <v>none</v>
      </c>
      <c r="U275" s="235" t="str">
        <f>IFERROR(__xludf.DUMMYFUNCTION("""COMPUTED_VALUE"""),"none")</f>
        <v>none</v>
      </c>
      <c r="V275" s="235"/>
      <c r="W275" s="235" t="str">
        <f>IFERROR(__xludf.DUMMYFUNCTION("""COMPUTED_VALUE"""),"none")</f>
        <v>none</v>
      </c>
      <c r="X275" s="235" t="str">
        <f>IFERROR(__xludf.DUMMYFUNCTION("""COMPUTED_VALUE"""),"none")</f>
        <v>none</v>
      </c>
      <c r="Y275" s="235"/>
      <c r="Z275" s="235"/>
      <c r="AA275" s="235"/>
      <c r="AB275" s="235"/>
      <c r="AC275" s="235"/>
    </row>
    <row r="276">
      <c r="A276" s="235"/>
      <c r="B276" s="235" t="str">
        <f>IFERROR(__xludf.DUMMYFUNCTION("""COMPUTED_VALUE"""),"enemy_glo_00001")</f>
        <v>enemy_glo_00001</v>
      </c>
      <c r="C276" s="254" t="str">
        <f>IFERROR(__xludf.DUMMYFUNCTION("""COMPUTED_VALUE"""),"_general_as")</f>
        <v>_general_as</v>
      </c>
      <c r="D276" s="254" t="str">
        <f>IFERROR(__xludf.DUMMYFUNCTION("""COMPUTED_VALUE"""),"e_glo_00001_general_as_Normal_Yellow")</f>
        <v>e_glo_00001_general_as_Normal_Yellow</v>
      </c>
      <c r="E276" s="254" t="str">
        <f>IFERROR(__xludf.DUMMYFUNCTION("""COMPUTED_VALUE"""),"GLOW")</f>
        <v>GLOW</v>
      </c>
      <c r="F276" s="254" t="str">
        <f>IFERROR(__xludf.DUMMYFUNCTION("""COMPUTED_VALUE"""),"ファントム")</f>
        <v>ファントム</v>
      </c>
      <c r="G276" s="254" t="str">
        <f>IFERROR(__xludf.DUMMYFUNCTION("""COMPUTED_VALUE"""),"ファントム_general_as")</f>
        <v>ファントム_general_as</v>
      </c>
      <c r="H276" s="235" t="str">
        <f>IFERROR(__xludf.DUMMYFUNCTION("""COMPUTED_VALUE"""),"Normal")</f>
        <v>Normal</v>
      </c>
      <c r="I276" s="235" t="str">
        <f>IFERROR(__xludf.DUMMYFUNCTION("""COMPUTED_VALUE"""),"Technical")</f>
        <v>Technical</v>
      </c>
      <c r="J276" s="235" t="str">
        <f>IFERROR(__xludf.DUMMYFUNCTION("""COMPUTED_VALUE"""),"Yellow")</f>
        <v>Yellow</v>
      </c>
      <c r="K276" s="235">
        <f>IFERROR(__xludf.DUMMYFUNCTION("""COMPUTED_VALUE"""),50000.0)</f>
        <v>50000</v>
      </c>
      <c r="L276" s="235">
        <f>IFERROR(__xludf.DUMMYFUNCTION("""COMPUTED_VALUE"""),2.0)</f>
        <v>2</v>
      </c>
      <c r="M276" s="235">
        <f>IFERROR(__xludf.DUMMYFUNCTION("""COMPUTED_VALUE"""),40.0)</f>
        <v>40</v>
      </c>
      <c r="N276" s="235">
        <f>IFERROR(__xludf.DUMMYFUNCTION("""COMPUTED_VALUE"""),0.2)</f>
        <v>0.2</v>
      </c>
      <c r="O276" s="235">
        <f>IFERROR(__xludf.DUMMYFUNCTION("""COMPUTED_VALUE"""),500.0)</f>
        <v>500</v>
      </c>
      <c r="P276" s="235">
        <f>IFERROR(__xludf.DUMMYFUNCTION("""COMPUTED_VALUE"""),0.0)</f>
        <v>0</v>
      </c>
      <c r="Q276" s="235">
        <f>IFERROR(__xludf.DUMMYFUNCTION("""COMPUTED_VALUE"""),0.25)</f>
        <v>0.25</v>
      </c>
      <c r="R276" s="235">
        <f>IFERROR(__xludf.DUMMYFUNCTION("""COMPUTED_VALUE"""),1.0)</f>
        <v>1</v>
      </c>
      <c r="S276" s="235">
        <f>IFERROR(__xludf.DUMMYFUNCTION("""COMPUTED_VALUE"""),10.0)</f>
        <v>10</v>
      </c>
      <c r="T276" s="244" t="str">
        <f>IFERROR(__xludf.DUMMYFUNCTION("""COMPUTED_VALUE"""),"1.00")</f>
        <v>1.00</v>
      </c>
      <c r="U276" s="235" t="str">
        <f>IFERROR(__xludf.DUMMYFUNCTION("""COMPUTED_VALUE"""),"0.50")</f>
        <v>0.50</v>
      </c>
      <c r="V276" s="235">
        <f>IFERROR(__xludf.DUMMYFUNCTION("""COMPUTED_VALUE"""),50.0)</f>
        <v>50</v>
      </c>
      <c r="W276" s="235"/>
      <c r="X276" s="235"/>
      <c r="Y276" s="235"/>
      <c r="Z276" s="235" t="str">
        <f>IFERROR(__xludf.DUMMYFUNCTION("""COMPUTED_VALUE"""),"-")</f>
        <v>-</v>
      </c>
      <c r="AA276" s="235"/>
      <c r="AB276" s="235"/>
      <c r="AC276" s="235"/>
    </row>
    <row r="277">
      <c r="A277" s="235"/>
      <c r="B277" s="235" t="str">
        <f>IFERROR(__xludf.DUMMYFUNCTION("""COMPUTED_VALUE"""),"enemy_glo_00001")</f>
        <v>enemy_glo_00001</v>
      </c>
      <c r="C277" s="254" t="str">
        <f>IFERROR(__xludf.DUMMYFUNCTION("""COMPUTED_VALUE"""),"_general_as_h")</f>
        <v>_general_as_h</v>
      </c>
      <c r="D277" s="254" t="str">
        <f>IFERROR(__xludf.DUMMYFUNCTION("""COMPUTED_VALUE"""),"e_glo_00001_general_as_h_Normal_Yellow")</f>
        <v>e_glo_00001_general_as_h_Normal_Yellow</v>
      </c>
      <c r="E277" s="254" t="str">
        <f>IFERROR(__xludf.DUMMYFUNCTION("""COMPUTED_VALUE"""),"GLOW")</f>
        <v>GLOW</v>
      </c>
      <c r="F277" s="254" t="str">
        <f>IFERROR(__xludf.DUMMYFUNCTION("""COMPUTED_VALUE"""),"ファントム")</f>
        <v>ファントム</v>
      </c>
      <c r="G277" s="254" t="str">
        <f>IFERROR(__xludf.DUMMYFUNCTION("""COMPUTED_VALUE"""),"ファントム_general_as_h")</f>
        <v>ファントム_general_as_h</v>
      </c>
      <c r="H277" s="235" t="str">
        <f>IFERROR(__xludf.DUMMYFUNCTION("""COMPUTED_VALUE"""),"Normal")</f>
        <v>Normal</v>
      </c>
      <c r="I277" s="235" t="str">
        <f>IFERROR(__xludf.DUMMYFUNCTION("""COMPUTED_VALUE"""),"Technical")</f>
        <v>Technical</v>
      </c>
      <c r="J277" s="235" t="str">
        <f>IFERROR(__xludf.DUMMYFUNCTION("""COMPUTED_VALUE"""),"Yellow")</f>
        <v>Yellow</v>
      </c>
      <c r="K277" s="235">
        <f>IFERROR(__xludf.DUMMYFUNCTION("""COMPUTED_VALUE"""),100000.0)</f>
        <v>100000</v>
      </c>
      <c r="L277" s="235">
        <f>IFERROR(__xludf.DUMMYFUNCTION("""COMPUTED_VALUE"""),2.0)</f>
        <v>2</v>
      </c>
      <c r="M277" s="235">
        <f>IFERROR(__xludf.DUMMYFUNCTION("""COMPUTED_VALUE"""),40.0)</f>
        <v>40</v>
      </c>
      <c r="N277" s="235">
        <f>IFERROR(__xludf.DUMMYFUNCTION("""COMPUTED_VALUE"""),0.2)</f>
        <v>0.2</v>
      </c>
      <c r="O277" s="235">
        <f>IFERROR(__xludf.DUMMYFUNCTION("""COMPUTED_VALUE"""),1500.0)</f>
        <v>1500</v>
      </c>
      <c r="P277" s="235">
        <f>IFERROR(__xludf.DUMMYFUNCTION("""COMPUTED_VALUE"""),0.0)</f>
        <v>0</v>
      </c>
      <c r="Q277" s="235">
        <f>IFERROR(__xludf.DUMMYFUNCTION("""COMPUTED_VALUE"""),0.25)</f>
        <v>0.25</v>
      </c>
      <c r="R277" s="235">
        <f>IFERROR(__xludf.DUMMYFUNCTION("""COMPUTED_VALUE"""),1.0)</f>
        <v>1</v>
      </c>
      <c r="S277" s="235">
        <f>IFERROR(__xludf.DUMMYFUNCTION("""COMPUTED_VALUE"""),10.0)</f>
        <v>10</v>
      </c>
      <c r="T277" s="244" t="str">
        <f>IFERROR(__xludf.DUMMYFUNCTION("""COMPUTED_VALUE"""),"1.00")</f>
        <v>1.00</v>
      </c>
      <c r="U277" s="235" t="str">
        <f>IFERROR(__xludf.DUMMYFUNCTION("""COMPUTED_VALUE"""),"0.50")</f>
        <v>0.50</v>
      </c>
      <c r="V277" s="235">
        <f>IFERROR(__xludf.DUMMYFUNCTION("""COMPUTED_VALUE"""),50.0)</f>
        <v>50</v>
      </c>
      <c r="W277" s="235"/>
      <c r="X277" s="235"/>
      <c r="Y277" s="235"/>
      <c r="Z277" s="235" t="str">
        <f>IFERROR(__xludf.DUMMYFUNCTION("""COMPUTED_VALUE"""),"-")</f>
        <v>-</v>
      </c>
      <c r="AA277" s="235"/>
      <c r="AB277" s="235"/>
      <c r="AC277" s="235"/>
    </row>
    <row r="278">
      <c r="A278" s="235"/>
      <c r="B278" s="235" t="str">
        <f>IFERROR(__xludf.DUMMYFUNCTION("""COMPUTED_VALUE"""),"enemy_glo_00101")</f>
        <v>enemy_glo_00101</v>
      </c>
      <c r="C278" s="254" t="str">
        <f>IFERROR(__xludf.DUMMYFUNCTION("""COMPUTED_VALUE"""),"_general_as")</f>
        <v>_general_as</v>
      </c>
      <c r="D278" s="254" t="str">
        <f>IFERROR(__xludf.DUMMYFUNCTION("""COMPUTED_VALUE"""),"e_glo_00101_general_as_Boss_Yellow")</f>
        <v>e_glo_00101_general_as_Boss_Yellow</v>
      </c>
      <c r="E278" s="254" t="str">
        <f>IFERROR(__xludf.DUMMYFUNCTION("""COMPUTED_VALUE"""),"GLOW")</f>
        <v>GLOW</v>
      </c>
      <c r="F278" s="254" t="str">
        <f>IFERROR(__xludf.DUMMYFUNCTION("""COMPUTED_VALUE"""),"ボスファントム")</f>
        <v>ボスファントム</v>
      </c>
      <c r="G278" s="254" t="str">
        <f>IFERROR(__xludf.DUMMYFUNCTION("""COMPUTED_VALUE"""),"中ボスエネミー_general_as")</f>
        <v>中ボスエネミー_general_as</v>
      </c>
      <c r="H278" s="235" t="str">
        <f>IFERROR(__xludf.DUMMYFUNCTION("""COMPUTED_VALUE"""),"Boss")</f>
        <v>Boss</v>
      </c>
      <c r="I278" s="235" t="str">
        <f>IFERROR(__xludf.DUMMYFUNCTION("""COMPUTED_VALUE"""),"Support")</f>
        <v>Support</v>
      </c>
      <c r="J278" s="235" t="str">
        <f>IFERROR(__xludf.DUMMYFUNCTION("""COMPUTED_VALUE"""),"Yellow")</f>
        <v>Yellow</v>
      </c>
      <c r="K278" s="235">
        <f>IFERROR(__xludf.DUMMYFUNCTION("""COMPUTED_VALUE"""),400000.0)</f>
        <v>400000</v>
      </c>
      <c r="L278" s="235">
        <f>IFERROR(__xludf.DUMMYFUNCTION("""COMPUTED_VALUE"""),2.0)</f>
        <v>2</v>
      </c>
      <c r="M278" s="235">
        <f>IFERROR(__xludf.DUMMYFUNCTION("""COMPUTED_VALUE"""),55.0)</f>
        <v>55</v>
      </c>
      <c r="N278" s="235">
        <f>IFERROR(__xludf.DUMMYFUNCTION("""COMPUTED_VALUE"""),0.28)</f>
        <v>0.28</v>
      </c>
      <c r="O278" s="235">
        <f>IFERROR(__xludf.DUMMYFUNCTION("""COMPUTED_VALUE"""),2000.0)</f>
        <v>2000</v>
      </c>
      <c r="P278" s="235">
        <f>IFERROR(__xludf.DUMMYFUNCTION("""COMPUTED_VALUE"""),0.0)</f>
        <v>0</v>
      </c>
      <c r="Q278" s="235">
        <f>IFERROR(__xludf.DUMMYFUNCTION("""COMPUTED_VALUE"""),0.3)</f>
        <v>0.3</v>
      </c>
      <c r="R278" s="235">
        <f>IFERROR(__xludf.DUMMYFUNCTION("""COMPUTED_VALUE"""),100.0)</f>
        <v>100</v>
      </c>
      <c r="S278" s="235">
        <f>IFERROR(__xludf.DUMMYFUNCTION("""COMPUTED_VALUE"""),10.0)</f>
        <v>10</v>
      </c>
      <c r="T278" s="244" t="str">
        <f>IFERROR(__xludf.DUMMYFUNCTION("""COMPUTED_VALUE"""),"1.17")</f>
        <v>1.17</v>
      </c>
      <c r="U278" s="235" t="str">
        <f>IFERROR(__xludf.DUMMYFUNCTION("""COMPUTED_VALUE"""),"stop有:1回目 0.56")</f>
        <v>stop有:1回目 0.56</v>
      </c>
      <c r="V278" s="235">
        <f>IFERROR(__xludf.DUMMYFUNCTION("""COMPUTED_VALUE"""),200.0)</f>
        <v>200</v>
      </c>
      <c r="W278" s="235" t="str">
        <f>IFERROR(__xludf.DUMMYFUNCTION("""COMPUTED_VALUE"""),"-")</f>
        <v>-</v>
      </c>
      <c r="X278" s="235" t="str">
        <f>IFERROR(__xludf.DUMMYFUNCTION("""COMPUTED_VALUE"""),"-")</f>
        <v>-</v>
      </c>
      <c r="Y278" s="235"/>
      <c r="Z278" s="235" t="str">
        <f>IFERROR(__xludf.DUMMYFUNCTION("""COMPUTED_VALUE"""),"-")</f>
        <v>-</v>
      </c>
      <c r="AA278" s="235"/>
      <c r="AB278" s="235"/>
      <c r="AC278" s="235"/>
    </row>
    <row r="279">
      <c r="A279" s="235"/>
      <c r="B279" s="235" t="str">
        <f>IFERROR(__xludf.DUMMYFUNCTION("""COMPUTED_VALUE"""),"enemy_glo_00101")</f>
        <v>enemy_glo_00101</v>
      </c>
      <c r="C279" s="254" t="str">
        <f>IFERROR(__xludf.DUMMYFUNCTION("""COMPUTED_VALUE"""),"_general_as_h")</f>
        <v>_general_as_h</v>
      </c>
      <c r="D279" s="254" t="str">
        <f>IFERROR(__xludf.DUMMYFUNCTION("""COMPUTED_VALUE"""),"e_glo_00101_general_as_h_Boss_Yellow")</f>
        <v>e_glo_00101_general_as_h_Boss_Yellow</v>
      </c>
      <c r="E279" s="254" t="str">
        <f>IFERROR(__xludf.DUMMYFUNCTION("""COMPUTED_VALUE"""),"GLOW")</f>
        <v>GLOW</v>
      </c>
      <c r="F279" s="254" t="str">
        <f>IFERROR(__xludf.DUMMYFUNCTION("""COMPUTED_VALUE"""),"ボスファントム")</f>
        <v>ボスファントム</v>
      </c>
      <c r="G279" s="254" t="str">
        <f>IFERROR(__xludf.DUMMYFUNCTION("""COMPUTED_VALUE"""),"中ボスエネミー_general_as_h")</f>
        <v>中ボスエネミー_general_as_h</v>
      </c>
      <c r="H279" s="235" t="str">
        <f>IFERROR(__xludf.DUMMYFUNCTION("""COMPUTED_VALUE"""),"Boss")</f>
        <v>Boss</v>
      </c>
      <c r="I279" s="235" t="str">
        <f>IFERROR(__xludf.DUMMYFUNCTION("""COMPUTED_VALUE"""),"Support")</f>
        <v>Support</v>
      </c>
      <c r="J279" s="235" t="str">
        <f>IFERROR(__xludf.DUMMYFUNCTION("""COMPUTED_VALUE"""),"Yellow")</f>
        <v>Yellow</v>
      </c>
      <c r="K279" s="235">
        <f>IFERROR(__xludf.DUMMYFUNCTION("""COMPUTED_VALUE"""),600000.0)</f>
        <v>600000</v>
      </c>
      <c r="L279" s="235">
        <f>IFERROR(__xludf.DUMMYFUNCTION("""COMPUTED_VALUE"""),2.0)</f>
        <v>2</v>
      </c>
      <c r="M279" s="235">
        <f>IFERROR(__xludf.DUMMYFUNCTION("""COMPUTED_VALUE"""),55.0)</f>
        <v>55</v>
      </c>
      <c r="N279" s="235">
        <f>IFERROR(__xludf.DUMMYFUNCTION("""COMPUTED_VALUE"""),0.28)</f>
        <v>0.28</v>
      </c>
      <c r="O279" s="235">
        <f>IFERROR(__xludf.DUMMYFUNCTION("""COMPUTED_VALUE"""),3000.0)</f>
        <v>3000</v>
      </c>
      <c r="P279" s="235">
        <f>IFERROR(__xludf.DUMMYFUNCTION("""COMPUTED_VALUE"""),0.0)</f>
        <v>0</v>
      </c>
      <c r="Q279" s="235">
        <f>IFERROR(__xludf.DUMMYFUNCTION("""COMPUTED_VALUE"""),0.3)</f>
        <v>0.3</v>
      </c>
      <c r="R279" s="235">
        <f>IFERROR(__xludf.DUMMYFUNCTION("""COMPUTED_VALUE"""),100.0)</f>
        <v>100</v>
      </c>
      <c r="S279" s="235">
        <f>IFERROR(__xludf.DUMMYFUNCTION("""COMPUTED_VALUE"""),10.0)</f>
        <v>10</v>
      </c>
      <c r="T279" s="244" t="str">
        <f>IFERROR(__xludf.DUMMYFUNCTION("""COMPUTED_VALUE"""),"1.17")</f>
        <v>1.17</v>
      </c>
      <c r="U279" s="235" t="str">
        <f>IFERROR(__xludf.DUMMYFUNCTION("""COMPUTED_VALUE"""),"stop有:1回目 0.56")</f>
        <v>stop有:1回目 0.56</v>
      </c>
      <c r="V279" s="235">
        <f>IFERROR(__xludf.DUMMYFUNCTION("""COMPUTED_VALUE"""),200.0)</f>
        <v>200</v>
      </c>
      <c r="W279" s="235" t="str">
        <f>IFERROR(__xludf.DUMMYFUNCTION("""COMPUTED_VALUE"""),"-")</f>
        <v>-</v>
      </c>
      <c r="X279" s="235" t="str">
        <f>IFERROR(__xludf.DUMMYFUNCTION("""COMPUTED_VALUE"""),"-")</f>
        <v>-</v>
      </c>
      <c r="Y279" s="235"/>
      <c r="Z279" s="235" t="str">
        <f>IFERROR(__xludf.DUMMYFUNCTION("""COMPUTED_VALUE"""),"-")</f>
        <v>-</v>
      </c>
      <c r="AA279" s="235"/>
      <c r="AB279" s="235"/>
      <c r="AC279" s="235"/>
    </row>
    <row r="280">
      <c r="A280" s="235"/>
      <c r="B280" s="235"/>
      <c r="C280" s="254"/>
      <c r="D280" s="254" t="str">
        <f>IFERROR(__xludf.DUMMYFUNCTION("""COMPUTED_VALUE"""),"___")</f>
        <v>___</v>
      </c>
      <c r="E280" s="254" t="str">
        <f>IFERROR(__xludf.DUMMYFUNCTION("""COMPUTED_VALUE"""),"none")</f>
        <v>none</v>
      </c>
      <c r="F280" s="254" t="str">
        <f>IFERROR(__xludf.DUMMYFUNCTION("""COMPUTED_VALUE"""),"none")</f>
        <v>none</v>
      </c>
      <c r="G280" s="254" t="str">
        <f>IFERROR(__xludf.DUMMYFUNCTION("""COMPUTED_VALUE"""),"none")</f>
        <v>none</v>
      </c>
      <c r="H280" s="235"/>
      <c r="I280" s="235" t="str">
        <f>IFERROR(__xludf.DUMMYFUNCTION("""COMPUTED_VALUE"""),"none")</f>
        <v>none</v>
      </c>
      <c r="J280" s="235"/>
      <c r="K280" s="235"/>
      <c r="L280" s="235"/>
      <c r="M280" s="235"/>
      <c r="N280" s="235"/>
      <c r="O280" s="235"/>
      <c r="P280" s="235"/>
      <c r="Q280" s="235"/>
      <c r="R280" s="235"/>
      <c r="S280" s="235"/>
      <c r="T280" s="244" t="str">
        <f>IFERROR(__xludf.DUMMYFUNCTION("""COMPUTED_VALUE"""),"none")</f>
        <v>none</v>
      </c>
      <c r="U280" s="235" t="str">
        <f>IFERROR(__xludf.DUMMYFUNCTION("""COMPUTED_VALUE"""),"none")</f>
        <v>none</v>
      </c>
      <c r="V280" s="235"/>
      <c r="W280" s="235" t="str">
        <f>IFERROR(__xludf.DUMMYFUNCTION("""COMPUTED_VALUE"""),"none")</f>
        <v>none</v>
      </c>
      <c r="X280" s="235" t="str">
        <f>IFERROR(__xludf.DUMMYFUNCTION("""COMPUTED_VALUE"""),"none")</f>
        <v>none</v>
      </c>
      <c r="Y280" s="235"/>
      <c r="Z280" s="235"/>
      <c r="AA280" s="235"/>
      <c r="AB280" s="235"/>
      <c r="AC280" s="235"/>
    </row>
    <row r="281">
      <c r="A281" s="235"/>
      <c r="B281" s="235" t="str">
        <f>IFERROR(__xludf.DUMMYFUNCTION("""COMPUTED_VALUE"""),"enemy_glo_00001")</f>
        <v>enemy_glo_00001</v>
      </c>
      <c r="C281" s="254" t="str">
        <f>IFERROR(__xludf.DUMMYFUNCTION("""COMPUTED_VALUE"""),"_general_ori4")</f>
        <v>_general_ori4</v>
      </c>
      <c r="D281" s="254" t="str">
        <f>IFERROR(__xludf.DUMMYFUNCTION("""COMPUTED_VALUE"""),"e_glo_00001_general_ori4_Normal_Yellow")</f>
        <v>e_glo_00001_general_ori4_Normal_Yellow</v>
      </c>
      <c r="E281" s="254" t="str">
        <f>IFERROR(__xludf.DUMMYFUNCTION("""COMPUTED_VALUE"""),"GLOW")</f>
        <v>GLOW</v>
      </c>
      <c r="F281" s="254" t="str">
        <f>IFERROR(__xludf.DUMMYFUNCTION("""COMPUTED_VALUE"""),"ファントム")</f>
        <v>ファントム</v>
      </c>
      <c r="G281" s="254" t="str">
        <f>IFERROR(__xludf.DUMMYFUNCTION("""COMPUTED_VALUE"""),"ファントム_general_ori4")</f>
        <v>ファントム_general_ori4</v>
      </c>
      <c r="H281" s="235" t="str">
        <f>IFERROR(__xludf.DUMMYFUNCTION("""COMPUTED_VALUE"""),"Normal")</f>
        <v>Normal</v>
      </c>
      <c r="I281" s="235" t="str">
        <f>IFERROR(__xludf.DUMMYFUNCTION("""COMPUTED_VALUE"""),"Defense")</f>
        <v>Defense</v>
      </c>
      <c r="J281" s="235" t="str">
        <f>IFERROR(__xludf.DUMMYFUNCTION("""COMPUTED_VALUE"""),"Yellow")</f>
        <v>Yellow</v>
      </c>
      <c r="K281" s="235">
        <f>IFERROR(__xludf.DUMMYFUNCTION("""COMPUTED_VALUE"""),60000.0)</f>
        <v>60000</v>
      </c>
      <c r="L281" s="235">
        <f>IFERROR(__xludf.DUMMYFUNCTION("""COMPUTED_VALUE"""),2.0)</f>
        <v>2</v>
      </c>
      <c r="M281" s="235">
        <f>IFERROR(__xludf.DUMMYFUNCTION("""COMPUTED_VALUE"""),45.0)</f>
        <v>45</v>
      </c>
      <c r="N281" s="235">
        <f>IFERROR(__xludf.DUMMYFUNCTION("""COMPUTED_VALUE"""),0.2)</f>
        <v>0.2</v>
      </c>
      <c r="O281" s="235">
        <f>IFERROR(__xludf.DUMMYFUNCTION("""COMPUTED_VALUE"""),1000.0)</f>
        <v>1000</v>
      </c>
      <c r="P281" s="235">
        <f>IFERROR(__xludf.DUMMYFUNCTION("""COMPUTED_VALUE"""),0.0)</f>
        <v>0</v>
      </c>
      <c r="Q281" s="235">
        <f>IFERROR(__xludf.DUMMYFUNCTION("""COMPUTED_VALUE"""),0.25)</f>
        <v>0.25</v>
      </c>
      <c r="R281" s="235">
        <f>IFERROR(__xludf.DUMMYFUNCTION("""COMPUTED_VALUE"""),1.0)</f>
        <v>1</v>
      </c>
      <c r="S281" s="235">
        <f>IFERROR(__xludf.DUMMYFUNCTION("""COMPUTED_VALUE"""),1.0)</f>
        <v>1</v>
      </c>
      <c r="T281" s="244" t="str">
        <f>IFERROR(__xludf.DUMMYFUNCTION("""COMPUTED_VALUE"""),"1.00")</f>
        <v>1.00</v>
      </c>
      <c r="U281" s="235" t="str">
        <f>IFERROR(__xludf.DUMMYFUNCTION("""COMPUTED_VALUE"""),"0.50")</f>
        <v>0.50</v>
      </c>
      <c r="V281" s="235"/>
      <c r="W281" s="235"/>
      <c r="X281" s="235"/>
      <c r="Y281" s="235"/>
      <c r="Z281" s="235"/>
      <c r="AA281" s="235"/>
      <c r="AB281" s="235"/>
      <c r="AC281" s="235"/>
    </row>
    <row r="282">
      <c r="A282" s="235"/>
      <c r="B282" s="235" t="str">
        <f>IFERROR(__xludf.DUMMYFUNCTION("""COMPUTED_VALUE"""),"enemy_glo_00001")</f>
        <v>enemy_glo_00001</v>
      </c>
      <c r="C282" s="254" t="str">
        <f>IFERROR(__xludf.DUMMYFUNCTION("""COMPUTED_VALUE"""),"_general_ori4_big")</f>
        <v>_general_ori4_big</v>
      </c>
      <c r="D282" s="254" t="str">
        <f>IFERROR(__xludf.DUMMYFUNCTION("""COMPUTED_VALUE"""),"e_glo_00001_general_ori4_big_Normal_Yellow")</f>
        <v>e_glo_00001_general_ori4_big_Normal_Yellow</v>
      </c>
      <c r="E282" s="254" t="str">
        <f>IFERROR(__xludf.DUMMYFUNCTION("""COMPUTED_VALUE"""),"GLOW")</f>
        <v>GLOW</v>
      </c>
      <c r="F282" s="254" t="str">
        <f>IFERROR(__xludf.DUMMYFUNCTION("""COMPUTED_VALUE"""),"ファントム")</f>
        <v>ファントム</v>
      </c>
      <c r="G282" s="254" t="str">
        <f>IFERROR(__xludf.DUMMYFUNCTION("""COMPUTED_VALUE"""),"ファントム_general_ori4_big")</f>
        <v>ファントム_general_ori4_big</v>
      </c>
      <c r="H282" s="235" t="str">
        <f>IFERROR(__xludf.DUMMYFUNCTION("""COMPUTED_VALUE"""),"Normal")</f>
        <v>Normal</v>
      </c>
      <c r="I282" s="235" t="str">
        <f>IFERROR(__xludf.DUMMYFUNCTION("""COMPUTED_VALUE"""),"Support")</f>
        <v>Support</v>
      </c>
      <c r="J282" s="235" t="str">
        <f>IFERROR(__xludf.DUMMYFUNCTION("""COMPUTED_VALUE"""),"Yellow")</f>
        <v>Yellow</v>
      </c>
      <c r="K282" s="235">
        <f>IFERROR(__xludf.DUMMYFUNCTION("""COMPUTED_VALUE"""),200000.0)</f>
        <v>200000</v>
      </c>
      <c r="L282" s="235">
        <f>IFERROR(__xludf.DUMMYFUNCTION("""COMPUTED_VALUE"""),2.0)</f>
        <v>2</v>
      </c>
      <c r="M282" s="235">
        <f>IFERROR(__xludf.DUMMYFUNCTION("""COMPUTED_VALUE"""),45.0)</f>
        <v>45</v>
      </c>
      <c r="N282" s="235">
        <f>IFERROR(__xludf.DUMMYFUNCTION("""COMPUTED_VALUE"""),0.2)</f>
        <v>0.2</v>
      </c>
      <c r="O282" s="235">
        <f>IFERROR(__xludf.DUMMYFUNCTION("""COMPUTED_VALUE"""),700.0)</f>
        <v>700</v>
      </c>
      <c r="P282" s="235">
        <f>IFERROR(__xludf.DUMMYFUNCTION("""COMPUTED_VALUE"""),0.0)</f>
        <v>0</v>
      </c>
      <c r="Q282" s="235">
        <f>IFERROR(__xludf.DUMMYFUNCTION("""COMPUTED_VALUE"""),0.25)</f>
        <v>0.25</v>
      </c>
      <c r="R282" s="235">
        <f>IFERROR(__xludf.DUMMYFUNCTION("""COMPUTED_VALUE"""),1.0)</f>
        <v>1</v>
      </c>
      <c r="S282" s="235">
        <f>IFERROR(__xludf.DUMMYFUNCTION("""COMPUTED_VALUE"""),1.0)</f>
        <v>1</v>
      </c>
      <c r="T282" s="244" t="str">
        <f>IFERROR(__xludf.DUMMYFUNCTION("""COMPUTED_VALUE"""),"1.00")</f>
        <v>1.00</v>
      </c>
      <c r="U282" s="235" t="str">
        <f>IFERROR(__xludf.DUMMYFUNCTION("""COMPUTED_VALUE"""),"0.50")</f>
        <v>0.50</v>
      </c>
      <c r="V282" s="235"/>
      <c r="W282" s="235"/>
      <c r="X282" s="235"/>
      <c r="Y282" s="235"/>
      <c r="Z282" s="235"/>
      <c r="AA282" s="235"/>
      <c r="AB282" s="235"/>
      <c r="AC282" s="235"/>
    </row>
    <row r="283">
      <c r="A283" s="235"/>
      <c r="B283" s="235" t="str">
        <f>IFERROR(__xludf.DUMMYFUNCTION("""COMPUTED_VALUE"""),"enemy_glo_00101")</f>
        <v>enemy_glo_00101</v>
      </c>
      <c r="C283" s="254" t="str">
        <f>IFERROR(__xludf.DUMMYFUNCTION("""COMPUTED_VALUE"""),"_general_ori4")</f>
        <v>_general_ori4</v>
      </c>
      <c r="D283" s="254" t="str">
        <f>IFERROR(__xludf.DUMMYFUNCTION("""COMPUTED_VALUE"""),"e_glo_00101_general_ori4_Boss_Yellow")</f>
        <v>e_glo_00101_general_ori4_Boss_Yellow</v>
      </c>
      <c r="E283" s="254" t="str">
        <f>IFERROR(__xludf.DUMMYFUNCTION("""COMPUTED_VALUE"""),"GLOW")</f>
        <v>GLOW</v>
      </c>
      <c r="F283" s="254" t="str">
        <f>IFERROR(__xludf.DUMMYFUNCTION("""COMPUTED_VALUE"""),"ボスファントム")</f>
        <v>ボスファントム</v>
      </c>
      <c r="G283" s="254" t="str">
        <f>IFERROR(__xludf.DUMMYFUNCTION("""COMPUTED_VALUE"""),"中ボスエネミー_general_ori4")</f>
        <v>中ボスエネミー_general_ori4</v>
      </c>
      <c r="H283" s="235" t="str">
        <f>IFERROR(__xludf.DUMMYFUNCTION("""COMPUTED_VALUE"""),"Boss")</f>
        <v>Boss</v>
      </c>
      <c r="I283" s="235" t="str">
        <f>IFERROR(__xludf.DUMMYFUNCTION("""COMPUTED_VALUE"""),"Attack")</f>
        <v>Attack</v>
      </c>
      <c r="J283" s="235" t="str">
        <f>IFERROR(__xludf.DUMMYFUNCTION("""COMPUTED_VALUE"""),"Yellow")</f>
        <v>Yellow</v>
      </c>
      <c r="K283" s="235">
        <f>IFERROR(__xludf.DUMMYFUNCTION("""COMPUTED_VALUE"""),700000.0)</f>
        <v>700000</v>
      </c>
      <c r="L283" s="235">
        <f>IFERROR(__xludf.DUMMYFUNCTION("""COMPUTED_VALUE"""),2.0)</f>
        <v>2</v>
      </c>
      <c r="M283" s="235">
        <f>IFERROR(__xludf.DUMMYFUNCTION("""COMPUTED_VALUE"""),45.0)</f>
        <v>45</v>
      </c>
      <c r="N283" s="235">
        <f>IFERROR(__xludf.DUMMYFUNCTION("""COMPUTED_VALUE"""),0.2)</f>
        <v>0.2</v>
      </c>
      <c r="O283" s="235">
        <f>IFERROR(__xludf.DUMMYFUNCTION("""COMPUTED_VALUE"""),1800.0)</f>
        <v>1800</v>
      </c>
      <c r="P283" s="235">
        <f>IFERROR(__xludf.DUMMYFUNCTION("""COMPUTED_VALUE"""),0.0)</f>
        <v>0</v>
      </c>
      <c r="Q283" s="235">
        <f>IFERROR(__xludf.DUMMYFUNCTION("""COMPUTED_VALUE"""),0.25)</f>
        <v>0.25</v>
      </c>
      <c r="R283" s="235">
        <f>IFERROR(__xludf.DUMMYFUNCTION("""COMPUTED_VALUE"""),100.0)</f>
        <v>100</v>
      </c>
      <c r="S283" s="235">
        <f>IFERROR(__xludf.DUMMYFUNCTION("""COMPUTED_VALUE"""),1.0)</f>
        <v>1</v>
      </c>
      <c r="T283" s="244" t="str">
        <f>IFERROR(__xludf.DUMMYFUNCTION("""COMPUTED_VALUE"""),"1.17")</f>
        <v>1.17</v>
      </c>
      <c r="U283" s="235" t="str">
        <f>IFERROR(__xludf.DUMMYFUNCTION("""COMPUTED_VALUE"""),"stop有:1回目 0.56")</f>
        <v>stop有:1回目 0.56</v>
      </c>
      <c r="V283" s="235"/>
      <c r="W283" s="235" t="str">
        <f>IFERROR(__xludf.DUMMYFUNCTION("""COMPUTED_VALUE"""),"-")</f>
        <v>-</v>
      </c>
      <c r="X283" s="235" t="str">
        <f>IFERROR(__xludf.DUMMYFUNCTION("""COMPUTED_VALUE"""),"-")</f>
        <v>-</v>
      </c>
      <c r="Y283" s="235"/>
      <c r="Z283" s="235"/>
      <c r="AA283" s="235"/>
      <c r="AB283" s="235"/>
      <c r="AC283" s="235"/>
    </row>
    <row r="284">
      <c r="A284" s="235"/>
      <c r="B284" s="235" t="str">
        <f>IFERROR(__xludf.DUMMYFUNCTION("""COMPUTED_VALUE"""),"enemy_glo_00001")</f>
        <v>enemy_glo_00001</v>
      </c>
      <c r="C284" s="254" t="str">
        <f>IFERROR(__xludf.DUMMYFUNCTION("""COMPUTED_VALUE"""),"_general_ori4")</f>
        <v>_general_ori4</v>
      </c>
      <c r="D284" s="254" t="str">
        <f>IFERROR(__xludf.DUMMYFUNCTION("""COMPUTED_VALUE"""),"e_glo_00001_general_ori4_Normal_Colorless")</f>
        <v>e_glo_00001_general_ori4_Normal_Colorless</v>
      </c>
      <c r="E284" s="254" t="str">
        <f>IFERROR(__xludf.DUMMYFUNCTION("""COMPUTED_VALUE"""),"GLOW")</f>
        <v>GLOW</v>
      </c>
      <c r="F284" s="254" t="str">
        <f>IFERROR(__xludf.DUMMYFUNCTION("""COMPUTED_VALUE"""),"ファントム")</f>
        <v>ファントム</v>
      </c>
      <c r="G284" s="254" t="str">
        <f>IFERROR(__xludf.DUMMYFUNCTION("""COMPUTED_VALUE"""),"ファントム_general_ori4")</f>
        <v>ファントム_general_ori4</v>
      </c>
      <c r="H284" s="235" t="str">
        <f>IFERROR(__xludf.DUMMYFUNCTION("""COMPUTED_VALUE"""),"Normal")</f>
        <v>Normal</v>
      </c>
      <c r="I284" s="235" t="str">
        <f>IFERROR(__xludf.DUMMYFUNCTION("""COMPUTED_VALUE"""),"Defense")</f>
        <v>Defense</v>
      </c>
      <c r="J284" s="235" t="str">
        <f>IFERROR(__xludf.DUMMYFUNCTION("""COMPUTED_VALUE"""),"Colorless")</f>
        <v>Colorless</v>
      </c>
      <c r="K284" s="235">
        <f>IFERROR(__xludf.DUMMYFUNCTION("""COMPUTED_VALUE"""),32000.0)</f>
        <v>32000</v>
      </c>
      <c r="L284" s="235">
        <f>IFERROR(__xludf.DUMMYFUNCTION("""COMPUTED_VALUE"""),1.0)</f>
        <v>1</v>
      </c>
      <c r="M284" s="235">
        <f>IFERROR(__xludf.DUMMYFUNCTION("""COMPUTED_VALUE"""),55.0)</f>
        <v>55</v>
      </c>
      <c r="N284" s="235">
        <f>IFERROR(__xludf.DUMMYFUNCTION("""COMPUTED_VALUE"""),0.11)</f>
        <v>0.11</v>
      </c>
      <c r="O284" s="235">
        <f>IFERROR(__xludf.DUMMYFUNCTION("""COMPUTED_VALUE"""),500.0)</f>
        <v>500</v>
      </c>
      <c r="P284" s="235">
        <f>IFERROR(__xludf.DUMMYFUNCTION("""COMPUTED_VALUE"""),0.0)</f>
        <v>0</v>
      </c>
      <c r="Q284" s="235">
        <f>IFERROR(__xludf.DUMMYFUNCTION("""COMPUTED_VALUE"""),0.25)</f>
        <v>0.25</v>
      </c>
      <c r="R284" s="235">
        <f>IFERROR(__xludf.DUMMYFUNCTION("""COMPUTED_VALUE"""),1.0)</f>
        <v>1</v>
      </c>
      <c r="S284" s="235">
        <f>IFERROR(__xludf.DUMMYFUNCTION("""COMPUTED_VALUE"""),1.0)</f>
        <v>1</v>
      </c>
      <c r="T284" s="244" t="str">
        <f>IFERROR(__xludf.DUMMYFUNCTION("""COMPUTED_VALUE"""),"1.00")</f>
        <v>1.00</v>
      </c>
      <c r="U284" s="235" t="str">
        <f>IFERROR(__xludf.DUMMYFUNCTION("""COMPUTED_VALUE"""),"0.50")</f>
        <v>0.50</v>
      </c>
      <c r="V284" s="235"/>
      <c r="W284" s="235"/>
      <c r="X284" s="235"/>
      <c r="Y284" s="235"/>
      <c r="Z284" s="235"/>
      <c r="AA284" s="235"/>
      <c r="AB284" s="235"/>
      <c r="AC284" s="235"/>
    </row>
    <row r="285">
      <c r="A285" s="235"/>
      <c r="B285" s="235" t="str">
        <f>IFERROR(__xludf.DUMMYFUNCTION("""COMPUTED_VALUE"""),"enemy_glo_00001")</f>
        <v>enemy_glo_00001</v>
      </c>
      <c r="C285" s="254" t="str">
        <f>IFERROR(__xludf.DUMMYFUNCTION("""COMPUTED_VALUE"""),"_general_ori4_big_a_")</f>
        <v>_general_ori4_big_a_</v>
      </c>
      <c r="D285" s="254" t="str">
        <f>IFERROR(__xludf.DUMMYFUNCTION("""COMPUTED_VALUE"""),"e_glo_00001_general_ori4_big_a__Normal_Green")</f>
        <v>e_glo_00001_general_ori4_big_a__Normal_Green</v>
      </c>
      <c r="E285" s="254" t="str">
        <f>IFERROR(__xludf.DUMMYFUNCTION("""COMPUTED_VALUE"""),"GLOW")</f>
        <v>GLOW</v>
      </c>
      <c r="F285" s="254" t="str">
        <f>IFERROR(__xludf.DUMMYFUNCTION("""COMPUTED_VALUE"""),"ファントム")</f>
        <v>ファントム</v>
      </c>
      <c r="G285" s="254" t="str">
        <f>IFERROR(__xludf.DUMMYFUNCTION("""COMPUTED_VALUE"""),"ファントム_general_ori4_big_a_")</f>
        <v>ファントム_general_ori4_big_a_</v>
      </c>
      <c r="H285" s="235" t="str">
        <f>IFERROR(__xludf.DUMMYFUNCTION("""COMPUTED_VALUE"""),"Normal")</f>
        <v>Normal</v>
      </c>
      <c r="I285" s="235" t="str">
        <f>IFERROR(__xludf.DUMMYFUNCTION("""COMPUTED_VALUE"""),"Support")</f>
        <v>Support</v>
      </c>
      <c r="J285" s="235" t="str">
        <f>IFERROR(__xludf.DUMMYFUNCTION("""COMPUTED_VALUE"""),"Green")</f>
        <v>Green</v>
      </c>
      <c r="K285" s="235">
        <f>IFERROR(__xludf.DUMMYFUNCTION("""COMPUTED_VALUE"""),200000.0)</f>
        <v>200000</v>
      </c>
      <c r="L285" s="235">
        <f>IFERROR(__xludf.DUMMYFUNCTION("""COMPUTED_VALUE"""),1.0)</f>
        <v>1</v>
      </c>
      <c r="M285" s="235">
        <f>IFERROR(__xludf.DUMMYFUNCTION("""COMPUTED_VALUE"""),55.0)</f>
        <v>55</v>
      </c>
      <c r="N285" s="235">
        <f>IFERROR(__xludf.DUMMYFUNCTION("""COMPUTED_VALUE"""),0.11)</f>
        <v>0.11</v>
      </c>
      <c r="O285" s="235">
        <f>IFERROR(__xludf.DUMMYFUNCTION("""COMPUTED_VALUE"""),400.0)</f>
        <v>400</v>
      </c>
      <c r="P285" s="235">
        <f>IFERROR(__xludf.DUMMYFUNCTION("""COMPUTED_VALUE"""),0.0)</f>
        <v>0</v>
      </c>
      <c r="Q285" s="235">
        <f>IFERROR(__xludf.DUMMYFUNCTION("""COMPUTED_VALUE"""),0.25)</f>
        <v>0.25</v>
      </c>
      <c r="R285" s="235">
        <f>IFERROR(__xludf.DUMMYFUNCTION("""COMPUTED_VALUE"""),1.0)</f>
        <v>1</v>
      </c>
      <c r="S285" s="235">
        <f>IFERROR(__xludf.DUMMYFUNCTION("""COMPUTED_VALUE"""),1.0)</f>
        <v>1</v>
      </c>
      <c r="T285" s="244" t="str">
        <f>IFERROR(__xludf.DUMMYFUNCTION("""COMPUTED_VALUE"""),"1.00")</f>
        <v>1.00</v>
      </c>
      <c r="U285" s="235" t="str">
        <f>IFERROR(__xludf.DUMMYFUNCTION("""COMPUTED_VALUE"""),"0.50")</f>
        <v>0.50</v>
      </c>
      <c r="V285" s="235"/>
      <c r="W285" s="235"/>
      <c r="X285" s="235"/>
      <c r="Y285" s="235"/>
      <c r="Z285" s="235"/>
      <c r="AA285" s="235"/>
      <c r="AB285" s="235"/>
      <c r="AC285" s="235"/>
    </row>
    <row r="286">
      <c r="A286" s="235"/>
      <c r="B286" s="235" t="str">
        <f>IFERROR(__xludf.DUMMYFUNCTION("""COMPUTED_VALUE"""),"enemy_glo_00001")</f>
        <v>enemy_glo_00001</v>
      </c>
      <c r="C286" s="254" t="str">
        <f>IFERROR(__xludf.DUMMYFUNCTION("""COMPUTED_VALUE"""),"_general_ori4_big")</f>
        <v>_general_ori4_big</v>
      </c>
      <c r="D286" s="254" t="str">
        <f>IFERROR(__xludf.DUMMYFUNCTION("""COMPUTED_VALUE"""),"e_glo_00001_general_ori4_big_Normal_Colorless")</f>
        <v>e_glo_00001_general_ori4_big_Normal_Colorless</v>
      </c>
      <c r="E286" s="254" t="str">
        <f>IFERROR(__xludf.DUMMYFUNCTION("""COMPUTED_VALUE"""),"GLOW")</f>
        <v>GLOW</v>
      </c>
      <c r="F286" s="254" t="str">
        <f>IFERROR(__xludf.DUMMYFUNCTION("""COMPUTED_VALUE"""),"ファントム")</f>
        <v>ファントム</v>
      </c>
      <c r="G286" s="254" t="str">
        <f>IFERROR(__xludf.DUMMYFUNCTION("""COMPUTED_VALUE"""),"ファントム_general_ori4_big")</f>
        <v>ファントム_general_ori4_big</v>
      </c>
      <c r="H286" s="235" t="str">
        <f>IFERROR(__xludf.DUMMYFUNCTION("""COMPUTED_VALUE"""),"Normal")</f>
        <v>Normal</v>
      </c>
      <c r="I286" s="235" t="str">
        <f>IFERROR(__xludf.DUMMYFUNCTION("""COMPUTED_VALUE"""),"Attack")</f>
        <v>Attack</v>
      </c>
      <c r="J286" s="235" t="str">
        <f>IFERROR(__xludf.DUMMYFUNCTION("""COMPUTED_VALUE"""),"Colorless")</f>
        <v>Colorless</v>
      </c>
      <c r="K286" s="235">
        <f>IFERROR(__xludf.DUMMYFUNCTION("""COMPUTED_VALUE"""),400000.0)</f>
        <v>400000</v>
      </c>
      <c r="L286" s="235">
        <f>IFERROR(__xludf.DUMMYFUNCTION("""COMPUTED_VALUE"""),1.0)</f>
        <v>1</v>
      </c>
      <c r="M286" s="235">
        <f>IFERROR(__xludf.DUMMYFUNCTION("""COMPUTED_VALUE"""),55.0)</f>
        <v>55</v>
      </c>
      <c r="N286" s="235">
        <f>IFERROR(__xludf.DUMMYFUNCTION("""COMPUTED_VALUE"""),0.11)</f>
        <v>0.11</v>
      </c>
      <c r="O286" s="235">
        <f>IFERROR(__xludf.DUMMYFUNCTION("""COMPUTED_VALUE"""),1100.0)</f>
        <v>1100</v>
      </c>
      <c r="P286" s="235">
        <f>IFERROR(__xludf.DUMMYFUNCTION("""COMPUTED_VALUE"""),0.0)</f>
        <v>0</v>
      </c>
      <c r="Q286" s="235">
        <f>IFERROR(__xludf.DUMMYFUNCTION("""COMPUTED_VALUE"""),0.25)</f>
        <v>0.25</v>
      </c>
      <c r="R286" s="235">
        <f>IFERROR(__xludf.DUMMYFUNCTION("""COMPUTED_VALUE"""),100.0)</f>
        <v>100</v>
      </c>
      <c r="S286" s="235">
        <f>IFERROR(__xludf.DUMMYFUNCTION("""COMPUTED_VALUE"""),1.0)</f>
        <v>1</v>
      </c>
      <c r="T286" s="244" t="str">
        <f>IFERROR(__xludf.DUMMYFUNCTION("""COMPUTED_VALUE"""),"1.00")</f>
        <v>1.00</v>
      </c>
      <c r="U286" s="235" t="str">
        <f>IFERROR(__xludf.DUMMYFUNCTION("""COMPUTED_VALUE"""),"0.50")</f>
        <v>0.50</v>
      </c>
      <c r="V286" s="235"/>
      <c r="W286" s="235"/>
      <c r="X286" s="235"/>
      <c r="Y286" s="235"/>
      <c r="Z286" s="235"/>
      <c r="AA286" s="235"/>
      <c r="AB286" s="235"/>
      <c r="AC286" s="235"/>
    </row>
    <row r="287">
      <c r="A287" s="235"/>
      <c r="B287" s="235"/>
      <c r="C287" s="254"/>
      <c r="D287" s="254" t="str">
        <f>IFERROR(__xludf.DUMMYFUNCTION("""COMPUTED_VALUE"""),"___")</f>
        <v>___</v>
      </c>
      <c r="E287" s="254" t="str">
        <f>IFERROR(__xludf.DUMMYFUNCTION("""COMPUTED_VALUE"""),"none")</f>
        <v>none</v>
      </c>
      <c r="F287" s="254" t="str">
        <f>IFERROR(__xludf.DUMMYFUNCTION("""COMPUTED_VALUE"""),"none")</f>
        <v>none</v>
      </c>
      <c r="G287" s="254" t="str">
        <f>IFERROR(__xludf.DUMMYFUNCTION("""COMPUTED_VALUE"""),"none")</f>
        <v>none</v>
      </c>
      <c r="H287" s="235"/>
      <c r="I287" s="235" t="str">
        <f>IFERROR(__xludf.DUMMYFUNCTION("""COMPUTED_VALUE"""),"none")</f>
        <v>none</v>
      </c>
      <c r="J287" s="235"/>
      <c r="K287" s="235"/>
      <c r="L287" s="235"/>
      <c r="M287" s="235"/>
      <c r="N287" s="235"/>
      <c r="O287" s="235"/>
      <c r="P287" s="235"/>
      <c r="Q287" s="235"/>
      <c r="R287" s="235"/>
      <c r="S287" s="235"/>
      <c r="T287" s="244" t="str">
        <f>IFERROR(__xludf.DUMMYFUNCTION("""COMPUTED_VALUE"""),"none")</f>
        <v>none</v>
      </c>
      <c r="U287" s="235" t="str">
        <f>IFERROR(__xludf.DUMMYFUNCTION("""COMPUTED_VALUE"""),"none")</f>
        <v>none</v>
      </c>
      <c r="V287" s="235"/>
      <c r="W287" s="235" t="str">
        <f>IFERROR(__xludf.DUMMYFUNCTION("""COMPUTED_VALUE"""),"none")</f>
        <v>none</v>
      </c>
      <c r="X287" s="235" t="str">
        <f>IFERROR(__xludf.DUMMYFUNCTION("""COMPUTED_VALUE"""),"none")</f>
        <v>none</v>
      </c>
      <c r="Y287" s="235"/>
      <c r="Z287" s="235"/>
      <c r="AA287" s="235"/>
      <c r="AB287" s="235"/>
      <c r="AC287" s="235"/>
    </row>
    <row r="288">
      <c r="A288" s="235"/>
      <c r="B288" s="235" t="str">
        <f>IFERROR(__xludf.DUMMYFUNCTION("""COMPUTED_VALUE"""),"enemy_glo_00001")</f>
        <v>enemy_glo_00001</v>
      </c>
      <c r="C288" s="254" t="str">
        <f>IFERROR(__xludf.DUMMYFUNCTION("""COMPUTED_VALUE"""),"_general_ori4")</f>
        <v>_general_ori4</v>
      </c>
      <c r="D288" s="254" t="str">
        <f>IFERROR(__xludf.DUMMYFUNCTION("""COMPUTED_VALUE"""),"e_glo_00001_general_ori4_Normal_Green")</f>
        <v>e_glo_00001_general_ori4_Normal_Green</v>
      </c>
      <c r="E288" s="254" t="str">
        <f>IFERROR(__xludf.DUMMYFUNCTION("""COMPUTED_VALUE"""),"GLOW")</f>
        <v>GLOW</v>
      </c>
      <c r="F288" s="254" t="str">
        <f>IFERROR(__xludf.DUMMYFUNCTION("""COMPUTED_VALUE"""),"ファントム")</f>
        <v>ファントム</v>
      </c>
      <c r="G288" s="254" t="str">
        <f>IFERROR(__xludf.DUMMYFUNCTION("""COMPUTED_VALUE"""),"ファントム_general_ori4")</f>
        <v>ファントム_general_ori4</v>
      </c>
      <c r="H288" s="235" t="str">
        <f>IFERROR(__xludf.DUMMYFUNCTION("""COMPUTED_VALUE"""),"Normal")</f>
        <v>Normal</v>
      </c>
      <c r="I288" s="235" t="str">
        <f>IFERROR(__xludf.DUMMYFUNCTION("""COMPUTED_VALUE"""),"Attack")</f>
        <v>Attack</v>
      </c>
      <c r="J288" s="235" t="str">
        <f>IFERROR(__xludf.DUMMYFUNCTION("""COMPUTED_VALUE"""),"Green")</f>
        <v>Green</v>
      </c>
      <c r="K288" s="235">
        <f>IFERROR(__xludf.DUMMYFUNCTION("""COMPUTED_VALUE"""),75000.0)</f>
        <v>75000</v>
      </c>
      <c r="L288" s="235">
        <f>IFERROR(__xludf.DUMMYFUNCTION("""COMPUTED_VALUE"""),2.0)</f>
        <v>2</v>
      </c>
      <c r="M288" s="235">
        <f>IFERROR(__xludf.DUMMYFUNCTION("""COMPUTED_VALUE"""),65.0)</f>
        <v>65</v>
      </c>
      <c r="N288" s="235">
        <f>IFERROR(__xludf.DUMMYFUNCTION("""COMPUTED_VALUE"""),0.2)</f>
        <v>0.2</v>
      </c>
      <c r="O288" s="235">
        <f>IFERROR(__xludf.DUMMYFUNCTION("""COMPUTED_VALUE"""),1000.0)</f>
        <v>1000</v>
      </c>
      <c r="P288" s="235">
        <f>IFERROR(__xludf.DUMMYFUNCTION("""COMPUTED_VALUE"""),0.0)</f>
        <v>0</v>
      </c>
      <c r="Q288" s="235">
        <f>IFERROR(__xludf.DUMMYFUNCTION("""COMPUTED_VALUE"""),0.25)</f>
        <v>0.25</v>
      </c>
      <c r="R288" s="235">
        <f>IFERROR(__xludf.DUMMYFUNCTION("""COMPUTED_VALUE"""),1.0)</f>
        <v>1</v>
      </c>
      <c r="S288" s="235">
        <f>IFERROR(__xludf.DUMMYFUNCTION("""COMPUTED_VALUE"""),1.0)</f>
        <v>1</v>
      </c>
      <c r="T288" s="244" t="str">
        <f>IFERROR(__xludf.DUMMYFUNCTION("""COMPUTED_VALUE"""),"1.00")</f>
        <v>1.00</v>
      </c>
      <c r="U288" s="235" t="str">
        <f>IFERROR(__xludf.DUMMYFUNCTION("""COMPUTED_VALUE"""),"0.50")</f>
        <v>0.50</v>
      </c>
      <c r="V288" s="235"/>
      <c r="W288" s="235"/>
      <c r="X288" s="235"/>
      <c r="Y288" s="235"/>
      <c r="Z288" s="235"/>
      <c r="AA288" s="235"/>
      <c r="AB288" s="235"/>
      <c r="AC288" s="235"/>
    </row>
    <row r="289">
      <c r="A289" s="235"/>
      <c r="B289" s="235" t="str">
        <f>IFERROR(__xludf.DUMMYFUNCTION("""COMPUTED_VALUE"""),"enemy_glo_00001")</f>
        <v>enemy_glo_00001</v>
      </c>
      <c r="C289" s="254" t="str">
        <f>IFERROR(__xludf.DUMMYFUNCTION("""COMPUTED_VALUE"""),"_general_ori4_big")</f>
        <v>_general_ori4_big</v>
      </c>
      <c r="D289" s="254" t="str">
        <f>IFERROR(__xludf.DUMMYFUNCTION("""COMPUTED_VALUE"""),"e_glo_00001_general_ori4_big_Normal_Green")</f>
        <v>e_glo_00001_general_ori4_big_Normal_Green</v>
      </c>
      <c r="E289" s="254" t="str">
        <f>IFERROR(__xludf.DUMMYFUNCTION("""COMPUTED_VALUE"""),"GLOW")</f>
        <v>GLOW</v>
      </c>
      <c r="F289" s="254" t="str">
        <f>IFERROR(__xludf.DUMMYFUNCTION("""COMPUTED_VALUE"""),"ファントム")</f>
        <v>ファントム</v>
      </c>
      <c r="G289" s="254" t="str">
        <f>IFERROR(__xludf.DUMMYFUNCTION("""COMPUTED_VALUE"""),"ファントム_general_ori4_big")</f>
        <v>ファントム_general_ori4_big</v>
      </c>
      <c r="H289" s="235" t="str">
        <f>IFERROR(__xludf.DUMMYFUNCTION("""COMPUTED_VALUE"""),"Normal")</f>
        <v>Normal</v>
      </c>
      <c r="I289" s="235" t="str">
        <f>IFERROR(__xludf.DUMMYFUNCTION("""COMPUTED_VALUE"""),"Attack")</f>
        <v>Attack</v>
      </c>
      <c r="J289" s="235" t="str">
        <f>IFERROR(__xludf.DUMMYFUNCTION("""COMPUTED_VALUE"""),"Green")</f>
        <v>Green</v>
      </c>
      <c r="K289" s="235">
        <f>IFERROR(__xludf.DUMMYFUNCTION("""COMPUTED_VALUE"""),120000.0)</f>
        <v>120000</v>
      </c>
      <c r="L289" s="235">
        <f>IFERROR(__xludf.DUMMYFUNCTION("""COMPUTED_VALUE"""),2.0)</f>
        <v>2</v>
      </c>
      <c r="M289" s="235">
        <f>IFERROR(__xludf.DUMMYFUNCTION("""COMPUTED_VALUE"""),45.0)</f>
        <v>45</v>
      </c>
      <c r="N289" s="235">
        <f>IFERROR(__xludf.DUMMYFUNCTION("""COMPUTED_VALUE"""),0.2)</f>
        <v>0.2</v>
      </c>
      <c r="O289" s="235">
        <f>IFERROR(__xludf.DUMMYFUNCTION("""COMPUTED_VALUE"""),100.0)</f>
        <v>100</v>
      </c>
      <c r="P289" s="235">
        <f>IFERROR(__xludf.DUMMYFUNCTION("""COMPUTED_VALUE"""),0.0)</f>
        <v>0</v>
      </c>
      <c r="Q289" s="235">
        <f>IFERROR(__xludf.DUMMYFUNCTION("""COMPUTED_VALUE"""),0.25)</f>
        <v>0.25</v>
      </c>
      <c r="R289" s="235">
        <f>IFERROR(__xludf.DUMMYFUNCTION("""COMPUTED_VALUE"""),1.0)</f>
        <v>1</v>
      </c>
      <c r="S289" s="235">
        <f>IFERROR(__xludf.DUMMYFUNCTION("""COMPUTED_VALUE"""),1.0)</f>
        <v>1</v>
      </c>
      <c r="T289" s="244" t="str">
        <f>IFERROR(__xludf.DUMMYFUNCTION("""COMPUTED_VALUE"""),"1.00")</f>
        <v>1.00</v>
      </c>
      <c r="U289" s="235" t="str">
        <f>IFERROR(__xludf.DUMMYFUNCTION("""COMPUTED_VALUE"""),"0.50")</f>
        <v>0.50</v>
      </c>
      <c r="V289" s="235"/>
      <c r="W289" s="235"/>
      <c r="X289" s="235"/>
      <c r="Y289" s="235"/>
      <c r="Z289" s="235"/>
      <c r="AA289" s="235"/>
      <c r="AB289" s="235"/>
      <c r="AC289" s="235"/>
    </row>
    <row r="290">
      <c r="A290" s="235"/>
      <c r="B290" s="235" t="str">
        <f>IFERROR(__xludf.DUMMYFUNCTION("""COMPUTED_VALUE"""),"enemy_glo_00001")</f>
        <v>enemy_glo_00001</v>
      </c>
      <c r="C290" s="254" t="str">
        <f>IFERROR(__xludf.DUMMYFUNCTION("""COMPUTED_VALUE"""),"_general2_ori4")</f>
        <v>_general2_ori4</v>
      </c>
      <c r="D290" s="254" t="str">
        <f>IFERROR(__xludf.DUMMYFUNCTION("""COMPUTED_VALUE"""),"e_glo_00001_general2_ori4_Normal_Colorless")</f>
        <v>e_glo_00001_general2_ori4_Normal_Colorless</v>
      </c>
      <c r="E290" s="254" t="str">
        <f>IFERROR(__xludf.DUMMYFUNCTION("""COMPUTED_VALUE"""),"GLOW")</f>
        <v>GLOW</v>
      </c>
      <c r="F290" s="254" t="str">
        <f>IFERROR(__xludf.DUMMYFUNCTION("""COMPUTED_VALUE"""),"ファントム")</f>
        <v>ファントム</v>
      </c>
      <c r="G290" s="254" t="str">
        <f>IFERROR(__xludf.DUMMYFUNCTION("""COMPUTED_VALUE"""),"ファントム_general2_ori4")</f>
        <v>ファントム_general2_ori4</v>
      </c>
      <c r="H290" s="235" t="str">
        <f>IFERROR(__xludf.DUMMYFUNCTION("""COMPUTED_VALUE"""),"Normal")</f>
        <v>Normal</v>
      </c>
      <c r="I290" s="235" t="str">
        <f>IFERROR(__xludf.DUMMYFUNCTION("""COMPUTED_VALUE"""),"Attack")</f>
        <v>Attack</v>
      </c>
      <c r="J290" s="235" t="str">
        <f>IFERROR(__xludf.DUMMYFUNCTION("""COMPUTED_VALUE"""),"Colorless")</f>
        <v>Colorless</v>
      </c>
      <c r="K290" s="235">
        <f>IFERROR(__xludf.DUMMYFUNCTION("""COMPUTED_VALUE"""),50000.0)</f>
        <v>50000</v>
      </c>
      <c r="L290" s="235">
        <f>IFERROR(__xludf.DUMMYFUNCTION("""COMPUTED_VALUE"""),2.0)</f>
        <v>2</v>
      </c>
      <c r="M290" s="235">
        <f>IFERROR(__xludf.DUMMYFUNCTION("""COMPUTED_VALUE"""),65.0)</f>
        <v>65</v>
      </c>
      <c r="N290" s="235">
        <f>IFERROR(__xludf.DUMMYFUNCTION("""COMPUTED_VALUE"""),0.2)</f>
        <v>0.2</v>
      </c>
      <c r="O290" s="235">
        <f>IFERROR(__xludf.DUMMYFUNCTION("""COMPUTED_VALUE"""),750.0)</f>
        <v>750</v>
      </c>
      <c r="P290" s="235">
        <f>IFERROR(__xludf.DUMMYFUNCTION("""COMPUTED_VALUE"""),0.0)</f>
        <v>0</v>
      </c>
      <c r="Q290" s="235">
        <f>IFERROR(__xludf.DUMMYFUNCTION("""COMPUTED_VALUE"""),0.25)</f>
        <v>0.25</v>
      </c>
      <c r="R290" s="235">
        <f>IFERROR(__xludf.DUMMYFUNCTION("""COMPUTED_VALUE"""),1.0)</f>
        <v>1</v>
      </c>
      <c r="S290" s="235">
        <f>IFERROR(__xludf.DUMMYFUNCTION("""COMPUTED_VALUE"""),1.0)</f>
        <v>1</v>
      </c>
      <c r="T290" s="244" t="str">
        <f>IFERROR(__xludf.DUMMYFUNCTION("""COMPUTED_VALUE"""),"1.00")</f>
        <v>1.00</v>
      </c>
      <c r="U290" s="235" t="str">
        <f>IFERROR(__xludf.DUMMYFUNCTION("""COMPUTED_VALUE"""),"0.50")</f>
        <v>0.50</v>
      </c>
      <c r="V290" s="235"/>
      <c r="W290" s="235"/>
      <c r="X290" s="235"/>
      <c r="Y290" s="235"/>
      <c r="Z290" s="235"/>
      <c r="AA290" s="235"/>
      <c r="AB290" s="235"/>
      <c r="AC290" s="235"/>
    </row>
    <row r="291">
      <c r="A291" s="235"/>
      <c r="B291" s="235" t="str">
        <f>IFERROR(__xludf.DUMMYFUNCTION("""COMPUTED_VALUE"""),"enemy_glo_00001")</f>
        <v>enemy_glo_00001</v>
      </c>
      <c r="C291" s="254" t="str">
        <f>IFERROR(__xludf.DUMMYFUNCTION("""COMPUTED_VALUE"""),"_general2_ori4_big")</f>
        <v>_general2_ori4_big</v>
      </c>
      <c r="D291" s="254" t="str">
        <f>IFERROR(__xludf.DUMMYFUNCTION("""COMPUTED_VALUE"""),"e_glo_00001_general2_ori4_big_Normal_Colorless")</f>
        <v>e_glo_00001_general2_ori4_big_Normal_Colorless</v>
      </c>
      <c r="E291" s="254" t="str">
        <f>IFERROR(__xludf.DUMMYFUNCTION("""COMPUTED_VALUE"""),"GLOW")</f>
        <v>GLOW</v>
      </c>
      <c r="F291" s="254" t="str">
        <f>IFERROR(__xludf.DUMMYFUNCTION("""COMPUTED_VALUE"""),"ファントム")</f>
        <v>ファントム</v>
      </c>
      <c r="G291" s="254" t="str">
        <f>IFERROR(__xludf.DUMMYFUNCTION("""COMPUTED_VALUE"""),"ファントム_general2_ori4_big")</f>
        <v>ファントム_general2_ori4_big</v>
      </c>
      <c r="H291" s="235" t="str">
        <f>IFERROR(__xludf.DUMMYFUNCTION("""COMPUTED_VALUE"""),"Normal")</f>
        <v>Normal</v>
      </c>
      <c r="I291" s="235" t="str">
        <f>IFERROR(__xludf.DUMMYFUNCTION("""COMPUTED_VALUE"""),"Attack")</f>
        <v>Attack</v>
      </c>
      <c r="J291" s="235" t="str">
        <f>IFERROR(__xludf.DUMMYFUNCTION("""COMPUTED_VALUE"""),"Colorless")</f>
        <v>Colorless</v>
      </c>
      <c r="K291" s="235">
        <f>IFERROR(__xludf.DUMMYFUNCTION("""COMPUTED_VALUE"""),120000.0)</f>
        <v>120000</v>
      </c>
      <c r="L291" s="235">
        <f>IFERROR(__xludf.DUMMYFUNCTION("""COMPUTED_VALUE"""),2.0)</f>
        <v>2</v>
      </c>
      <c r="M291" s="235">
        <f>IFERROR(__xludf.DUMMYFUNCTION("""COMPUTED_VALUE"""),55.0)</f>
        <v>55</v>
      </c>
      <c r="N291" s="235">
        <f>IFERROR(__xludf.DUMMYFUNCTION("""COMPUTED_VALUE"""),0.2)</f>
        <v>0.2</v>
      </c>
      <c r="O291" s="235">
        <f>IFERROR(__xludf.DUMMYFUNCTION("""COMPUTED_VALUE"""),100.0)</f>
        <v>100</v>
      </c>
      <c r="P291" s="235">
        <f>IFERROR(__xludf.DUMMYFUNCTION("""COMPUTED_VALUE"""),0.0)</f>
        <v>0</v>
      </c>
      <c r="Q291" s="235">
        <f>IFERROR(__xludf.DUMMYFUNCTION("""COMPUTED_VALUE"""),0.25)</f>
        <v>0.25</v>
      </c>
      <c r="R291" s="235">
        <f>IFERROR(__xludf.DUMMYFUNCTION("""COMPUTED_VALUE"""),1.0)</f>
        <v>1</v>
      </c>
      <c r="S291" s="235">
        <f>IFERROR(__xludf.DUMMYFUNCTION("""COMPUTED_VALUE"""),1.0)</f>
        <v>1</v>
      </c>
      <c r="T291" s="244" t="str">
        <f>IFERROR(__xludf.DUMMYFUNCTION("""COMPUTED_VALUE"""),"1.00")</f>
        <v>1.00</v>
      </c>
      <c r="U291" s="235" t="str">
        <f>IFERROR(__xludf.DUMMYFUNCTION("""COMPUTED_VALUE"""),"0.50")</f>
        <v>0.50</v>
      </c>
      <c r="V291" s="235"/>
      <c r="W291" s="235"/>
      <c r="X291" s="235"/>
      <c r="Y291" s="235"/>
      <c r="Z291" s="235"/>
      <c r="AA291" s="235"/>
      <c r="AB291" s="235"/>
      <c r="AC291" s="235"/>
    </row>
    <row r="292">
      <c r="A292" s="235"/>
      <c r="B292" s="235" t="str">
        <f>IFERROR(__xludf.DUMMYFUNCTION("""COMPUTED_VALUE"""),"chara_kai_00002")</f>
        <v>chara_kai_00002</v>
      </c>
      <c r="C292" s="254" t="str">
        <f>IFERROR(__xludf.DUMMYFUNCTION("""COMPUTED_VALUE"""),"_general_ori4")</f>
        <v>_general_ori4</v>
      </c>
      <c r="D292" s="254" t="str">
        <f>IFERROR(__xludf.DUMMYFUNCTION("""COMPUTED_VALUE"""),"c_kai_00002_general_ori4_Boss_Green")</f>
        <v>c_kai_00002_general_ori4_Boss_Green</v>
      </c>
      <c r="E292" s="254" t="str">
        <f>IFERROR(__xludf.DUMMYFUNCTION("""COMPUTED_VALUE"""),"怪獣８号")</f>
        <v>怪獣８号</v>
      </c>
      <c r="F292" s="254" t="str">
        <f>IFERROR(__xludf.DUMMYFUNCTION("""COMPUTED_VALUE"""),"隠された英雄の姿 怪獣８号")</f>
        <v>隠された英雄の姿 怪獣８号</v>
      </c>
      <c r="G292" s="254" t="str">
        <f>IFERROR(__xludf.DUMMYFUNCTION("""COMPUTED_VALUE"""),"隠された英雄の姿 怪獣８号_general_ori4")</f>
        <v>隠された英雄の姿 怪獣８号_general_ori4</v>
      </c>
      <c r="H292" s="235" t="str">
        <f>IFERROR(__xludf.DUMMYFUNCTION("""COMPUTED_VALUE"""),"Boss")</f>
        <v>Boss</v>
      </c>
      <c r="I292" s="235" t="str">
        <f>IFERROR(__xludf.DUMMYFUNCTION("""COMPUTED_VALUE"""),"Attack")</f>
        <v>Attack</v>
      </c>
      <c r="J292" s="235" t="str">
        <f>IFERROR(__xludf.DUMMYFUNCTION("""COMPUTED_VALUE"""),"Green")</f>
        <v>Green</v>
      </c>
      <c r="K292" s="235">
        <f>IFERROR(__xludf.DUMMYFUNCTION("""COMPUTED_VALUE"""),1000000.0)</f>
        <v>1000000</v>
      </c>
      <c r="L292" s="235">
        <f>IFERROR(__xludf.DUMMYFUNCTION("""COMPUTED_VALUE"""),2.0)</f>
        <v>2</v>
      </c>
      <c r="M292" s="235">
        <f>IFERROR(__xludf.DUMMYFUNCTION("""COMPUTED_VALUE"""),55.0)</f>
        <v>55</v>
      </c>
      <c r="N292" s="235">
        <f>IFERROR(__xludf.DUMMYFUNCTION("""COMPUTED_VALUE"""),0.11)</f>
        <v>0.11</v>
      </c>
      <c r="O292" s="235">
        <f>IFERROR(__xludf.DUMMYFUNCTION("""COMPUTED_VALUE"""),1200.0)</f>
        <v>1200</v>
      </c>
      <c r="P292" s="235">
        <f>IFERROR(__xludf.DUMMYFUNCTION("""COMPUTED_VALUE"""),0.0)</f>
        <v>0</v>
      </c>
      <c r="Q292" s="235">
        <f>IFERROR(__xludf.DUMMYFUNCTION("""COMPUTED_VALUE"""),0.3)</f>
        <v>0.3</v>
      </c>
      <c r="R292" s="235">
        <f>IFERROR(__xludf.DUMMYFUNCTION("""COMPUTED_VALUE"""),1.0)</f>
        <v>1</v>
      </c>
      <c r="S292" s="235">
        <f>IFERROR(__xludf.DUMMYFUNCTION("""COMPUTED_VALUE"""),1.0)</f>
        <v>1</v>
      </c>
      <c r="T292" s="244" t="str">
        <f>IFERROR(__xludf.DUMMYFUNCTION("""COMPUTED_VALUE"""),"1.50")</f>
        <v>1.50</v>
      </c>
      <c r="U292" s="235" t="str">
        <f>IFERROR(__xludf.DUMMYFUNCTION("""COMPUTED_VALUE"""),"stop無:1回目 0.54")</f>
        <v>stop無:1回目 0.54</v>
      </c>
      <c r="V292" s="235"/>
      <c r="W292" s="235" t="str">
        <f>IFERROR(__xludf.DUMMYFUNCTION("""COMPUTED_VALUE"""),"2.40")</f>
        <v>2.40</v>
      </c>
      <c r="X292" s="235"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92" s="235" t="str">
        <f>IFERROR(__xludf.DUMMYFUNCTION("""COMPUTED_VALUE"""),"大ノックバック+連続攻撃")</f>
        <v>大ノックバック+連続攻撃</v>
      </c>
      <c r="Z292" s="235"/>
      <c r="AA292" s="235"/>
      <c r="AB292" s="235"/>
      <c r="AC292" s="235"/>
    </row>
    <row r="293">
      <c r="A293" s="235"/>
      <c r="B293" s="235" t="str">
        <f>IFERROR(__xludf.DUMMYFUNCTION("""COMPUTED_VALUE"""),"chara_sum_00101")</f>
        <v>chara_sum_00101</v>
      </c>
      <c r="C293" s="254" t="str">
        <f>IFERROR(__xludf.DUMMYFUNCTION("""COMPUTED_VALUE"""),"_general_ori4")</f>
        <v>_general_ori4</v>
      </c>
      <c r="D293" s="254" t="str">
        <f>IFERROR(__xludf.DUMMYFUNCTION("""COMPUTED_VALUE"""),"c_sum_00101_general_ori4_Normal_Green")</f>
        <v>c_sum_00101_general_ori4_Normal_Green</v>
      </c>
      <c r="E293" s="254" t="str">
        <f>IFERROR(__xludf.DUMMYFUNCTION("""COMPUTED_VALUE"""),"サマータイムレンダ")</f>
        <v>サマータイムレンダ</v>
      </c>
      <c r="F293" s="254" t="str">
        <f>IFERROR(__xludf.DUMMYFUNCTION("""COMPUTED_VALUE"""),"影のウシオ 小舟 潮")</f>
        <v>影のウシオ 小舟 潮</v>
      </c>
      <c r="G293" s="254" t="str">
        <f>IFERROR(__xludf.DUMMYFUNCTION("""COMPUTED_VALUE"""),"影のウシオ 小舟 潮_general_ori4")</f>
        <v>影のウシオ 小舟 潮_general_ori4</v>
      </c>
      <c r="H293" s="235" t="str">
        <f>IFERROR(__xludf.DUMMYFUNCTION("""COMPUTED_VALUE"""),"Normal")</f>
        <v>Normal</v>
      </c>
      <c r="I293" s="235" t="str">
        <f>IFERROR(__xludf.DUMMYFUNCTION("""COMPUTED_VALUE"""),"Support")</f>
        <v>Support</v>
      </c>
      <c r="J293" s="235" t="str">
        <f>IFERROR(__xludf.DUMMYFUNCTION("""COMPUTED_VALUE"""),"Green")</f>
        <v>Green</v>
      </c>
      <c r="K293" s="235">
        <f>IFERROR(__xludf.DUMMYFUNCTION("""COMPUTED_VALUE"""),700000.0)</f>
        <v>700000</v>
      </c>
      <c r="L293" s="235">
        <f>IFERROR(__xludf.DUMMYFUNCTION("""COMPUTED_VALUE"""),2.0)</f>
        <v>2</v>
      </c>
      <c r="M293" s="235">
        <f>IFERROR(__xludf.DUMMYFUNCTION("""COMPUTED_VALUE"""),45.0)</f>
        <v>45</v>
      </c>
      <c r="N293" s="235">
        <f>IFERROR(__xludf.DUMMYFUNCTION("""COMPUTED_VALUE"""),0.35)</f>
        <v>0.35</v>
      </c>
      <c r="O293" s="235">
        <f>IFERROR(__xludf.DUMMYFUNCTION("""COMPUTED_VALUE"""),1000.0)</f>
        <v>1000</v>
      </c>
      <c r="P293" s="235">
        <f>IFERROR(__xludf.DUMMYFUNCTION("""COMPUTED_VALUE"""),0.0)</f>
        <v>0</v>
      </c>
      <c r="Q293" s="235">
        <f>IFERROR(__xludf.DUMMYFUNCTION("""COMPUTED_VALUE"""),0.36)</f>
        <v>0.36</v>
      </c>
      <c r="R293" s="235">
        <f>IFERROR(__xludf.DUMMYFUNCTION("""COMPUTED_VALUE"""),1.0)</f>
        <v>1</v>
      </c>
      <c r="S293" s="235">
        <f>IFERROR(__xludf.DUMMYFUNCTION("""COMPUTED_VALUE"""),1.0)</f>
        <v>1</v>
      </c>
      <c r="T293" s="244" t="str">
        <f>IFERROR(__xludf.DUMMYFUNCTION("""COMPUTED_VALUE"""),"1.13")</f>
        <v>1.13</v>
      </c>
      <c r="U293" s="235" t="str">
        <f>IFERROR(__xludf.DUMMYFUNCTION("""COMPUTED_VALUE"""),"0.50")</f>
        <v>0.50</v>
      </c>
      <c r="V293" s="235"/>
      <c r="W293" s="235" t="str">
        <f>IFERROR(__xludf.DUMMYFUNCTION("""COMPUTED_VALUE"""),"2.20")</f>
        <v>2.20</v>
      </c>
      <c r="X293" s="235" t="str">
        <f>IFERROR(__xludf.DUMMYFUNCTION("""COMPUTED_VALUE"""),"1.00")</f>
        <v>1.00</v>
      </c>
      <c r="Y293" s="235" t="str">
        <f>IFERROR(__xludf.DUMMYFUNCTION("""COMPUTED_VALUE"""),"敵のアタッカータイプの体力30%回復")</f>
        <v>敵のアタッカータイプの体力30%回復</v>
      </c>
      <c r="Z293" s="235"/>
      <c r="AA293" s="235"/>
      <c r="AB293" s="235"/>
      <c r="AC293" s="235"/>
    </row>
    <row r="294">
      <c r="A294" s="235"/>
      <c r="B294" s="235" t="str">
        <f>IFERROR(__xludf.DUMMYFUNCTION("""COMPUTED_VALUE"""),"chara_kai_00101")</f>
        <v>chara_kai_00101</v>
      </c>
      <c r="C294" s="254" t="str">
        <f>IFERROR(__xludf.DUMMYFUNCTION("""COMPUTED_VALUE"""),"_general_ori4")</f>
        <v>_general_ori4</v>
      </c>
      <c r="D294" s="254" t="str">
        <f>IFERROR(__xludf.DUMMYFUNCTION("""COMPUTED_VALUE"""),"c_kai_00101_general_ori4_Normal_Green")</f>
        <v>c_kai_00101_general_ori4_Normal_Green</v>
      </c>
      <c r="E294" s="254" t="str">
        <f>IFERROR(__xludf.DUMMYFUNCTION("""COMPUTED_VALUE"""),"怪獣８号")</f>
        <v>怪獣８号</v>
      </c>
      <c r="F294" s="254" t="str">
        <f>IFERROR(__xludf.DUMMYFUNCTION("""COMPUTED_VALUE"""),"市川 レノ")</f>
        <v>市川 レノ</v>
      </c>
      <c r="G294" s="254" t="str">
        <f>IFERROR(__xludf.DUMMYFUNCTION("""COMPUTED_VALUE"""),"市川 レノ_general_ori4")</f>
        <v>市川 レノ_general_ori4</v>
      </c>
      <c r="H294" s="235" t="str">
        <f>IFERROR(__xludf.DUMMYFUNCTION("""COMPUTED_VALUE"""),"Normal")</f>
        <v>Normal</v>
      </c>
      <c r="I294" s="235" t="str">
        <f>IFERROR(__xludf.DUMMYFUNCTION("""COMPUTED_VALUE"""),"Support")</f>
        <v>Support</v>
      </c>
      <c r="J294" s="235" t="str">
        <f>IFERROR(__xludf.DUMMYFUNCTION("""COMPUTED_VALUE"""),"Green")</f>
        <v>Green</v>
      </c>
      <c r="K294" s="235">
        <f>IFERROR(__xludf.DUMMYFUNCTION("""COMPUTED_VALUE"""),800000.0)</f>
        <v>800000</v>
      </c>
      <c r="L294" s="235">
        <f>IFERROR(__xludf.DUMMYFUNCTION("""COMPUTED_VALUE"""),2.0)</f>
        <v>2</v>
      </c>
      <c r="M294" s="235">
        <f>IFERROR(__xludf.DUMMYFUNCTION("""COMPUTED_VALUE"""),45.0)</f>
        <v>45</v>
      </c>
      <c r="N294" s="235">
        <f>IFERROR(__xludf.DUMMYFUNCTION("""COMPUTED_VALUE"""),0.3)</f>
        <v>0.3</v>
      </c>
      <c r="O294" s="235">
        <f>IFERROR(__xludf.DUMMYFUNCTION("""COMPUTED_VALUE"""),900.0)</f>
        <v>900</v>
      </c>
      <c r="P294" s="235">
        <f>IFERROR(__xludf.DUMMYFUNCTION("""COMPUTED_VALUE"""),0.0)</f>
        <v>0</v>
      </c>
      <c r="Q294" s="235">
        <f>IFERROR(__xludf.DUMMYFUNCTION("""COMPUTED_VALUE"""),0.5)</f>
        <v>0.5</v>
      </c>
      <c r="R294" s="235">
        <f>IFERROR(__xludf.DUMMYFUNCTION("""COMPUTED_VALUE"""),100.0)</f>
        <v>100</v>
      </c>
      <c r="S294" s="235">
        <f>IFERROR(__xludf.DUMMYFUNCTION("""COMPUTED_VALUE"""),1.0)</f>
        <v>1</v>
      </c>
      <c r="T294" s="244" t="str">
        <f>IFERROR(__xludf.DUMMYFUNCTION("""COMPUTED_VALUE"""),"1.40")</f>
        <v>1.40</v>
      </c>
      <c r="U294" s="235" t="str">
        <f>IFERROR(__xludf.DUMMYFUNCTION("""COMPUTED_VALUE"""),"stop無:1回目 0.91")</f>
        <v>stop無:1回目 0.91</v>
      </c>
      <c r="V294" s="235"/>
      <c r="W294" s="235" t="str">
        <f>IFERROR(__xludf.DUMMYFUNCTION("""COMPUTED_VALUE"""),"3.17")</f>
        <v>3.17</v>
      </c>
      <c r="X294" s="235" t="str">
        <f>IFERROR(__xludf.DUMMYFUNCTION("""COMPUTED_VALUE"""),"stop無:1回目 1.05
stop無:2回目 1.33
stop無:3回目 1.76")</f>
        <v>stop無:1回目 1.05
stop無:2回目 1.33
stop無:3回目 1.76</v>
      </c>
      <c r="Y294" s="235" t="str">
        <f>IFERROR(__xludf.DUMMYFUNCTION("""COMPUTED_VALUE"""),"100%の確率で、4.5秒スタン攻撃")</f>
        <v>100%の確率で、4.5秒スタン攻撃</v>
      </c>
      <c r="Z294" s="235"/>
      <c r="AA294" s="235"/>
      <c r="AB294" s="235"/>
      <c r="AC294" s="235"/>
    </row>
    <row r="295">
      <c r="A295" s="235"/>
      <c r="B295" s="235" t="str">
        <f>IFERROR(__xludf.DUMMYFUNCTION("""COMPUTED_VALUE"""),"chara_sum_00201")</f>
        <v>chara_sum_00201</v>
      </c>
      <c r="C295" s="254" t="str">
        <f>IFERROR(__xludf.DUMMYFUNCTION("""COMPUTED_VALUE"""),"_general_ori4")</f>
        <v>_general_ori4</v>
      </c>
      <c r="D295" s="254" t="str">
        <f>IFERROR(__xludf.DUMMYFUNCTION("""COMPUTED_VALUE"""),"c_sum_00201_general_ori4_Normal_Green")</f>
        <v>c_sum_00201_general_ori4_Normal_Green</v>
      </c>
      <c r="E295" s="254" t="str">
        <f>IFERROR(__xludf.DUMMYFUNCTION("""COMPUTED_VALUE"""),"サマータイムレンダ")</f>
        <v>サマータイムレンダ</v>
      </c>
      <c r="F295" s="254" t="str">
        <f>IFERROR(__xludf.DUMMYFUNCTION("""COMPUTED_VALUE"""),"小舟 澪")</f>
        <v>小舟 澪</v>
      </c>
      <c r="G295" s="254" t="str">
        <f>IFERROR(__xludf.DUMMYFUNCTION("""COMPUTED_VALUE"""),"小舟 澪_general_ori4")</f>
        <v>小舟 澪_general_ori4</v>
      </c>
      <c r="H295" s="235" t="str">
        <f>IFERROR(__xludf.DUMMYFUNCTION("""COMPUTED_VALUE"""),"Normal")</f>
        <v>Normal</v>
      </c>
      <c r="I295" s="235" t="str">
        <f>IFERROR(__xludf.DUMMYFUNCTION("""COMPUTED_VALUE"""),"Attack")</f>
        <v>Attack</v>
      </c>
      <c r="J295" s="235" t="str">
        <f>IFERROR(__xludf.DUMMYFUNCTION("""COMPUTED_VALUE"""),"Green")</f>
        <v>Green</v>
      </c>
      <c r="K295" s="235">
        <f>IFERROR(__xludf.DUMMYFUNCTION("""COMPUTED_VALUE"""),900000.0)</f>
        <v>900000</v>
      </c>
      <c r="L295" s="235">
        <f>IFERROR(__xludf.DUMMYFUNCTION("""COMPUTED_VALUE"""),1.0)</f>
        <v>1</v>
      </c>
      <c r="M295" s="235">
        <f>IFERROR(__xludf.DUMMYFUNCTION("""COMPUTED_VALUE"""),66.0)</f>
        <v>66</v>
      </c>
      <c r="N295" s="235">
        <f>IFERROR(__xludf.DUMMYFUNCTION("""COMPUTED_VALUE"""),0.11)</f>
        <v>0.11</v>
      </c>
      <c r="O295" s="235">
        <f>IFERROR(__xludf.DUMMYFUNCTION("""COMPUTED_VALUE"""),1000.0)</f>
        <v>1000</v>
      </c>
      <c r="P295" s="235">
        <f>IFERROR(__xludf.DUMMYFUNCTION("""COMPUTED_VALUE"""),0.0)</f>
        <v>0</v>
      </c>
      <c r="Q295" s="235">
        <f>IFERROR(__xludf.DUMMYFUNCTION("""COMPUTED_VALUE"""),0.2)</f>
        <v>0.2</v>
      </c>
      <c r="R295" s="235">
        <f>IFERROR(__xludf.DUMMYFUNCTION("""COMPUTED_VALUE"""),1.0)</f>
        <v>1</v>
      </c>
      <c r="S295" s="235">
        <f>IFERROR(__xludf.DUMMYFUNCTION("""COMPUTED_VALUE"""),1.0)</f>
        <v>1</v>
      </c>
      <c r="T295" s="244" t="str">
        <f>IFERROR(__xludf.DUMMYFUNCTION("""COMPUTED_VALUE"""),"2.37")</f>
        <v>2.37</v>
      </c>
      <c r="U295" s="235" t="str">
        <f>IFERROR(__xludf.DUMMYFUNCTION("""COMPUTED_VALUE"""),"stop有 :1回目 0.67")</f>
        <v>stop有 :1回目 0.67</v>
      </c>
      <c r="V295" s="235"/>
      <c r="W295" s="235" t="str">
        <f>IFERROR(__xludf.DUMMYFUNCTION("""COMPUTED_VALUE"""),"3.67")</f>
        <v>3.67</v>
      </c>
      <c r="X295" s="235" t="str">
        <f>IFERROR(__xludf.DUMMYFUNCTION("""COMPUTED_VALUE"""),"stop有 :1回目 1.70")</f>
        <v>stop有 :1回目 1.70</v>
      </c>
      <c r="Y295" s="235" t="str">
        <f>IFERROR(__xludf.DUMMYFUNCTION("""COMPUTED_VALUE"""),"大ノックバック+100%の確率で4.5秒スタン攻撃+20秒間20%攻撃DOWN")</f>
        <v>大ノックバック+100%の確率で4.5秒スタン攻撃+20秒間20%攻撃DOWN</v>
      </c>
      <c r="Z295" s="235"/>
      <c r="AA295" s="235"/>
      <c r="AB295" s="235"/>
      <c r="AC295" s="235"/>
    </row>
    <row r="296">
      <c r="A296" s="235"/>
      <c r="B296" s="235"/>
      <c r="C296" s="254"/>
      <c r="D296" s="254" t="str">
        <f>IFERROR(__xludf.DUMMYFUNCTION("""COMPUTED_VALUE"""),"___")</f>
        <v>___</v>
      </c>
      <c r="E296" s="254" t="str">
        <f>IFERROR(__xludf.DUMMYFUNCTION("""COMPUTED_VALUE"""),"none")</f>
        <v>none</v>
      </c>
      <c r="F296" s="254" t="str">
        <f>IFERROR(__xludf.DUMMYFUNCTION("""COMPUTED_VALUE"""),"none")</f>
        <v>none</v>
      </c>
      <c r="G296" s="254" t="str">
        <f>IFERROR(__xludf.DUMMYFUNCTION("""COMPUTED_VALUE"""),"none")</f>
        <v>none</v>
      </c>
      <c r="H296" s="235"/>
      <c r="I296" s="235" t="str">
        <f>IFERROR(__xludf.DUMMYFUNCTION("""COMPUTED_VALUE"""),"none")</f>
        <v>none</v>
      </c>
      <c r="J296" s="235"/>
      <c r="K296" s="235"/>
      <c r="L296" s="235"/>
      <c r="M296" s="235"/>
      <c r="N296" s="235"/>
      <c r="O296" s="235"/>
      <c r="P296" s="235"/>
      <c r="Q296" s="235"/>
      <c r="R296" s="235"/>
      <c r="S296" s="235"/>
      <c r="T296" s="244" t="str">
        <f>IFERROR(__xludf.DUMMYFUNCTION("""COMPUTED_VALUE"""),"none")</f>
        <v>none</v>
      </c>
      <c r="U296" s="235" t="str">
        <f>IFERROR(__xludf.DUMMYFUNCTION("""COMPUTED_VALUE"""),"none")</f>
        <v>none</v>
      </c>
      <c r="V296" s="235"/>
      <c r="W296" s="235" t="str">
        <f>IFERROR(__xludf.DUMMYFUNCTION("""COMPUTED_VALUE"""),"none")</f>
        <v>none</v>
      </c>
      <c r="X296" s="235" t="str">
        <f>IFERROR(__xludf.DUMMYFUNCTION("""COMPUTED_VALUE"""),"none")</f>
        <v>none</v>
      </c>
      <c r="Y296" s="235"/>
      <c r="Z296" s="235"/>
      <c r="AA296" s="235"/>
      <c r="AB296" s="235"/>
      <c r="AC296" s="235"/>
    </row>
    <row r="297">
      <c r="A297" s="235"/>
      <c r="B297" s="235" t="str">
        <f>IFERROR(__xludf.DUMMYFUNCTION("""COMPUTED_VALUE"""),"enemy_glo_00001")</f>
        <v>enemy_glo_00001</v>
      </c>
      <c r="C297" s="254" t="str">
        <f>IFERROR(__xludf.DUMMYFUNCTION("""COMPUTED_VALUE"""),"_general_ori4")</f>
        <v>_general_ori4</v>
      </c>
      <c r="D297" s="254" t="str">
        <f>IFERROR(__xludf.DUMMYFUNCTION("""COMPUTED_VALUE"""),"e_glo_00001_general_ori4_Normal_Blue")</f>
        <v>e_glo_00001_general_ori4_Normal_Blue</v>
      </c>
      <c r="E297" s="254" t="str">
        <f>IFERROR(__xludf.DUMMYFUNCTION("""COMPUTED_VALUE"""),"GLOW")</f>
        <v>GLOW</v>
      </c>
      <c r="F297" s="254" t="str">
        <f>IFERROR(__xludf.DUMMYFUNCTION("""COMPUTED_VALUE"""),"ファントム")</f>
        <v>ファントム</v>
      </c>
      <c r="G297" s="254" t="str">
        <f>IFERROR(__xludf.DUMMYFUNCTION("""COMPUTED_VALUE"""),"ファントム_general_ori4")</f>
        <v>ファントム_general_ori4</v>
      </c>
      <c r="H297" s="235" t="str">
        <f>IFERROR(__xludf.DUMMYFUNCTION("""COMPUTED_VALUE"""),"Normal")</f>
        <v>Normal</v>
      </c>
      <c r="I297" s="235" t="str">
        <f>IFERROR(__xludf.DUMMYFUNCTION("""COMPUTED_VALUE"""),"Attack")</f>
        <v>Attack</v>
      </c>
      <c r="J297" s="235" t="str">
        <f>IFERROR(__xludf.DUMMYFUNCTION("""COMPUTED_VALUE"""),"Blue")</f>
        <v>Blue</v>
      </c>
      <c r="K297" s="235">
        <f>IFERROR(__xludf.DUMMYFUNCTION("""COMPUTED_VALUE"""),35000.0)</f>
        <v>35000</v>
      </c>
      <c r="L297" s="235">
        <f>IFERROR(__xludf.DUMMYFUNCTION("""COMPUTED_VALUE"""),2.0)</f>
        <v>2</v>
      </c>
      <c r="M297" s="235">
        <f>IFERROR(__xludf.DUMMYFUNCTION("""COMPUTED_VALUE"""),45.0)</f>
        <v>45</v>
      </c>
      <c r="N297" s="235">
        <f>IFERROR(__xludf.DUMMYFUNCTION("""COMPUTED_VALUE"""),0.2)</f>
        <v>0.2</v>
      </c>
      <c r="O297" s="235">
        <f>IFERROR(__xludf.DUMMYFUNCTION("""COMPUTED_VALUE"""),700.0)</f>
        <v>700</v>
      </c>
      <c r="P297" s="235">
        <f>IFERROR(__xludf.DUMMYFUNCTION("""COMPUTED_VALUE"""),0.0)</f>
        <v>0</v>
      </c>
      <c r="Q297" s="235">
        <f>IFERROR(__xludf.DUMMYFUNCTION("""COMPUTED_VALUE"""),0.25)</f>
        <v>0.25</v>
      </c>
      <c r="R297" s="235">
        <f>IFERROR(__xludf.DUMMYFUNCTION("""COMPUTED_VALUE"""),1.0)</f>
        <v>1</v>
      </c>
      <c r="S297" s="235">
        <f>IFERROR(__xludf.DUMMYFUNCTION("""COMPUTED_VALUE"""),1.0)</f>
        <v>1</v>
      </c>
      <c r="T297" s="244" t="str">
        <f>IFERROR(__xludf.DUMMYFUNCTION("""COMPUTED_VALUE"""),"1.00")</f>
        <v>1.00</v>
      </c>
      <c r="U297" s="235" t="str">
        <f>IFERROR(__xludf.DUMMYFUNCTION("""COMPUTED_VALUE"""),"0.50")</f>
        <v>0.50</v>
      </c>
      <c r="V297" s="235"/>
      <c r="W297" s="235"/>
      <c r="X297" s="235"/>
      <c r="Y297" s="235"/>
      <c r="Z297" s="235"/>
      <c r="AA297" s="235"/>
      <c r="AB297" s="235"/>
      <c r="AC297" s="235"/>
    </row>
    <row r="298">
      <c r="A298" s="235"/>
      <c r="B298" s="235" t="str">
        <f>IFERROR(__xludf.DUMMYFUNCTION("""COMPUTED_VALUE"""),"enemy_glo_00001")</f>
        <v>enemy_glo_00001</v>
      </c>
      <c r="C298" s="254" t="str">
        <f>IFERROR(__xludf.DUMMYFUNCTION("""COMPUTED_VALUE"""),"_general_ori4_big")</f>
        <v>_general_ori4_big</v>
      </c>
      <c r="D298" s="254" t="str">
        <f>IFERROR(__xludf.DUMMYFUNCTION("""COMPUTED_VALUE"""),"e_glo_00001_general_ori4_big_Normal_Blue")</f>
        <v>e_glo_00001_general_ori4_big_Normal_Blue</v>
      </c>
      <c r="E298" s="254" t="str">
        <f>IFERROR(__xludf.DUMMYFUNCTION("""COMPUTED_VALUE"""),"GLOW")</f>
        <v>GLOW</v>
      </c>
      <c r="F298" s="254" t="str">
        <f>IFERROR(__xludf.DUMMYFUNCTION("""COMPUTED_VALUE"""),"ファントム")</f>
        <v>ファントム</v>
      </c>
      <c r="G298" s="254" t="str">
        <f>IFERROR(__xludf.DUMMYFUNCTION("""COMPUTED_VALUE"""),"ファントム_general_ori4_big")</f>
        <v>ファントム_general_ori4_big</v>
      </c>
      <c r="H298" s="235" t="str">
        <f>IFERROR(__xludf.DUMMYFUNCTION("""COMPUTED_VALUE"""),"Normal")</f>
        <v>Normal</v>
      </c>
      <c r="I298" s="235" t="str">
        <f>IFERROR(__xludf.DUMMYFUNCTION("""COMPUTED_VALUE"""),"Attack")</f>
        <v>Attack</v>
      </c>
      <c r="J298" s="235" t="str">
        <f>IFERROR(__xludf.DUMMYFUNCTION("""COMPUTED_VALUE"""),"Blue")</f>
        <v>Blue</v>
      </c>
      <c r="K298" s="235">
        <f>IFERROR(__xludf.DUMMYFUNCTION("""COMPUTED_VALUE"""),180000.0)</f>
        <v>180000</v>
      </c>
      <c r="L298" s="235">
        <f>IFERROR(__xludf.DUMMYFUNCTION("""COMPUTED_VALUE"""),2.0)</f>
        <v>2</v>
      </c>
      <c r="M298" s="235">
        <f>IFERROR(__xludf.DUMMYFUNCTION("""COMPUTED_VALUE"""),45.0)</f>
        <v>45</v>
      </c>
      <c r="N298" s="235">
        <f>IFERROR(__xludf.DUMMYFUNCTION("""COMPUTED_VALUE"""),0.2)</f>
        <v>0.2</v>
      </c>
      <c r="O298" s="235">
        <f>IFERROR(__xludf.DUMMYFUNCTION("""COMPUTED_VALUE"""),500.0)</f>
        <v>500</v>
      </c>
      <c r="P298" s="235">
        <f>IFERROR(__xludf.DUMMYFUNCTION("""COMPUTED_VALUE"""),0.0)</f>
        <v>0</v>
      </c>
      <c r="Q298" s="235">
        <f>IFERROR(__xludf.DUMMYFUNCTION("""COMPUTED_VALUE"""),0.25)</f>
        <v>0.25</v>
      </c>
      <c r="R298" s="235">
        <f>IFERROR(__xludf.DUMMYFUNCTION("""COMPUTED_VALUE"""),1.0)</f>
        <v>1</v>
      </c>
      <c r="S298" s="235">
        <f>IFERROR(__xludf.DUMMYFUNCTION("""COMPUTED_VALUE"""),1.0)</f>
        <v>1</v>
      </c>
      <c r="T298" s="244" t="str">
        <f>IFERROR(__xludf.DUMMYFUNCTION("""COMPUTED_VALUE"""),"1.00")</f>
        <v>1.00</v>
      </c>
      <c r="U298" s="235" t="str">
        <f>IFERROR(__xludf.DUMMYFUNCTION("""COMPUTED_VALUE"""),"0.50")</f>
        <v>0.50</v>
      </c>
      <c r="V298" s="235"/>
      <c r="W298" s="235"/>
      <c r="X298" s="235"/>
      <c r="Y298" s="235"/>
      <c r="Z298" s="235"/>
      <c r="AA298" s="235"/>
      <c r="AB298" s="235"/>
      <c r="AC298" s="235"/>
    </row>
    <row r="299">
      <c r="A299" s="235"/>
      <c r="B299" s="235" t="str">
        <f>IFERROR(__xludf.DUMMYFUNCTION("""COMPUTED_VALUE"""),"enemy_glo_00001")</f>
        <v>enemy_glo_00001</v>
      </c>
      <c r="C299" s="254" t="str">
        <f>IFERROR(__xludf.DUMMYFUNCTION("""COMPUTED_VALUE"""),"_general3_ori4")</f>
        <v>_general3_ori4</v>
      </c>
      <c r="D299" s="254" t="str">
        <f>IFERROR(__xludf.DUMMYFUNCTION("""COMPUTED_VALUE"""),"e_glo_00001_general3_ori4_Normal_Colorless")</f>
        <v>e_glo_00001_general3_ori4_Normal_Colorless</v>
      </c>
      <c r="E299" s="254" t="str">
        <f>IFERROR(__xludf.DUMMYFUNCTION("""COMPUTED_VALUE"""),"GLOW")</f>
        <v>GLOW</v>
      </c>
      <c r="F299" s="254" t="str">
        <f>IFERROR(__xludf.DUMMYFUNCTION("""COMPUTED_VALUE"""),"ファントム")</f>
        <v>ファントム</v>
      </c>
      <c r="G299" s="254" t="str">
        <f>IFERROR(__xludf.DUMMYFUNCTION("""COMPUTED_VALUE"""),"ファントム_general3_ori4")</f>
        <v>ファントム_general3_ori4</v>
      </c>
      <c r="H299" s="235" t="str">
        <f>IFERROR(__xludf.DUMMYFUNCTION("""COMPUTED_VALUE"""),"Normal")</f>
        <v>Normal</v>
      </c>
      <c r="I299" s="235" t="str">
        <f>IFERROR(__xludf.DUMMYFUNCTION("""COMPUTED_VALUE"""),"Attack")</f>
        <v>Attack</v>
      </c>
      <c r="J299" s="235" t="str">
        <f>IFERROR(__xludf.DUMMYFUNCTION("""COMPUTED_VALUE"""),"Colorless")</f>
        <v>Colorless</v>
      </c>
      <c r="K299" s="235">
        <f>IFERROR(__xludf.DUMMYFUNCTION("""COMPUTED_VALUE"""),40000.0)</f>
        <v>40000</v>
      </c>
      <c r="L299" s="235">
        <f>IFERROR(__xludf.DUMMYFUNCTION("""COMPUTED_VALUE"""),2.0)</f>
        <v>2</v>
      </c>
      <c r="M299" s="235">
        <f>IFERROR(__xludf.DUMMYFUNCTION("""COMPUTED_VALUE"""),45.0)</f>
        <v>45</v>
      </c>
      <c r="N299" s="235">
        <f>IFERROR(__xludf.DUMMYFUNCTION("""COMPUTED_VALUE"""),0.2)</f>
        <v>0.2</v>
      </c>
      <c r="O299" s="235">
        <f>IFERROR(__xludf.DUMMYFUNCTION("""COMPUTED_VALUE"""),700.0)</f>
        <v>700</v>
      </c>
      <c r="P299" s="235">
        <f>IFERROR(__xludf.DUMMYFUNCTION("""COMPUTED_VALUE"""),0.0)</f>
        <v>0</v>
      </c>
      <c r="Q299" s="235">
        <f>IFERROR(__xludf.DUMMYFUNCTION("""COMPUTED_VALUE"""),0.25)</f>
        <v>0.25</v>
      </c>
      <c r="R299" s="235">
        <f>IFERROR(__xludf.DUMMYFUNCTION("""COMPUTED_VALUE"""),1.0)</f>
        <v>1</v>
      </c>
      <c r="S299" s="235">
        <f>IFERROR(__xludf.DUMMYFUNCTION("""COMPUTED_VALUE"""),1.0)</f>
        <v>1</v>
      </c>
      <c r="T299" s="244" t="str">
        <f>IFERROR(__xludf.DUMMYFUNCTION("""COMPUTED_VALUE"""),"1.00")</f>
        <v>1.00</v>
      </c>
      <c r="U299" s="235" t="str">
        <f>IFERROR(__xludf.DUMMYFUNCTION("""COMPUTED_VALUE"""),"0.50")</f>
        <v>0.50</v>
      </c>
      <c r="V299" s="235"/>
      <c r="W299" s="235"/>
      <c r="X299" s="235"/>
      <c r="Y299" s="235"/>
      <c r="Z299" s="235"/>
      <c r="AA299" s="235"/>
      <c r="AB299" s="235"/>
      <c r="AC299" s="235"/>
    </row>
    <row r="300">
      <c r="A300" s="235"/>
      <c r="B300" s="235" t="str">
        <f>IFERROR(__xludf.DUMMYFUNCTION("""COMPUTED_VALUE"""),"enemy_glo_00001")</f>
        <v>enemy_glo_00001</v>
      </c>
      <c r="C300" s="254" t="str">
        <f>IFERROR(__xludf.DUMMYFUNCTION("""COMPUTED_VALUE"""),"_general3_ori4_big")</f>
        <v>_general3_ori4_big</v>
      </c>
      <c r="D300" s="254" t="str">
        <f>IFERROR(__xludf.DUMMYFUNCTION("""COMPUTED_VALUE"""),"e_glo_00001_general3_ori4_big_Normal_Colorless")</f>
        <v>e_glo_00001_general3_ori4_big_Normal_Colorless</v>
      </c>
      <c r="E300" s="254" t="str">
        <f>IFERROR(__xludf.DUMMYFUNCTION("""COMPUTED_VALUE"""),"GLOW")</f>
        <v>GLOW</v>
      </c>
      <c r="F300" s="254" t="str">
        <f>IFERROR(__xludf.DUMMYFUNCTION("""COMPUTED_VALUE"""),"ファントム")</f>
        <v>ファントム</v>
      </c>
      <c r="G300" s="254" t="str">
        <f>IFERROR(__xludf.DUMMYFUNCTION("""COMPUTED_VALUE"""),"ファントム_general3_ori4_big")</f>
        <v>ファントム_general3_ori4_big</v>
      </c>
      <c r="H300" s="235" t="str">
        <f>IFERROR(__xludf.DUMMYFUNCTION("""COMPUTED_VALUE"""),"Normal")</f>
        <v>Normal</v>
      </c>
      <c r="I300" s="235" t="str">
        <f>IFERROR(__xludf.DUMMYFUNCTION("""COMPUTED_VALUE"""),"Support")</f>
        <v>Support</v>
      </c>
      <c r="J300" s="235" t="str">
        <f>IFERROR(__xludf.DUMMYFUNCTION("""COMPUTED_VALUE"""),"Colorless")</f>
        <v>Colorless</v>
      </c>
      <c r="K300" s="235">
        <f>IFERROR(__xludf.DUMMYFUNCTION("""COMPUTED_VALUE"""),180000.0)</f>
        <v>180000</v>
      </c>
      <c r="L300" s="235">
        <f>IFERROR(__xludf.DUMMYFUNCTION("""COMPUTED_VALUE"""),2.0)</f>
        <v>2</v>
      </c>
      <c r="M300" s="235">
        <f>IFERROR(__xludf.DUMMYFUNCTION("""COMPUTED_VALUE"""),45.0)</f>
        <v>45</v>
      </c>
      <c r="N300" s="235">
        <f>IFERROR(__xludf.DUMMYFUNCTION("""COMPUTED_VALUE"""),0.2)</f>
        <v>0.2</v>
      </c>
      <c r="O300" s="235">
        <f>IFERROR(__xludf.DUMMYFUNCTION("""COMPUTED_VALUE"""),500.0)</f>
        <v>500</v>
      </c>
      <c r="P300" s="235">
        <f>IFERROR(__xludf.DUMMYFUNCTION("""COMPUTED_VALUE"""),0.0)</f>
        <v>0</v>
      </c>
      <c r="Q300" s="235">
        <f>IFERROR(__xludf.DUMMYFUNCTION("""COMPUTED_VALUE"""),0.25)</f>
        <v>0.25</v>
      </c>
      <c r="R300" s="235">
        <f>IFERROR(__xludf.DUMMYFUNCTION("""COMPUTED_VALUE"""),1.0)</f>
        <v>1</v>
      </c>
      <c r="S300" s="235">
        <f>IFERROR(__xludf.DUMMYFUNCTION("""COMPUTED_VALUE"""),1.0)</f>
        <v>1</v>
      </c>
      <c r="T300" s="244" t="str">
        <f>IFERROR(__xludf.DUMMYFUNCTION("""COMPUTED_VALUE"""),"1.00")</f>
        <v>1.00</v>
      </c>
      <c r="U300" s="235" t="str">
        <f>IFERROR(__xludf.DUMMYFUNCTION("""COMPUTED_VALUE"""),"0.50")</f>
        <v>0.50</v>
      </c>
      <c r="V300" s="235"/>
      <c r="W300" s="235"/>
      <c r="X300" s="235"/>
      <c r="Y300" s="235"/>
      <c r="Z300" s="235"/>
      <c r="AA300" s="235"/>
      <c r="AB300" s="235"/>
      <c r="AC300" s="235"/>
    </row>
    <row r="301">
      <c r="A301" s="235"/>
      <c r="B301" s="235" t="str">
        <f>IFERROR(__xludf.DUMMYFUNCTION("""COMPUTED_VALUE"""),"chara_mag_00001")</f>
        <v>chara_mag_00001</v>
      </c>
      <c r="C301" s="254" t="str">
        <f>IFERROR(__xludf.DUMMYFUNCTION("""COMPUTED_VALUE"""),"_general_ori4")</f>
        <v>_general_ori4</v>
      </c>
      <c r="D301" s="254" t="str">
        <f>IFERROR(__xludf.DUMMYFUNCTION("""COMPUTED_VALUE"""),"c_mag_00001_general_ori4_Boss_Blue")</f>
        <v>c_mag_00001_general_ori4_Boss_Blue</v>
      </c>
      <c r="E301" s="254" t="str">
        <f>IFERROR(__xludf.DUMMYFUNCTION("""COMPUTED_VALUE"""),"株式会社マジルミエ")</f>
        <v>株式会社マジルミエ</v>
      </c>
      <c r="F301" s="254" t="str">
        <f>IFERROR(__xludf.DUMMYFUNCTION("""COMPUTED_VALUE"""),"新人魔法少女 桜木 カナ")</f>
        <v>新人魔法少女 桜木 カナ</v>
      </c>
      <c r="G301" s="254" t="str">
        <f>IFERROR(__xludf.DUMMYFUNCTION("""COMPUTED_VALUE"""),"新人魔法少女 桜木 カナ_general_ori4")</f>
        <v>新人魔法少女 桜木 カナ_general_ori4</v>
      </c>
      <c r="H301" s="235" t="str">
        <f>IFERROR(__xludf.DUMMYFUNCTION("""COMPUTED_VALUE"""),"Boss")</f>
        <v>Boss</v>
      </c>
      <c r="I301" s="235" t="str">
        <f>IFERROR(__xludf.DUMMYFUNCTION("""COMPUTED_VALUE"""),"Attack")</f>
        <v>Attack</v>
      </c>
      <c r="J301" s="235" t="str">
        <f>IFERROR(__xludf.DUMMYFUNCTION("""COMPUTED_VALUE"""),"Blue")</f>
        <v>Blue</v>
      </c>
      <c r="K301" s="235">
        <f>IFERROR(__xludf.DUMMYFUNCTION("""COMPUTED_VALUE"""),1300000.0)</f>
        <v>1300000</v>
      </c>
      <c r="L301" s="235">
        <f>IFERROR(__xludf.DUMMYFUNCTION("""COMPUTED_VALUE"""),2.0)</f>
        <v>2</v>
      </c>
      <c r="M301" s="235">
        <f>IFERROR(__xludf.DUMMYFUNCTION("""COMPUTED_VALUE"""),55.0)</f>
        <v>55</v>
      </c>
      <c r="N301" s="235">
        <f>IFERROR(__xludf.DUMMYFUNCTION("""COMPUTED_VALUE"""),0.4)</f>
        <v>0.4</v>
      </c>
      <c r="O301" s="235">
        <f>IFERROR(__xludf.DUMMYFUNCTION("""COMPUTED_VALUE"""),900.0)</f>
        <v>900</v>
      </c>
      <c r="P301" s="235">
        <f>IFERROR(__xludf.DUMMYFUNCTION("""COMPUTED_VALUE"""),0.0)</f>
        <v>0</v>
      </c>
      <c r="Q301" s="235">
        <f>IFERROR(__xludf.DUMMYFUNCTION("""COMPUTED_VALUE"""),0.6)</f>
        <v>0.6</v>
      </c>
      <c r="R301" s="235">
        <f>IFERROR(__xludf.DUMMYFUNCTION("""COMPUTED_VALUE"""),100.0)</f>
        <v>100</v>
      </c>
      <c r="S301" s="235">
        <f>IFERROR(__xludf.DUMMYFUNCTION("""COMPUTED_VALUE"""),1.0)</f>
        <v>1</v>
      </c>
      <c r="T301" s="244" t="str">
        <f>IFERROR(__xludf.DUMMYFUNCTION("""COMPUTED_VALUE"""),"1.77")</f>
        <v>1.77</v>
      </c>
      <c r="U301" s="235" t="str">
        <f>IFERROR(__xludf.DUMMYFUNCTION("""COMPUTED_VALUE"""),"stop有:1回目 0.92")</f>
        <v>stop有:1回目 0.92</v>
      </c>
      <c r="V301" s="235"/>
      <c r="W301" s="235" t="str">
        <f>IFERROR(__xludf.DUMMYFUNCTION("""COMPUTED_VALUE"""),"2.33")</f>
        <v>2.33</v>
      </c>
      <c r="X301" s="235"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301" s="235" t="str">
        <f>IFERROR(__xludf.DUMMYFUNCTION("""COMPUTED_VALUE"""),"連続攻撃＋8秒間、攻撃30%DOWN")</f>
        <v>連続攻撃＋8秒間、攻撃30%DOWN</v>
      </c>
      <c r="Z301" s="235"/>
      <c r="AA301" s="235"/>
      <c r="AB301" s="235"/>
      <c r="AC301" s="235"/>
    </row>
    <row r="302">
      <c r="A302" s="235"/>
      <c r="B302" s="235" t="str">
        <f>IFERROR(__xludf.DUMMYFUNCTION("""COMPUTED_VALUE"""),"chara_kai_00301")</f>
        <v>chara_kai_00301</v>
      </c>
      <c r="C302" s="254" t="str">
        <f>IFERROR(__xludf.DUMMYFUNCTION("""COMPUTED_VALUE"""),"_general_ori4")</f>
        <v>_general_ori4</v>
      </c>
      <c r="D302" s="254" t="str">
        <f>IFERROR(__xludf.DUMMYFUNCTION("""COMPUTED_VALUE"""),"c_kai_00301_general_ori4_Normal_Blue")</f>
        <v>c_kai_00301_general_ori4_Normal_Blue</v>
      </c>
      <c r="E302" s="254" t="str">
        <f>IFERROR(__xludf.DUMMYFUNCTION("""COMPUTED_VALUE"""),"怪獣８号")</f>
        <v>怪獣８号</v>
      </c>
      <c r="F302" s="254" t="str">
        <f>IFERROR(__xludf.DUMMYFUNCTION("""COMPUTED_VALUE"""),"四ノ宮 キコル")</f>
        <v>四ノ宮 キコル</v>
      </c>
      <c r="G302" s="254" t="str">
        <f>IFERROR(__xludf.DUMMYFUNCTION("""COMPUTED_VALUE"""),"四ノ宮 キコル_general_ori4")</f>
        <v>四ノ宮 キコル_general_ori4</v>
      </c>
      <c r="H302" s="235" t="str">
        <f>IFERROR(__xludf.DUMMYFUNCTION("""COMPUTED_VALUE"""),"Normal")</f>
        <v>Normal</v>
      </c>
      <c r="I302" s="235" t="str">
        <f>IFERROR(__xludf.DUMMYFUNCTION("""COMPUTED_VALUE"""),"Defense")</f>
        <v>Defense</v>
      </c>
      <c r="J302" s="235" t="str">
        <f>IFERROR(__xludf.DUMMYFUNCTION("""COMPUTED_VALUE"""),"Blue")</f>
        <v>Blue</v>
      </c>
      <c r="K302" s="235">
        <f>IFERROR(__xludf.DUMMYFUNCTION("""COMPUTED_VALUE"""),600000.0)</f>
        <v>600000</v>
      </c>
      <c r="L302" s="235">
        <f>IFERROR(__xludf.DUMMYFUNCTION("""COMPUTED_VALUE"""),1.0)</f>
        <v>1</v>
      </c>
      <c r="M302" s="235">
        <f>IFERROR(__xludf.DUMMYFUNCTION("""COMPUTED_VALUE"""),45.0)</f>
        <v>45</v>
      </c>
      <c r="N302" s="235">
        <f>IFERROR(__xludf.DUMMYFUNCTION("""COMPUTED_VALUE"""),0.2)</f>
        <v>0.2</v>
      </c>
      <c r="O302" s="235">
        <f>IFERROR(__xludf.DUMMYFUNCTION("""COMPUTED_VALUE"""),1000.0)</f>
        <v>1000</v>
      </c>
      <c r="P302" s="235">
        <f>IFERROR(__xludf.DUMMYFUNCTION("""COMPUTED_VALUE"""),0.0)</f>
        <v>0</v>
      </c>
      <c r="Q302" s="235">
        <f>IFERROR(__xludf.DUMMYFUNCTION("""COMPUTED_VALUE"""),0.4)</f>
        <v>0.4</v>
      </c>
      <c r="R302" s="235">
        <f>IFERROR(__xludf.DUMMYFUNCTION("""COMPUTED_VALUE"""),100.0)</f>
        <v>100</v>
      </c>
      <c r="S302" s="235">
        <f>IFERROR(__xludf.DUMMYFUNCTION("""COMPUTED_VALUE"""),1.0)</f>
        <v>1</v>
      </c>
      <c r="T302" s="244" t="str">
        <f>IFERROR(__xludf.DUMMYFUNCTION("""COMPUTED_VALUE"""),"2.04")</f>
        <v>2.04</v>
      </c>
      <c r="U302" s="235" t="str">
        <f>IFERROR(__xludf.DUMMYFUNCTION("""COMPUTED_VALUE"""),"0.70")</f>
        <v>0.70</v>
      </c>
      <c r="V302" s="235"/>
      <c r="W302" s="235" t="str">
        <f>IFERROR(__xludf.DUMMYFUNCTION("""COMPUTED_VALUE"""),"3.34")</f>
        <v>3.34</v>
      </c>
      <c r="X302" s="235" t="str">
        <f>IFERROR(__xludf.DUMMYFUNCTION("""COMPUTED_VALUE"""),"1.07")</f>
        <v>1.07</v>
      </c>
      <c r="Y302" s="235" t="str">
        <f>IFERROR(__xludf.DUMMYFUNCTION("""COMPUTED_VALUE"""),"199秒間、自身の攻撃30%UP")</f>
        <v>199秒間、自身の攻撃30%UP</v>
      </c>
      <c r="Z302" s="235"/>
      <c r="AA302" s="235"/>
      <c r="AB302" s="235"/>
      <c r="AC302" s="235"/>
    </row>
    <row r="303">
      <c r="A303" s="235"/>
      <c r="B303" s="235" t="str">
        <f>IFERROR(__xludf.DUMMYFUNCTION("""COMPUTED_VALUE"""),"chara_mag_00101")</f>
        <v>chara_mag_00101</v>
      </c>
      <c r="C303" s="254" t="str">
        <f>IFERROR(__xludf.DUMMYFUNCTION("""COMPUTED_VALUE"""),"_general_ori4")</f>
        <v>_general_ori4</v>
      </c>
      <c r="D303" s="254" t="str">
        <f>IFERROR(__xludf.DUMMYFUNCTION("""COMPUTED_VALUE"""),"c_mag_00101_general_ori4_Boss_Blue")</f>
        <v>c_mag_00101_general_ori4_Boss_Blue</v>
      </c>
      <c r="E303" s="254" t="str">
        <f>IFERROR(__xludf.DUMMYFUNCTION("""COMPUTED_VALUE"""),"株式会社マジルミエ")</f>
        <v>株式会社マジルミエ</v>
      </c>
      <c r="F303" s="254" t="str">
        <f>IFERROR(__xludf.DUMMYFUNCTION("""COMPUTED_VALUE"""),"越谷 仁美")</f>
        <v>越谷 仁美</v>
      </c>
      <c r="G303" s="254" t="str">
        <f>IFERROR(__xludf.DUMMYFUNCTION("""COMPUTED_VALUE"""),"越谷 仁美_general_ori4")</f>
        <v>越谷 仁美_general_ori4</v>
      </c>
      <c r="H303" s="235" t="str">
        <f>IFERROR(__xludf.DUMMYFUNCTION("""COMPUTED_VALUE"""),"Boss")</f>
        <v>Boss</v>
      </c>
      <c r="I303" s="235" t="str">
        <f>IFERROR(__xludf.DUMMYFUNCTION("""COMPUTED_VALUE"""),"Attack")</f>
        <v>Attack</v>
      </c>
      <c r="J303" s="235" t="str">
        <f>IFERROR(__xludf.DUMMYFUNCTION("""COMPUTED_VALUE"""),"Blue")</f>
        <v>Blue</v>
      </c>
      <c r="K303" s="235">
        <f>IFERROR(__xludf.DUMMYFUNCTION("""COMPUTED_VALUE"""),1200000.0)</f>
        <v>1200000</v>
      </c>
      <c r="L303" s="235">
        <f>IFERROR(__xludf.DUMMYFUNCTION("""COMPUTED_VALUE"""),2.0)</f>
        <v>2</v>
      </c>
      <c r="M303" s="235">
        <f>IFERROR(__xludf.DUMMYFUNCTION("""COMPUTED_VALUE"""),55.0)</f>
        <v>55</v>
      </c>
      <c r="N303" s="235">
        <f>IFERROR(__xludf.DUMMYFUNCTION("""COMPUTED_VALUE"""),0.11)</f>
        <v>0.11</v>
      </c>
      <c r="O303" s="235">
        <f>IFERROR(__xludf.DUMMYFUNCTION("""COMPUTED_VALUE"""),1000.0)</f>
        <v>1000</v>
      </c>
      <c r="P303" s="235">
        <f>IFERROR(__xludf.DUMMYFUNCTION("""COMPUTED_VALUE"""),0.0)</f>
        <v>0</v>
      </c>
      <c r="Q303" s="235">
        <f>IFERROR(__xludf.DUMMYFUNCTION("""COMPUTED_VALUE"""),0.3)</f>
        <v>0.3</v>
      </c>
      <c r="R303" s="235">
        <f>IFERROR(__xludf.DUMMYFUNCTION("""COMPUTED_VALUE"""),1.0)</f>
        <v>1</v>
      </c>
      <c r="S303" s="235">
        <f>IFERROR(__xludf.DUMMYFUNCTION("""COMPUTED_VALUE"""),1.0)</f>
        <v>1</v>
      </c>
      <c r="T303" s="244" t="str">
        <f>IFERROR(__xludf.DUMMYFUNCTION("""COMPUTED_VALUE"""),"1.90")</f>
        <v>1.90</v>
      </c>
      <c r="U303" s="235" t="str">
        <f>IFERROR(__xludf.DUMMYFUNCTION("""COMPUTED_VALUE"""),"0.84")</f>
        <v>0.84</v>
      </c>
      <c r="V303" s="235"/>
      <c r="W303" s="235" t="str">
        <f>IFERROR(__xludf.DUMMYFUNCTION("""COMPUTED_VALUE"""),"2.67")</f>
        <v>2.67</v>
      </c>
      <c r="X303" s="235" t="str">
        <f>IFERROR(__xludf.DUMMYFUNCTION("""COMPUTED_VALUE"""),"1.50")</f>
        <v>1.50</v>
      </c>
      <c r="Y303" s="235" t="str">
        <f>IFERROR(__xludf.DUMMYFUNCTION("""COMPUTED_VALUE"""),"連続攻撃＋小ノックバック＋4.5秒間スタン攻撃＋4秒間自身の被ダメージ45%カット")</f>
        <v>連続攻撃＋小ノックバック＋4.5秒間スタン攻撃＋4秒間自身の被ダメージ45%カット</v>
      </c>
      <c r="Z303" s="235"/>
      <c r="AA303" s="235"/>
      <c r="AB303" s="235"/>
      <c r="AC303" s="235"/>
    </row>
    <row r="304">
      <c r="A304" s="235"/>
      <c r="B304" s="235" t="str">
        <f>IFERROR(__xludf.DUMMYFUNCTION("""COMPUTED_VALUE"""),"chara_sum_00001")</f>
        <v>chara_sum_00001</v>
      </c>
      <c r="C304" s="254" t="str">
        <f>IFERROR(__xludf.DUMMYFUNCTION("""COMPUTED_VALUE"""),"_general_ori4")</f>
        <v>_general_ori4</v>
      </c>
      <c r="D304" s="254" t="str">
        <f>IFERROR(__xludf.DUMMYFUNCTION("""COMPUTED_VALUE"""),"c_sum_00001_general_ori4_Normal_Blue")</f>
        <v>c_sum_00001_general_ori4_Normal_Blue</v>
      </c>
      <c r="E304" s="254" t="str">
        <f>IFERROR(__xludf.DUMMYFUNCTION("""COMPUTED_VALUE"""),"サマータイムレンダ")</f>
        <v>サマータイムレンダ</v>
      </c>
      <c r="F304" s="254" t="str">
        <f>IFERROR(__xludf.DUMMYFUNCTION("""COMPUTED_VALUE"""),"網代 慎平")</f>
        <v>網代 慎平</v>
      </c>
      <c r="G304" s="254" t="str">
        <f>IFERROR(__xludf.DUMMYFUNCTION("""COMPUTED_VALUE"""),"網代 慎平_general_ori4")</f>
        <v>網代 慎平_general_ori4</v>
      </c>
      <c r="H304" s="235" t="str">
        <f>IFERROR(__xludf.DUMMYFUNCTION("""COMPUTED_VALUE"""),"Normal")</f>
        <v>Normal</v>
      </c>
      <c r="I304" s="235" t="str">
        <f>IFERROR(__xludf.DUMMYFUNCTION("""COMPUTED_VALUE"""),"Technical")</f>
        <v>Technical</v>
      </c>
      <c r="J304" s="235" t="str">
        <f>IFERROR(__xludf.DUMMYFUNCTION("""COMPUTED_VALUE"""),"Blue")</f>
        <v>Blue</v>
      </c>
      <c r="K304" s="235">
        <f>IFERROR(__xludf.DUMMYFUNCTION("""COMPUTED_VALUE"""),700000.0)</f>
        <v>700000</v>
      </c>
      <c r="L304" s="235">
        <f>IFERROR(__xludf.DUMMYFUNCTION("""COMPUTED_VALUE"""),2.0)</f>
        <v>2</v>
      </c>
      <c r="M304" s="235">
        <f>IFERROR(__xludf.DUMMYFUNCTION("""COMPUTED_VALUE"""),45.0)</f>
        <v>45</v>
      </c>
      <c r="N304" s="235">
        <f>IFERROR(__xludf.DUMMYFUNCTION("""COMPUTED_VALUE"""),0.4)</f>
        <v>0.4</v>
      </c>
      <c r="O304" s="235">
        <f>IFERROR(__xludf.DUMMYFUNCTION("""COMPUTED_VALUE"""),600.0)</f>
        <v>600</v>
      </c>
      <c r="P304" s="235">
        <f>IFERROR(__xludf.DUMMYFUNCTION("""COMPUTED_VALUE"""),0.0)</f>
        <v>0</v>
      </c>
      <c r="Q304" s="235">
        <f>IFERROR(__xludf.DUMMYFUNCTION("""COMPUTED_VALUE"""),0.6)</f>
        <v>0.6</v>
      </c>
      <c r="R304" s="235">
        <f>IFERROR(__xludf.DUMMYFUNCTION("""COMPUTED_VALUE"""),1.0)</f>
        <v>1</v>
      </c>
      <c r="S304" s="235">
        <f>IFERROR(__xludf.DUMMYFUNCTION("""COMPUTED_VALUE"""),1.0)</f>
        <v>1</v>
      </c>
      <c r="T304" s="244" t="str">
        <f>IFERROR(__xludf.DUMMYFUNCTION("""COMPUTED_VALUE"""),"1.40")</f>
        <v>1.40</v>
      </c>
      <c r="U304" s="235" t="str">
        <f>IFERROR(__xludf.DUMMYFUNCTION("""COMPUTED_VALUE"""),"stop無:1回目 0.65")</f>
        <v>stop無:1回目 0.65</v>
      </c>
      <c r="V304" s="235"/>
      <c r="W304" s="235" t="str">
        <f>IFERROR(__xludf.DUMMYFUNCTION("""COMPUTED_VALUE"""),"2.33")</f>
        <v>2.33</v>
      </c>
      <c r="X304" s="235" t="str">
        <f>IFERROR(__xludf.DUMMYFUNCTION("""COMPUTED_VALUE"""),"stop無:1回目 0.75
stop無:2回目 0.93
stop無:3回目 1.15")</f>
        <v>stop無:1回目 0.75
stop無:2回目 0.93
stop無:3回目 1.15</v>
      </c>
      <c r="Y304" s="235" t="str">
        <f>IFERROR(__xludf.DUMMYFUNCTION("""COMPUTED_VALUE"""),"連続攻撃+10秒間、攻撃15%DOWN")</f>
        <v>連続攻撃+10秒間、攻撃15%DOWN</v>
      </c>
      <c r="Z304" s="235"/>
      <c r="AA304" s="235"/>
      <c r="AB304" s="235"/>
      <c r="AC304" s="235"/>
    </row>
    <row r="305">
      <c r="A305" s="235"/>
      <c r="B305" s="235" t="str">
        <f>IFERROR(__xludf.DUMMYFUNCTION("""COMPUTED_VALUE"""),"chara_kai_00001")</f>
        <v>chara_kai_00001</v>
      </c>
      <c r="C305" s="254" t="str">
        <f>IFERROR(__xludf.DUMMYFUNCTION("""COMPUTED_VALUE"""),"_general_ori4")</f>
        <v>_general_ori4</v>
      </c>
      <c r="D305" s="254" t="str">
        <f>IFERROR(__xludf.DUMMYFUNCTION("""COMPUTED_VALUE"""),"c_kai_00001_general_ori4_Normal_Blue")</f>
        <v>c_kai_00001_general_ori4_Normal_Blue</v>
      </c>
      <c r="E305" s="254" t="str">
        <f>IFERROR(__xludf.DUMMYFUNCTION("""COMPUTED_VALUE"""),"怪獣８号")</f>
        <v>怪獣８号</v>
      </c>
      <c r="F305" s="254" t="str">
        <f>IFERROR(__xludf.DUMMYFUNCTION("""COMPUTED_VALUE"""),"日比野 カフカ")</f>
        <v>日比野 カフカ</v>
      </c>
      <c r="G305" s="254" t="str">
        <f>IFERROR(__xludf.DUMMYFUNCTION("""COMPUTED_VALUE"""),"日比野 カフカ_general_ori4")</f>
        <v>日比野 カフカ_general_ori4</v>
      </c>
      <c r="H305" s="235" t="str">
        <f>IFERROR(__xludf.DUMMYFUNCTION("""COMPUTED_VALUE"""),"Normal")</f>
        <v>Normal</v>
      </c>
      <c r="I305" s="235" t="str">
        <f>IFERROR(__xludf.DUMMYFUNCTION("""COMPUTED_VALUE"""),"Attack")</f>
        <v>Attack</v>
      </c>
      <c r="J305" s="235" t="str">
        <f>IFERROR(__xludf.DUMMYFUNCTION("""COMPUTED_VALUE"""),"Blue")</f>
        <v>Blue</v>
      </c>
      <c r="K305" s="235">
        <f>IFERROR(__xludf.DUMMYFUNCTION("""COMPUTED_VALUE"""),600000.0)</f>
        <v>600000</v>
      </c>
      <c r="L305" s="235">
        <f>IFERROR(__xludf.DUMMYFUNCTION("""COMPUTED_VALUE"""),2.0)</f>
        <v>2</v>
      </c>
      <c r="M305" s="235">
        <f>IFERROR(__xludf.DUMMYFUNCTION("""COMPUTED_VALUE"""),45.0)</f>
        <v>45</v>
      </c>
      <c r="N305" s="235">
        <f>IFERROR(__xludf.DUMMYFUNCTION("""COMPUTED_VALUE"""),0.11)</f>
        <v>0.11</v>
      </c>
      <c r="O305" s="235">
        <f>IFERROR(__xludf.DUMMYFUNCTION("""COMPUTED_VALUE"""),800.0)</f>
        <v>800</v>
      </c>
      <c r="P305" s="235">
        <f>IFERROR(__xludf.DUMMYFUNCTION("""COMPUTED_VALUE"""),0.0)</f>
        <v>0</v>
      </c>
      <c r="Q305" s="235">
        <f>IFERROR(__xludf.DUMMYFUNCTION("""COMPUTED_VALUE"""),0.3)</f>
        <v>0.3</v>
      </c>
      <c r="R305" s="235">
        <f>IFERROR(__xludf.DUMMYFUNCTION("""COMPUTED_VALUE"""),1.0)</f>
        <v>1</v>
      </c>
      <c r="S305" s="235">
        <f>IFERROR(__xludf.DUMMYFUNCTION("""COMPUTED_VALUE"""),1.0)</f>
        <v>1</v>
      </c>
      <c r="T305" s="244" t="str">
        <f>IFERROR(__xludf.DUMMYFUNCTION("""COMPUTED_VALUE"""),"1.83")</f>
        <v>1.83</v>
      </c>
      <c r="U305" s="235" t="str">
        <f>IFERROR(__xludf.DUMMYFUNCTION("""COMPUTED_VALUE"""),"1.00")</f>
        <v>1.00</v>
      </c>
      <c r="V305" s="235"/>
      <c r="W305" s="235" t="str">
        <f>IFERROR(__xludf.DUMMYFUNCTION("""COMPUTED_VALUE"""),"2.33")</f>
        <v>2.33</v>
      </c>
      <c r="X305" s="235" t="str">
        <f>IFERROR(__xludf.DUMMYFUNCTION("""COMPUTED_VALUE"""),"1.33")</f>
        <v>1.33</v>
      </c>
      <c r="Y305" s="235" t="str">
        <f>IFERROR(__xludf.DUMMYFUNCTION("""COMPUTED_VALUE"""),"5秒間、自身の攻撃300%UP")</f>
        <v>5秒間、自身の攻撃300%UP</v>
      </c>
      <c r="Z305" s="235"/>
      <c r="AA305" s="235"/>
      <c r="AB305" s="235"/>
      <c r="AC305" s="235"/>
    </row>
    <row r="306">
      <c r="A306" s="235"/>
      <c r="B306" s="235" t="str">
        <f>IFERROR(__xludf.DUMMYFUNCTION("""COMPUTED_VALUE"""),"enemy_mag_00101")</f>
        <v>enemy_mag_00101</v>
      </c>
      <c r="C306" s="254" t="str">
        <f>IFERROR(__xludf.DUMMYFUNCTION("""COMPUTED_VALUE"""),"_general_ori4")</f>
        <v>_general_ori4</v>
      </c>
      <c r="D306" s="254" t="str">
        <f>IFERROR(__xludf.DUMMYFUNCTION("""COMPUTED_VALUE"""),"e_mag_00101_general_ori4_Normal_Blue")</f>
        <v>e_mag_00101_general_ori4_Normal_Blue</v>
      </c>
      <c r="E306" s="254" t="str">
        <f>IFERROR(__xludf.DUMMYFUNCTION("""COMPUTED_VALUE"""),"株式会社マジルミエ")</f>
        <v>株式会社マジルミエ</v>
      </c>
      <c r="F306" s="254" t="str">
        <f>IFERROR(__xludf.DUMMYFUNCTION("""COMPUTED_VALUE"""),"つらら")</f>
        <v>つらら</v>
      </c>
      <c r="G306" s="254" t="str">
        <f>IFERROR(__xludf.DUMMYFUNCTION("""COMPUTED_VALUE"""),"つらら_general_ori4")</f>
        <v>つらら_general_ori4</v>
      </c>
      <c r="H306" s="235" t="str">
        <f>IFERROR(__xludf.DUMMYFUNCTION("""COMPUTED_VALUE"""),"Normal")</f>
        <v>Normal</v>
      </c>
      <c r="I306" s="235" t="str">
        <f>IFERROR(__xludf.DUMMYFUNCTION("""COMPUTED_VALUE"""),"Technical")</f>
        <v>Technical</v>
      </c>
      <c r="J306" s="235" t="str">
        <f>IFERROR(__xludf.DUMMYFUNCTION("""COMPUTED_VALUE"""),"Blue")</f>
        <v>Blue</v>
      </c>
      <c r="K306" s="235">
        <f>IFERROR(__xludf.DUMMYFUNCTION("""COMPUTED_VALUE"""),700000.0)</f>
        <v>700000</v>
      </c>
      <c r="L306" s="235">
        <f>IFERROR(__xludf.DUMMYFUNCTION("""COMPUTED_VALUE"""),2.0)</f>
        <v>2</v>
      </c>
      <c r="M306" s="235">
        <f>IFERROR(__xludf.DUMMYFUNCTION("""COMPUTED_VALUE"""),80.0)</f>
        <v>80</v>
      </c>
      <c r="N306" s="235">
        <f>IFERROR(__xludf.DUMMYFUNCTION("""COMPUTED_VALUE"""),0.11)</f>
        <v>0.11</v>
      </c>
      <c r="O306" s="235">
        <f>IFERROR(__xludf.DUMMYFUNCTION("""COMPUTED_VALUE"""),1000.0)</f>
        <v>1000</v>
      </c>
      <c r="P306" s="235">
        <f>IFERROR(__xludf.DUMMYFUNCTION("""COMPUTED_VALUE"""),0.0)</f>
        <v>0</v>
      </c>
      <c r="Q306" s="235">
        <f>IFERROR(__xludf.DUMMYFUNCTION("""COMPUTED_VALUE"""),0.3)</f>
        <v>0.3</v>
      </c>
      <c r="R306" s="235">
        <f>IFERROR(__xludf.DUMMYFUNCTION("""COMPUTED_VALUE"""),1.0)</f>
        <v>1</v>
      </c>
      <c r="S306" s="235">
        <f>IFERROR(__xludf.DUMMYFUNCTION("""COMPUTED_VALUE"""),1.0)</f>
        <v>1</v>
      </c>
      <c r="T306" s="244" t="str">
        <f>IFERROR(__xludf.DUMMYFUNCTION("""COMPUTED_VALUE"""),"0.37")</f>
        <v>0.37</v>
      </c>
      <c r="U306" s="235" t="str">
        <f>IFERROR(__xludf.DUMMYFUNCTION("""COMPUTED_VALUE"""),"stop有:1回目 0.20")</f>
        <v>stop有:1回目 0.20</v>
      </c>
      <c r="V306" s="235"/>
      <c r="W306" s="235" t="str">
        <f>IFERROR(__xludf.DUMMYFUNCTION("""COMPUTED_VALUE"""),"-")</f>
        <v>-</v>
      </c>
      <c r="X306" s="235" t="str">
        <f>IFERROR(__xludf.DUMMYFUNCTION("""COMPUTED_VALUE"""),"-")</f>
        <v>-</v>
      </c>
      <c r="Y306" s="235"/>
      <c r="Z306" s="235"/>
      <c r="AA306" s="235"/>
      <c r="AB306" s="235"/>
      <c r="AC306" s="235"/>
    </row>
    <row r="307">
      <c r="A307" s="235"/>
      <c r="B307" s="235" t="str">
        <f>IFERROR(__xludf.DUMMYFUNCTION("""COMPUTED_VALUE"""),"enemy_mag_00101")</f>
        <v>enemy_mag_00101</v>
      </c>
      <c r="C307" s="254" t="str">
        <f>IFERROR(__xludf.DUMMYFUNCTION("""COMPUTED_VALUE"""),"_general_ori4")</f>
        <v>_general_ori4</v>
      </c>
      <c r="D307" s="254" t="str">
        <f>IFERROR(__xludf.DUMMYFUNCTION("""COMPUTED_VALUE"""),"e_mag_00101_general_ori4_Normal_Colorless")</f>
        <v>e_mag_00101_general_ori4_Normal_Colorless</v>
      </c>
      <c r="E307" s="254" t="str">
        <f>IFERROR(__xludf.DUMMYFUNCTION("""COMPUTED_VALUE"""),"株式会社マジルミエ")</f>
        <v>株式会社マジルミエ</v>
      </c>
      <c r="F307" s="254" t="str">
        <f>IFERROR(__xludf.DUMMYFUNCTION("""COMPUTED_VALUE"""),"つらら")</f>
        <v>つらら</v>
      </c>
      <c r="G307" s="254" t="str">
        <f>IFERROR(__xludf.DUMMYFUNCTION("""COMPUTED_VALUE"""),"つらら_general_ori4")</f>
        <v>つらら_general_ori4</v>
      </c>
      <c r="H307" s="235" t="str">
        <f>IFERROR(__xludf.DUMMYFUNCTION("""COMPUTED_VALUE"""),"Normal")</f>
        <v>Normal</v>
      </c>
      <c r="I307" s="235" t="str">
        <f>IFERROR(__xludf.DUMMYFUNCTION("""COMPUTED_VALUE"""),"Technical")</f>
        <v>Technical</v>
      </c>
      <c r="J307" s="235" t="str">
        <f>IFERROR(__xludf.DUMMYFUNCTION("""COMPUTED_VALUE"""),"Colorless")</f>
        <v>Colorless</v>
      </c>
      <c r="K307" s="235">
        <f>IFERROR(__xludf.DUMMYFUNCTION("""COMPUTED_VALUE"""),700000.0)</f>
        <v>700000</v>
      </c>
      <c r="L307" s="235">
        <f>IFERROR(__xludf.DUMMYFUNCTION("""COMPUTED_VALUE"""),2.0)</f>
        <v>2</v>
      </c>
      <c r="M307" s="235">
        <f>IFERROR(__xludf.DUMMYFUNCTION("""COMPUTED_VALUE"""),80.0)</f>
        <v>80</v>
      </c>
      <c r="N307" s="235">
        <f>IFERROR(__xludf.DUMMYFUNCTION("""COMPUTED_VALUE"""),0.11)</f>
        <v>0.11</v>
      </c>
      <c r="O307" s="235">
        <f>IFERROR(__xludf.DUMMYFUNCTION("""COMPUTED_VALUE"""),1000.0)</f>
        <v>1000</v>
      </c>
      <c r="P307" s="235">
        <f>IFERROR(__xludf.DUMMYFUNCTION("""COMPUTED_VALUE"""),0.0)</f>
        <v>0</v>
      </c>
      <c r="Q307" s="235">
        <f>IFERROR(__xludf.DUMMYFUNCTION("""COMPUTED_VALUE"""),0.3)</f>
        <v>0.3</v>
      </c>
      <c r="R307" s="235">
        <f>IFERROR(__xludf.DUMMYFUNCTION("""COMPUTED_VALUE"""),1.0)</f>
        <v>1</v>
      </c>
      <c r="S307" s="235">
        <f>IFERROR(__xludf.DUMMYFUNCTION("""COMPUTED_VALUE"""),1.0)</f>
        <v>1</v>
      </c>
      <c r="T307" s="244" t="str">
        <f>IFERROR(__xludf.DUMMYFUNCTION("""COMPUTED_VALUE"""),"0.37")</f>
        <v>0.37</v>
      </c>
      <c r="U307" s="235" t="str">
        <f>IFERROR(__xludf.DUMMYFUNCTION("""COMPUTED_VALUE"""),"stop有:1回目 0.20")</f>
        <v>stop有:1回目 0.20</v>
      </c>
      <c r="V307" s="235"/>
      <c r="W307" s="235" t="str">
        <f>IFERROR(__xludf.DUMMYFUNCTION("""COMPUTED_VALUE"""),"-")</f>
        <v>-</v>
      </c>
      <c r="X307" s="235" t="str">
        <f>IFERROR(__xludf.DUMMYFUNCTION("""COMPUTED_VALUE"""),"-")</f>
        <v>-</v>
      </c>
      <c r="Y307" s="235"/>
      <c r="Z307" s="235"/>
      <c r="AA307" s="235"/>
      <c r="AB307" s="235"/>
      <c r="AC307" s="235"/>
    </row>
    <row r="308">
      <c r="A308" s="235"/>
      <c r="B308" s="235"/>
      <c r="C308" s="254"/>
      <c r="D308" s="254" t="str">
        <f>IFERROR(__xludf.DUMMYFUNCTION("""COMPUTED_VALUE"""),"___")</f>
        <v>___</v>
      </c>
      <c r="E308" s="254" t="str">
        <f>IFERROR(__xludf.DUMMYFUNCTION("""COMPUTED_VALUE"""),"none")</f>
        <v>none</v>
      </c>
      <c r="F308" s="254" t="str">
        <f>IFERROR(__xludf.DUMMYFUNCTION("""COMPUTED_VALUE"""),"none")</f>
        <v>none</v>
      </c>
      <c r="G308" s="254" t="str">
        <f>IFERROR(__xludf.DUMMYFUNCTION("""COMPUTED_VALUE"""),"none")</f>
        <v>none</v>
      </c>
      <c r="H308" s="235"/>
      <c r="I308" s="235" t="str">
        <f>IFERROR(__xludf.DUMMYFUNCTION("""COMPUTED_VALUE"""),"none")</f>
        <v>none</v>
      </c>
      <c r="J308" s="235"/>
      <c r="K308" s="235"/>
      <c r="L308" s="235"/>
      <c r="M308" s="235"/>
      <c r="N308" s="235"/>
      <c r="O308" s="235"/>
      <c r="P308" s="235"/>
      <c r="Q308" s="235"/>
      <c r="R308" s="235"/>
      <c r="S308" s="235"/>
      <c r="T308" s="244" t="str">
        <f>IFERROR(__xludf.DUMMYFUNCTION("""COMPUTED_VALUE"""),"none")</f>
        <v>none</v>
      </c>
      <c r="U308" s="235" t="str">
        <f>IFERROR(__xludf.DUMMYFUNCTION("""COMPUTED_VALUE"""),"none")</f>
        <v>none</v>
      </c>
      <c r="V308" s="235"/>
      <c r="W308" s="235" t="str">
        <f>IFERROR(__xludf.DUMMYFUNCTION("""COMPUTED_VALUE"""),"none")</f>
        <v>none</v>
      </c>
      <c r="X308" s="235" t="str">
        <f>IFERROR(__xludf.DUMMYFUNCTION("""COMPUTED_VALUE"""),"none")</f>
        <v>none</v>
      </c>
      <c r="Y308" s="235"/>
      <c r="Z308" s="235"/>
      <c r="AA308" s="235"/>
      <c r="AB308" s="235"/>
      <c r="AC308" s="235"/>
    </row>
    <row r="309">
      <c r="A309" s="235"/>
      <c r="B309" s="235" t="str">
        <f>IFERROR(__xludf.DUMMYFUNCTION("""COMPUTED_VALUE"""),"enemy_spy_00101")</f>
        <v>enemy_spy_00101</v>
      </c>
      <c r="C309" s="254" t="str">
        <f>IFERROR(__xludf.DUMMYFUNCTION("""COMPUTED_VALUE"""),"_general_n")</f>
        <v>_general_n</v>
      </c>
      <c r="D309" s="254" t="str">
        <f>IFERROR(__xludf.DUMMYFUNCTION("""COMPUTED_VALUE"""),"e_spy_00101_general_n_Normal_Colorless")</f>
        <v>e_spy_00101_general_n_Normal_Colorless</v>
      </c>
      <c r="E309" s="254" t="str">
        <f>IFERROR(__xludf.DUMMYFUNCTION("""COMPUTED_VALUE"""),"SPY×FAMILY")</f>
        <v>SPY×FAMILY</v>
      </c>
      <c r="F309" s="254" t="str">
        <f>IFERROR(__xludf.DUMMYFUNCTION("""COMPUTED_VALUE"""),"グエン")</f>
        <v>グエン</v>
      </c>
      <c r="G309" s="254" t="str">
        <f>IFERROR(__xludf.DUMMYFUNCTION("""COMPUTED_VALUE"""),"グエン_general_n")</f>
        <v>グエン_general_n</v>
      </c>
      <c r="H309" s="235" t="str">
        <f>IFERROR(__xludf.DUMMYFUNCTION("""COMPUTED_VALUE"""),"Normal")</f>
        <v>Normal</v>
      </c>
      <c r="I309" s="235" t="str">
        <f>IFERROR(__xludf.DUMMYFUNCTION("""COMPUTED_VALUE"""),"Attack")</f>
        <v>Attack</v>
      </c>
      <c r="J309" s="235" t="str">
        <f>IFERROR(__xludf.DUMMYFUNCTION("""COMPUTED_VALUE"""),"Colorless")</f>
        <v>Colorless</v>
      </c>
      <c r="K309" s="235">
        <f>IFERROR(__xludf.DUMMYFUNCTION("""COMPUTED_VALUE"""),1000.0)</f>
        <v>1000</v>
      </c>
      <c r="L309" s="235">
        <f>IFERROR(__xludf.DUMMYFUNCTION("""COMPUTED_VALUE"""),0.0)</f>
        <v>0</v>
      </c>
      <c r="M309" s="235">
        <f>IFERROR(__xludf.DUMMYFUNCTION("""COMPUTED_VALUE"""),31.0)</f>
        <v>31</v>
      </c>
      <c r="N309" s="235">
        <f>IFERROR(__xludf.DUMMYFUNCTION("""COMPUTED_VALUE"""),0.2)</f>
        <v>0.2</v>
      </c>
      <c r="O309" s="235">
        <f>IFERROR(__xludf.DUMMYFUNCTION("""COMPUTED_VALUE"""),50.0)</f>
        <v>50</v>
      </c>
      <c r="P309" s="235">
        <f>IFERROR(__xludf.DUMMYFUNCTION("""COMPUTED_VALUE"""),0.0)</f>
        <v>0</v>
      </c>
      <c r="Q309" s="235">
        <f>IFERROR(__xludf.DUMMYFUNCTION("""COMPUTED_VALUE"""),0.21)</f>
        <v>0.21</v>
      </c>
      <c r="R309" s="235">
        <f>IFERROR(__xludf.DUMMYFUNCTION("""COMPUTED_VALUE"""),1.0)</f>
        <v>1</v>
      </c>
      <c r="S309" s="235">
        <f>IFERROR(__xludf.DUMMYFUNCTION("""COMPUTED_VALUE"""),200.0)</f>
        <v>200</v>
      </c>
      <c r="T309" s="244" t="str">
        <f>IFERROR(__xludf.DUMMYFUNCTION("""COMPUTED_VALUE"""),"1.20")</f>
        <v>1.20</v>
      </c>
      <c r="U309" s="235" t="str">
        <f>IFERROR(__xludf.DUMMYFUNCTION("""COMPUTED_VALUE"""),"0.50")</f>
        <v>0.50</v>
      </c>
      <c r="V309" s="235">
        <f>IFERROR(__xludf.DUMMYFUNCTION("""COMPUTED_VALUE"""),50.0)</f>
        <v>50</v>
      </c>
      <c r="W309" s="235" t="str">
        <f>IFERROR(__xludf.DUMMYFUNCTION("""COMPUTED_VALUE"""),"-")</f>
        <v>-</v>
      </c>
      <c r="X309" s="235" t="str">
        <f>IFERROR(__xludf.DUMMYFUNCTION("""COMPUTED_VALUE"""),"-")</f>
        <v>-</v>
      </c>
      <c r="Y309" s="235"/>
      <c r="Z309" s="235" t="str">
        <f>IFERROR(__xludf.DUMMYFUNCTION("""COMPUTED_VALUE"""),"-")</f>
        <v>-</v>
      </c>
      <c r="AA309" s="235"/>
      <c r="AB309" s="235" t="str">
        <f>IFERROR(__xludf.DUMMYFUNCTION("""COMPUTED_VALUE"""),"dageki_1")</f>
        <v>dageki_1</v>
      </c>
      <c r="AC309" s="235"/>
    </row>
    <row r="310">
      <c r="A310" s="235"/>
      <c r="B310" s="235" t="str">
        <f>IFERROR(__xludf.DUMMYFUNCTION("""COMPUTED_VALUE"""),"enemy_spy_00101")</f>
        <v>enemy_spy_00101</v>
      </c>
      <c r="C310" s="254" t="str">
        <f>IFERROR(__xludf.DUMMYFUNCTION("""COMPUTED_VALUE"""),"_general_vh")</f>
        <v>_general_vh</v>
      </c>
      <c r="D310" s="254" t="str">
        <f>IFERROR(__xludf.DUMMYFUNCTION("""COMPUTED_VALUE"""),"e_spy_00101_general_vh_Normal_Green")</f>
        <v>e_spy_00101_general_vh_Normal_Green</v>
      </c>
      <c r="E310" s="254" t="str">
        <f>IFERROR(__xludf.DUMMYFUNCTION("""COMPUTED_VALUE"""),"SPY×FAMILY")</f>
        <v>SPY×FAMILY</v>
      </c>
      <c r="F310" s="254" t="str">
        <f>IFERROR(__xludf.DUMMYFUNCTION("""COMPUTED_VALUE"""),"グエン")</f>
        <v>グエン</v>
      </c>
      <c r="G310" s="254" t="str">
        <f>IFERROR(__xludf.DUMMYFUNCTION("""COMPUTED_VALUE"""),"グエン_general_vh")</f>
        <v>グエン_general_vh</v>
      </c>
      <c r="H310" s="235" t="str">
        <f>IFERROR(__xludf.DUMMYFUNCTION("""COMPUTED_VALUE"""),"Normal")</f>
        <v>Normal</v>
      </c>
      <c r="I310" s="235" t="str">
        <f>IFERROR(__xludf.DUMMYFUNCTION("""COMPUTED_VALUE"""),"Attack")</f>
        <v>Attack</v>
      </c>
      <c r="J310" s="235" t="str">
        <f>IFERROR(__xludf.DUMMYFUNCTION("""COMPUTED_VALUE"""),"Green")</f>
        <v>Green</v>
      </c>
      <c r="K310" s="235">
        <f>IFERROR(__xludf.DUMMYFUNCTION("""COMPUTED_VALUE"""),1000.0)</f>
        <v>1000</v>
      </c>
      <c r="L310" s="235">
        <f>IFERROR(__xludf.DUMMYFUNCTION("""COMPUTED_VALUE"""),0.0)</f>
        <v>0</v>
      </c>
      <c r="M310" s="235">
        <f>IFERROR(__xludf.DUMMYFUNCTION("""COMPUTED_VALUE"""),31.0)</f>
        <v>31</v>
      </c>
      <c r="N310" s="235">
        <f>IFERROR(__xludf.DUMMYFUNCTION("""COMPUTED_VALUE"""),0.2)</f>
        <v>0.2</v>
      </c>
      <c r="O310" s="235">
        <f>IFERROR(__xludf.DUMMYFUNCTION("""COMPUTED_VALUE"""),100.0)</f>
        <v>100</v>
      </c>
      <c r="P310" s="235">
        <f>IFERROR(__xludf.DUMMYFUNCTION("""COMPUTED_VALUE"""),0.0)</f>
        <v>0</v>
      </c>
      <c r="Q310" s="235">
        <f>IFERROR(__xludf.DUMMYFUNCTION("""COMPUTED_VALUE"""),0.21)</f>
        <v>0.21</v>
      </c>
      <c r="R310" s="235">
        <f>IFERROR(__xludf.DUMMYFUNCTION("""COMPUTED_VALUE"""),1.0)</f>
        <v>1</v>
      </c>
      <c r="S310" s="235">
        <f>IFERROR(__xludf.DUMMYFUNCTION("""COMPUTED_VALUE"""),200.0)</f>
        <v>200</v>
      </c>
      <c r="T310" s="244" t="str">
        <f>IFERROR(__xludf.DUMMYFUNCTION("""COMPUTED_VALUE"""),"1.20")</f>
        <v>1.20</v>
      </c>
      <c r="U310" s="235" t="str">
        <f>IFERROR(__xludf.DUMMYFUNCTION("""COMPUTED_VALUE"""),"0.50")</f>
        <v>0.50</v>
      </c>
      <c r="V310" s="235">
        <f>IFERROR(__xludf.DUMMYFUNCTION("""COMPUTED_VALUE"""),50.0)</f>
        <v>50</v>
      </c>
      <c r="W310" s="235" t="str">
        <f>IFERROR(__xludf.DUMMYFUNCTION("""COMPUTED_VALUE"""),"-")</f>
        <v>-</v>
      </c>
      <c r="X310" s="235" t="str">
        <f>IFERROR(__xludf.DUMMYFUNCTION("""COMPUTED_VALUE"""),"-")</f>
        <v>-</v>
      </c>
      <c r="Y310" s="235"/>
      <c r="Z310" s="235" t="str">
        <f>IFERROR(__xludf.DUMMYFUNCTION("""COMPUTED_VALUE"""),"-")</f>
        <v>-</v>
      </c>
      <c r="AA310" s="235"/>
      <c r="AB310" s="235" t="str">
        <f>IFERROR(__xludf.DUMMYFUNCTION("""COMPUTED_VALUE"""),"dageki_1")</f>
        <v>dageki_1</v>
      </c>
      <c r="AC310" s="235"/>
    </row>
    <row r="311">
      <c r="A311" s="235"/>
      <c r="B311" s="235" t="str">
        <f>IFERROR(__xludf.DUMMYFUNCTION("""COMPUTED_VALUE"""),"enemy_spy_00101")</f>
        <v>enemy_spy_00101</v>
      </c>
      <c r="C311" s="254" t="str">
        <f>IFERROR(__xludf.DUMMYFUNCTION("""COMPUTED_VALUE"""),"_general_vh")</f>
        <v>_general_vh</v>
      </c>
      <c r="D311" s="254" t="str">
        <f>IFERROR(__xludf.DUMMYFUNCTION("""COMPUTED_VALUE"""),"e_spy_00101_general_vh_Normal_Blue")</f>
        <v>e_spy_00101_general_vh_Normal_Blue</v>
      </c>
      <c r="E311" s="254" t="str">
        <f>IFERROR(__xludf.DUMMYFUNCTION("""COMPUTED_VALUE"""),"SPY×FAMILY")</f>
        <v>SPY×FAMILY</v>
      </c>
      <c r="F311" s="254" t="str">
        <f>IFERROR(__xludf.DUMMYFUNCTION("""COMPUTED_VALUE"""),"グエン")</f>
        <v>グエン</v>
      </c>
      <c r="G311" s="254" t="str">
        <f>IFERROR(__xludf.DUMMYFUNCTION("""COMPUTED_VALUE"""),"グエン_general_vh")</f>
        <v>グエン_general_vh</v>
      </c>
      <c r="H311" s="235" t="str">
        <f>IFERROR(__xludf.DUMMYFUNCTION("""COMPUTED_VALUE"""),"Normal")</f>
        <v>Normal</v>
      </c>
      <c r="I311" s="235" t="str">
        <f>IFERROR(__xludf.DUMMYFUNCTION("""COMPUTED_VALUE"""),"Attack")</f>
        <v>Attack</v>
      </c>
      <c r="J311" s="235" t="str">
        <f>IFERROR(__xludf.DUMMYFUNCTION("""COMPUTED_VALUE"""),"Blue")</f>
        <v>Blue</v>
      </c>
      <c r="K311" s="235">
        <f>IFERROR(__xludf.DUMMYFUNCTION("""COMPUTED_VALUE"""),1000.0)</f>
        <v>1000</v>
      </c>
      <c r="L311" s="235">
        <f>IFERROR(__xludf.DUMMYFUNCTION("""COMPUTED_VALUE"""),0.0)</f>
        <v>0</v>
      </c>
      <c r="M311" s="235">
        <f>IFERROR(__xludf.DUMMYFUNCTION("""COMPUTED_VALUE"""),31.0)</f>
        <v>31</v>
      </c>
      <c r="N311" s="235">
        <f>IFERROR(__xludf.DUMMYFUNCTION("""COMPUTED_VALUE"""),0.2)</f>
        <v>0.2</v>
      </c>
      <c r="O311" s="235">
        <f>IFERROR(__xludf.DUMMYFUNCTION("""COMPUTED_VALUE"""),100.0)</f>
        <v>100</v>
      </c>
      <c r="P311" s="235">
        <f>IFERROR(__xludf.DUMMYFUNCTION("""COMPUTED_VALUE"""),0.0)</f>
        <v>0</v>
      </c>
      <c r="Q311" s="235">
        <f>IFERROR(__xludf.DUMMYFUNCTION("""COMPUTED_VALUE"""),0.21)</f>
        <v>0.21</v>
      </c>
      <c r="R311" s="235">
        <f>IFERROR(__xludf.DUMMYFUNCTION("""COMPUTED_VALUE"""),1.0)</f>
        <v>1</v>
      </c>
      <c r="S311" s="235">
        <f>IFERROR(__xludf.DUMMYFUNCTION("""COMPUTED_VALUE"""),200.0)</f>
        <v>200</v>
      </c>
      <c r="T311" s="244" t="str">
        <f>IFERROR(__xludf.DUMMYFUNCTION("""COMPUTED_VALUE"""),"1.20")</f>
        <v>1.20</v>
      </c>
      <c r="U311" s="235" t="str">
        <f>IFERROR(__xludf.DUMMYFUNCTION("""COMPUTED_VALUE"""),"0.50")</f>
        <v>0.50</v>
      </c>
      <c r="V311" s="235">
        <f>IFERROR(__xludf.DUMMYFUNCTION("""COMPUTED_VALUE"""),50.0)</f>
        <v>50</v>
      </c>
      <c r="W311" s="235" t="str">
        <f>IFERROR(__xludf.DUMMYFUNCTION("""COMPUTED_VALUE"""),"-")</f>
        <v>-</v>
      </c>
      <c r="X311" s="235" t="str">
        <f>IFERROR(__xludf.DUMMYFUNCTION("""COMPUTED_VALUE"""),"-")</f>
        <v>-</v>
      </c>
      <c r="Y311" s="235"/>
      <c r="Z311" s="235" t="str">
        <f>IFERROR(__xludf.DUMMYFUNCTION("""COMPUTED_VALUE"""),"-")</f>
        <v>-</v>
      </c>
      <c r="AA311" s="235"/>
      <c r="AB311" s="235" t="str">
        <f>IFERROR(__xludf.DUMMYFUNCTION("""COMPUTED_VALUE"""),"dageki_1")</f>
        <v>dageki_1</v>
      </c>
      <c r="AC311" s="235"/>
    </row>
    <row r="312">
      <c r="A312" s="235"/>
      <c r="B312" s="235" t="str">
        <f>IFERROR(__xludf.DUMMYFUNCTION("""COMPUTED_VALUE"""),"enemy_spy_00101")</f>
        <v>enemy_spy_00101</v>
      </c>
      <c r="C312" s="254" t="str">
        <f>IFERROR(__xludf.DUMMYFUNCTION("""COMPUTED_VALUE"""),"_general_n")</f>
        <v>_general_n</v>
      </c>
      <c r="D312" s="254" t="str">
        <f>IFERROR(__xludf.DUMMYFUNCTION("""COMPUTED_VALUE"""),"e_spy_00101_general_n_Boss_Colorless")</f>
        <v>e_spy_00101_general_n_Boss_Colorless</v>
      </c>
      <c r="E312" s="254" t="str">
        <f>IFERROR(__xludf.DUMMYFUNCTION("""COMPUTED_VALUE"""),"SPY×FAMILY")</f>
        <v>SPY×FAMILY</v>
      </c>
      <c r="F312" s="254" t="str">
        <f>IFERROR(__xludf.DUMMYFUNCTION("""COMPUTED_VALUE"""),"グエン")</f>
        <v>グエン</v>
      </c>
      <c r="G312" s="254" t="str">
        <f>IFERROR(__xludf.DUMMYFUNCTION("""COMPUTED_VALUE"""),"グエン_general_n")</f>
        <v>グエン_general_n</v>
      </c>
      <c r="H312" s="235" t="str">
        <f>IFERROR(__xludf.DUMMYFUNCTION("""COMPUTED_VALUE"""),"Boss")</f>
        <v>Boss</v>
      </c>
      <c r="I312" s="235" t="str">
        <f>IFERROR(__xludf.DUMMYFUNCTION("""COMPUTED_VALUE"""),"Attack")</f>
        <v>Attack</v>
      </c>
      <c r="J312" s="235" t="str">
        <f>IFERROR(__xludf.DUMMYFUNCTION("""COMPUTED_VALUE"""),"Colorless")</f>
        <v>Colorless</v>
      </c>
      <c r="K312" s="235">
        <f>IFERROR(__xludf.DUMMYFUNCTION("""COMPUTED_VALUE"""),10000.0)</f>
        <v>10000</v>
      </c>
      <c r="L312" s="235">
        <f>IFERROR(__xludf.DUMMYFUNCTION("""COMPUTED_VALUE"""),2.0)</f>
        <v>2</v>
      </c>
      <c r="M312" s="235">
        <f>IFERROR(__xludf.DUMMYFUNCTION("""COMPUTED_VALUE"""),31.0)</f>
        <v>31</v>
      </c>
      <c r="N312" s="235">
        <f>IFERROR(__xludf.DUMMYFUNCTION("""COMPUTED_VALUE"""),0.2)</f>
        <v>0.2</v>
      </c>
      <c r="O312" s="235">
        <f>IFERROR(__xludf.DUMMYFUNCTION("""COMPUTED_VALUE"""),50.0)</f>
        <v>50</v>
      </c>
      <c r="P312" s="235">
        <f>IFERROR(__xludf.DUMMYFUNCTION("""COMPUTED_VALUE"""),0.0)</f>
        <v>0</v>
      </c>
      <c r="Q312" s="235">
        <f>IFERROR(__xludf.DUMMYFUNCTION("""COMPUTED_VALUE"""),0.21)</f>
        <v>0.21</v>
      </c>
      <c r="R312" s="235">
        <f>IFERROR(__xludf.DUMMYFUNCTION("""COMPUTED_VALUE"""),1.0)</f>
        <v>1</v>
      </c>
      <c r="S312" s="235">
        <f>IFERROR(__xludf.DUMMYFUNCTION("""COMPUTED_VALUE"""),500.0)</f>
        <v>500</v>
      </c>
      <c r="T312" s="244" t="str">
        <f>IFERROR(__xludf.DUMMYFUNCTION("""COMPUTED_VALUE"""),"1.20")</f>
        <v>1.20</v>
      </c>
      <c r="U312" s="235" t="str">
        <f>IFERROR(__xludf.DUMMYFUNCTION("""COMPUTED_VALUE"""),"0.50")</f>
        <v>0.50</v>
      </c>
      <c r="V312" s="235">
        <f>IFERROR(__xludf.DUMMYFUNCTION("""COMPUTED_VALUE"""),50.0)</f>
        <v>50</v>
      </c>
      <c r="W312" s="235" t="str">
        <f>IFERROR(__xludf.DUMMYFUNCTION("""COMPUTED_VALUE"""),"-")</f>
        <v>-</v>
      </c>
      <c r="X312" s="235" t="str">
        <f>IFERROR(__xludf.DUMMYFUNCTION("""COMPUTED_VALUE"""),"-")</f>
        <v>-</v>
      </c>
      <c r="Y312" s="235"/>
      <c r="Z312" s="235" t="str">
        <f>IFERROR(__xludf.DUMMYFUNCTION("""COMPUTED_VALUE"""),"-")</f>
        <v>-</v>
      </c>
      <c r="AA312" s="235"/>
      <c r="AB312" s="235" t="str">
        <f>IFERROR(__xludf.DUMMYFUNCTION("""COMPUTED_VALUE"""),"dageki_1")</f>
        <v>dageki_1</v>
      </c>
      <c r="AC312" s="235"/>
    </row>
    <row r="313">
      <c r="A313" s="235"/>
      <c r="B313" s="235" t="str">
        <f>IFERROR(__xludf.DUMMYFUNCTION("""COMPUTED_VALUE"""),"enemy_spy_00101")</f>
        <v>enemy_spy_00101</v>
      </c>
      <c r="C313" s="254" t="str">
        <f>IFERROR(__xludf.DUMMYFUNCTION("""COMPUTED_VALUE"""),"_general_n")</f>
        <v>_general_n</v>
      </c>
      <c r="D313" s="254" t="str">
        <f>IFERROR(__xludf.DUMMYFUNCTION("""COMPUTED_VALUE"""),"e_spy_00101_general_n_Boss_Red")</f>
        <v>e_spy_00101_general_n_Boss_Red</v>
      </c>
      <c r="E313" s="254" t="str">
        <f>IFERROR(__xludf.DUMMYFUNCTION("""COMPUTED_VALUE"""),"SPY×FAMILY")</f>
        <v>SPY×FAMILY</v>
      </c>
      <c r="F313" s="254" t="str">
        <f>IFERROR(__xludf.DUMMYFUNCTION("""COMPUTED_VALUE"""),"グエン")</f>
        <v>グエン</v>
      </c>
      <c r="G313" s="254" t="str">
        <f>IFERROR(__xludf.DUMMYFUNCTION("""COMPUTED_VALUE"""),"グエン_general_n")</f>
        <v>グエン_general_n</v>
      </c>
      <c r="H313" s="235" t="str">
        <f>IFERROR(__xludf.DUMMYFUNCTION("""COMPUTED_VALUE"""),"Boss")</f>
        <v>Boss</v>
      </c>
      <c r="I313" s="235" t="str">
        <f>IFERROR(__xludf.DUMMYFUNCTION("""COMPUTED_VALUE"""),"Attack")</f>
        <v>Attack</v>
      </c>
      <c r="J313" s="235" t="str">
        <f>IFERROR(__xludf.DUMMYFUNCTION("""COMPUTED_VALUE"""),"Red")</f>
        <v>Red</v>
      </c>
      <c r="K313" s="235">
        <f>IFERROR(__xludf.DUMMYFUNCTION("""COMPUTED_VALUE"""),10000.0)</f>
        <v>10000</v>
      </c>
      <c r="L313" s="235">
        <f>IFERROR(__xludf.DUMMYFUNCTION("""COMPUTED_VALUE"""),2.0)</f>
        <v>2</v>
      </c>
      <c r="M313" s="235">
        <f>IFERROR(__xludf.DUMMYFUNCTION("""COMPUTED_VALUE"""),31.0)</f>
        <v>31</v>
      </c>
      <c r="N313" s="235">
        <f>IFERROR(__xludf.DUMMYFUNCTION("""COMPUTED_VALUE"""),0.2)</f>
        <v>0.2</v>
      </c>
      <c r="O313" s="235">
        <f>IFERROR(__xludf.DUMMYFUNCTION("""COMPUTED_VALUE"""),50.0)</f>
        <v>50</v>
      </c>
      <c r="P313" s="235">
        <f>IFERROR(__xludf.DUMMYFUNCTION("""COMPUTED_VALUE"""),0.0)</f>
        <v>0</v>
      </c>
      <c r="Q313" s="235">
        <f>IFERROR(__xludf.DUMMYFUNCTION("""COMPUTED_VALUE"""),0.21)</f>
        <v>0.21</v>
      </c>
      <c r="R313" s="235">
        <f>IFERROR(__xludf.DUMMYFUNCTION("""COMPUTED_VALUE"""),1.0)</f>
        <v>1</v>
      </c>
      <c r="S313" s="235">
        <f>IFERROR(__xludf.DUMMYFUNCTION("""COMPUTED_VALUE"""),500.0)</f>
        <v>500</v>
      </c>
      <c r="T313" s="244" t="str">
        <f>IFERROR(__xludf.DUMMYFUNCTION("""COMPUTED_VALUE"""),"1.20")</f>
        <v>1.20</v>
      </c>
      <c r="U313" s="235" t="str">
        <f>IFERROR(__xludf.DUMMYFUNCTION("""COMPUTED_VALUE"""),"0.50")</f>
        <v>0.50</v>
      </c>
      <c r="V313" s="235">
        <f>IFERROR(__xludf.DUMMYFUNCTION("""COMPUTED_VALUE"""),50.0)</f>
        <v>50</v>
      </c>
      <c r="W313" s="235" t="str">
        <f>IFERROR(__xludf.DUMMYFUNCTION("""COMPUTED_VALUE"""),"-")</f>
        <v>-</v>
      </c>
      <c r="X313" s="235" t="str">
        <f>IFERROR(__xludf.DUMMYFUNCTION("""COMPUTED_VALUE"""),"-")</f>
        <v>-</v>
      </c>
      <c r="Y313" s="235"/>
      <c r="Z313" s="235" t="str">
        <f>IFERROR(__xludf.DUMMYFUNCTION("""COMPUTED_VALUE"""),"-")</f>
        <v>-</v>
      </c>
      <c r="AA313" s="235"/>
      <c r="AB313" s="235" t="str">
        <f>IFERROR(__xludf.DUMMYFUNCTION("""COMPUTED_VALUE"""),"dageki_1")</f>
        <v>dageki_1</v>
      </c>
      <c r="AC313" s="235"/>
    </row>
    <row r="314">
      <c r="A314" s="235"/>
      <c r="B314" s="235" t="str">
        <f>IFERROR(__xludf.DUMMYFUNCTION("""COMPUTED_VALUE"""),"enemy_spy_00101")</f>
        <v>enemy_spy_00101</v>
      </c>
      <c r="C314" s="254" t="str">
        <f>IFERROR(__xludf.DUMMYFUNCTION("""COMPUTED_VALUE"""),"_general_n")</f>
        <v>_general_n</v>
      </c>
      <c r="D314" s="254" t="str">
        <f>IFERROR(__xludf.DUMMYFUNCTION("""COMPUTED_VALUE"""),"e_spy_00101_general_n_Boss_Blue")</f>
        <v>e_spy_00101_general_n_Boss_Blue</v>
      </c>
      <c r="E314" s="254" t="str">
        <f>IFERROR(__xludf.DUMMYFUNCTION("""COMPUTED_VALUE"""),"SPY×FAMILY")</f>
        <v>SPY×FAMILY</v>
      </c>
      <c r="F314" s="254" t="str">
        <f>IFERROR(__xludf.DUMMYFUNCTION("""COMPUTED_VALUE"""),"グエン")</f>
        <v>グエン</v>
      </c>
      <c r="G314" s="254" t="str">
        <f>IFERROR(__xludf.DUMMYFUNCTION("""COMPUTED_VALUE"""),"グエン_general_n")</f>
        <v>グエン_general_n</v>
      </c>
      <c r="H314" s="235" t="str">
        <f>IFERROR(__xludf.DUMMYFUNCTION("""COMPUTED_VALUE"""),"Boss")</f>
        <v>Boss</v>
      </c>
      <c r="I314" s="235" t="str">
        <f>IFERROR(__xludf.DUMMYFUNCTION("""COMPUTED_VALUE"""),"Attack")</f>
        <v>Attack</v>
      </c>
      <c r="J314" s="235" t="str">
        <f>IFERROR(__xludf.DUMMYFUNCTION("""COMPUTED_VALUE"""),"Blue")</f>
        <v>Blue</v>
      </c>
      <c r="K314" s="235">
        <f>IFERROR(__xludf.DUMMYFUNCTION("""COMPUTED_VALUE"""),10000.0)</f>
        <v>10000</v>
      </c>
      <c r="L314" s="235">
        <f>IFERROR(__xludf.DUMMYFUNCTION("""COMPUTED_VALUE"""),2.0)</f>
        <v>2</v>
      </c>
      <c r="M314" s="235">
        <f>IFERROR(__xludf.DUMMYFUNCTION("""COMPUTED_VALUE"""),31.0)</f>
        <v>31</v>
      </c>
      <c r="N314" s="235">
        <f>IFERROR(__xludf.DUMMYFUNCTION("""COMPUTED_VALUE"""),0.2)</f>
        <v>0.2</v>
      </c>
      <c r="O314" s="235">
        <f>IFERROR(__xludf.DUMMYFUNCTION("""COMPUTED_VALUE"""),50.0)</f>
        <v>50</v>
      </c>
      <c r="P314" s="235">
        <f>IFERROR(__xludf.DUMMYFUNCTION("""COMPUTED_VALUE"""),0.0)</f>
        <v>0</v>
      </c>
      <c r="Q314" s="235">
        <f>IFERROR(__xludf.DUMMYFUNCTION("""COMPUTED_VALUE"""),0.21)</f>
        <v>0.21</v>
      </c>
      <c r="R314" s="235">
        <f>IFERROR(__xludf.DUMMYFUNCTION("""COMPUTED_VALUE"""),1.0)</f>
        <v>1</v>
      </c>
      <c r="S314" s="235">
        <f>IFERROR(__xludf.DUMMYFUNCTION("""COMPUTED_VALUE"""),500.0)</f>
        <v>500</v>
      </c>
      <c r="T314" s="244" t="str">
        <f>IFERROR(__xludf.DUMMYFUNCTION("""COMPUTED_VALUE"""),"1.20")</f>
        <v>1.20</v>
      </c>
      <c r="U314" s="235" t="str">
        <f>IFERROR(__xludf.DUMMYFUNCTION("""COMPUTED_VALUE"""),"0.50")</f>
        <v>0.50</v>
      </c>
      <c r="V314" s="235">
        <f>IFERROR(__xludf.DUMMYFUNCTION("""COMPUTED_VALUE"""),50.0)</f>
        <v>50</v>
      </c>
      <c r="W314" s="235" t="str">
        <f>IFERROR(__xludf.DUMMYFUNCTION("""COMPUTED_VALUE"""),"-")</f>
        <v>-</v>
      </c>
      <c r="X314" s="235" t="str">
        <f>IFERROR(__xludf.DUMMYFUNCTION("""COMPUTED_VALUE"""),"-")</f>
        <v>-</v>
      </c>
      <c r="Y314" s="235"/>
      <c r="Z314" s="235" t="str">
        <f>IFERROR(__xludf.DUMMYFUNCTION("""COMPUTED_VALUE"""),"-")</f>
        <v>-</v>
      </c>
      <c r="AA314" s="235"/>
      <c r="AB314" s="235" t="str">
        <f>IFERROR(__xludf.DUMMYFUNCTION("""COMPUTED_VALUE"""),"dageki_1")</f>
        <v>dageki_1</v>
      </c>
      <c r="AC314" s="235"/>
    </row>
    <row r="315">
      <c r="A315" s="235"/>
      <c r="B315" s="235" t="str">
        <f>IFERROR(__xludf.DUMMYFUNCTION("""COMPUTED_VALUE"""),"enemy_spy_00101")</f>
        <v>enemy_spy_00101</v>
      </c>
      <c r="C315" s="254" t="str">
        <f>IFERROR(__xludf.DUMMYFUNCTION("""COMPUTED_VALUE"""),"_general_vh")</f>
        <v>_general_vh</v>
      </c>
      <c r="D315" s="254" t="str">
        <f>IFERROR(__xludf.DUMMYFUNCTION("""COMPUTED_VALUE"""),"e_spy_00101_general_vh_Boss_Green")</f>
        <v>e_spy_00101_general_vh_Boss_Green</v>
      </c>
      <c r="E315" s="254" t="str">
        <f>IFERROR(__xludf.DUMMYFUNCTION("""COMPUTED_VALUE"""),"SPY×FAMILY")</f>
        <v>SPY×FAMILY</v>
      </c>
      <c r="F315" s="254" t="str">
        <f>IFERROR(__xludf.DUMMYFUNCTION("""COMPUTED_VALUE"""),"グエン")</f>
        <v>グエン</v>
      </c>
      <c r="G315" s="254" t="str">
        <f>IFERROR(__xludf.DUMMYFUNCTION("""COMPUTED_VALUE"""),"グエン_general_vh")</f>
        <v>グエン_general_vh</v>
      </c>
      <c r="H315" s="235" t="str">
        <f>IFERROR(__xludf.DUMMYFUNCTION("""COMPUTED_VALUE"""),"Boss")</f>
        <v>Boss</v>
      </c>
      <c r="I315" s="235" t="str">
        <f>IFERROR(__xludf.DUMMYFUNCTION("""COMPUTED_VALUE"""),"Attack")</f>
        <v>Attack</v>
      </c>
      <c r="J315" s="235" t="str">
        <f>IFERROR(__xludf.DUMMYFUNCTION("""COMPUTED_VALUE"""),"Green")</f>
        <v>Green</v>
      </c>
      <c r="K315" s="235">
        <f>IFERROR(__xludf.DUMMYFUNCTION("""COMPUTED_VALUE"""),10000.0)</f>
        <v>10000</v>
      </c>
      <c r="L315" s="235">
        <f>IFERROR(__xludf.DUMMYFUNCTION("""COMPUTED_VALUE"""),2.0)</f>
        <v>2</v>
      </c>
      <c r="M315" s="235">
        <f>IFERROR(__xludf.DUMMYFUNCTION("""COMPUTED_VALUE"""),31.0)</f>
        <v>31</v>
      </c>
      <c r="N315" s="235">
        <f>IFERROR(__xludf.DUMMYFUNCTION("""COMPUTED_VALUE"""),0.2)</f>
        <v>0.2</v>
      </c>
      <c r="O315" s="235">
        <f>IFERROR(__xludf.DUMMYFUNCTION("""COMPUTED_VALUE"""),100.0)</f>
        <v>100</v>
      </c>
      <c r="P315" s="235">
        <f>IFERROR(__xludf.DUMMYFUNCTION("""COMPUTED_VALUE"""),0.0)</f>
        <v>0</v>
      </c>
      <c r="Q315" s="235">
        <f>IFERROR(__xludf.DUMMYFUNCTION("""COMPUTED_VALUE"""),0.21)</f>
        <v>0.21</v>
      </c>
      <c r="R315" s="235">
        <f>IFERROR(__xludf.DUMMYFUNCTION("""COMPUTED_VALUE"""),1.0)</f>
        <v>1</v>
      </c>
      <c r="S315" s="235">
        <f>IFERROR(__xludf.DUMMYFUNCTION("""COMPUTED_VALUE"""),500.0)</f>
        <v>500</v>
      </c>
      <c r="T315" s="244" t="str">
        <f>IFERROR(__xludf.DUMMYFUNCTION("""COMPUTED_VALUE"""),"1.20")</f>
        <v>1.20</v>
      </c>
      <c r="U315" s="235" t="str">
        <f>IFERROR(__xludf.DUMMYFUNCTION("""COMPUTED_VALUE"""),"0.50")</f>
        <v>0.50</v>
      </c>
      <c r="V315" s="235">
        <f>IFERROR(__xludf.DUMMYFUNCTION("""COMPUTED_VALUE"""),50.0)</f>
        <v>50</v>
      </c>
      <c r="W315" s="235" t="str">
        <f>IFERROR(__xludf.DUMMYFUNCTION("""COMPUTED_VALUE"""),"-")</f>
        <v>-</v>
      </c>
      <c r="X315" s="235" t="str">
        <f>IFERROR(__xludf.DUMMYFUNCTION("""COMPUTED_VALUE"""),"-")</f>
        <v>-</v>
      </c>
      <c r="Y315" s="235"/>
      <c r="Z315" s="235" t="str">
        <f>IFERROR(__xludf.DUMMYFUNCTION("""COMPUTED_VALUE"""),"-")</f>
        <v>-</v>
      </c>
      <c r="AA315" s="235"/>
      <c r="AB315" s="235" t="str">
        <f>IFERROR(__xludf.DUMMYFUNCTION("""COMPUTED_VALUE"""),"dageki_1")</f>
        <v>dageki_1</v>
      </c>
      <c r="AC315" s="235" t="str">
        <f>IFERROR(__xludf.DUMMYFUNCTION("""COMPUTED_VALUE"""),"通常攻撃20%で攻撃UP50%")</f>
        <v>通常攻撃20%で攻撃UP50%</v>
      </c>
    </row>
    <row r="316">
      <c r="A316" s="235"/>
      <c r="B316" s="235" t="str">
        <f>IFERROR(__xludf.DUMMYFUNCTION("""COMPUTED_VALUE"""),"enemy_spy_00101")</f>
        <v>enemy_spy_00101</v>
      </c>
      <c r="C316" s="254" t="str">
        <f>IFERROR(__xludf.DUMMYFUNCTION("""COMPUTED_VALUE"""),"_general_vh")</f>
        <v>_general_vh</v>
      </c>
      <c r="D316" s="254" t="str">
        <f>IFERROR(__xludf.DUMMYFUNCTION("""COMPUTED_VALUE"""),"e_spy_00101_general_vh_Boss_Blue")</f>
        <v>e_spy_00101_general_vh_Boss_Blue</v>
      </c>
      <c r="E316" s="254" t="str">
        <f>IFERROR(__xludf.DUMMYFUNCTION("""COMPUTED_VALUE"""),"SPY×FAMILY")</f>
        <v>SPY×FAMILY</v>
      </c>
      <c r="F316" s="254" t="str">
        <f>IFERROR(__xludf.DUMMYFUNCTION("""COMPUTED_VALUE"""),"グエン")</f>
        <v>グエン</v>
      </c>
      <c r="G316" s="254" t="str">
        <f>IFERROR(__xludf.DUMMYFUNCTION("""COMPUTED_VALUE"""),"グエン_general_vh")</f>
        <v>グエン_general_vh</v>
      </c>
      <c r="H316" s="235" t="str">
        <f>IFERROR(__xludf.DUMMYFUNCTION("""COMPUTED_VALUE"""),"Boss")</f>
        <v>Boss</v>
      </c>
      <c r="I316" s="235" t="str">
        <f>IFERROR(__xludf.DUMMYFUNCTION("""COMPUTED_VALUE"""),"Attack")</f>
        <v>Attack</v>
      </c>
      <c r="J316" s="235" t="str">
        <f>IFERROR(__xludf.DUMMYFUNCTION("""COMPUTED_VALUE"""),"Blue")</f>
        <v>Blue</v>
      </c>
      <c r="K316" s="235">
        <f>IFERROR(__xludf.DUMMYFUNCTION("""COMPUTED_VALUE"""),10000.0)</f>
        <v>10000</v>
      </c>
      <c r="L316" s="235">
        <f>IFERROR(__xludf.DUMMYFUNCTION("""COMPUTED_VALUE"""),2.0)</f>
        <v>2</v>
      </c>
      <c r="M316" s="235">
        <f>IFERROR(__xludf.DUMMYFUNCTION("""COMPUTED_VALUE"""),31.0)</f>
        <v>31</v>
      </c>
      <c r="N316" s="235">
        <f>IFERROR(__xludf.DUMMYFUNCTION("""COMPUTED_VALUE"""),0.2)</f>
        <v>0.2</v>
      </c>
      <c r="O316" s="235">
        <f>IFERROR(__xludf.DUMMYFUNCTION("""COMPUTED_VALUE"""),100.0)</f>
        <v>100</v>
      </c>
      <c r="P316" s="235">
        <f>IFERROR(__xludf.DUMMYFUNCTION("""COMPUTED_VALUE"""),0.0)</f>
        <v>0</v>
      </c>
      <c r="Q316" s="235">
        <f>IFERROR(__xludf.DUMMYFUNCTION("""COMPUTED_VALUE"""),0.21)</f>
        <v>0.21</v>
      </c>
      <c r="R316" s="235">
        <f>IFERROR(__xludf.DUMMYFUNCTION("""COMPUTED_VALUE"""),1.0)</f>
        <v>1</v>
      </c>
      <c r="S316" s="235">
        <f>IFERROR(__xludf.DUMMYFUNCTION("""COMPUTED_VALUE"""),500.0)</f>
        <v>500</v>
      </c>
      <c r="T316" s="244" t="str">
        <f>IFERROR(__xludf.DUMMYFUNCTION("""COMPUTED_VALUE"""),"1.20")</f>
        <v>1.20</v>
      </c>
      <c r="U316" s="235" t="str">
        <f>IFERROR(__xludf.DUMMYFUNCTION("""COMPUTED_VALUE"""),"0.50")</f>
        <v>0.50</v>
      </c>
      <c r="V316" s="235">
        <f>IFERROR(__xludf.DUMMYFUNCTION("""COMPUTED_VALUE"""),50.0)</f>
        <v>50</v>
      </c>
      <c r="W316" s="235" t="str">
        <f>IFERROR(__xludf.DUMMYFUNCTION("""COMPUTED_VALUE"""),"-")</f>
        <v>-</v>
      </c>
      <c r="X316" s="235" t="str">
        <f>IFERROR(__xludf.DUMMYFUNCTION("""COMPUTED_VALUE"""),"-")</f>
        <v>-</v>
      </c>
      <c r="Y316" s="235"/>
      <c r="Z316" s="235" t="str">
        <f>IFERROR(__xludf.DUMMYFUNCTION("""COMPUTED_VALUE"""),"-")</f>
        <v>-</v>
      </c>
      <c r="AA316" s="235"/>
      <c r="AB316" s="235" t="str">
        <f>IFERROR(__xludf.DUMMYFUNCTION("""COMPUTED_VALUE"""),"dageki_1")</f>
        <v>dageki_1</v>
      </c>
      <c r="AC316" s="235" t="str">
        <f>IFERROR(__xludf.DUMMYFUNCTION("""COMPUTED_VALUE"""),"通常攻撃20%で攻撃UP50%")</f>
        <v>通常攻撃20%で攻撃UP50%</v>
      </c>
    </row>
    <row r="317">
      <c r="A317" s="235"/>
      <c r="B317" s="235" t="str">
        <f>IFERROR(__xludf.DUMMYFUNCTION("""COMPUTED_VALUE"""),"enemy_spy_00001")</f>
        <v>enemy_spy_00001</v>
      </c>
      <c r="C317" s="254" t="str">
        <f>IFERROR(__xludf.DUMMYFUNCTION("""COMPUTED_VALUE"""),"_general_n")</f>
        <v>_general_n</v>
      </c>
      <c r="D317" s="254" t="str">
        <f>IFERROR(__xludf.DUMMYFUNCTION("""COMPUTED_VALUE"""),"e_spy_00001_general_n_Normal_Colorless")</f>
        <v>e_spy_00001_general_n_Normal_Colorless</v>
      </c>
      <c r="E317" s="254" t="str">
        <f>IFERROR(__xludf.DUMMYFUNCTION("""COMPUTED_VALUE"""),"SPY×FAMILY")</f>
        <v>SPY×FAMILY</v>
      </c>
      <c r="F317" s="254" t="str">
        <f>IFERROR(__xludf.DUMMYFUNCTION("""COMPUTED_VALUE"""),"密輸組織の残党")</f>
        <v>密輸組織の残党</v>
      </c>
      <c r="G317" s="254" t="str">
        <f>IFERROR(__xludf.DUMMYFUNCTION("""COMPUTED_VALUE"""),"密輸組織の残党_general_n")</f>
        <v>密輸組織の残党_general_n</v>
      </c>
      <c r="H317" s="235" t="str">
        <f>IFERROR(__xludf.DUMMYFUNCTION("""COMPUTED_VALUE"""),"Normal")</f>
        <v>Normal</v>
      </c>
      <c r="I317" s="235" t="str">
        <f>IFERROR(__xludf.DUMMYFUNCTION("""COMPUTED_VALUE"""),"Attack")</f>
        <v>Attack</v>
      </c>
      <c r="J317" s="235" t="str">
        <f>IFERROR(__xludf.DUMMYFUNCTION("""COMPUTED_VALUE"""),"Colorless")</f>
        <v>Colorless</v>
      </c>
      <c r="K317" s="235">
        <f>IFERROR(__xludf.DUMMYFUNCTION("""COMPUTED_VALUE"""),1000.0)</f>
        <v>1000</v>
      </c>
      <c r="L317" s="235">
        <f>IFERROR(__xludf.DUMMYFUNCTION("""COMPUTED_VALUE"""),0.0)</f>
        <v>0</v>
      </c>
      <c r="M317" s="235">
        <f>IFERROR(__xludf.DUMMYFUNCTION("""COMPUTED_VALUE"""),34.0)</f>
        <v>34</v>
      </c>
      <c r="N317" s="235">
        <f>IFERROR(__xludf.DUMMYFUNCTION("""COMPUTED_VALUE"""),0.4)</f>
        <v>0.4</v>
      </c>
      <c r="O317" s="235">
        <f>IFERROR(__xludf.DUMMYFUNCTION("""COMPUTED_VALUE"""),50.0)</f>
        <v>50</v>
      </c>
      <c r="P317" s="235">
        <f>IFERROR(__xludf.DUMMYFUNCTION("""COMPUTED_VALUE"""),0.0)</f>
        <v>0</v>
      </c>
      <c r="Q317" s="235">
        <f>IFERROR(__xludf.DUMMYFUNCTION("""COMPUTED_VALUE"""),0.21)</f>
        <v>0.21</v>
      </c>
      <c r="R317" s="235">
        <f>IFERROR(__xludf.DUMMYFUNCTION("""COMPUTED_VALUE"""),1.0)</f>
        <v>1</v>
      </c>
      <c r="S317" s="235">
        <f>IFERROR(__xludf.DUMMYFUNCTION("""COMPUTED_VALUE"""),300.0)</f>
        <v>300</v>
      </c>
      <c r="T317" s="244" t="str">
        <f>IFERROR(__xludf.DUMMYFUNCTION("""COMPUTED_VALUE"""),"1.00")</f>
        <v>1.00</v>
      </c>
      <c r="U317" s="235" t="str">
        <f>IFERROR(__xludf.DUMMYFUNCTION("""COMPUTED_VALUE"""),"0.17")</f>
        <v>0.17</v>
      </c>
      <c r="V317" s="235">
        <f>IFERROR(__xludf.DUMMYFUNCTION("""COMPUTED_VALUE"""),50.0)</f>
        <v>50</v>
      </c>
      <c r="W317" s="235" t="str">
        <f>IFERROR(__xludf.DUMMYFUNCTION("""COMPUTED_VALUE"""),"-")</f>
        <v>-</v>
      </c>
      <c r="X317" s="235" t="str">
        <f>IFERROR(__xludf.DUMMYFUNCTION("""COMPUTED_VALUE"""),"-")</f>
        <v>-</v>
      </c>
      <c r="Y317" s="235"/>
      <c r="Z317" s="235" t="str">
        <f>IFERROR(__xludf.DUMMYFUNCTION("""COMPUTED_VALUE"""),"-")</f>
        <v>-</v>
      </c>
      <c r="AA317" s="235"/>
      <c r="AB317" s="235" t="str">
        <f>IFERROR(__xludf.DUMMYFUNCTION("""COMPUTED_VALUE"""),"shageki_1")</f>
        <v>shageki_1</v>
      </c>
      <c r="AC317" s="235"/>
    </row>
    <row r="318">
      <c r="A318" s="235"/>
      <c r="B318" s="235" t="str">
        <f>IFERROR(__xludf.DUMMYFUNCTION("""COMPUTED_VALUE"""),"enemy_spy_00001")</f>
        <v>enemy_spy_00001</v>
      </c>
      <c r="C318" s="254" t="str">
        <f>IFERROR(__xludf.DUMMYFUNCTION("""COMPUTED_VALUE"""),"_general_n")</f>
        <v>_general_n</v>
      </c>
      <c r="D318" s="254" t="str">
        <f>IFERROR(__xludf.DUMMYFUNCTION("""COMPUTED_VALUE"""),"e_spy_00001_general_n_Normal_Red")</f>
        <v>e_spy_00001_general_n_Normal_Red</v>
      </c>
      <c r="E318" s="254" t="str">
        <f>IFERROR(__xludf.DUMMYFUNCTION("""COMPUTED_VALUE"""),"SPY×FAMILY")</f>
        <v>SPY×FAMILY</v>
      </c>
      <c r="F318" s="254" t="str">
        <f>IFERROR(__xludf.DUMMYFUNCTION("""COMPUTED_VALUE"""),"密輸組織の残党")</f>
        <v>密輸組織の残党</v>
      </c>
      <c r="G318" s="254" t="str">
        <f>IFERROR(__xludf.DUMMYFUNCTION("""COMPUTED_VALUE"""),"密輸組織の残党_general_n")</f>
        <v>密輸組織の残党_general_n</v>
      </c>
      <c r="H318" s="235" t="str">
        <f>IFERROR(__xludf.DUMMYFUNCTION("""COMPUTED_VALUE"""),"Normal")</f>
        <v>Normal</v>
      </c>
      <c r="I318" s="235" t="str">
        <f>IFERROR(__xludf.DUMMYFUNCTION("""COMPUTED_VALUE"""),"Defense")</f>
        <v>Defense</v>
      </c>
      <c r="J318" s="235" t="str">
        <f>IFERROR(__xludf.DUMMYFUNCTION("""COMPUTED_VALUE"""),"Red")</f>
        <v>Red</v>
      </c>
      <c r="K318" s="235">
        <f>IFERROR(__xludf.DUMMYFUNCTION("""COMPUTED_VALUE"""),1000.0)</f>
        <v>1000</v>
      </c>
      <c r="L318" s="235">
        <f>IFERROR(__xludf.DUMMYFUNCTION("""COMPUTED_VALUE"""),0.0)</f>
        <v>0</v>
      </c>
      <c r="M318" s="235">
        <f>IFERROR(__xludf.DUMMYFUNCTION("""COMPUTED_VALUE"""),34.0)</f>
        <v>34</v>
      </c>
      <c r="N318" s="235">
        <f>IFERROR(__xludf.DUMMYFUNCTION("""COMPUTED_VALUE"""),0.4)</f>
        <v>0.4</v>
      </c>
      <c r="O318" s="235">
        <f>IFERROR(__xludf.DUMMYFUNCTION("""COMPUTED_VALUE"""),50.0)</f>
        <v>50</v>
      </c>
      <c r="P318" s="235">
        <f>IFERROR(__xludf.DUMMYFUNCTION("""COMPUTED_VALUE"""),0.0)</f>
        <v>0</v>
      </c>
      <c r="Q318" s="235">
        <f>IFERROR(__xludf.DUMMYFUNCTION("""COMPUTED_VALUE"""),0.21)</f>
        <v>0.21</v>
      </c>
      <c r="R318" s="235">
        <f>IFERROR(__xludf.DUMMYFUNCTION("""COMPUTED_VALUE"""),1.0)</f>
        <v>1</v>
      </c>
      <c r="S318" s="235">
        <f>IFERROR(__xludf.DUMMYFUNCTION("""COMPUTED_VALUE"""),400.0)</f>
        <v>400</v>
      </c>
      <c r="T318" s="244" t="str">
        <f>IFERROR(__xludf.DUMMYFUNCTION("""COMPUTED_VALUE"""),"1.00")</f>
        <v>1.00</v>
      </c>
      <c r="U318" s="235" t="str">
        <f>IFERROR(__xludf.DUMMYFUNCTION("""COMPUTED_VALUE"""),"0.17")</f>
        <v>0.17</v>
      </c>
      <c r="V318" s="235">
        <f>IFERROR(__xludf.DUMMYFUNCTION("""COMPUTED_VALUE"""),50.0)</f>
        <v>50</v>
      </c>
      <c r="W318" s="235" t="str">
        <f>IFERROR(__xludf.DUMMYFUNCTION("""COMPUTED_VALUE"""),"-")</f>
        <v>-</v>
      </c>
      <c r="X318" s="235" t="str">
        <f>IFERROR(__xludf.DUMMYFUNCTION("""COMPUTED_VALUE"""),"-")</f>
        <v>-</v>
      </c>
      <c r="Y318" s="235"/>
      <c r="Z318" s="235" t="str">
        <f>IFERROR(__xludf.DUMMYFUNCTION("""COMPUTED_VALUE"""),"-")</f>
        <v>-</v>
      </c>
      <c r="AA318" s="235"/>
      <c r="AB318" s="235" t="str">
        <f>IFERROR(__xludf.DUMMYFUNCTION("""COMPUTED_VALUE"""),"shageki_1")</f>
        <v>shageki_1</v>
      </c>
      <c r="AC318" s="235"/>
    </row>
    <row r="319">
      <c r="A319" s="235"/>
      <c r="B319" s="235" t="str">
        <f>IFERROR(__xludf.DUMMYFUNCTION("""COMPUTED_VALUE"""),"enemy_spy_00001")</f>
        <v>enemy_spy_00001</v>
      </c>
      <c r="C319" s="254" t="str">
        <f>IFERROR(__xludf.DUMMYFUNCTION("""COMPUTED_VALUE"""),"_general_vh")</f>
        <v>_general_vh</v>
      </c>
      <c r="D319" s="254" t="str">
        <f>IFERROR(__xludf.DUMMYFUNCTION("""COMPUTED_VALUE"""),"e_spy_00001_general_vh_Normal_Yellow")</f>
        <v>e_spy_00001_general_vh_Normal_Yellow</v>
      </c>
      <c r="E319" s="254" t="str">
        <f>IFERROR(__xludf.DUMMYFUNCTION("""COMPUTED_VALUE"""),"SPY×FAMILY")</f>
        <v>SPY×FAMILY</v>
      </c>
      <c r="F319" s="254" t="str">
        <f>IFERROR(__xludf.DUMMYFUNCTION("""COMPUTED_VALUE"""),"密輸組織の残党")</f>
        <v>密輸組織の残党</v>
      </c>
      <c r="G319" s="254" t="str">
        <f>IFERROR(__xludf.DUMMYFUNCTION("""COMPUTED_VALUE"""),"密輸組織の残党_general_vh")</f>
        <v>密輸組織の残党_general_vh</v>
      </c>
      <c r="H319" s="235" t="str">
        <f>IFERROR(__xludf.DUMMYFUNCTION("""COMPUTED_VALUE"""),"Normal")</f>
        <v>Normal</v>
      </c>
      <c r="I319" s="235" t="str">
        <f>IFERROR(__xludf.DUMMYFUNCTION("""COMPUTED_VALUE"""),"Defense")</f>
        <v>Defense</v>
      </c>
      <c r="J319" s="235" t="str">
        <f>IFERROR(__xludf.DUMMYFUNCTION("""COMPUTED_VALUE"""),"Yellow")</f>
        <v>Yellow</v>
      </c>
      <c r="K319" s="235">
        <f>IFERROR(__xludf.DUMMYFUNCTION("""COMPUTED_VALUE"""),1000.0)</f>
        <v>1000</v>
      </c>
      <c r="L319" s="235">
        <f>IFERROR(__xludf.DUMMYFUNCTION("""COMPUTED_VALUE"""),0.0)</f>
        <v>0</v>
      </c>
      <c r="M319" s="235">
        <f>IFERROR(__xludf.DUMMYFUNCTION("""COMPUTED_VALUE"""),34.0)</f>
        <v>34</v>
      </c>
      <c r="N319" s="235">
        <f>IFERROR(__xludf.DUMMYFUNCTION("""COMPUTED_VALUE"""),0.4)</f>
        <v>0.4</v>
      </c>
      <c r="O319" s="235">
        <f>IFERROR(__xludf.DUMMYFUNCTION("""COMPUTED_VALUE"""),50.0)</f>
        <v>50</v>
      </c>
      <c r="P319" s="235">
        <f>IFERROR(__xludf.DUMMYFUNCTION("""COMPUTED_VALUE"""),0.0)</f>
        <v>0</v>
      </c>
      <c r="Q319" s="235">
        <f>IFERROR(__xludf.DUMMYFUNCTION("""COMPUTED_VALUE"""),0.21)</f>
        <v>0.21</v>
      </c>
      <c r="R319" s="235">
        <f>IFERROR(__xludf.DUMMYFUNCTION("""COMPUTED_VALUE"""),1.0)</f>
        <v>1</v>
      </c>
      <c r="S319" s="235">
        <f>IFERROR(__xludf.DUMMYFUNCTION("""COMPUTED_VALUE"""),400.0)</f>
        <v>400</v>
      </c>
      <c r="T319" s="244" t="str">
        <f>IFERROR(__xludf.DUMMYFUNCTION("""COMPUTED_VALUE"""),"1.00")</f>
        <v>1.00</v>
      </c>
      <c r="U319" s="235" t="str">
        <f>IFERROR(__xludf.DUMMYFUNCTION("""COMPUTED_VALUE"""),"0.17")</f>
        <v>0.17</v>
      </c>
      <c r="V319" s="235">
        <f>IFERROR(__xludf.DUMMYFUNCTION("""COMPUTED_VALUE"""),50.0)</f>
        <v>50</v>
      </c>
      <c r="W319" s="235" t="str">
        <f>IFERROR(__xludf.DUMMYFUNCTION("""COMPUTED_VALUE"""),"-")</f>
        <v>-</v>
      </c>
      <c r="X319" s="235" t="str">
        <f>IFERROR(__xludf.DUMMYFUNCTION("""COMPUTED_VALUE"""),"-")</f>
        <v>-</v>
      </c>
      <c r="Y319" s="235"/>
      <c r="Z319" s="235" t="str">
        <f>IFERROR(__xludf.DUMMYFUNCTION("""COMPUTED_VALUE"""),"-")</f>
        <v>-</v>
      </c>
      <c r="AA319" s="235"/>
      <c r="AB319" s="235" t="str">
        <f>IFERROR(__xludf.DUMMYFUNCTION("""COMPUTED_VALUE"""),"shageki_1")</f>
        <v>shageki_1</v>
      </c>
      <c r="AC319" s="235"/>
    </row>
    <row r="320">
      <c r="A320" s="235"/>
      <c r="B320" s="235" t="str">
        <f>IFERROR(__xludf.DUMMYFUNCTION("""COMPUTED_VALUE"""),"enemy_spy_00001")</f>
        <v>enemy_spy_00001</v>
      </c>
      <c r="C320" s="254" t="str">
        <f>IFERROR(__xludf.DUMMYFUNCTION("""COMPUTED_VALUE"""),"_general_n")</f>
        <v>_general_n</v>
      </c>
      <c r="D320" s="254" t="str">
        <f>IFERROR(__xludf.DUMMYFUNCTION("""COMPUTED_VALUE"""),"e_spy_00001_general_n_Normal_Blue")</f>
        <v>e_spy_00001_general_n_Normal_Blue</v>
      </c>
      <c r="E320" s="254" t="str">
        <f>IFERROR(__xludf.DUMMYFUNCTION("""COMPUTED_VALUE"""),"SPY×FAMILY")</f>
        <v>SPY×FAMILY</v>
      </c>
      <c r="F320" s="254" t="str">
        <f>IFERROR(__xludf.DUMMYFUNCTION("""COMPUTED_VALUE"""),"密輸組織の残党")</f>
        <v>密輸組織の残党</v>
      </c>
      <c r="G320" s="254" t="str">
        <f>IFERROR(__xludf.DUMMYFUNCTION("""COMPUTED_VALUE"""),"密輸組織の残党_general_n")</f>
        <v>密輸組織の残党_general_n</v>
      </c>
      <c r="H320" s="235" t="str">
        <f>IFERROR(__xludf.DUMMYFUNCTION("""COMPUTED_VALUE"""),"Normal")</f>
        <v>Normal</v>
      </c>
      <c r="I320" s="235" t="str">
        <f>IFERROR(__xludf.DUMMYFUNCTION("""COMPUTED_VALUE"""),"Defense")</f>
        <v>Defense</v>
      </c>
      <c r="J320" s="235" t="str">
        <f>IFERROR(__xludf.DUMMYFUNCTION("""COMPUTED_VALUE"""),"Blue")</f>
        <v>Blue</v>
      </c>
      <c r="K320" s="235">
        <f>IFERROR(__xludf.DUMMYFUNCTION("""COMPUTED_VALUE"""),1000.0)</f>
        <v>1000</v>
      </c>
      <c r="L320" s="235">
        <f>IFERROR(__xludf.DUMMYFUNCTION("""COMPUTED_VALUE"""),0.0)</f>
        <v>0</v>
      </c>
      <c r="M320" s="235">
        <f>IFERROR(__xludf.DUMMYFUNCTION("""COMPUTED_VALUE"""),34.0)</f>
        <v>34</v>
      </c>
      <c r="N320" s="235">
        <f>IFERROR(__xludf.DUMMYFUNCTION("""COMPUTED_VALUE"""),0.4)</f>
        <v>0.4</v>
      </c>
      <c r="O320" s="235">
        <f>IFERROR(__xludf.DUMMYFUNCTION("""COMPUTED_VALUE"""),50.0)</f>
        <v>50</v>
      </c>
      <c r="P320" s="235">
        <f>IFERROR(__xludf.DUMMYFUNCTION("""COMPUTED_VALUE"""),0.0)</f>
        <v>0</v>
      </c>
      <c r="Q320" s="235">
        <f>IFERROR(__xludf.DUMMYFUNCTION("""COMPUTED_VALUE"""),0.21)</f>
        <v>0.21</v>
      </c>
      <c r="R320" s="235">
        <f>IFERROR(__xludf.DUMMYFUNCTION("""COMPUTED_VALUE"""),1.0)</f>
        <v>1</v>
      </c>
      <c r="S320" s="235">
        <f>IFERROR(__xludf.DUMMYFUNCTION("""COMPUTED_VALUE"""),400.0)</f>
        <v>400</v>
      </c>
      <c r="T320" s="244" t="str">
        <f>IFERROR(__xludf.DUMMYFUNCTION("""COMPUTED_VALUE"""),"1.00")</f>
        <v>1.00</v>
      </c>
      <c r="U320" s="235" t="str">
        <f>IFERROR(__xludf.DUMMYFUNCTION("""COMPUTED_VALUE"""),"0.17")</f>
        <v>0.17</v>
      </c>
      <c r="V320" s="235">
        <f>IFERROR(__xludf.DUMMYFUNCTION("""COMPUTED_VALUE"""),50.0)</f>
        <v>50</v>
      </c>
      <c r="W320" s="235" t="str">
        <f>IFERROR(__xludf.DUMMYFUNCTION("""COMPUTED_VALUE"""),"-")</f>
        <v>-</v>
      </c>
      <c r="X320" s="235" t="str">
        <f>IFERROR(__xludf.DUMMYFUNCTION("""COMPUTED_VALUE"""),"-")</f>
        <v>-</v>
      </c>
      <c r="Y320" s="235"/>
      <c r="Z320" s="235" t="str">
        <f>IFERROR(__xludf.DUMMYFUNCTION("""COMPUTED_VALUE"""),"-")</f>
        <v>-</v>
      </c>
      <c r="AA320" s="235"/>
      <c r="AB320" s="235" t="str">
        <f>IFERROR(__xludf.DUMMYFUNCTION("""COMPUTED_VALUE"""),"shageki_1")</f>
        <v>shageki_1</v>
      </c>
      <c r="AC320" s="235"/>
    </row>
    <row r="321">
      <c r="A321" s="235"/>
      <c r="B321" s="235" t="str">
        <f>IFERROR(__xludf.DUMMYFUNCTION("""COMPUTED_VALUE"""),"enemy_spy_00001")</f>
        <v>enemy_spy_00001</v>
      </c>
      <c r="C321" s="254" t="str">
        <f>IFERROR(__xludf.DUMMYFUNCTION("""COMPUTED_VALUE"""),"_general_n")</f>
        <v>_general_n</v>
      </c>
      <c r="D321" s="254" t="str">
        <f>IFERROR(__xludf.DUMMYFUNCTION("""COMPUTED_VALUE"""),"e_spy_00001_general_n_Boss_Blue")</f>
        <v>e_spy_00001_general_n_Boss_Blue</v>
      </c>
      <c r="E321" s="254" t="str">
        <f>IFERROR(__xludf.DUMMYFUNCTION("""COMPUTED_VALUE"""),"SPY×FAMILY")</f>
        <v>SPY×FAMILY</v>
      </c>
      <c r="F321" s="254" t="str">
        <f>IFERROR(__xludf.DUMMYFUNCTION("""COMPUTED_VALUE"""),"密輸組織の残党")</f>
        <v>密輸組織の残党</v>
      </c>
      <c r="G321" s="254" t="str">
        <f>IFERROR(__xludf.DUMMYFUNCTION("""COMPUTED_VALUE"""),"密輸組織の残党_general_n")</f>
        <v>密輸組織の残党_general_n</v>
      </c>
      <c r="H321" s="235" t="str">
        <f>IFERROR(__xludf.DUMMYFUNCTION("""COMPUTED_VALUE"""),"Boss")</f>
        <v>Boss</v>
      </c>
      <c r="I321" s="235" t="str">
        <f>IFERROR(__xludf.DUMMYFUNCTION("""COMPUTED_VALUE"""),"Attack")</f>
        <v>Attack</v>
      </c>
      <c r="J321" s="235" t="str">
        <f>IFERROR(__xludf.DUMMYFUNCTION("""COMPUTED_VALUE"""),"Blue")</f>
        <v>Blue</v>
      </c>
      <c r="K321" s="235">
        <f>IFERROR(__xludf.DUMMYFUNCTION("""COMPUTED_VALUE"""),10000.0)</f>
        <v>10000</v>
      </c>
      <c r="L321" s="235">
        <f>IFERROR(__xludf.DUMMYFUNCTION("""COMPUTED_VALUE"""),2.0)</f>
        <v>2</v>
      </c>
      <c r="M321" s="235">
        <f>IFERROR(__xludf.DUMMYFUNCTION("""COMPUTED_VALUE"""),34.0)</f>
        <v>34</v>
      </c>
      <c r="N321" s="235">
        <f>IFERROR(__xludf.DUMMYFUNCTION("""COMPUTED_VALUE"""),0.4)</f>
        <v>0.4</v>
      </c>
      <c r="O321" s="235">
        <f>IFERROR(__xludf.DUMMYFUNCTION("""COMPUTED_VALUE"""),50.0)</f>
        <v>50</v>
      </c>
      <c r="P321" s="235">
        <f>IFERROR(__xludf.DUMMYFUNCTION("""COMPUTED_VALUE"""),0.0)</f>
        <v>0</v>
      </c>
      <c r="Q321" s="235">
        <f>IFERROR(__xludf.DUMMYFUNCTION("""COMPUTED_VALUE"""),0.21)</f>
        <v>0.21</v>
      </c>
      <c r="R321" s="235">
        <f>IFERROR(__xludf.DUMMYFUNCTION("""COMPUTED_VALUE"""),1.0)</f>
        <v>1</v>
      </c>
      <c r="S321" s="235">
        <f>IFERROR(__xludf.DUMMYFUNCTION("""COMPUTED_VALUE"""),300.0)</f>
        <v>300</v>
      </c>
      <c r="T321" s="244" t="str">
        <f>IFERROR(__xludf.DUMMYFUNCTION("""COMPUTED_VALUE"""),"1.00")</f>
        <v>1.00</v>
      </c>
      <c r="U321" s="235" t="str">
        <f>IFERROR(__xludf.DUMMYFUNCTION("""COMPUTED_VALUE"""),"0.17")</f>
        <v>0.17</v>
      </c>
      <c r="V321" s="235">
        <f>IFERROR(__xludf.DUMMYFUNCTION("""COMPUTED_VALUE"""),40.0)</f>
        <v>40</v>
      </c>
      <c r="W321" s="235" t="str">
        <f>IFERROR(__xludf.DUMMYFUNCTION("""COMPUTED_VALUE"""),"-")</f>
        <v>-</v>
      </c>
      <c r="X321" s="235" t="str">
        <f>IFERROR(__xludf.DUMMYFUNCTION("""COMPUTED_VALUE"""),"-")</f>
        <v>-</v>
      </c>
      <c r="Y321" s="235"/>
      <c r="Z321" s="235" t="str">
        <f>IFERROR(__xludf.DUMMYFUNCTION("""COMPUTED_VALUE"""),"-")</f>
        <v>-</v>
      </c>
      <c r="AA321" s="235"/>
      <c r="AB321" s="235" t="str">
        <f>IFERROR(__xludf.DUMMYFUNCTION("""COMPUTED_VALUE"""),"shageki_1")</f>
        <v>shageki_1</v>
      </c>
      <c r="AC321" s="235"/>
    </row>
    <row r="322">
      <c r="A322" s="235"/>
      <c r="B322" s="235" t="str">
        <f>IFERROR(__xludf.DUMMYFUNCTION("""COMPUTED_VALUE"""),"chara_spy_00101")</f>
        <v>chara_spy_00101</v>
      </c>
      <c r="C322" s="254" t="str">
        <f>IFERROR(__xludf.DUMMYFUNCTION("""COMPUTED_VALUE"""),"_general_n")</f>
        <v>_general_n</v>
      </c>
      <c r="D322" s="254" t="str">
        <f>IFERROR(__xludf.DUMMYFUNCTION("""COMPUTED_VALUE"""),"c_spy_00101_general_n_Boss_Red")</f>
        <v>c_spy_00101_general_n_Boss_Red</v>
      </c>
      <c r="E322" s="254" t="str">
        <f>IFERROR(__xludf.DUMMYFUNCTION("""COMPUTED_VALUE"""),"SPY×FAMILY")</f>
        <v>SPY×FAMILY</v>
      </c>
      <c r="F322" s="254" t="str">
        <f>IFERROR(__xludf.DUMMYFUNCTION("""COMPUTED_VALUE"""),"&lt;黄昏&gt; ロイド")</f>
        <v>&lt;黄昏&gt; ロイド</v>
      </c>
      <c r="G322" s="254" t="str">
        <f>IFERROR(__xludf.DUMMYFUNCTION("""COMPUTED_VALUE"""),"&lt;黄昏&gt; ロイド_general_n")</f>
        <v>&lt;黄昏&gt; ロイド_general_n</v>
      </c>
      <c r="H322" s="235" t="str">
        <f>IFERROR(__xludf.DUMMYFUNCTION("""COMPUTED_VALUE"""),"Boss")</f>
        <v>Boss</v>
      </c>
      <c r="I322" s="235" t="str">
        <f>IFERROR(__xludf.DUMMYFUNCTION("""COMPUTED_VALUE"""),"Attack")</f>
        <v>Attack</v>
      </c>
      <c r="J322" s="235" t="str">
        <f>IFERROR(__xludf.DUMMYFUNCTION("""COMPUTED_VALUE"""),"Red")</f>
        <v>Red</v>
      </c>
      <c r="K322" s="235">
        <f>IFERROR(__xludf.DUMMYFUNCTION("""COMPUTED_VALUE"""),10000.0)</f>
        <v>10000</v>
      </c>
      <c r="L322" s="235">
        <f>IFERROR(__xludf.DUMMYFUNCTION("""COMPUTED_VALUE"""),1.0)</f>
        <v>1</v>
      </c>
      <c r="M322" s="235">
        <f>IFERROR(__xludf.DUMMYFUNCTION("""COMPUTED_VALUE"""),31.0)</f>
        <v>31</v>
      </c>
      <c r="N322" s="235">
        <f>IFERROR(__xludf.DUMMYFUNCTION("""COMPUTED_VALUE"""),0.5)</f>
        <v>0.5</v>
      </c>
      <c r="O322" s="235">
        <f>IFERROR(__xludf.DUMMYFUNCTION("""COMPUTED_VALUE"""),50.0)</f>
        <v>50</v>
      </c>
      <c r="P322" s="235">
        <f>IFERROR(__xludf.DUMMYFUNCTION("""COMPUTED_VALUE"""),0.0)</f>
        <v>0</v>
      </c>
      <c r="Q322" s="235">
        <f>IFERROR(__xludf.DUMMYFUNCTION("""COMPUTED_VALUE"""),0.51)</f>
        <v>0.51</v>
      </c>
      <c r="R322" s="235">
        <f>IFERROR(__xludf.DUMMYFUNCTION("""COMPUTED_VALUE"""),1.0)</f>
        <v>1</v>
      </c>
      <c r="S322" s="235">
        <f>IFERROR(__xludf.DUMMYFUNCTION("""COMPUTED_VALUE"""),500.0)</f>
        <v>500</v>
      </c>
      <c r="T322" s="244" t="str">
        <f>IFERROR(__xludf.DUMMYFUNCTION("""COMPUTED_VALUE"""),"1.64")</f>
        <v>1.64</v>
      </c>
      <c r="U322" s="235" t="str">
        <f>IFERROR(__xludf.DUMMYFUNCTION("""COMPUTED_VALUE"""),"0.83")</f>
        <v>0.83</v>
      </c>
      <c r="V322" s="235">
        <f>IFERROR(__xludf.DUMMYFUNCTION("""COMPUTED_VALUE"""),100.0)</f>
        <v>100</v>
      </c>
      <c r="W322" s="235" t="str">
        <f>IFERROR(__xludf.DUMMYFUNCTION("""COMPUTED_VALUE"""),"2.50")</f>
        <v>2.50</v>
      </c>
      <c r="X322" s="235" t="str">
        <f>IFERROR(__xludf.DUMMYFUNCTION("""COMPUTED_VALUE"""),"1.33")</f>
        <v>1.33</v>
      </c>
      <c r="Y322" s="235"/>
      <c r="Z322" s="235">
        <f>IFERROR(__xludf.DUMMYFUNCTION("""COMPUTED_VALUE"""),7.0)</f>
        <v>7</v>
      </c>
      <c r="AA322" s="235"/>
      <c r="AB322" s="235" t="str">
        <f>IFERROR(__xludf.DUMMYFUNCTION("""COMPUTED_VALUE"""),"shageki_1")</f>
        <v>shageki_1</v>
      </c>
      <c r="AC322" s="235"/>
    </row>
    <row r="323">
      <c r="A323" s="235"/>
      <c r="B323" s="235" t="str">
        <f>IFERROR(__xludf.DUMMYFUNCTION("""COMPUTED_VALUE"""),"chara_spy_00101")</f>
        <v>chara_spy_00101</v>
      </c>
      <c r="C323" s="254" t="str">
        <f>IFERROR(__xludf.DUMMYFUNCTION("""COMPUTED_VALUE"""),"_general_h")</f>
        <v>_general_h</v>
      </c>
      <c r="D323" s="254" t="str">
        <f>IFERROR(__xludf.DUMMYFUNCTION("""COMPUTED_VALUE"""),"c_spy_00101_general_h_Boss_Red")</f>
        <v>c_spy_00101_general_h_Boss_Red</v>
      </c>
      <c r="E323" s="254" t="str">
        <f>IFERROR(__xludf.DUMMYFUNCTION("""COMPUTED_VALUE"""),"SPY×FAMILY")</f>
        <v>SPY×FAMILY</v>
      </c>
      <c r="F323" s="254" t="str">
        <f>IFERROR(__xludf.DUMMYFUNCTION("""COMPUTED_VALUE"""),"&lt;黄昏&gt; ロイド")</f>
        <v>&lt;黄昏&gt; ロイド</v>
      </c>
      <c r="G323" s="254" t="str">
        <f>IFERROR(__xludf.DUMMYFUNCTION("""COMPUTED_VALUE"""),"&lt;黄昏&gt; ロイド_general_h")</f>
        <v>&lt;黄昏&gt; ロイド_general_h</v>
      </c>
      <c r="H323" s="235" t="str">
        <f>IFERROR(__xludf.DUMMYFUNCTION("""COMPUTED_VALUE"""),"Boss")</f>
        <v>Boss</v>
      </c>
      <c r="I323" s="235" t="str">
        <f>IFERROR(__xludf.DUMMYFUNCTION("""COMPUTED_VALUE"""),"Attack")</f>
        <v>Attack</v>
      </c>
      <c r="J323" s="235" t="str">
        <f>IFERROR(__xludf.DUMMYFUNCTION("""COMPUTED_VALUE"""),"Red")</f>
        <v>Red</v>
      </c>
      <c r="K323" s="235">
        <f>IFERROR(__xludf.DUMMYFUNCTION("""COMPUTED_VALUE"""),10000.0)</f>
        <v>10000</v>
      </c>
      <c r="L323" s="235">
        <f>IFERROR(__xludf.DUMMYFUNCTION("""COMPUTED_VALUE"""),1.0)</f>
        <v>1</v>
      </c>
      <c r="M323" s="235">
        <f>IFERROR(__xludf.DUMMYFUNCTION("""COMPUTED_VALUE"""),31.0)</f>
        <v>31</v>
      </c>
      <c r="N323" s="235">
        <f>IFERROR(__xludf.DUMMYFUNCTION("""COMPUTED_VALUE"""),0.5)</f>
        <v>0.5</v>
      </c>
      <c r="O323" s="235">
        <f>IFERROR(__xludf.DUMMYFUNCTION("""COMPUTED_VALUE"""),100.0)</f>
        <v>100</v>
      </c>
      <c r="P323" s="235">
        <f>IFERROR(__xludf.DUMMYFUNCTION("""COMPUTED_VALUE"""),0.0)</f>
        <v>0</v>
      </c>
      <c r="Q323" s="235">
        <f>IFERROR(__xludf.DUMMYFUNCTION("""COMPUTED_VALUE"""),0.51)</f>
        <v>0.51</v>
      </c>
      <c r="R323" s="235">
        <f>IFERROR(__xludf.DUMMYFUNCTION("""COMPUTED_VALUE"""),1.0)</f>
        <v>1</v>
      </c>
      <c r="S323" s="235">
        <f>IFERROR(__xludf.DUMMYFUNCTION("""COMPUTED_VALUE"""),500.0)</f>
        <v>500</v>
      </c>
      <c r="T323" s="244" t="str">
        <f>IFERROR(__xludf.DUMMYFUNCTION("""COMPUTED_VALUE"""),"1.64")</f>
        <v>1.64</v>
      </c>
      <c r="U323" s="235" t="str">
        <f>IFERROR(__xludf.DUMMYFUNCTION("""COMPUTED_VALUE"""),"0.83")</f>
        <v>0.83</v>
      </c>
      <c r="V323" s="235">
        <f>IFERROR(__xludf.DUMMYFUNCTION("""COMPUTED_VALUE"""),100.0)</f>
        <v>100</v>
      </c>
      <c r="W323" s="235" t="str">
        <f>IFERROR(__xludf.DUMMYFUNCTION("""COMPUTED_VALUE"""),"2.50")</f>
        <v>2.50</v>
      </c>
      <c r="X323" s="235" t="str">
        <f>IFERROR(__xludf.DUMMYFUNCTION("""COMPUTED_VALUE"""),"1.33")</f>
        <v>1.33</v>
      </c>
      <c r="Y323" s="235"/>
      <c r="Z323" s="235">
        <f>IFERROR(__xludf.DUMMYFUNCTION("""COMPUTED_VALUE"""),7.0)</f>
        <v>7</v>
      </c>
      <c r="AA323" s="235"/>
      <c r="AB323" s="235" t="str">
        <f>IFERROR(__xludf.DUMMYFUNCTION("""COMPUTED_VALUE"""),"shageki_1")</f>
        <v>shageki_1</v>
      </c>
      <c r="AC323" s="235"/>
    </row>
    <row r="324">
      <c r="A324" s="235"/>
      <c r="B324" s="235" t="str">
        <f>IFERROR(__xludf.DUMMYFUNCTION("""COMPUTED_VALUE"""),"chara_spy_00101")</f>
        <v>chara_spy_00101</v>
      </c>
      <c r="C324" s="254" t="str">
        <f>IFERROR(__xludf.DUMMYFUNCTION("""COMPUTED_VALUE"""),"_general_n")</f>
        <v>_general_n</v>
      </c>
      <c r="D324" s="254" t="str">
        <f>IFERROR(__xludf.DUMMYFUNCTION("""COMPUTED_VALUE"""),"c_spy_00101_general_n_Boss_Blue")</f>
        <v>c_spy_00101_general_n_Boss_Blue</v>
      </c>
      <c r="E324" s="254" t="str">
        <f>IFERROR(__xludf.DUMMYFUNCTION("""COMPUTED_VALUE"""),"SPY×FAMILY")</f>
        <v>SPY×FAMILY</v>
      </c>
      <c r="F324" s="254" t="str">
        <f>IFERROR(__xludf.DUMMYFUNCTION("""COMPUTED_VALUE"""),"&lt;黄昏&gt; ロイド")</f>
        <v>&lt;黄昏&gt; ロイド</v>
      </c>
      <c r="G324" s="254" t="str">
        <f>IFERROR(__xludf.DUMMYFUNCTION("""COMPUTED_VALUE"""),"&lt;黄昏&gt; ロイド_general_n")</f>
        <v>&lt;黄昏&gt; ロイド_general_n</v>
      </c>
      <c r="H324" s="235" t="str">
        <f>IFERROR(__xludf.DUMMYFUNCTION("""COMPUTED_VALUE"""),"Boss")</f>
        <v>Boss</v>
      </c>
      <c r="I324" s="235" t="str">
        <f>IFERROR(__xludf.DUMMYFUNCTION("""COMPUTED_VALUE"""),"Attack")</f>
        <v>Attack</v>
      </c>
      <c r="J324" s="235" t="str">
        <f>IFERROR(__xludf.DUMMYFUNCTION("""COMPUTED_VALUE"""),"Blue")</f>
        <v>Blue</v>
      </c>
      <c r="K324" s="235">
        <f>IFERROR(__xludf.DUMMYFUNCTION("""COMPUTED_VALUE"""),10000.0)</f>
        <v>10000</v>
      </c>
      <c r="L324" s="235">
        <f>IFERROR(__xludf.DUMMYFUNCTION("""COMPUTED_VALUE"""),1.0)</f>
        <v>1</v>
      </c>
      <c r="M324" s="235">
        <f>IFERROR(__xludf.DUMMYFUNCTION("""COMPUTED_VALUE"""),31.0)</f>
        <v>31</v>
      </c>
      <c r="N324" s="235">
        <f>IFERROR(__xludf.DUMMYFUNCTION("""COMPUTED_VALUE"""),0.5)</f>
        <v>0.5</v>
      </c>
      <c r="O324" s="235">
        <f>IFERROR(__xludf.DUMMYFUNCTION("""COMPUTED_VALUE"""),50.0)</f>
        <v>50</v>
      </c>
      <c r="P324" s="235">
        <f>IFERROR(__xludf.DUMMYFUNCTION("""COMPUTED_VALUE"""),0.0)</f>
        <v>0</v>
      </c>
      <c r="Q324" s="235">
        <f>IFERROR(__xludf.DUMMYFUNCTION("""COMPUTED_VALUE"""),0.51)</f>
        <v>0.51</v>
      </c>
      <c r="R324" s="235">
        <f>IFERROR(__xludf.DUMMYFUNCTION("""COMPUTED_VALUE"""),1.0)</f>
        <v>1</v>
      </c>
      <c r="S324" s="235">
        <f>IFERROR(__xludf.DUMMYFUNCTION("""COMPUTED_VALUE"""),500.0)</f>
        <v>500</v>
      </c>
      <c r="T324" s="244" t="str">
        <f>IFERROR(__xludf.DUMMYFUNCTION("""COMPUTED_VALUE"""),"1.64")</f>
        <v>1.64</v>
      </c>
      <c r="U324" s="235" t="str">
        <f>IFERROR(__xludf.DUMMYFUNCTION("""COMPUTED_VALUE"""),"0.83")</f>
        <v>0.83</v>
      </c>
      <c r="V324" s="235">
        <f>IFERROR(__xludf.DUMMYFUNCTION("""COMPUTED_VALUE"""),100.0)</f>
        <v>100</v>
      </c>
      <c r="W324" s="235" t="str">
        <f>IFERROR(__xludf.DUMMYFUNCTION("""COMPUTED_VALUE"""),"2.50")</f>
        <v>2.50</v>
      </c>
      <c r="X324" s="235" t="str">
        <f>IFERROR(__xludf.DUMMYFUNCTION("""COMPUTED_VALUE"""),"1.33")</f>
        <v>1.33</v>
      </c>
      <c r="Y324" s="235"/>
      <c r="Z324" s="235">
        <f>IFERROR(__xludf.DUMMYFUNCTION("""COMPUTED_VALUE"""),7.0)</f>
        <v>7</v>
      </c>
      <c r="AA324" s="235"/>
      <c r="AB324" s="235" t="str">
        <f>IFERROR(__xludf.DUMMYFUNCTION("""COMPUTED_VALUE"""),"shageki_1")</f>
        <v>shageki_1</v>
      </c>
      <c r="AC324" s="235"/>
    </row>
    <row r="325">
      <c r="A325" s="235"/>
      <c r="B325" s="235" t="str">
        <f>IFERROR(__xludf.DUMMYFUNCTION("""COMPUTED_VALUE"""),"chara_spy_00101")</f>
        <v>chara_spy_00101</v>
      </c>
      <c r="C325" s="254" t="str">
        <f>IFERROR(__xludf.DUMMYFUNCTION("""COMPUTED_VALUE"""),"_general_h")</f>
        <v>_general_h</v>
      </c>
      <c r="D325" s="254" t="str">
        <f>IFERROR(__xludf.DUMMYFUNCTION("""COMPUTED_VALUE"""),"c_spy_00101_general_h_Boss_Blue")</f>
        <v>c_spy_00101_general_h_Boss_Blue</v>
      </c>
      <c r="E325" s="254" t="str">
        <f>IFERROR(__xludf.DUMMYFUNCTION("""COMPUTED_VALUE"""),"SPY×FAMILY")</f>
        <v>SPY×FAMILY</v>
      </c>
      <c r="F325" s="254" t="str">
        <f>IFERROR(__xludf.DUMMYFUNCTION("""COMPUTED_VALUE"""),"&lt;黄昏&gt; ロイド")</f>
        <v>&lt;黄昏&gt; ロイド</v>
      </c>
      <c r="G325" s="254" t="str">
        <f>IFERROR(__xludf.DUMMYFUNCTION("""COMPUTED_VALUE"""),"&lt;黄昏&gt; ロイド_general_h")</f>
        <v>&lt;黄昏&gt; ロイド_general_h</v>
      </c>
      <c r="H325" s="235" t="str">
        <f>IFERROR(__xludf.DUMMYFUNCTION("""COMPUTED_VALUE"""),"Boss")</f>
        <v>Boss</v>
      </c>
      <c r="I325" s="235" t="str">
        <f>IFERROR(__xludf.DUMMYFUNCTION("""COMPUTED_VALUE"""),"Attack")</f>
        <v>Attack</v>
      </c>
      <c r="J325" s="235" t="str">
        <f>IFERROR(__xludf.DUMMYFUNCTION("""COMPUTED_VALUE"""),"Blue")</f>
        <v>Blue</v>
      </c>
      <c r="K325" s="235">
        <f>IFERROR(__xludf.DUMMYFUNCTION("""COMPUTED_VALUE"""),10000.0)</f>
        <v>10000</v>
      </c>
      <c r="L325" s="235">
        <f>IFERROR(__xludf.DUMMYFUNCTION("""COMPUTED_VALUE"""),1.0)</f>
        <v>1</v>
      </c>
      <c r="M325" s="235">
        <f>IFERROR(__xludf.DUMMYFUNCTION("""COMPUTED_VALUE"""),31.0)</f>
        <v>31</v>
      </c>
      <c r="N325" s="235">
        <f>IFERROR(__xludf.DUMMYFUNCTION("""COMPUTED_VALUE"""),0.5)</f>
        <v>0.5</v>
      </c>
      <c r="O325" s="235">
        <f>IFERROR(__xludf.DUMMYFUNCTION("""COMPUTED_VALUE"""),50.0)</f>
        <v>50</v>
      </c>
      <c r="P325" s="235">
        <f>IFERROR(__xludf.DUMMYFUNCTION("""COMPUTED_VALUE"""),0.0)</f>
        <v>0</v>
      </c>
      <c r="Q325" s="235">
        <f>IFERROR(__xludf.DUMMYFUNCTION("""COMPUTED_VALUE"""),0.51)</f>
        <v>0.51</v>
      </c>
      <c r="R325" s="235">
        <f>IFERROR(__xludf.DUMMYFUNCTION("""COMPUTED_VALUE"""),1.0)</f>
        <v>1</v>
      </c>
      <c r="S325" s="235">
        <f>IFERROR(__xludf.DUMMYFUNCTION("""COMPUTED_VALUE"""),120.0)</f>
        <v>120</v>
      </c>
      <c r="T325" s="244" t="str">
        <f>IFERROR(__xludf.DUMMYFUNCTION("""COMPUTED_VALUE"""),"1.64")</f>
        <v>1.64</v>
      </c>
      <c r="U325" s="235" t="str">
        <f>IFERROR(__xludf.DUMMYFUNCTION("""COMPUTED_VALUE"""),"0.83")</f>
        <v>0.83</v>
      </c>
      <c r="V325" s="235">
        <f>IFERROR(__xludf.DUMMYFUNCTION("""COMPUTED_VALUE"""),100.0)</f>
        <v>100</v>
      </c>
      <c r="W325" s="235" t="str">
        <f>IFERROR(__xludf.DUMMYFUNCTION("""COMPUTED_VALUE"""),"2.50")</f>
        <v>2.50</v>
      </c>
      <c r="X325" s="235" t="str">
        <f>IFERROR(__xludf.DUMMYFUNCTION("""COMPUTED_VALUE"""),"1.33")</f>
        <v>1.33</v>
      </c>
      <c r="Y325" s="235"/>
      <c r="Z325" s="235">
        <f>IFERROR(__xludf.DUMMYFUNCTION("""COMPUTED_VALUE"""),5.0)</f>
        <v>5</v>
      </c>
      <c r="AA325" s="235"/>
      <c r="AB325" s="235" t="str">
        <f>IFERROR(__xludf.DUMMYFUNCTION("""COMPUTED_VALUE"""),"shageki_1")</f>
        <v>shageki_1</v>
      </c>
      <c r="AC325" s="235"/>
    </row>
    <row r="326">
      <c r="A326" s="235"/>
      <c r="B326" s="235" t="str">
        <f>IFERROR(__xludf.DUMMYFUNCTION("""COMPUTED_VALUE"""),"chara_spy_00101")</f>
        <v>chara_spy_00101</v>
      </c>
      <c r="C326" s="254" t="str">
        <f>IFERROR(__xludf.DUMMYFUNCTION("""COMPUTED_VALUE"""),"_general_vh")</f>
        <v>_general_vh</v>
      </c>
      <c r="D326" s="254" t="str">
        <f>IFERROR(__xludf.DUMMYFUNCTION("""COMPUTED_VALUE"""),"c_spy_00101_general_vh_Boss_Colorless")</f>
        <v>c_spy_00101_general_vh_Boss_Colorless</v>
      </c>
      <c r="E326" s="254" t="str">
        <f>IFERROR(__xludf.DUMMYFUNCTION("""COMPUTED_VALUE"""),"SPY×FAMILY")</f>
        <v>SPY×FAMILY</v>
      </c>
      <c r="F326" s="254" t="str">
        <f>IFERROR(__xludf.DUMMYFUNCTION("""COMPUTED_VALUE"""),"&lt;黄昏&gt; ロイド")</f>
        <v>&lt;黄昏&gt; ロイド</v>
      </c>
      <c r="G326" s="254" t="str">
        <f>IFERROR(__xludf.DUMMYFUNCTION("""COMPUTED_VALUE"""),"&lt;黄昏&gt; ロイド_general_vh")</f>
        <v>&lt;黄昏&gt; ロイド_general_vh</v>
      </c>
      <c r="H326" s="235" t="str">
        <f>IFERROR(__xludf.DUMMYFUNCTION("""COMPUTED_VALUE"""),"Boss")</f>
        <v>Boss</v>
      </c>
      <c r="I326" s="235" t="str">
        <f>IFERROR(__xludf.DUMMYFUNCTION("""COMPUTED_VALUE"""),"Attack")</f>
        <v>Attack</v>
      </c>
      <c r="J326" s="235" t="str">
        <f>IFERROR(__xludf.DUMMYFUNCTION("""COMPUTED_VALUE"""),"Colorless")</f>
        <v>Colorless</v>
      </c>
      <c r="K326" s="235">
        <f>IFERROR(__xludf.DUMMYFUNCTION("""COMPUTED_VALUE"""),10000.0)</f>
        <v>10000</v>
      </c>
      <c r="L326" s="235">
        <f>IFERROR(__xludf.DUMMYFUNCTION("""COMPUTED_VALUE"""),1.0)</f>
        <v>1</v>
      </c>
      <c r="M326" s="235">
        <f>IFERROR(__xludf.DUMMYFUNCTION("""COMPUTED_VALUE"""),31.0)</f>
        <v>31</v>
      </c>
      <c r="N326" s="235">
        <f>IFERROR(__xludf.DUMMYFUNCTION("""COMPUTED_VALUE"""),0.5)</f>
        <v>0.5</v>
      </c>
      <c r="O326" s="235">
        <f>IFERROR(__xludf.DUMMYFUNCTION("""COMPUTED_VALUE"""),100.0)</f>
        <v>100</v>
      </c>
      <c r="P326" s="235">
        <f>IFERROR(__xludf.DUMMYFUNCTION("""COMPUTED_VALUE"""),0.0)</f>
        <v>0</v>
      </c>
      <c r="Q326" s="235">
        <f>IFERROR(__xludf.DUMMYFUNCTION("""COMPUTED_VALUE"""),0.51)</f>
        <v>0.51</v>
      </c>
      <c r="R326" s="235">
        <f>IFERROR(__xludf.DUMMYFUNCTION("""COMPUTED_VALUE"""),1.0)</f>
        <v>1</v>
      </c>
      <c r="S326" s="235">
        <f>IFERROR(__xludf.DUMMYFUNCTION("""COMPUTED_VALUE"""),120.0)</f>
        <v>120</v>
      </c>
      <c r="T326" s="244" t="str">
        <f>IFERROR(__xludf.DUMMYFUNCTION("""COMPUTED_VALUE"""),"1.64")</f>
        <v>1.64</v>
      </c>
      <c r="U326" s="235" t="str">
        <f>IFERROR(__xludf.DUMMYFUNCTION("""COMPUTED_VALUE"""),"0.83")</f>
        <v>0.83</v>
      </c>
      <c r="V326" s="235">
        <f>IFERROR(__xludf.DUMMYFUNCTION("""COMPUTED_VALUE"""),100.0)</f>
        <v>100</v>
      </c>
      <c r="W326" s="235" t="str">
        <f>IFERROR(__xludf.DUMMYFUNCTION("""COMPUTED_VALUE"""),"2.50")</f>
        <v>2.50</v>
      </c>
      <c r="X326" s="235" t="str">
        <f>IFERROR(__xludf.DUMMYFUNCTION("""COMPUTED_VALUE"""),"1.33")</f>
        <v>1.33</v>
      </c>
      <c r="Y326" s="235"/>
      <c r="Z326" s="235">
        <f>IFERROR(__xludf.DUMMYFUNCTION("""COMPUTED_VALUE"""),5.0)</f>
        <v>5</v>
      </c>
      <c r="AA326" s="235"/>
      <c r="AB326" s="235" t="str">
        <f>IFERROR(__xludf.DUMMYFUNCTION("""COMPUTED_VALUE"""),"shageki_1")</f>
        <v>shageki_1</v>
      </c>
      <c r="AC326" s="235"/>
    </row>
    <row r="327">
      <c r="A327" s="235"/>
      <c r="B327" s="235" t="str">
        <f>IFERROR(__xludf.DUMMYFUNCTION("""COMPUTED_VALUE"""),"chara_spy_00101")</f>
        <v>chara_spy_00101</v>
      </c>
      <c r="C327" s="254" t="str">
        <f>IFERROR(__xludf.DUMMYFUNCTION("""COMPUTED_VALUE"""),"_general_vh")</f>
        <v>_general_vh</v>
      </c>
      <c r="D327" s="254" t="str">
        <f>IFERROR(__xludf.DUMMYFUNCTION("""COMPUTED_VALUE"""),"c_spy_00101_general_vh_Boss_Red")</f>
        <v>c_spy_00101_general_vh_Boss_Red</v>
      </c>
      <c r="E327" s="254" t="str">
        <f>IFERROR(__xludf.DUMMYFUNCTION("""COMPUTED_VALUE"""),"SPY×FAMILY")</f>
        <v>SPY×FAMILY</v>
      </c>
      <c r="F327" s="254" t="str">
        <f>IFERROR(__xludf.DUMMYFUNCTION("""COMPUTED_VALUE"""),"&lt;黄昏&gt; ロイド")</f>
        <v>&lt;黄昏&gt; ロイド</v>
      </c>
      <c r="G327" s="254" t="str">
        <f>IFERROR(__xludf.DUMMYFUNCTION("""COMPUTED_VALUE"""),"&lt;黄昏&gt; ロイド_general_vh")</f>
        <v>&lt;黄昏&gt; ロイド_general_vh</v>
      </c>
      <c r="H327" s="235" t="str">
        <f>IFERROR(__xludf.DUMMYFUNCTION("""COMPUTED_VALUE"""),"Boss")</f>
        <v>Boss</v>
      </c>
      <c r="I327" s="235" t="str">
        <f>IFERROR(__xludf.DUMMYFUNCTION("""COMPUTED_VALUE"""),"Attack")</f>
        <v>Attack</v>
      </c>
      <c r="J327" s="235" t="str">
        <f>IFERROR(__xludf.DUMMYFUNCTION("""COMPUTED_VALUE"""),"Red")</f>
        <v>Red</v>
      </c>
      <c r="K327" s="235">
        <f>IFERROR(__xludf.DUMMYFUNCTION("""COMPUTED_VALUE"""),10000.0)</f>
        <v>10000</v>
      </c>
      <c r="L327" s="235">
        <f>IFERROR(__xludf.DUMMYFUNCTION("""COMPUTED_VALUE"""),1.0)</f>
        <v>1</v>
      </c>
      <c r="M327" s="235">
        <f>IFERROR(__xludf.DUMMYFUNCTION("""COMPUTED_VALUE"""),31.0)</f>
        <v>31</v>
      </c>
      <c r="N327" s="235">
        <f>IFERROR(__xludf.DUMMYFUNCTION("""COMPUTED_VALUE"""),0.5)</f>
        <v>0.5</v>
      </c>
      <c r="O327" s="235">
        <f>IFERROR(__xludf.DUMMYFUNCTION("""COMPUTED_VALUE"""),100.0)</f>
        <v>100</v>
      </c>
      <c r="P327" s="235">
        <f>IFERROR(__xludf.DUMMYFUNCTION("""COMPUTED_VALUE"""),0.0)</f>
        <v>0</v>
      </c>
      <c r="Q327" s="235">
        <f>IFERROR(__xludf.DUMMYFUNCTION("""COMPUTED_VALUE"""),0.51)</f>
        <v>0.51</v>
      </c>
      <c r="R327" s="235">
        <f>IFERROR(__xludf.DUMMYFUNCTION("""COMPUTED_VALUE"""),1.0)</f>
        <v>1</v>
      </c>
      <c r="S327" s="235">
        <f>IFERROR(__xludf.DUMMYFUNCTION("""COMPUTED_VALUE"""),120.0)</f>
        <v>120</v>
      </c>
      <c r="T327" s="244" t="str">
        <f>IFERROR(__xludf.DUMMYFUNCTION("""COMPUTED_VALUE"""),"1.64")</f>
        <v>1.64</v>
      </c>
      <c r="U327" s="235" t="str">
        <f>IFERROR(__xludf.DUMMYFUNCTION("""COMPUTED_VALUE"""),"0.83")</f>
        <v>0.83</v>
      </c>
      <c r="V327" s="235">
        <f>IFERROR(__xludf.DUMMYFUNCTION("""COMPUTED_VALUE"""),100.0)</f>
        <v>100</v>
      </c>
      <c r="W327" s="235" t="str">
        <f>IFERROR(__xludf.DUMMYFUNCTION("""COMPUTED_VALUE"""),"2.50")</f>
        <v>2.50</v>
      </c>
      <c r="X327" s="235" t="str">
        <f>IFERROR(__xludf.DUMMYFUNCTION("""COMPUTED_VALUE"""),"1.33")</f>
        <v>1.33</v>
      </c>
      <c r="Y327" s="235"/>
      <c r="Z327" s="235">
        <f>IFERROR(__xludf.DUMMYFUNCTION("""COMPUTED_VALUE"""),5.0)</f>
        <v>5</v>
      </c>
      <c r="AA327" s="235"/>
      <c r="AB327" s="235" t="str">
        <f>IFERROR(__xludf.DUMMYFUNCTION("""COMPUTED_VALUE"""),"shageki_1")</f>
        <v>shageki_1</v>
      </c>
      <c r="AC327" s="235"/>
    </row>
    <row r="328">
      <c r="A328" s="235"/>
      <c r="B328" s="235" t="str">
        <f>IFERROR(__xludf.DUMMYFUNCTION("""COMPUTED_VALUE"""),"chara_spy_00101")</f>
        <v>chara_spy_00101</v>
      </c>
      <c r="C328" s="254" t="str">
        <f>IFERROR(__xludf.DUMMYFUNCTION("""COMPUTED_VALUE"""),"_general_vh")</f>
        <v>_general_vh</v>
      </c>
      <c r="D328" s="254" t="str">
        <f>IFERROR(__xludf.DUMMYFUNCTION("""COMPUTED_VALUE"""),"c_spy_00101_general_vh_Boss_Blue")</f>
        <v>c_spy_00101_general_vh_Boss_Blue</v>
      </c>
      <c r="E328" s="254" t="str">
        <f>IFERROR(__xludf.DUMMYFUNCTION("""COMPUTED_VALUE"""),"SPY×FAMILY")</f>
        <v>SPY×FAMILY</v>
      </c>
      <c r="F328" s="254" t="str">
        <f>IFERROR(__xludf.DUMMYFUNCTION("""COMPUTED_VALUE"""),"&lt;黄昏&gt; ロイド")</f>
        <v>&lt;黄昏&gt; ロイド</v>
      </c>
      <c r="G328" s="254" t="str">
        <f>IFERROR(__xludf.DUMMYFUNCTION("""COMPUTED_VALUE"""),"&lt;黄昏&gt; ロイド_general_vh")</f>
        <v>&lt;黄昏&gt; ロイド_general_vh</v>
      </c>
      <c r="H328" s="235" t="str">
        <f>IFERROR(__xludf.DUMMYFUNCTION("""COMPUTED_VALUE"""),"Boss")</f>
        <v>Boss</v>
      </c>
      <c r="I328" s="235" t="str">
        <f>IFERROR(__xludf.DUMMYFUNCTION("""COMPUTED_VALUE"""),"Attack")</f>
        <v>Attack</v>
      </c>
      <c r="J328" s="235" t="str">
        <f>IFERROR(__xludf.DUMMYFUNCTION("""COMPUTED_VALUE"""),"Blue")</f>
        <v>Blue</v>
      </c>
      <c r="K328" s="235">
        <f>IFERROR(__xludf.DUMMYFUNCTION("""COMPUTED_VALUE"""),10000.0)</f>
        <v>10000</v>
      </c>
      <c r="L328" s="235">
        <f>IFERROR(__xludf.DUMMYFUNCTION("""COMPUTED_VALUE"""),1.0)</f>
        <v>1</v>
      </c>
      <c r="M328" s="235">
        <f>IFERROR(__xludf.DUMMYFUNCTION("""COMPUTED_VALUE"""),31.0)</f>
        <v>31</v>
      </c>
      <c r="N328" s="235">
        <f>IFERROR(__xludf.DUMMYFUNCTION("""COMPUTED_VALUE"""),0.5)</f>
        <v>0.5</v>
      </c>
      <c r="O328" s="235">
        <f>IFERROR(__xludf.DUMMYFUNCTION("""COMPUTED_VALUE"""),100.0)</f>
        <v>100</v>
      </c>
      <c r="P328" s="235">
        <f>IFERROR(__xludf.DUMMYFUNCTION("""COMPUTED_VALUE"""),0.0)</f>
        <v>0</v>
      </c>
      <c r="Q328" s="235">
        <f>IFERROR(__xludf.DUMMYFUNCTION("""COMPUTED_VALUE"""),0.51)</f>
        <v>0.51</v>
      </c>
      <c r="R328" s="235">
        <f>IFERROR(__xludf.DUMMYFUNCTION("""COMPUTED_VALUE"""),1.0)</f>
        <v>1</v>
      </c>
      <c r="S328" s="235">
        <f>IFERROR(__xludf.DUMMYFUNCTION("""COMPUTED_VALUE"""),120.0)</f>
        <v>120</v>
      </c>
      <c r="T328" s="244" t="str">
        <f>IFERROR(__xludf.DUMMYFUNCTION("""COMPUTED_VALUE"""),"1.64")</f>
        <v>1.64</v>
      </c>
      <c r="U328" s="235" t="str">
        <f>IFERROR(__xludf.DUMMYFUNCTION("""COMPUTED_VALUE"""),"0.83")</f>
        <v>0.83</v>
      </c>
      <c r="V328" s="235">
        <f>IFERROR(__xludf.DUMMYFUNCTION("""COMPUTED_VALUE"""),100.0)</f>
        <v>100</v>
      </c>
      <c r="W328" s="235" t="str">
        <f>IFERROR(__xludf.DUMMYFUNCTION("""COMPUTED_VALUE"""),"2.50")</f>
        <v>2.50</v>
      </c>
      <c r="X328" s="235" t="str">
        <f>IFERROR(__xludf.DUMMYFUNCTION("""COMPUTED_VALUE"""),"1.33")</f>
        <v>1.33</v>
      </c>
      <c r="Y328" s="235"/>
      <c r="Z328" s="235">
        <f>IFERROR(__xludf.DUMMYFUNCTION("""COMPUTED_VALUE"""),5.0)</f>
        <v>5</v>
      </c>
      <c r="AA328" s="235"/>
      <c r="AB328" s="235" t="str">
        <f>IFERROR(__xludf.DUMMYFUNCTION("""COMPUTED_VALUE"""),"shageki_1")</f>
        <v>shageki_1</v>
      </c>
      <c r="AC328" s="235"/>
    </row>
    <row r="329">
      <c r="A329" s="235"/>
      <c r="B329" s="235" t="str">
        <f>IFERROR(__xludf.DUMMYFUNCTION("""COMPUTED_VALUE"""),"chara_spy_00401")</f>
        <v>chara_spy_00401</v>
      </c>
      <c r="C329" s="254" t="str">
        <f>IFERROR(__xludf.DUMMYFUNCTION("""COMPUTED_VALUE"""),"_general_n")</f>
        <v>_general_n</v>
      </c>
      <c r="D329" s="254" t="str">
        <f>IFERROR(__xludf.DUMMYFUNCTION("""COMPUTED_VALUE"""),"c_spy_00401_general_n_Boss_Colorless")</f>
        <v>c_spy_00401_general_n_Boss_Colorless</v>
      </c>
      <c r="E329" s="254" t="str">
        <f>IFERROR(__xludf.DUMMYFUNCTION("""COMPUTED_VALUE"""),"SPY×FAMILY")</f>
        <v>SPY×FAMILY</v>
      </c>
      <c r="F329" s="254" t="str">
        <f>IFERROR(__xludf.DUMMYFUNCTION("""COMPUTED_VALUE"""),"フランキー・フランクリン")</f>
        <v>フランキー・フランクリン</v>
      </c>
      <c r="G329" s="254" t="str">
        <f>IFERROR(__xludf.DUMMYFUNCTION("""COMPUTED_VALUE"""),"フランキー・フランクリン_general_n")</f>
        <v>フランキー・フランクリン_general_n</v>
      </c>
      <c r="H329" s="235" t="str">
        <f>IFERROR(__xludf.DUMMYFUNCTION("""COMPUTED_VALUE"""),"Boss")</f>
        <v>Boss</v>
      </c>
      <c r="I329" s="235" t="str">
        <f>IFERROR(__xludf.DUMMYFUNCTION("""COMPUTED_VALUE"""),"Defense")</f>
        <v>Defense</v>
      </c>
      <c r="J329" s="235" t="str">
        <f>IFERROR(__xludf.DUMMYFUNCTION("""COMPUTED_VALUE"""),"Colorless")</f>
        <v>Colorless</v>
      </c>
      <c r="K329" s="235">
        <f>IFERROR(__xludf.DUMMYFUNCTION("""COMPUTED_VALUE"""),10000.0)</f>
        <v>10000</v>
      </c>
      <c r="L329" s="235">
        <f>IFERROR(__xludf.DUMMYFUNCTION("""COMPUTED_VALUE"""),0.0)</f>
        <v>0</v>
      </c>
      <c r="M329" s="235">
        <f>IFERROR(__xludf.DUMMYFUNCTION("""COMPUTED_VALUE"""),31.0)</f>
        <v>31</v>
      </c>
      <c r="N329" s="235">
        <f>IFERROR(__xludf.DUMMYFUNCTION("""COMPUTED_VALUE"""),0.2)</f>
        <v>0.2</v>
      </c>
      <c r="O329" s="235">
        <f>IFERROR(__xludf.DUMMYFUNCTION("""COMPUTED_VALUE"""),50.0)</f>
        <v>50</v>
      </c>
      <c r="P329" s="235">
        <f>IFERROR(__xludf.DUMMYFUNCTION("""COMPUTED_VALUE"""),0.0)</f>
        <v>0</v>
      </c>
      <c r="Q329" s="235">
        <f>IFERROR(__xludf.DUMMYFUNCTION("""COMPUTED_VALUE"""),0.35)</f>
        <v>0.35</v>
      </c>
      <c r="R329" s="235">
        <f>IFERROR(__xludf.DUMMYFUNCTION("""COMPUTED_VALUE"""),1.0)</f>
        <v>1</v>
      </c>
      <c r="S329" s="235">
        <f>IFERROR(__xludf.DUMMYFUNCTION("""COMPUTED_VALUE"""),500.0)</f>
        <v>500</v>
      </c>
      <c r="T329" s="244" t="str">
        <f>IFERROR(__xludf.DUMMYFUNCTION("""COMPUTED_VALUE"""),"1.20")</f>
        <v>1.20</v>
      </c>
      <c r="U329" s="235" t="str">
        <f>IFERROR(__xludf.DUMMYFUNCTION("""COMPUTED_VALUE"""),"0.50")</f>
        <v>0.50</v>
      </c>
      <c r="V329" s="235">
        <f>IFERROR(__xludf.DUMMYFUNCTION("""COMPUTED_VALUE"""),100.0)</f>
        <v>100</v>
      </c>
      <c r="W329" s="235" t="str">
        <f>IFERROR(__xludf.DUMMYFUNCTION("""COMPUTED_VALUE"""),"2.75")</f>
        <v>2.75</v>
      </c>
      <c r="X329" s="235" t="str">
        <f>IFERROR(__xludf.DUMMYFUNCTION("""COMPUTED_VALUE"""),"1.34")</f>
        <v>1.34</v>
      </c>
      <c r="Y329" s="235"/>
      <c r="Z329" s="235" t="str">
        <f>IFERROR(__xludf.DUMMYFUNCTION("""COMPUTED_VALUE"""),"-")</f>
        <v>-</v>
      </c>
      <c r="AA329" s="235"/>
      <c r="AB329" s="235" t="str">
        <f>IFERROR(__xludf.DUMMYFUNCTION("""COMPUTED_VALUE"""),"dageki_2")</f>
        <v>dageki_2</v>
      </c>
      <c r="AC329" s="235"/>
    </row>
    <row r="330">
      <c r="A330" s="235"/>
      <c r="B330" s="235" t="str">
        <f>IFERROR(__xludf.DUMMYFUNCTION("""COMPUTED_VALUE"""),"chara_spy_00401")</f>
        <v>chara_spy_00401</v>
      </c>
      <c r="C330" s="254" t="str">
        <f>IFERROR(__xludf.DUMMYFUNCTION("""COMPUTED_VALUE"""),"_general_n")</f>
        <v>_general_n</v>
      </c>
      <c r="D330" s="254" t="str">
        <f>IFERROR(__xludf.DUMMYFUNCTION("""COMPUTED_VALUE"""),"c_spy_00401_general_n_Boss_Blue")</f>
        <v>c_spy_00401_general_n_Boss_Blue</v>
      </c>
      <c r="E330" s="254" t="str">
        <f>IFERROR(__xludf.DUMMYFUNCTION("""COMPUTED_VALUE"""),"SPY×FAMILY")</f>
        <v>SPY×FAMILY</v>
      </c>
      <c r="F330" s="254" t="str">
        <f>IFERROR(__xludf.DUMMYFUNCTION("""COMPUTED_VALUE"""),"フランキー・フランクリン")</f>
        <v>フランキー・フランクリン</v>
      </c>
      <c r="G330" s="254" t="str">
        <f>IFERROR(__xludf.DUMMYFUNCTION("""COMPUTED_VALUE"""),"フランキー・フランクリン_general_n")</f>
        <v>フランキー・フランクリン_general_n</v>
      </c>
      <c r="H330" s="235" t="str">
        <f>IFERROR(__xludf.DUMMYFUNCTION("""COMPUTED_VALUE"""),"Boss")</f>
        <v>Boss</v>
      </c>
      <c r="I330" s="235" t="str">
        <f>IFERROR(__xludf.DUMMYFUNCTION("""COMPUTED_VALUE"""),"Defense")</f>
        <v>Defense</v>
      </c>
      <c r="J330" s="235" t="str">
        <f>IFERROR(__xludf.DUMMYFUNCTION("""COMPUTED_VALUE"""),"Blue")</f>
        <v>Blue</v>
      </c>
      <c r="K330" s="235">
        <f>IFERROR(__xludf.DUMMYFUNCTION("""COMPUTED_VALUE"""),10000.0)</f>
        <v>10000</v>
      </c>
      <c r="L330" s="235">
        <f>IFERROR(__xludf.DUMMYFUNCTION("""COMPUTED_VALUE"""),0.0)</f>
        <v>0</v>
      </c>
      <c r="M330" s="235">
        <f>IFERROR(__xludf.DUMMYFUNCTION("""COMPUTED_VALUE"""),31.0)</f>
        <v>31</v>
      </c>
      <c r="N330" s="235">
        <f>IFERROR(__xludf.DUMMYFUNCTION("""COMPUTED_VALUE"""),0.2)</f>
        <v>0.2</v>
      </c>
      <c r="O330" s="235">
        <f>IFERROR(__xludf.DUMMYFUNCTION("""COMPUTED_VALUE"""),50.0)</f>
        <v>50</v>
      </c>
      <c r="P330" s="235">
        <f>IFERROR(__xludf.DUMMYFUNCTION("""COMPUTED_VALUE"""),0.0)</f>
        <v>0</v>
      </c>
      <c r="Q330" s="235">
        <f>IFERROR(__xludf.DUMMYFUNCTION("""COMPUTED_VALUE"""),0.35)</f>
        <v>0.35</v>
      </c>
      <c r="R330" s="235">
        <f>IFERROR(__xludf.DUMMYFUNCTION("""COMPUTED_VALUE"""),1.0)</f>
        <v>1</v>
      </c>
      <c r="S330" s="235">
        <f>IFERROR(__xludf.DUMMYFUNCTION("""COMPUTED_VALUE"""),500.0)</f>
        <v>500</v>
      </c>
      <c r="T330" s="244" t="str">
        <f>IFERROR(__xludf.DUMMYFUNCTION("""COMPUTED_VALUE"""),"1.20")</f>
        <v>1.20</v>
      </c>
      <c r="U330" s="235" t="str">
        <f>IFERROR(__xludf.DUMMYFUNCTION("""COMPUTED_VALUE"""),"0.50")</f>
        <v>0.50</v>
      </c>
      <c r="V330" s="235">
        <f>IFERROR(__xludf.DUMMYFUNCTION("""COMPUTED_VALUE"""),100.0)</f>
        <v>100</v>
      </c>
      <c r="W330" s="235" t="str">
        <f>IFERROR(__xludf.DUMMYFUNCTION("""COMPUTED_VALUE"""),"2.75")</f>
        <v>2.75</v>
      </c>
      <c r="X330" s="235" t="str">
        <f>IFERROR(__xludf.DUMMYFUNCTION("""COMPUTED_VALUE"""),"1.34")</f>
        <v>1.34</v>
      </c>
      <c r="Y330" s="235"/>
      <c r="Z330" s="235">
        <f>IFERROR(__xludf.DUMMYFUNCTION("""COMPUTED_VALUE"""),7.0)</f>
        <v>7</v>
      </c>
      <c r="AA330" s="235"/>
      <c r="AB330" s="235" t="str">
        <f>IFERROR(__xludf.DUMMYFUNCTION("""COMPUTED_VALUE"""),"dageki_2")</f>
        <v>dageki_2</v>
      </c>
      <c r="AC330" s="235"/>
    </row>
    <row r="331">
      <c r="A331" s="235"/>
      <c r="B331" s="235" t="str">
        <f>IFERROR(__xludf.DUMMYFUNCTION("""COMPUTED_VALUE"""),"chara_spy_00401")</f>
        <v>chara_spy_00401</v>
      </c>
      <c r="C331" s="254" t="str">
        <f>IFERROR(__xludf.DUMMYFUNCTION("""COMPUTED_VALUE"""),"_general_h")</f>
        <v>_general_h</v>
      </c>
      <c r="D331" s="254" t="str">
        <f>IFERROR(__xludf.DUMMYFUNCTION("""COMPUTED_VALUE"""),"c_spy_00401_general_h_Boss_Colorless")</f>
        <v>c_spy_00401_general_h_Boss_Colorless</v>
      </c>
      <c r="E331" s="254" t="str">
        <f>IFERROR(__xludf.DUMMYFUNCTION("""COMPUTED_VALUE"""),"SPY×FAMILY")</f>
        <v>SPY×FAMILY</v>
      </c>
      <c r="F331" s="254" t="str">
        <f>IFERROR(__xludf.DUMMYFUNCTION("""COMPUTED_VALUE"""),"フランキー・フランクリン")</f>
        <v>フランキー・フランクリン</v>
      </c>
      <c r="G331" s="254" t="str">
        <f>IFERROR(__xludf.DUMMYFUNCTION("""COMPUTED_VALUE"""),"フランキー・フランクリン_general_h")</f>
        <v>フランキー・フランクリン_general_h</v>
      </c>
      <c r="H331" s="235" t="str">
        <f>IFERROR(__xludf.DUMMYFUNCTION("""COMPUTED_VALUE"""),"Boss")</f>
        <v>Boss</v>
      </c>
      <c r="I331" s="235" t="str">
        <f>IFERROR(__xludf.DUMMYFUNCTION("""COMPUTED_VALUE"""),"Defense")</f>
        <v>Defense</v>
      </c>
      <c r="J331" s="235" t="str">
        <f>IFERROR(__xludf.DUMMYFUNCTION("""COMPUTED_VALUE"""),"Colorless")</f>
        <v>Colorless</v>
      </c>
      <c r="K331" s="235">
        <f>IFERROR(__xludf.DUMMYFUNCTION("""COMPUTED_VALUE"""),10000.0)</f>
        <v>10000</v>
      </c>
      <c r="L331" s="235">
        <f>IFERROR(__xludf.DUMMYFUNCTION("""COMPUTED_VALUE"""),0.0)</f>
        <v>0</v>
      </c>
      <c r="M331" s="235">
        <f>IFERROR(__xludf.DUMMYFUNCTION("""COMPUTED_VALUE"""),31.0)</f>
        <v>31</v>
      </c>
      <c r="N331" s="235">
        <f>IFERROR(__xludf.DUMMYFUNCTION("""COMPUTED_VALUE"""),0.2)</f>
        <v>0.2</v>
      </c>
      <c r="O331" s="235">
        <f>IFERROR(__xludf.DUMMYFUNCTION("""COMPUTED_VALUE"""),50.0)</f>
        <v>50</v>
      </c>
      <c r="P331" s="235">
        <f>IFERROR(__xludf.DUMMYFUNCTION("""COMPUTED_VALUE"""),0.0)</f>
        <v>0</v>
      </c>
      <c r="Q331" s="235">
        <f>IFERROR(__xludf.DUMMYFUNCTION("""COMPUTED_VALUE"""),0.35)</f>
        <v>0.35</v>
      </c>
      <c r="R331" s="235">
        <f>IFERROR(__xludf.DUMMYFUNCTION("""COMPUTED_VALUE"""),1.0)</f>
        <v>1</v>
      </c>
      <c r="S331" s="235">
        <f>IFERROR(__xludf.DUMMYFUNCTION("""COMPUTED_VALUE"""),120.0)</f>
        <v>120</v>
      </c>
      <c r="T331" s="244" t="str">
        <f>IFERROR(__xludf.DUMMYFUNCTION("""COMPUTED_VALUE"""),"1.20")</f>
        <v>1.20</v>
      </c>
      <c r="U331" s="235" t="str">
        <f>IFERROR(__xludf.DUMMYFUNCTION("""COMPUTED_VALUE"""),"0.50")</f>
        <v>0.50</v>
      </c>
      <c r="V331" s="235">
        <f>IFERROR(__xludf.DUMMYFUNCTION("""COMPUTED_VALUE"""),100.0)</f>
        <v>100</v>
      </c>
      <c r="W331" s="235" t="str">
        <f>IFERROR(__xludf.DUMMYFUNCTION("""COMPUTED_VALUE"""),"2.75")</f>
        <v>2.75</v>
      </c>
      <c r="X331" s="235" t="str">
        <f>IFERROR(__xludf.DUMMYFUNCTION("""COMPUTED_VALUE"""),"1.34")</f>
        <v>1.34</v>
      </c>
      <c r="Y331" s="235"/>
      <c r="Z331" s="235">
        <f>IFERROR(__xludf.DUMMYFUNCTION("""COMPUTED_VALUE"""),5.0)</f>
        <v>5</v>
      </c>
      <c r="AA331" s="235"/>
      <c r="AB331" s="235" t="str">
        <f>IFERROR(__xludf.DUMMYFUNCTION("""COMPUTED_VALUE"""),"dageki_2")</f>
        <v>dageki_2</v>
      </c>
      <c r="AC331" s="235"/>
    </row>
    <row r="332">
      <c r="A332" s="235"/>
      <c r="B332" s="235" t="str">
        <f>IFERROR(__xludf.DUMMYFUNCTION("""COMPUTED_VALUE"""),"chara_spy_00401")</f>
        <v>chara_spy_00401</v>
      </c>
      <c r="C332" s="254" t="str">
        <f>IFERROR(__xludf.DUMMYFUNCTION("""COMPUTED_VALUE"""),"_general_h")</f>
        <v>_general_h</v>
      </c>
      <c r="D332" s="254" t="str">
        <f>IFERROR(__xludf.DUMMYFUNCTION("""COMPUTED_VALUE"""),"c_spy_00401_general_h_Boss_Blue")</f>
        <v>c_spy_00401_general_h_Boss_Blue</v>
      </c>
      <c r="E332" s="254" t="str">
        <f>IFERROR(__xludf.DUMMYFUNCTION("""COMPUTED_VALUE"""),"SPY×FAMILY")</f>
        <v>SPY×FAMILY</v>
      </c>
      <c r="F332" s="254" t="str">
        <f>IFERROR(__xludf.DUMMYFUNCTION("""COMPUTED_VALUE"""),"フランキー・フランクリン")</f>
        <v>フランキー・フランクリン</v>
      </c>
      <c r="G332" s="254" t="str">
        <f>IFERROR(__xludf.DUMMYFUNCTION("""COMPUTED_VALUE"""),"フランキー・フランクリン_general_h")</f>
        <v>フランキー・フランクリン_general_h</v>
      </c>
      <c r="H332" s="235" t="str">
        <f>IFERROR(__xludf.DUMMYFUNCTION("""COMPUTED_VALUE"""),"Boss")</f>
        <v>Boss</v>
      </c>
      <c r="I332" s="235" t="str">
        <f>IFERROR(__xludf.DUMMYFUNCTION("""COMPUTED_VALUE"""),"Defense")</f>
        <v>Defense</v>
      </c>
      <c r="J332" s="235" t="str">
        <f>IFERROR(__xludf.DUMMYFUNCTION("""COMPUTED_VALUE"""),"Blue")</f>
        <v>Blue</v>
      </c>
      <c r="K332" s="235">
        <f>IFERROR(__xludf.DUMMYFUNCTION("""COMPUTED_VALUE"""),10000.0)</f>
        <v>10000</v>
      </c>
      <c r="L332" s="235">
        <f>IFERROR(__xludf.DUMMYFUNCTION("""COMPUTED_VALUE"""),0.0)</f>
        <v>0</v>
      </c>
      <c r="M332" s="235">
        <f>IFERROR(__xludf.DUMMYFUNCTION("""COMPUTED_VALUE"""),31.0)</f>
        <v>31</v>
      </c>
      <c r="N332" s="235">
        <f>IFERROR(__xludf.DUMMYFUNCTION("""COMPUTED_VALUE"""),0.2)</f>
        <v>0.2</v>
      </c>
      <c r="O332" s="235">
        <f>IFERROR(__xludf.DUMMYFUNCTION("""COMPUTED_VALUE"""),50.0)</f>
        <v>50</v>
      </c>
      <c r="P332" s="235">
        <f>IFERROR(__xludf.DUMMYFUNCTION("""COMPUTED_VALUE"""),0.0)</f>
        <v>0</v>
      </c>
      <c r="Q332" s="235">
        <f>IFERROR(__xludf.DUMMYFUNCTION("""COMPUTED_VALUE"""),0.35)</f>
        <v>0.35</v>
      </c>
      <c r="R332" s="235">
        <f>IFERROR(__xludf.DUMMYFUNCTION("""COMPUTED_VALUE"""),1.0)</f>
        <v>1</v>
      </c>
      <c r="S332" s="235">
        <f>IFERROR(__xludf.DUMMYFUNCTION("""COMPUTED_VALUE"""),120.0)</f>
        <v>120</v>
      </c>
      <c r="T332" s="244" t="str">
        <f>IFERROR(__xludf.DUMMYFUNCTION("""COMPUTED_VALUE"""),"1.20")</f>
        <v>1.20</v>
      </c>
      <c r="U332" s="235" t="str">
        <f>IFERROR(__xludf.DUMMYFUNCTION("""COMPUTED_VALUE"""),"0.50")</f>
        <v>0.50</v>
      </c>
      <c r="V332" s="235">
        <f>IFERROR(__xludf.DUMMYFUNCTION("""COMPUTED_VALUE"""),100.0)</f>
        <v>100</v>
      </c>
      <c r="W332" s="235" t="str">
        <f>IFERROR(__xludf.DUMMYFUNCTION("""COMPUTED_VALUE"""),"2.75")</f>
        <v>2.75</v>
      </c>
      <c r="X332" s="235" t="str">
        <f>IFERROR(__xludf.DUMMYFUNCTION("""COMPUTED_VALUE"""),"1.34")</f>
        <v>1.34</v>
      </c>
      <c r="Y332" s="235"/>
      <c r="Z332" s="235">
        <f>IFERROR(__xludf.DUMMYFUNCTION("""COMPUTED_VALUE"""),5.0)</f>
        <v>5</v>
      </c>
      <c r="AA332" s="235"/>
      <c r="AB332" s="235" t="str">
        <f>IFERROR(__xludf.DUMMYFUNCTION("""COMPUTED_VALUE"""),"dageki_2")</f>
        <v>dageki_2</v>
      </c>
      <c r="AC332" s="235"/>
    </row>
    <row r="333">
      <c r="A333" s="235"/>
      <c r="B333" s="235" t="str">
        <f>IFERROR(__xludf.DUMMYFUNCTION("""COMPUTED_VALUE"""),"chara_spy_00401")</f>
        <v>chara_spy_00401</v>
      </c>
      <c r="C333" s="254" t="str">
        <f>IFERROR(__xludf.DUMMYFUNCTION("""COMPUTED_VALUE"""),"_general_vh")</f>
        <v>_general_vh</v>
      </c>
      <c r="D333" s="254" t="str">
        <f>IFERROR(__xludf.DUMMYFUNCTION("""COMPUTED_VALUE"""),"c_spy_00401_general_vh_Boss_Green")</f>
        <v>c_spy_00401_general_vh_Boss_Green</v>
      </c>
      <c r="E333" s="254" t="str">
        <f>IFERROR(__xludf.DUMMYFUNCTION("""COMPUTED_VALUE"""),"SPY×FAMILY")</f>
        <v>SPY×FAMILY</v>
      </c>
      <c r="F333" s="254" t="str">
        <f>IFERROR(__xludf.DUMMYFUNCTION("""COMPUTED_VALUE"""),"フランキー・フランクリン")</f>
        <v>フランキー・フランクリン</v>
      </c>
      <c r="G333" s="254" t="str">
        <f>IFERROR(__xludf.DUMMYFUNCTION("""COMPUTED_VALUE"""),"フランキー・フランクリン_general_vh")</f>
        <v>フランキー・フランクリン_general_vh</v>
      </c>
      <c r="H333" s="235" t="str">
        <f>IFERROR(__xludf.DUMMYFUNCTION("""COMPUTED_VALUE"""),"Boss")</f>
        <v>Boss</v>
      </c>
      <c r="I333" s="235" t="str">
        <f>IFERROR(__xludf.DUMMYFUNCTION("""COMPUTED_VALUE"""),"Defense")</f>
        <v>Defense</v>
      </c>
      <c r="J333" s="235" t="str">
        <f>IFERROR(__xludf.DUMMYFUNCTION("""COMPUTED_VALUE"""),"Green")</f>
        <v>Green</v>
      </c>
      <c r="K333" s="235">
        <f>IFERROR(__xludf.DUMMYFUNCTION("""COMPUTED_VALUE"""),10000.0)</f>
        <v>10000</v>
      </c>
      <c r="L333" s="235">
        <f>IFERROR(__xludf.DUMMYFUNCTION("""COMPUTED_VALUE"""),0.0)</f>
        <v>0</v>
      </c>
      <c r="M333" s="235">
        <f>IFERROR(__xludf.DUMMYFUNCTION("""COMPUTED_VALUE"""),31.0)</f>
        <v>31</v>
      </c>
      <c r="N333" s="235">
        <f>IFERROR(__xludf.DUMMYFUNCTION("""COMPUTED_VALUE"""),0.2)</f>
        <v>0.2</v>
      </c>
      <c r="O333" s="235">
        <f>IFERROR(__xludf.DUMMYFUNCTION("""COMPUTED_VALUE"""),100.0)</f>
        <v>100</v>
      </c>
      <c r="P333" s="235">
        <f>IFERROR(__xludf.DUMMYFUNCTION("""COMPUTED_VALUE"""),0.0)</f>
        <v>0</v>
      </c>
      <c r="Q333" s="235">
        <f>IFERROR(__xludf.DUMMYFUNCTION("""COMPUTED_VALUE"""),0.35)</f>
        <v>0.35</v>
      </c>
      <c r="R333" s="235">
        <f>IFERROR(__xludf.DUMMYFUNCTION("""COMPUTED_VALUE"""),1.0)</f>
        <v>1</v>
      </c>
      <c r="S333" s="235">
        <f>IFERROR(__xludf.DUMMYFUNCTION("""COMPUTED_VALUE"""),120.0)</f>
        <v>120</v>
      </c>
      <c r="T333" s="244" t="str">
        <f>IFERROR(__xludf.DUMMYFUNCTION("""COMPUTED_VALUE"""),"1.20")</f>
        <v>1.20</v>
      </c>
      <c r="U333" s="235" t="str">
        <f>IFERROR(__xludf.DUMMYFUNCTION("""COMPUTED_VALUE"""),"0.50")</f>
        <v>0.50</v>
      </c>
      <c r="V333" s="235">
        <f>IFERROR(__xludf.DUMMYFUNCTION("""COMPUTED_VALUE"""),100.0)</f>
        <v>100</v>
      </c>
      <c r="W333" s="235" t="str">
        <f>IFERROR(__xludf.DUMMYFUNCTION("""COMPUTED_VALUE"""),"2.75")</f>
        <v>2.75</v>
      </c>
      <c r="X333" s="235" t="str">
        <f>IFERROR(__xludf.DUMMYFUNCTION("""COMPUTED_VALUE"""),"1.34")</f>
        <v>1.34</v>
      </c>
      <c r="Y333" s="235"/>
      <c r="Z333" s="235">
        <f>IFERROR(__xludf.DUMMYFUNCTION("""COMPUTED_VALUE"""),5.0)</f>
        <v>5</v>
      </c>
      <c r="AA333" s="235"/>
      <c r="AB333" s="235" t="str">
        <f>IFERROR(__xludf.DUMMYFUNCTION("""COMPUTED_VALUE"""),"dageki_2")</f>
        <v>dageki_2</v>
      </c>
      <c r="AC333" s="235"/>
    </row>
    <row r="334">
      <c r="A334" s="235"/>
      <c r="B334" s="235" t="str">
        <f>IFERROR(__xludf.DUMMYFUNCTION("""COMPUTED_VALUE"""),"chara_spy_00401")</f>
        <v>chara_spy_00401</v>
      </c>
      <c r="C334" s="254" t="str">
        <f>IFERROR(__xludf.DUMMYFUNCTION("""COMPUTED_VALUE"""),"_general_vh")</f>
        <v>_general_vh</v>
      </c>
      <c r="D334" s="254" t="str">
        <f>IFERROR(__xludf.DUMMYFUNCTION("""COMPUTED_VALUE"""),"c_spy_00401_general_vh_Boss_Blue")</f>
        <v>c_spy_00401_general_vh_Boss_Blue</v>
      </c>
      <c r="E334" s="254" t="str">
        <f>IFERROR(__xludf.DUMMYFUNCTION("""COMPUTED_VALUE"""),"SPY×FAMILY")</f>
        <v>SPY×FAMILY</v>
      </c>
      <c r="F334" s="254" t="str">
        <f>IFERROR(__xludf.DUMMYFUNCTION("""COMPUTED_VALUE"""),"フランキー・フランクリン")</f>
        <v>フランキー・フランクリン</v>
      </c>
      <c r="G334" s="254" t="str">
        <f>IFERROR(__xludf.DUMMYFUNCTION("""COMPUTED_VALUE"""),"フランキー・フランクリン_general_vh")</f>
        <v>フランキー・フランクリン_general_vh</v>
      </c>
      <c r="H334" s="235" t="str">
        <f>IFERROR(__xludf.DUMMYFUNCTION("""COMPUTED_VALUE"""),"Boss")</f>
        <v>Boss</v>
      </c>
      <c r="I334" s="235" t="str">
        <f>IFERROR(__xludf.DUMMYFUNCTION("""COMPUTED_VALUE"""),"Defense")</f>
        <v>Defense</v>
      </c>
      <c r="J334" s="235" t="str">
        <f>IFERROR(__xludf.DUMMYFUNCTION("""COMPUTED_VALUE"""),"Blue")</f>
        <v>Blue</v>
      </c>
      <c r="K334" s="235">
        <f>IFERROR(__xludf.DUMMYFUNCTION("""COMPUTED_VALUE"""),10000.0)</f>
        <v>10000</v>
      </c>
      <c r="L334" s="235">
        <f>IFERROR(__xludf.DUMMYFUNCTION("""COMPUTED_VALUE"""),0.0)</f>
        <v>0</v>
      </c>
      <c r="M334" s="235">
        <f>IFERROR(__xludf.DUMMYFUNCTION("""COMPUTED_VALUE"""),31.0)</f>
        <v>31</v>
      </c>
      <c r="N334" s="235">
        <f>IFERROR(__xludf.DUMMYFUNCTION("""COMPUTED_VALUE"""),0.2)</f>
        <v>0.2</v>
      </c>
      <c r="O334" s="235">
        <f>IFERROR(__xludf.DUMMYFUNCTION("""COMPUTED_VALUE"""),100.0)</f>
        <v>100</v>
      </c>
      <c r="P334" s="235">
        <f>IFERROR(__xludf.DUMMYFUNCTION("""COMPUTED_VALUE"""),0.0)</f>
        <v>0</v>
      </c>
      <c r="Q334" s="235">
        <f>IFERROR(__xludf.DUMMYFUNCTION("""COMPUTED_VALUE"""),0.35)</f>
        <v>0.35</v>
      </c>
      <c r="R334" s="235">
        <f>IFERROR(__xludf.DUMMYFUNCTION("""COMPUTED_VALUE"""),1.0)</f>
        <v>1</v>
      </c>
      <c r="S334" s="235">
        <f>IFERROR(__xludf.DUMMYFUNCTION("""COMPUTED_VALUE"""),120.0)</f>
        <v>120</v>
      </c>
      <c r="T334" s="244" t="str">
        <f>IFERROR(__xludf.DUMMYFUNCTION("""COMPUTED_VALUE"""),"1.20")</f>
        <v>1.20</v>
      </c>
      <c r="U334" s="235" t="str">
        <f>IFERROR(__xludf.DUMMYFUNCTION("""COMPUTED_VALUE"""),"0.50")</f>
        <v>0.50</v>
      </c>
      <c r="V334" s="235">
        <f>IFERROR(__xludf.DUMMYFUNCTION("""COMPUTED_VALUE"""),100.0)</f>
        <v>100</v>
      </c>
      <c r="W334" s="235" t="str">
        <f>IFERROR(__xludf.DUMMYFUNCTION("""COMPUTED_VALUE"""),"2.75")</f>
        <v>2.75</v>
      </c>
      <c r="X334" s="235" t="str">
        <f>IFERROR(__xludf.DUMMYFUNCTION("""COMPUTED_VALUE"""),"1.34")</f>
        <v>1.34</v>
      </c>
      <c r="Y334" s="235"/>
      <c r="Z334" s="235">
        <f>IFERROR(__xludf.DUMMYFUNCTION("""COMPUTED_VALUE"""),5.0)</f>
        <v>5</v>
      </c>
      <c r="AA334" s="235"/>
      <c r="AB334" s="235" t="str">
        <f>IFERROR(__xludf.DUMMYFUNCTION("""COMPUTED_VALUE"""),"dageki_2")</f>
        <v>dageki_2</v>
      </c>
      <c r="AC334" s="235"/>
    </row>
    <row r="335">
      <c r="A335" s="235"/>
      <c r="B335" s="235" t="str">
        <f>IFERROR(__xludf.DUMMYFUNCTION("""COMPUTED_VALUE"""),"chara_spy_00201")</f>
        <v>chara_spy_00201</v>
      </c>
      <c r="C335" s="254" t="str">
        <f>IFERROR(__xludf.DUMMYFUNCTION("""COMPUTED_VALUE"""),"_generalv_vh")</f>
        <v>_generalv_vh</v>
      </c>
      <c r="D335" s="254" t="str">
        <f>IFERROR(__xludf.DUMMYFUNCTION("""COMPUTED_VALUE"""),"c_spy_00201_generalv_vh_Normal_Blue")</f>
        <v>c_spy_00201_generalv_vh_Normal_Blue</v>
      </c>
      <c r="E335" s="254" t="str">
        <f>IFERROR(__xludf.DUMMYFUNCTION("""COMPUTED_VALUE"""),"SPY×FAMILY")</f>
        <v>SPY×FAMILY</v>
      </c>
      <c r="F335" s="254" t="str">
        <f>IFERROR(__xludf.DUMMYFUNCTION("""COMPUTED_VALUE"""),"&lt;いばら姫&gt; ヨル")</f>
        <v>&lt;いばら姫&gt; ヨル</v>
      </c>
      <c r="G335" s="254" t="str">
        <f>IFERROR(__xludf.DUMMYFUNCTION("""COMPUTED_VALUE"""),"&lt;いばら姫&gt; ヨル_generalv_vh")</f>
        <v>&lt;いばら姫&gt; ヨル_generalv_vh</v>
      </c>
      <c r="H335" s="235" t="str">
        <f>IFERROR(__xludf.DUMMYFUNCTION("""COMPUTED_VALUE"""),"Normal")</f>
        <v>Normal</v>
      </c>
      <c r="I335" s="235" t="str">
        <f>IFERROR(__xludf.DUMMYFUNCTION("""COMPUTED_VALUE"""),"Attack")</f>
        <v>Attack</v>
      </c>
      <c r="J335" s="235" t="str">
        <f>IFERROR(__xludf.DUMMYFUNCTION("""COMPUTED_VALUE"""),"Blue")</f>
        <v>Blue</v>
      </c>
      <c r="K335" s="235">
        <f>IFERROR(__xludf.DUMMYFUNCTION("""COMPUTED_VALUE"""),10000.0)</f>
        <v>10000</v>
      </c>
      <c r="L335" s="235">
        <f>IFERROR(__xludf.DUMMYFUNCTION("""COMPUTED_VALUE"""),1.0)</f>
        <v>1</v>
      </c>
      <c r="M335" s="235">
        <f>IFERROR(__xludf.DUMMYFUNCTION("""COMPUTED_VALUE"""),65.0)</f>
        <v>65</v>
      </c>
      <c r="N335" s="235">
        <f>IFERROR(__xludf.DUMMYFUNCTION("""COMPUTED_VALUE"""),0.25)</f>
        <v>0.25</v>
      </c>
      <c r="O335" s="235">
        <f>IFERROR(__xludf.DUMMYFUNCTION("""COMPUTED_VALUE"""),100.0)</f>
        <v>100</v>
      </c>
      <c r="P335" s="235">
        <f>IFERROR(__xludf.DUMMYFUNCTION("""COMPUTED_VALUE"""),0.0)</f>
        <v>0</v>
      </c>
      <c r="Q335" s="235">
        <f>IFERROR(__xludf.DUMMYFUNCTION("""COMPUTED_VALUE"""),0.35)</f>
        <v>0.35</v>
      </c>
      <c r="R335" s="235">
        <f>IFERROR(__xludf.DUMMYFUNCTION("""COMPUTED_VALUE"""),1.0)</f>
        <v>1</v>
      </c>
      <c r="S335" s="235">
        <f>IFERROR(__xludf.DUMMYFUNCTION("""COMPUTED_VALUE"""),500.0)</f>
        <v>500</v>
      </c>
      <c r="T335" s="244" t="str">
        <f>IFERROR(__xludf.DUMMYFUNCTION("""COMPUTED_VALUE"""),"1.42")</f>
        <v>1.42</v>
      </c>
      <c r="U335" s="235" t="str">
        <f>IFERROR(__xludf.DUMMYFUNCTION("""COMPUTED_VALUE"""),"stop無:1回目 0.61")</f>
        <v>stop無:1回目 0.61</v>
      </c>
      <c r="V335" s="235">
        <f>IFERROR(__xludf.DUMMYFUNCTION("""COMPUTED_VALUE"""),100.0)</f>
        <v>100</v>
      </c>
      <c r="W335" s="235" t="str">
        <f>IFERROR(__xludf.DUMMYFUNCTION("""COMPUTED_VALUE"""),"2.50")</f>
        <v>2.50</v>
      </c>
      <c r="X335" s="235" t="str">
        <f>IFERROR(__xludf.DUMMYFUNCTION("""COMPUTED_VALUE"""),"stop有:1回目 0.73")</f>
        <v>stop有:1回目 0.73</v>
      </c>
      <c r="Y335" s="235"/>
      <c r="Z335" s="235">
        <f>IFERROR(__xludf.DUMMYFUNCTION("""COMPUTED_VALUE"""),6.0)</f>
        <v>6</v>
      </c>
      <c r="AA335" s="235"/>
      <c r="AB335" s="235" t="str">
        <f>IFERROR(__xludf.DUMMYFUNCTION("""COMPUTED_VALUE"""),"zangeki_1")</f>
        <v>zangeki_1</v>
      </c>
      <c r="AC335" s="235"/>
    </row>
    <row r="336">
      <c r="A336" s="235"/>
      <c r="B336" s="235" t="str">
        <f>IFERROR(__xludf.DUMMYFUNCTION("""COMPUTED_VALUE"""),"chara_spy_00201")</f>
        <v>chara_spy_00201</v>
      </c>
      <c r="C336" s="254" t="str">
        <f>IFERROR(__xludf.DUMMYFUNCTION("""COMPUTED_VALUE"""),"_general_n")</f>
        <v>_general_n</v>
      </c>
      <c r="D336" s="254" t="str">
        <f>IFERROR(__xludf.DUMMYFUNCTION("""COMPUTED_VALUE"""),"c_spy_00201_general_n_Boss_Colorless")</f>
        <v>c_spy_00201_general_n_Boss_Colorless</v>
      </c>
      <c r="E336" s="254" t="str">
        <f>IFERROR(__xludf.DUMMYFUNCTION("""COMPUTED_VALUE"""),"SPY×FAMILY")</f>
        <v>SPY×FAMILY</v>
      </c>
      <c r="F336" s="254" t="str">
        <f>IFERROR(__xludf.DUMMYFUNCTION("""COMPUTED_VALUE"""),"&lt;いばら姫&gt; ヨル")</f>
        <v>&lt;いばら姫&gt; ヨル</v>
      </c>
      <c r="G336" s="254" t="str">
        <f>IFERROR(__xludf.DUMMYFUNCTION("""COMPUTED_VALUE"""),"&lt;いばら姫&gt; ヨル_general_n")</f>
        <v>&lt;いばら姫&gt; ヨル_general_n</v>
      </c>
      <c r="H336" s="235" t="str">
        <f>IFERROR(__xludf.DUMMYFUNCTION("""COMPUTED_VALUE"""),"Boss")</f>
        <v>Boss</v>
      </c>
      <c r="I336" s="235" t="str">
        <f>IFERROR(__xludf.DUMMYFUNCTION("""COMPUTED_VALUE"""),"Attack")</f>
        <v>Attack</v>
      </c>
      <c r="J336" s="235" t="str">
        <f>IFERROR(__xludf.DUMMYFUNCTION("""COMPUTED_VALUE"""),"Colorless")</f>
        <v>Colorless</v>
      </c>
      <c r="K336" s="235">
        <f>IFERROR(__xludf.DUMMYFUNCTION("""COMPUTED_VALUE"""),10000.0)</f>
        <v>10000</v>
      </c>
      <c r="L336" s="235">
        <f>IFERROR(__xludf.DUMMYFUNCTION("""COMPUTED_VALUE"""),1.0)</f>
        <v>1</v>
      </c>
      <c r="M336" s="235">
        <f>IFERROR(__xludf.DUMMYFUNCTION("""COMPUTED_VALUE"""),45.0)</f>
        <v>45</v>
      </c>
      <c r="N336" s="235">
        <f>IFERROR(__xludf.DUMMYFUNCTION("""COMPUTED_VALUE"""),0.25)</f>
        <v>0.25</v>
      </c>
      <c r="O336" s="235">
        <f>IFERROR(__xludf.DUMMYFUNCTION("""COMPUTED_VALUE"""),50.0)</f>
        <v>50</v>
      </c>
      <c r="P336" s="235">
        <f>IFERROR(__xludf.DUMMYFUNCTION("""COMPUTED_VALUE"""),0.0)</f>
        <v>0</v>
      </c>
      <c r="Q336" s="235">
        <f>IFERROR(__xludf.DUMMYFUNCTION("""COMPUTED_VALUE"""),0.35)</f>
        <v>0.35</v>
      </c>
      <c r="R336" s="235">
        <f>IFERROR(__xludf.DUMMYFUNCTION("""COMPUTED_VALUE"""),1.0)</f>
        <v>1</v>
      </c>
      <c r="S336" s="235">
        <f>IFERROR(__xludf.DUMMYFUNCTION("""COMPUTED_VALUE"""),500.0)</f>
        <v>500</v>
      </c>
      <c r="T336" s="244" t="str">
        <f>IFERROR(__xludf.DUMMYFUNCTION("""COMPUTED_VALUE"""),"1.42")</f>
        <v>1.42</v>
      </c>
      <c r="U336" s="235" t="str">
        <f>IFERROR(__xludf.DUMMYFUNCTION("""COMPUTED_VALUE"""),"stop無:1回目 0.61")</f>
        <v>stop無:1回目 0.61</v>
      </c>
      <c r="V336" s="235">
        <f>IFERROR(__xludf.DUMMYFUNCTION("""COMPUTED_VALUE"""),100.0)</f>
        <v>100</v>
      </c>
      <c r="W336" s="235" t="str">
        <f>IFERROR(__xludf.DUMMYFUNCTION("""COMPUTED_VALUE"""),"2.50")</f>
        <v>2.50</v>
      </c>
      <c r="X336" s="235" t="str">
        <f>IFERROR(__xludf.DUMMYFUNCTION("""COMPUTED_VALUE"""),"stop有:1回目 0.73")</f>
        <v>stop有:1回目 0.73</v>
      </c>
      <c r="Y336" s="235"/>
      <c r="Z336" s="235">
        <f>IFERROR(__xludf.DUMMYFUNCTION("""COMPUTED_VALUE"""),6.0)</f>
        <v>6</v>
      </c>
      <c r="AA336" s="235"/>
      <c r="AB336" s="235" t="str">
        <f>IFERROR(__xludf.DUMMYFUNCTION("""COMPUTED_VALUE"""),"zangeki_1")</f>
        <v>zangeki_1</v>
      </c>
      <c r="AC336" s="235"/>
    </row>
    <row r="337">
      <c r="A337" s="235"/>
      <c r="B337" s="235" t="str">
        <f>IFERROR(__xludf.DUMMYFUNCTION("""COMPUTED_VALUE"""),"chara_spy_00201")</f>
        <v>chara_spy_00201</v>
      </c>
      <c r="C337" s="254" t="str">
        <f>IFERROR(__xludf.DUMMYFUNCTION("""COMPUTED_VALUE"""),"_general_n")</f>
        <v>_general_n</v>
      </c>
      <c r="D337" s="254" t="str">
        <f>IFERROR(__xludf.DUMMYFUNCTION("""COMPUTED_VALUE"""),"c_spy_00201_general_n_Boss_Red")</f>
        <v>c_spy_00201_general_n_Boss_Red</v>
      </c>
      <c r="E337" s="254" t="str">
        <f>IFERROR(__xludf.DUMMYFUNCTION("""COMPUTED_VALUE"""),"SPY×FAMILY")</f>
        <v>SPY×FAMILY</v>
      </c>
      <c r="F337" s="254" t="str">
        <f>IFERROR(__xludf.DUMMYFUNCTION("""COMPUTED_VALUE"""),"&lt;いばら姫&gt; ヨル")</f>
        <v>&lt;いばら姫&gt; ヨル</v>
      </c>
      <c r="G337" s="254" t="str">
        <f>IFERROR(__xludf.DUMMYFUNCTION("""COMPUTED_VALUE"""),"&lt;いばら姫&gt; ヨル_general_n")</f>
        <v>&lt;いばら姫&gt; ヨル_general_n</v>
      </c>
      <c r="H337" s="235" t="str">
        <f>IFERROR(__xludf.DUMMYFUNCTION("""COMPUTED_VALUE"""),"Boss")</f>
        <v>Boss</v>
      </c>
      <c r="I337" s="235" t="str">
        <f>IFERROR(__xludf.DUMMYFUNCTION("""COMPUTED_VALUE"""),"Attack")</f>
        <v>Attack</v>
      </c>
      <c r="J337" s="235" t="str">
        <f>IFERROR(__xludf.DUMMYFUNCTION("""COMPUTED_VALUE"""),"Red")</f>
        <v>Red</v>
      </c>
      <c r="K337" s="235">
        <f>IFERROR(__xludf.DUMMYFUNCTION("""COMPUTED_VALUE"""),10000.0)</f>
        <v>10000</v>
      </c>
      <c r="L337" s="235">
        <f>IFERROR(__xludf.DUMMYFUNCTION("""COMPUTED_VALUE"""),1.0)</f>
        <v>1</v>
      </c>
      <c r="M337" s="235">
        <f>IFERROR(__xludf.DUMMYFUNCTION("""COMPUTED_VALUE"""),45.0)</f>
        <v>45</v>
      </c>
      <c r="N337" s="235">
        <f>IFERROR(__xludf.DUMMYFUNCTION("""COMPUTED_VALUE"""),0.25)</f>
        <v>0.25</v>
      </c>
      <c r="O337" s="235">
        <f>IFERROR(__xludf.DUMMYFUNCTION("""COMPUTED_VALUE"""),50.0)</f>
        <v>50</v>
      </c>
      <c r="P337" s="235">
        <f>IFERROR(__xludf.DUMMYFUNCTION("""COMPUTED_VALUE"""),0.0)</f>
        <v>0</v>
      </c>
      <c r="Q337" s="235">
        <f>IFERROR(__xludf.DUMMYFUNCTION("""COMPUTED_VALUE"""),0.35)</f>
        <v>0.35</v>
      </c>
      <c r="R337" s="235">
        <f>IFERROR(__xludf.DUMMYFUNCTION("""COMPUTED_VALUE"""),1.0)</f>
        <v>1</v>
      </c>
      <c r="S337" s="235">
        <f>IFERROR(__xludf.DUMMYFUNCTION("""COMPUTED_VALUE"""),500.0)</f>
        <v>500</v>
      </c>
      <c r="T337" s="244" t="str">
        <f>IFERROR(__xludf.DUMMYFUNCTION("""COMPUTED_VALUE"""),"1.42")</f>
        <v>1.42</v>
      </c>
      <c r="U337" s="235" t="str">
        <f>IFERROR(__xludf.DUMMYFUNCTION("""COMPUTED_VALUE"""),"stop無:1回目 0.61")</f>
        <v>stop無:1回目 0.61</v>
      </c>
      <c r="V337" s="235">
        <f>IFERROR(__xludf.DUMMYFUNCTION("""COMPUTED_VALUE"""),100.0)</f>
        <v>100</v>
      </c>
      <c r="W337" s="235" t="str">
        <f>IFERROR(__xludf.DUMMYFUNCTION("""COMPUTED_VALUE"""),"2.50")</f>
        <v>2.50</v>
      </c>
      <c r="X337" s="235" t="str">
        <f>IFERROR(__xludf.DUMMYFUNCTION("""COMPUTED_VALUE"""),"stop有:1回目 0.73")</f>
        <v>stop有:1回目 0.73</v>
      </c>
      <c r="Y337" s="235"/>
      <c r="Z337" s="235">
        <f>IFERROR(__xludf.DUMMYFUNCTION("""COMPUTED_VALUE"""),6.0)</f>
        <v>6</v>
      </c>
      <c r="AA337" s="235"/>
      <c r="AB337" s="235" t="str">
        <f>IFERROR(__xludf.DUMMYFUNCTION("""COMPUTED_VALUE"""),"zangeki_1")</f>
        <v>zangeki_1</v>
      </c>
      <c r="AC337" s="235"/>
    </row>
    <row r="338">
      <c r="A338" s="235"/>
      <c r="B338" s="235" t="str">
        <f>IFERROR(__xludf.DUMMYFUNCTION("""COMPUTED_VALUE"""),"chara_spy_00201")</f>
        <v>chara_spy_00201</v>
      </c>
      <c r="C338" s="254" t="str">
        <f>IFERROR(__xludf.DUMMYFUNCTION("""COMPUTED_VALUE"""),"_general_n")</f>
        <v>_general_n</v>
      </c>
      <c r="D338" s="254" t="str">
        <f>IFERROR(__xludf.DUMMYFUNCTION("""COMPUTED_VALUE"""),"c_spy_00201_general_n_Boss_Blue")</f>
        <v>c_spy_00201_general_n_Boss_Blue</v>
      </c>
      <c r="E338" s="254" t="str">
        <f>IFERROR(__xludf.DUMMYFUNCTION("""COMPUTED_VALUE"""),"SPY×FAMILY")</f>
        <v>SPY×FAMILY</v>
      </c>
      <c r="F338" s="254" t="str">
        <f>IFERROR(__xludf.DUMMYFUNCTION("""COMPUTED_VALUE"""),"&lt;いばら姫&gt; ヨル")</f>
        <v>&lt;いばら姫&gt; ヨル</v>
      </c>
      <c r="G338" s="254" t="str">
        <f>IFERROR(__xludf.DUMMYFUNCTION("""COMPUTED_VALUE"""),"&lt;いばら姫&gt; ヨル_general_n")</f>
        <v>&lt;いばら姫&gt; ヨル_general_n</v>
      </c>
      <c r="H338" s="235" t="str">
        <f>IFERROR(__xludf.DUMMYFUNCTION("""COMPUTED_VALUE"""),"Boss")</f>
        <v>Boss</v>
      </c>
      <c r="I338" s="235" t="str">
        <f>IFERROR(__xludf.DUMMYFUNCTION("""COMPUTED_VALUE"""),"Attack")</f>
        <v>Attack</v>
      </c>
      <c r="J338" s="235" t="str">
        <f>IFERROR(__xludf.DUMMYFUNCTION("""COMPUTED_VALUE"""),"Blue")</f>
        <v>Blue</v>
      </c>
      <c r="K338" s="235">
        <f>IFERROR(__xludf.DUMMYFUNCTION("""COMPUTED_VALUE"""),10000.0)</f>
        <v>10000</v>
      </c>
      <c r="L338" s="235">
        <f>IFERROR(__xludf.DUMMYFUNCTION("""COMPUTED_VALUE"""),1.0)</f>
        <v>1</v>
      </c>
      <c r="M338" s="235">
        <f>IFERROR(__xludf.DUMMYFUNCTION("""COMPUTED_VALUE"""),45.0)</f>
        <v>45</v>
      </c>
      <c r="N338" s="235">
        <f>IFERROR(__xludf.DUMMYFUNCTION("""COMPUTED_VALUE"""),0.25)</f>
        <v>0.25</v>
      </c>
      <c r="O338" s="235">
        <f>IFERROR(__xludf.DUMMYFUNCTION("""COMPUTED_VALUE"""),50.0)</f>
        <v>50</v>
      </c>
      <c r="P338" s="235">
        <f>IFERROR(__xludf.DUMMYFUNCTION("""COMPUTED_VALUE"""),0.0)</f>
        <v>0</v>
      </c>
      <c r="Q338" s="235">
        <f>IFERROR(__xludf.DUMMYFUNCTION("""COMPUTED_VALUE"""),0.35)</f>
        <v>0.35</v>
      </c>
      <c r="R338" s="235">
        <f>IFERROR(__xludf.DUMMYFUNCTION("""COMPUTED_VALUE"""),1.0)</f>
        <v>1</v>
      </c>
      <c r="S338" s="235">
        <f>IFERROR(__xludf.DUMMYFUNCTION("""COMPUTED_VALUE"""),500.0)</f>
        <v>500</v>
      </c>
      <c r="T338" s="244" t="str">
        <f>IFERROR(__xludf.DUMMYFUNCTION("""COMPUTED_VALUE"""),"1.42")</f>
        <v>1.42</v>
      </c>
      <c r="U338" s="235" t="str">
        <f>IFERROR(__xludf.DUMMYFUNCTION("""COMPUTED_VALUE"""),"stop無:1回目 0.61")</f>
        <v>stop無:1回目 0.61</v>
      </c>
      <c r="V338" s="235">
        <f>IFERROR(__xludf.DUMMYFUNCTION("""COMPUTED_VALUE"""),100.0)</f>
        <v>100</v>
      </c>
      <c r="W338" s="235" t="str">
        <f>IFERROR(__xludf.DUMMYFUNCTION("""COMPUTED_VALUE"""),"2.50")</f>
        <v>2.50</v>
      </c>
      <c r="X338" s="235" t="str">
        <f>IFERROR(__xludf.DUMMYFUNCTION("""COMPUTED_VALUE"""),"stop有:1回目 0.73")</f>
        <v>stop有:1回目 0.73</v>
      </c>
      <c r="Y338" s="235"/>
      <c r="Z338" s="235">
        <f>IFERROR(__xludf.DUMMYFUNCTION("""COMPUTED_VALUE"""),6.0)</f>
        <v>6</v>
      </c>
      <c r="AA338" s="235"/>
      <c r="AB338" s="235" t="str">
        <f>IFERROR(__xludf.DUMMYFUNCTION("""COMPUTED_VALUE"""),"zangeki_1")</f>
        <v>zangeki_1</v>
      </c>
      <c r="AC338" s="235"/>
    </row>
    <row r="339">
      <c r="A339" s="235"/>
      <c r="B339" s="235" t="str">
        <f>IFERROR(__xludf.DUMMYFUNCTION("""COMPUTED_VALUE"""),"chara_spy_00201")</f>
        <v>chara_spy_00201</v>
      </c>
      <c r="C339" s="254" t="str">
        <f>IFERROR(__xludf.DUMMYFUNCTION("""COMPUTED_VALUE"""),"_general_h")</f>
        <v>_general_h</v>
      </c>
      <c r="D339" s="254" t="str">
        <f>IFERROR(__xludf.DUMMYFUNCTION("""COMPUTED_VALUE"""),"c_spy_00201_general_h_Boss_Colorless")</f>
        <v>c_spy_00201_general_h_Boss_Colorless</v>
      </c>
      <c r="E339" s="254" t="str">
        <f>IFERROR(__xludf.DUMMYFUNCTION("""COMPUTED_VALUE"""),"SPY×FAMILY")</f>
        <v>SPY×FAMILY</v>
      </c>
      <c r="F339" s="254" t="str">
        <f>IFERROR(__xludf.DUMMYFUNCTION("""COMPUTED_VALUE"""),"&lt;いばら姫&gt; ヨル")</f>
        <v>&lt;いばら姫&gt; ヨル</v>
      </c>
      <c r="G339" s="254" t="str">
        <f>IFERROR(__xludf.DUMMYFUNCTION("""COMPUTED_VALUE"""),"&lt;いばら姫&gt; ヨル_general_h")</f>
        <v>&lt;いばら姫&gt; ヨル_general_h</v>
      </c>
      <c r="H339" s="235" t="str">
        <f>IFERROR(__xludf.DUMMYFUNCTION("""COMPUTED_VALUE"""),"Boss")</f>
        <v>Boss</v>
      </c>
      <c r="I339" s="235" t="str">
        <f>IFERROR(__xludf.DUMMYFUNCTION("""COMPUTED_VALUE"""),"Attack")</f>
        <v>Attack</v>
      </c>
      <c r="J339" s="235" t="str">
        <f>IFERROR(__xludf.DUMMYFUNCTION("""COMPUTED_VALUE"""),"Colorless")</f>
        <v>Colorless</v>
      </c>
      <c r="K339" s="235">
        <f>IFERROR(__xludf.DUMMYFUNCTION("""COMPUTED_VALUE"""),10000.0)</f>
        <v>10000</v>
      </c>
      <c r="L339" s="235">
        <f>IFERROR(__xludf.DUMMYFUNCTION("""COMPUTED_VALUE"""),1.0)</f>
        <v>1</v>
      </c>
      <c r="M339" s="235">
        <f>IFERROR(__xludf.DUMMYFUNCTION("""COMPUTED_VALUE"""),45.0)</f>
        <v>45</v>
      </c>
      <c r="N339" s="235">
        <f>IFERROR(__xludf.DUMMYFUNCTION("""COMPUTED_VALUE"""),0.25)</f>
        <v>0.25</v>
      </c>
      <c r="O339" s="235">
        <f>IFERROR(__xludf.DUMMYFUNCTION("""COMPUTED_VALUE"""),100.0)</f>
        <v>100</v>
      </c>
      <c r="P339" s="235">
        <f>IFERROR(__xludf.DUMMYFUNCTION("""COMPUTED_VALUE"""),0.0)</f>
        <v>0</v>
      </c>
      <c r="Q339" s="235">
        <f>IFERROR(__xludf.DUMMYFUNCTION("""COMPUTED_VALUE"""),0.35)</f>
        <v>0.35</v>
      </c>
      <c r="R339" s="235">
        <f>IFERROR(__xludf.DUMMYFUNCTION("""COMPUTED_VALUE"""),1.0)</f>
        <v>1</v>
      </c>
      <c r="S339" s="235">
        <f>IFERROR(__xludf.DUMMYFUNCTION("""COMPUTED_VALUE"""),120.0)</f>
        <v>120</v>
      </c>
      <c r="T339" s="244" t="str">
        <f>IFERROR(__xludf.DUMMYFUNCTION("""COMPUTED_VALUE"""),"1.42")</f>
        <v>1.42</v>
      </c>
      <c r="U339" s="235" t="str">
        <f>IFERROR(__xludf.DUMMYFUNCTION("""COMPUTED_VALUE"""),"stop無:1回目 0.61")</f>
        <v>stop無:1回目 0.61</v>
      </c>
      <c r="V339" s="235">
        <f>IFERROR(__xludf.DUMMYFUNCTION("""COMPUTED_VALUE"""),100.0)</f>
        <v>100</v>
      </c>
      <c r="W339" s="235" t="str">
        <f>IFERROR(__xludf.DUMMYFUNCTION("""COMPUTED_VALUE"""),"2.50")</f>
        <v>2.50</v>
      </c>
      <c r="X339" s="235" t="str">
        <f>IFERROR(__xludf.DUMMYFUNCTION("""COMPUTED_VALUE"""),"stop有:1回目 0.73")</f>
        <v>stop有:1回目 0.73</v>
      </c>
      <c r="Y339" s="235"/>
      <c r="Z339" s="235">
        <f>IFERROR(__xludf.DUMMYFUNCTION("""COMPUTED_VALUE"""),5.0)</f>
        <v>5</v>
      </c>
      <c r="AA339" s="235"/>
      <c r="AB339" s="235" t="str">
        <f>IFERROR(__xludf.DUMMYFUNCTION("""COMPUTED_VALUE"""),"zangeki_1")</f>
        <v>zangeki_1</v>
      </c>
      <c r="AC339" s="235"/>
    </row>
    <row r="340">
      <c r="A340" s="235"/>
      <c r="B340" s="235" t="str">
        <f>IFERROR(__xludf.DUMMYFUNCTION("""COMPUTED_VALUE"""),"chara_spy_00201")</f>
        <v>chara_spy_00201</v>
      </c>
      <c r="C340" s="254" t="str">
        <f>IFERROR(__xludf.DUMMYFUNCTION("""COMPUTED_VALUE"""),"_general_h")</f>
        <v>_general_h</v>
      </c>
      <c r="D340" s="254" t="str">
        <f>IFERROR(__xludf.DUMMYFUNCTION("""COMPUTED_VALUE"""),"c_spy_00201_general_h_Boss_Blue")</f>
        <v>c_spy_00201_general_h_Boss_Blue</v>
      </c>
      <c r="E340" s="254" t="str">
        <f>IFERROR(__xludf.DUMMYFUNCTION("""COMPUTED_VALUE"""),"SPY×FAMILY")</f>
        <v>SPY×FAMILY</v>
      </c>
      <c r="F340" s="254" t="str">
        <f>IFERROR(__xludf.DUMMYFUNCTION("""COMPUTED_VALUE"""),"&lt;いばら姫&gt; ヨル")</f>
        <v>&lt;いばら姫&gt; ヨル</v>
      </c>
      <c r="G340" s="254" t="str">
        <f>IFERROR(__xludf.DUMMYFUNCTION("""COMPUTED_VALUE"""),"&lt;いばら姫&gt; ヨル_general_h")</f>
        <v>&lt;いばら姫&gt; ヨル_general_h</v>
      </c>
      <c r="H340" s="235" t="str">
        <f>IFERROR(__xludf.DUMMYFUNCTION("""COMPUTED_VALUE"""),"Boss")</f>
        <v>Boss</v>
      </c>
      <c r="I340" s="235" t="str">
        <f>IFERROR(__xludf.DUMMYFUNCTION("""COMPUTED_VALUE"""),"Attack")</f>
        <v>Attack</v>
      </c>
      <c r="J340" s="235" t="str">
        <f>IFERROR(__xludf.DUMMYFUNCTION("""COMPUTED_VALUE"""),"Blue")</f>
        <v>Blue</v>
      </c>
      <c r="K340" s="235">
        <f>IFERROR(__xludf.DUMMYFUNCTION("""COMPUTED_VALUE"""),10000.0)</f>
        <v>10000</v>
      </c>
      <c r="L340" s="235">
        <f>IFERROR(__xludf.DUMMYFUNCTION("""COMPUTED_VALUE"""),1.0)</f>
        <v>1</v>
      </c>
      <c r="M340" s="235">
        <f>IFERROR(__xludf.DUMMYFUNCTION("""COMPUTED_VALUE"""),45.0)</f>
        <v>45</v>
      </c>
      <c r="N340" s="235">
        <f>IFERROR(__xludf.DUMMYFUNCTION("""COMPUTED_VALUE"""),0.25)</f>
        <v>0.25</v>
      </c>
      <c r="O340" s="235">
        <f>IFERROR(__xludf.DUMMYFUNCTION("""COMPUTED_VALUE"""),50.0)</f>
        <v>50</v>
      </c>
      <c r="P340" s="235">
        <f>IFERROR(__xludf.DUMMYFUNCTION("""COMPUTED_VALUE"""),0.0)</f>
        <v>0</v>
      </c>
      <c r="Q340" s="235">
        <f>IFERROR(__xludf.DUMMYFUNCTION("""COMPUTED_VALUE"""),0.35)</f>
        <v>0.35</v>
      </c>
      <c r="R340" s="235">
        <f>IFERROR(__xludf.DUMMYFUNCTION("""COMPUTED_VALUE"""),1.0)</f>
        <v>1</v>
      </c>
      <c r="S340" s="235">
        <f>IFERROR(__xludf.DUMMYFUNCTION("""COMPUTED_VALUE"""),120.0)</f>
        <v>120</v>
      </c>
      <c r="T340" s="244" t="str">
        <f>IFERROR(__xludf.DUMMYFUNCTION("""COMPUTED_VALUE"""),"1.42")</f>
        <v>1.42</v>
      </c>
      <c r="U340" s="235" t="str">
        <f>IFERROR(__xludf.DUMMYFUNCTION("""COMPUTED_VALUE"""),"stop無:1回目 0.61")</f>
        <v>stop無:1回目 0.61</v>
      </c>
      <c r="V340" s="235">
        <f>IFERROR(__xludf.DUMMYFUNCTION("""COMPUTED_VALUE"""),100.0)</f>
        <v>100</v>
      </c>
      <c r="W340" s="235" t="str">
        <f>IFERROR(__xludf.DUMMYFUNCTION("""COMPUTED_VALUE"""),"2.50")</f>
        <v>2.50</v>
      </c>
      <c r="X340" s="235" t="str">
        <f>IFERROR(__xludf.DUMMYFUNCTION("""COMPUTED_VALUE"""),"stop有:1回目 0.73")</f>
        <v>stop有:1回目 0.73</v>
      </c>
      <c r="Y340" s="235"/>
      <c r="Z340" s="235">
        <f>IFERROR(__xludf.DUMMYFUNCTION("""COMPUTED_VALUE"""),5.0)</f>
        <v>5</v>
      </c>
      <c r="AA340" s="235"/>
      <c r="AB340" s="235" t="str">
        <f>IFERROR(__xludf.DUMMYFUNCTION("""COMPUTED_VALUE"""),"zangeki_1")</f>
        <v>zangeki_1</v>
      </c>
      <c r="AC340" s="235"/>
    </row>
    <row r="341">
      <c r="A341" s="235"/>
      <c r="B341" s="235" t="str">
        <f>IFERROR(__xludf.DUMMYFUNCTION("""COMPUTED_VALUE"""),"chara_spy_00201")</f>
        <v>chara_spy_00201</v>
      </c>
      <c r="C341" s="254" t="str">
        <f>IFERROR(__xludf.DUMMYFUNCTION("""COMPUTED_VALUE"""),"_general_vh")</f>
        <v>_general_vh</v>
      </c>
      <c r="D341" s="254" t="str">
        <f>IFERROR(__xludf.DUMMYFUNCTION("""COMPUTED_VALUE"""),"c_spy_00201_general_vh_Boss_Blue")</f>
        <v>c_spy_00201_general_vh_Boss_Blue</v>
      </c>
      <c r="E341" s="254" t="str">
        <f>IFERROR(__xludf.DUMMYFUNCTION("""COMPUTED_VALUE"""),"SPY×FAMILY")</f>
        <v>SPY×FAMILY</v>
      </c>
      <c r="F341" s="254" t="str">
        <f>IFERROR(__xludf.DUMMYFUNCTION("""COMPUTED_VALUE"""),"&lt;いばら姫&gt; ヨル")</f>
        <v>&lt;いばら姫&gt; ヨル</v>
      </c>
      <c r="G341" s="254" t="str">
        <f>IFERROR(__xludf.DUMMYFUNCTION("""COMPUTED_VALUE"""),"&lt;いばら姫&gt; ヨル_general_vh")</f>
        <v>&lt;いばら姫&gt; ヨル_general_vh</v>
      </c>
      <c r="H341" s="235" t="str">
        <f>IFERROR(__xludf.DUMMYFUNCTION("""COMPUTED_VALUE"""),"Boss")</f>
        <v>Boss</v>
      </c>
      <c r="I341" s="235" t="str">
        <f>IFERROR(__xludf.DUMMYFUNCTION("""COMPUTED_VALUE"""),"Attack")</f>
        <v>Attack</v>
      </c>
      <c r="J341" s="235" t="str">
        <f>IFERROR(__xludf.DUMMYFUNCTION("""COMPUTED_VALUE"""),"Blue")</f>
        <v>Blue</v>
      </c>
      <c r="K341" s="235">
        <f>IFERROR(__xludf.DUMMYFUNCTION("""COMPUTED_VALUE"""),10000.0)</f>
        <v>10000</v>
      </c>
      <c r="L341" s="235">
        <f>IFERROR(__xludf.DUMMYFUNCTION("""COMPUTED_VALUE"""),1.0)</f>
        <v>1</v>
      </c>
      <c r="M341" s="235">
        <f>IFERROR(__xludf.DUMMYFUNCTION("""COMPUTED_VALUE"""),45.0)</f>
        <v>45</v>
      </c>
      <c r="N341" s="235">
        <f>IFERROR(__xludf.DUMMYFUNCTION("""COMPUTED_VALUE"""),0.25)</f>
        <v>0.25</v>
      </c>
      <c r="O341" s="235">
        <f>IFERROR(__xludf.DUMMYFUNCTION("""COMPUTED_VALUE"""),100.0)</f>
        <v>100</v>
      </c>
      <c r="P341" s="235">
        <f>IFERROR(__xludf.DUMMYFUNCTION("""COMPUTED_VALUE"""),0.0)</f>
        <v>0</v>
      </c>
      <c r="Q341" s="235">
        <f>IFERROR(__xludf.DUMMYFUNCTION("""COMPUTED_VALUE"""),0.35)</f>
        <v>0.35</v>
      </c>
      <c r="R341" s="235">
        <f>IFERROR(__xludf.DUMMYFUNCTION("""COMPUTED_VALUE"""),1.0)</f>
        <v>1</v>
      </c>
      <c r="S341" s="235">
        <f>IFERROR(__xludf.DUMMYFUNCTION("""COMPUTED_VALUE"""),120.0)</f>
        <v>120</v>
      </c>
      <c r="T341" s="244" t="str">
        <f>IFERROR(__xludf.DUMMYFUNCTION("""COMPUTED_VALUE"""),"1.42")</f>
        <v>1.42</v>
      </c>
      <c r="U341" s="235" t="str">
        <f>IFERROR(__xludf.DUMMYFUNCTION("""COMPUTED_VALUE"""),"stop無:1回目 0.61")</f>
        <v>stop無:1回目 0.61</v>
      </c>
      <c r="V341" s="235">
        <f>IFERROR(__xludf.DUMMYFUNCTION("""COMPUTED_VALUE"""),100.0)</f>
        <v>100</v>
      </c>
      <c r="W341" s="235" t="str">
        <f>IFERROR(__xludf.DUMMYFUNCTION("""COMPUTED_VALUE"""),"2.50")</f>
        <v>2.50</v>
      </c>
      <c r="X341" s="235" t="str">
        <f>IFERROR(__xludf.DUMMYFUNCTION("""COMPUTED_VALUE"""),"stop有:1回目 0.73")</f>
        <v>stop有:1回目 0.73</v>
      </c>
      <c r="Y341" s="235"/>
      <c r="Z341" s="235">
        <f>IFERROR(__xludf.DUMMYFUNCTION("""COMPUTED_VALUE"""),5.0)</f>
        <v>5</v>
      </c>
      <c r="AA341" s="235"/>
      <c r="AB341" s="235" t="str">
        <f>IFERROR(__xludf.DUMMYFUNCTION("""COMPUTED_VALUE"""),"zangeki_1")</f>
        <v>zangeki_1</v>
      </c>
      <c r="AC341" s="235"/>
    </row>
    <row r="342">
      <c r="A342" s="235"/>
      <c r="B342" s="235" t="str">
        <f>IFERROR(__xludf.DUMMYFUNCTION("""COMPUTED_VALUE"""),"chara_spy_00201")</f>
        <v>chara_spy_00201</v>
      </c>
      <c r="C342" s="254" t="str">
        <f>IFERROR(__xludf.DUMMYFUNCTION("""COMPUTED_VALUE"""),"_general_vh")</f>
        <v>_general_vh</v>
      </c>
      <c r="D342" s="254" t="str">
        <f>IFERROR(__xludf.DUMMYFUNCTION("""COMPUTED_VALUE"""),"c_spy_00201_general_vh_Boss_Yellow")</f>
        <v>c_spy_00201_general_vh_Boss_Yellow</v>
      </c>
      <c r="E342" s="254" t="str">
        <f>IFERROR(__xludf.DUMMYFUNCTION("""COMPUTED_VALUE"""),"SPY×FAMILY")</f>
        <v>SPY×FAMILY</v>
      </c>
      <c r="F342" s="254" t="str">
        <f>IFERROR(__xludf.DUMMYFUNCTION("""COMPUTED_VALUE"""),"&lt;いばら姫&gt; ヨル")</f>
        <v>&lt;いばら姫&gt; ヨル</v>
      </c>
      <c r="G342" s="254" t="str">
        <f>IFERROR(__xludf.DUMMYFUNCTION("""COMPUTED_VALUE"""),"&lt;いばら姫&gt; ヨル_general_vh")</f>
        <v>&lt;いばら姫&gt; ヨル_general_vh</v>
      </c>
      <c r="H342" s="235" t="str">
        <f>IFERROR(__xludf.DUMMYFUNCTION("""COMPUTED_VALUE"""),"Boss")</f>
        <v>Boss</v>
      </c>
      <c r="I342" s="235" t="str">
        <f>IFERROR(__xludf.DUMMYFUNCTION("""COMPUTED_VALUE"""),"Attack")</f>
        <v>Attack</v>
      </c>
      <c r="J342" s="235" t="str">
        <f>IFERROR(__xludf.DUMMYFUNCTION("""COMPUTED_VALUE"""),"Yellow")</f>
        <v>Yellow</v>
      </c>
      <c r="K342" s="235">
        <f>IFERROR(__xludf.DUMMYFUNCTION("""COMPUTED_VALUE"""),10000.0)</f>
        <v>10000</v>
      </c>
      <c r="L342" s="235">
        <f>IFERROR(__xludf.DUMMYFUNCTION("""COMPUTED_VALUE"""),1.0)</f>
        <v>1</v>
      </c>
      <c r="M342" s="235">
        <f>IFERROR(__xludf.DUMMYFUNCTION("""COMPUTED_VALUE"""),45.0)</f>
        <v>45</v>
      </c>
      <c r="N342" s="235">
        <f>IFERROR(__xludf.DUMMYFUNCTION("""COMPUTED_VALUE"""),0.25)</f>
        <v>0.25</v>
      </c>
      <c r="O342" s="235">
        <f>IFERROR(__xludf.DUMMYFUNCTION("""COMPUTED_VALUE"""),100.0)</f>
        <v>100</v>
      </c>
      <c r="P342" s="235">
        <f>IFERROR(__xludf.DUMMYFUNCTION("""COMPUTED_VALUE"""),0.0)</f>
        <v>0</v>
      </c>
      <c r="Q342" s="235">
        <f>IFERROR(__xludf.DUMMYFUNCTION("""COMPUTED_VALUE"""),0.35)</f>
        <v>0.35</v>
      </c>
      <c r="R342" s="235">
        <f>IFERROR(__xludf.DUMMYFUNCTION("""COMPUTED_VALUE"""),1.0)</f>
        <v>1</v>
      </c>
      <c r="S342" s="235">
        <f>IFERROR(__xludf.DUMMYFUNCTION("""COMPUTED_VALUE"""),120.0)</f>
        <v>120</v>
      </c>
      <c r="T342" s="244" t="str">
        <f>IFERROR(__xludf.DUMMYFUNCTION("""COMPUTED_VALUE"""),"1.42")</f>
        <v>1.42</v>
      </c>
      <c r="U342" s="235" t="str">
        <f>IFERROR(__xludf.DUMMYFUNCTION("""COMPUTED_VALUE"""),"stop無:1回目 0.61")</f>
        <v>stop無:1回目 0.61</v>
      </c>
      <c r="V342" s="235">
        <f>IFERROR(__xludf.DUMMYFUNCTION("""COMPUTED_VALUE"""),100.0)</f>
        <v>100</v>
      </c>
      <c r="W342" s="235" t="str">
        <f>IFERROR(__xludf.DUMMYFUNCTION("""COMPUTED_VALUE"""),"2.50")</f>
        <v>2.50</v>
      </c>
      <c r="X342" s="235" t="str">
        <f>IFERROR(__xludf.DUMMYFUNCTION("""COMPUTED_VALUE"""),"stop有:1回目 0.73")</f>
        <v>stop有:1回目 0.73</v>
      </c>
      <c r="Y342" s="235"/>
      <c r="Z342" s="235">
        <f>IFERROR(__xludf.DUMMYFUNCTION("""COMPUTED_VALUE"""),5.0)</f>
        <v>5</v>
      </c>
      <c r="AA342" s="235"/>
      <c r="AB342" s="235" t="str">
        <f>IFERROR(__xludf.DUMMYFUNCTION("""COMPUTED_VALUE"""),"zangeki_1")</f>
        <v>zangeki_1</v>
      </c>
      <c r="AC342" s="235"/>
    </row>
    <row r="343">
      <c r="A343" s="235"/>
      <c r="B343" s="235" t="str">
        <f>IFERROR(__xludf.DUMMYFUNCTION("""COMPUTED_VALUE"""),"chara_spy_00101")</f>
        <v>chara_spy_00101</v>
      </c>
      <c r="C343" s="254" t="str">
        <f>IFERROR(__xludf.DUMMYFUNCTION("""COMPUTED_VALUE"""),"_general")</f>
        <v>_general</v>
      </c>
      <c r="D343" s="254" t="str">
        <f>IFERROR(__xludf.DUMMYFUNCTION("""COMPUTED_VALUE"""),"c_spy_00101_general_Boss_Colorless")</f>
        <v>c_spy_00101_general_Boss_Colorless</v>
      </c>
      <c r="E343" s="254" t="str">
        <f>IFERROR(__xludf.DUMMYFUNCTION("""COMPUTED_VALUE"""),"SPY×FAMILY")</f>
        <v>SPY×FAMILY</v>
      </c>
      <c r="F343" s="254" t="str">
        <f>IFERROR(__xludf.DUMMYFUNCTION("""COMPUTED_VALUE"""),"&lt;黄昏&gt; ロイド")</f>
        <v>&lt;黄昏&gt; ロイド</v>
      </c>
      <c r="G343" s="254" t="str">
        <f>IFERROR(__xludf.DUMMYFUNCTION("""COMPUTED_VALUE"""),"&lt;黄昏&gt; ロイド_general")</f>
        <v>&lt;黄昏&gt; ロイド_general</v>
      </c>
      <c r="H343" s="235" t="str">
        <f>IFERROR(__xludf.DUMMYFUNCTION("""COMPUTED_VALUE"""),"Boss")</f>
        <v>Boss</v>
      </c>
      <c r="I343" s="235" t="str">
        <f>IFERROR(__xludf.DUMMYFUNCTION("""COMPUTED_VALUE"""),"Attack")</f>
        <v>Attack</v>
      </c>
      <c r="J343" s="235" t="str">
        <f>IFERROR(__xludf.DUMMYFUNCTION("""COMPUTED_VALUE"""),"Colorless")</f>
        <v>Colorless</v>
      </c>
      <c r="K343" s="235">
        <f>IFERROR(__xludf.DUMMYFUNCTION("""COMPUTED_VALUE"""),3000.0)</f>
        <v>3000</v>
      </c>
      <c r="L343" s="235">
        <f>IFERROR(__xludf.DUMMYFUNCTION("""COMPUTED_VALUE"""),2.0)</f>
        <v>2</v>
      </c>
      <c r="M343" s="235">
        <f>IFERROR(__xludf.DUMMYFUNCTION("""COMPUTED_VALUE"""),31.0)</f>
        <v>31</v>
      </c>
      <c r="N343" s="235">
        <f>IFERROR(__xludf.DUMMYFUNCTION("""COMPUTED_VALUE"""),0.5)</f>
        <v>0.5</v>
      </c>
      <c r="O343" s="235">
        <f>IFERROR(__xludf.DUMMYFUNCTION("""COMPUTED_VALUE"""),100.0)</f>
        <v>100</v>
      </c>
      <c r="P343" s="235">
        <f>IFERROR(__xludf.DUMMYFUNCTION("""COMPUTED_VALUE"""),0.0)</f>
        <v>0</v>
      </c>
      <c r="Q343" s="235">
        <f>IFERROR(__xludf.DUMMYFUNCTION("""COMPUTED_VALUE"""),0.51)</f>
        <v>0.51</v>
      </c>
      <c r="R343" s="235">
        <f>IFERROR(__xludf.DUMMYFUNCTION("""COMPUTED_VALUE"""),1.0)</f>
        <v>1</v>
      </c>
      <c r="S343" s="235">
        <f>IFERROR(__xludf.DUMMYFUNCTION("""COMPUTED_VALUE"""),500.0)</f>
        <v>500</v>
      </c>
      <c r="T343" s="244" t="str">
        <f>IFERROR(__xludf.DUMMYFUNCTION("""COMPUTED_VALUE"""),"1.64")</f>
        <v>1.64</v>
      </c>
      <c r="U343" s="235" t="str">
        <f>IFERROR(__xludf.DUMMYFUNCTION("""COMPUTED_VALUE"""),"0.83")</f>
        <v>0.83</v>
      </c>
      <c r="V343" s="235">
        <f>IFERROR(__xludf.DUMMYFUNCTION("""COMPUTED_VALUE"""),100.0)</f>
        <v>100</v>
      </c>
      <c r="W343" s="235" t="str">
        <f>IFERROR(__xludf.DUMMYFUNCTION("""COMPUTED_VALUE"""),"2.50")</f>
        <v>2.50</v>
      </c>
      <c r="X343" s="235" t="str">
        <f>IFERROR(__xludf.DUMMYFUNCTION("""COMPUTED_VALUE"""),"1.33")</f>
        <v>1.33</v>
      </c>
      <c r="Y343" s="235"/>
      <c r="Z343" s="235">
        <f>IFERROR(__xludf.DUMMYFUNCTION("""COMPUTED_VALUE"""),7.0)</f>
        <v>7</v>
      </c>
      <c r="AA343" s="235"/>
      <c r="AB343" s="235" t="str">
        <f>IFERROR(__xludf.DUMMYFUNCTION("""COMPUTED_VALUE"""),"shageki_1")</f>
        <v>shageki_1</v>
      </c>
      <c r="AC343" s="235"/>
    </row>
    <row r="344">
      <c r="A344" s="235"/>
      <c r="B344" s="235" t="str">
        <f>IFERROR(__xludf.DUMMYFUNCTION("""COMPUTED_VALUE"""),"enemy_glo_00001")</f>
        <v>enemy_glo_00001</v>
      </c>
      <c r="C344" s="254" t="str">
        <f>IFERROR(__xludf.DUMMYFUNCTION("""COMPUTED_VALUE"""),"_general_h")</f>
        <v>_general_h</v>
      </c>
      <c r="D344" s="254" t="str">
        <f>IFERROR(__xludf.DUMMYFUNCTION("""COMPUTED_VALUE"""),"e_glo_00001_general_h_Normal_Blue")</f>
        <v>e_glo_00001_general_h_Normal_Blue</v>
      </c>
      <c r="E344" s="254" t="str">
        <f>IFERROR(__xludf.DUMMYFUNCTION("""COMPUTED_VALUE"""),"GLOW")</f>
        <v>GLOW</v>
      </c>
      <c r="F344" s="254" t="str">
        <f>IFERROR(__xludf.DUMMYFUNCTION("""COMPUTED_VALUE"""),"ファントム")</f>
        <v>ファントム</v>
      </c>
      <c r="G344" s="254" t="str">
        <f>IFERROR(__xludf.DUMMYFUNCTION("""COMPUTED_VALUE"""),"ファントム_general_h")</f>
        <v>ファントム_general_h</v>
      </c>
      <c r="H344" s="235" t="str">
        <f>IFERROR(__xludf.DUMMYFUNCTION("""COMPUTED_VALUE"""),"Normal")</f>
        <v>Normal</v>
      </c>
      <c r="I344" s="235" t="str">
        <f>IFERROR(__xludf.DUMMYFUNCTION("""COMPUTED_VALUE"""),"Attack")</f>
        <v>Attack</v>
      </c>
      <c r="J344" s="235" t="str">
        <f>IFERROR(__xludf.DUMMYFUNCTION("""COMPUTED_VALUE"""),"Blue")</f>
        <v>Blue</v>
      </c>
      <c r="K344" s="235">
        <f>IFERROR(__xludf.DUMMYFUNCTION("""COMPUTED_VALUE"""),10000.0)</f>
        <v>10000</v>
      </c>
      <c r="L344" s="235">
        <f>IFERROR(__xludf.DUMMYFUNCTION("""COMPUTED_VALUE"""),1.0)</f>
        <v>1</v>
      </c>
      <c r="M344" s="235">
        <f>IFERROR(__xludf.DUMMYFUNCTION("""COMPUTED_VALUE"""),40.0)</f>
        <v>40</v>
      </c>
      <c r="N344" s="235">
        <f>IFERROR(__xludf.DUMMYFUNCTION("""COMPUTED_VALUE"""),0.2)</f>
        <v>0.2</v>
      </c>
      <c r="O344" s="235">
        <f>IFERROR(__xludf.DUMMYFUNCTION("""COMPUTED_VALUE"""),100.0)</f>
        <v>100</v>
      </c>
      <c r="P344" s="235">
        <f>IFERROR(__xludf.DUMMYFUNCTION("""COMPUTED_VALUE"""),0.0)</f>
        <v>0</v>
      </c>
      <c r="Q344" s="235">
        <f>IFERROR(__xludf.DUMMYFUNCTION("""COMPUTED_VALUE"""),0.21)</f>
        <v>0.21</v>
      </c>
      <c r="R344" s="235">
        <f>IFERROR(__xludf.DUMMYFUNCTION("""COMPUTED_VALUE"""),1.0)</f>
        <v>1</v>
      </c>
      <c r="S344" s="235">
        <f>IFERROR(__xludf.DUMMYFUNCTION("""COMPUTED_VALUE"""),100.0)</f>
        <v>100</v>
      </c>
      <c r="T344" s="244" t="str">
        <f>IFERROR(__xludf.DUMMYFUNCTION("""COMPUTED_VALUE"""),"1.00")</f>
        <v>1.00</v>
      </c>
      <c r="U344" s="235" t="str">
        <f>IFERROR(__xludf.DUMMYFUNCTION("""COMPUTED_VALUE"""),"0.50")</f>
        <v>0.50</v>
      </c>
      <c r="V344" s="235">
        <f>IFERROR(__xludf.DUMMYFUNCTION("""COMPUTED_VALUE"""),100.0)</f>
        <v>100</v>
      </c>
      <c r="W344" s="235"/>
      <c r="X344" s="235"/>
      <c r="Y344" s="235"/>
      <c r="Z344" s="235" t="str">
        <f>IFERROR(__xludf.DUMMYFUNCTION("""COMPUTED_VALUE"""),"-")</f>
        <v>-</v>
      </c>
      <c r="AA344" s="235"/>
      <c r="AB344" s="235"/>
      <c r="AC344" s="235"/>
    </row>
    <row r="345">
      <c r="A345" s="235"/>
      <c r="B345" s="235" t="str">
        <f>IFERROR(__xludf.DUMMYFUNCTION("""COMPUTED_VALUE"""),"enemy_glo_00001")</f>
        <v>enemy_glo_00001</v>
      </c>
      <c r="C345" s="254" t="str">
        <f>IFERROR(__xludf.DUMMYFUNCTION("""COMPUTED_VALUE"""),"_general_vh")</f>
        <v>_general_vh</v>
      </c>
      <c r="D345" s="254" t="str">
        <f>IFERROR(__xludf.DUMMYFUNCTION("""COMPUTED_VALUE"""),"e_glo_00001_general_vh_Normal_Colorless")</f>
        <v>e_glo_00001_general_vh_Normal_Colorless</v>
      </c>
      <c r="E345" s="254" t="str">
        <f>IFERROR(__xludf.DUMMYFUNCTION("""COMPUTED_VALUE"""),"GLOW")</f>
        <v>GLOW</v>
      </c>
      <c r="F345" s="254" t="str">
        <f>IFERROR(__xludf.DUMMYFUNCTION("""COMPUTED_VALUE"""),"ファントム")</f>
        <v>ファントム</v>
      </c>
      <c r="G345" s="254" t="str">
        <f>IFERROR(__xludf.DUMMYFUNCTION("""COMPUTED_VALUE"""),"ファントム_general_vh")</f>
        <v>ファントム_general_vh</v>
      </c>
      <c r="H345" s="235" t="str">
        <f>IFERROR(__xludf.DUMMYFUNCTION("""COMPUTED_VALUE"""),"Normal")</f>
        <v>Normal</v>
      </c>
      <c r="I345" s="235" t="str">
        <f>IFERROR(__xludf.DUMMYFUNCTION("""COMPUTED_VALUE"""),"Defense")</f>
        <v>Defense</v>
      </c>
      <c r="J345" s="235" t="str">
        <f>IFERROR(__xludf.DUMMYFUNCTION("""COMPUTED_VALUE"""),"Colorless")</f>
        <v>Colorless</v>
      </c>
      <c r="K345" s="235">
        <f>IFERROR(__xludf.DUMMYFUNCTION("""COMPUTED_VALUE"""),10000.0)</f>
        <v>10000</v>
      </c>
      <c r="L345" s="235">
        <f>IFERROR(__xludf.DUMMYFUNCTION("""COMPUTED_VALUE"""),1.0)</f>
        <v>1</v>
      </c>
      <c r="M345" s="235">
        <f>IFERROR(__xludf.DUMMYFUNCTION("""COMPUTED_VALUE"""),40.0)</f>
        <v>40</v>
      </c>
      <c r="N345" s="235">
        <f>IFERROR(__xludf.DUMMYFUNCTION("""COMPUTED_VALUE"""),0.2)</f>
        <v>0.2</v>
      </c>
      <c r="O345" s="235">
        <f>IFERROR(__xludf.DUMMYFUNCTION("""COMPUTED_VALUE"""),100.0)</f>
        <v>100</v>
      </c>
      <c r="P345" s="235">
        <f>IFERROR(__xludf.DUMMYFUNCTION("""COMPUTED_VALUE"""),0.0)</f>
        <v>0</v>
      </c>
      <c r="Q345" s="235">
        <f>IFERROR(__xludf.DUMMYFUNCTION("""COMPUTED_VALUE"""),0.21)</f>
        <v>0.21</v>
      </c>
      <c r="R345" s="235">
        <f>IFERROR(__xludf.DUMMYFUNCTION("""COMPUTED_VALUE"""),1.0)</f>
        <v>1</v>
      </c>
      <c r="S345" s="235">
        <f>IFERROR(__xludf.DUMMYFUNCTION("""COMPUTED_VALUE"""),100.0)</f>
        <v>100</v>
      </c>
      <c r="T345" s="244" t="str">
        <f>IFERROR(__xludf.DUMMYFUNCTION("""COMPUTED_VALUE"""),"1.00")</f>
        <v>1.00</v>
      </c>
      <c r="U345" s="235" t="str">
        <f>IFERROR(__xludf.DUMMYFUNCTION("""COMPUTED_VALUE"""),"0.50")</f>
        <v>0.50</v>
      </c>
      <c r="V345" s="235">
        <f>IFERROR(__xludf.DUMMYFUNCTION("""COMPUTED_VALUE"""),100.0)</f>
        <v>100</v>
      </c>
      <c r="W345" s="235"/>
      <c r="X345" s="235"/>
      <c r="Y345" s="235"/>
      <c r="Z345" s="235" t="str">
        <f>IFERROR(__xludf.DUMMYFUNCTION("""COMPUTED_VALUE"""),"-")</f>
        <v>-</v>
      </c>
      <c r="AA345" s="235"/>
      <c r="AB345" s="235"/>
      <c r="AC345" s="235"/>
    </row>
    <row r="346">
      <c r="A346" s="235"/>
      <c r="B346" s="235" t="str">
        <f>IFERROR(__xludf.DUMMYFUNCTION("""COMPUTED_VALUE"""),"enemy_glo_00001")</f>
        <v>enemy_glo_00001</v>
      </c>
      <c r="C346" s="254" t="str">
        <f>IFERROR(__xludf.DUMMYFUNCTION("""COMPUTED_VALUE"""),"_general_vh")</f>
        <v>_general_vh</v>
      </c>
      <c r="D346" s="254" t="str">
        <f>IFERROR(__xludf.DUMMYFUNCTION("""COMPUTED_VALUE"""),"e_glo_00001_general_vh_Normal_Blue")</f>
        <v>e_glo_00001_general_vh_Normal_Blue</v>
      </c>
      <c r="E346" s="254" t="str">
        <f>IFERROR(__xludf.DUMMYFUNCTION("""COMPUTED_VALUE"""),"GLOW")</f>
        <v>GLOW</v>
      </c>
      <c r="F346" s="254" t="str">
        <f>IFERROR(__xludf.DUMMYFUNCTION("""COMPUTED_VALUE"""),"ファントム")</f>
        <v>ファントム</v>
      </c>
      <c r="G346" s="254" t="str">
        <f>IFERROR(__xludf.DUMMYFUNCTION("""COMPUTED_VALUE"""),"ファントム_general_vh")</f>
        <v>ファントム_general_vh</v>
      </c>
      <c r="H346" s="235" t="str">
        <f>IFERROR(__xludf.DUMMYFUNCTION("""COMPUTED_VALUE"""),"Normal")</f>
        <v>Normal</v>
      </c>
      <c r="I346" s="235" t="str">
        <f>IFERROR(__xludf.DUMMYFUNCTION("""COMPUTED_VALUE"""),"Technical")</f>
        <v>Technical</v>
      </c>
      <c r="J346" s="235" t="str">
        <f>IFERROR(__xludf.DUMMYFUNCTION("""COMPUTED_VALUE"""),"Blue")</f>
        <v>Blue</v>
      </c>
      <c r="K346" s="235">
        <f>IFERROR(__xludf.DUMMYFUNCTION("""COMPUTED_VALUE"""),10000.0)</f>
        <v>10000</v>
      </c>
      <c r="L346" s="235">
        <f>IFERROR(__xludf.DUMMYFUNCTION("""COMPUTED_VALUE"""),1.0)</f>
        <v>1</v>
      </c>
      <c r="M346" s="235">
        <f>IFERROR(__xludf.DUMMYFUNCTION("""COMPUTED_VALUE"""),40.0)</f>
        <v>40</v>
      </c>
      <c r="N346" s="235">
        <f>IFERROR(__xludf.DUMMYFUNCTION("""COMPUTED_VALUE"""),0.2)</f>
        <v>0.2</v>
      </c>
      <c r="O346" s="235">
        <f>IFERROR(__xludf.DUMMYFUNCTION("""COMPUTED_VALUE"""),100.0)</f>
        <v>100</v>
      </c>
      <c r="P346" s="235">
        <f>IFERROR(__xludf.DUMMYFUNCTION("""COMPUTED_VALUE"""),0.0)</f>
        <v>0</v>
      </c>
      <c r="Q346" s="235">
        <f>IFERROR(__xludf.DUMMYFUNCTION("""COMPUTED_VALUE"""),0.21)</f>
        <v>0.21</v>
      </c>
      <c r="R346" s="235">
        <f>IFERROR(__xludf.DUMMYFUNCTION("""COMPUTED_VALUE"""),1.0)</f>
        <v>1</v>
      </c>
      <c r="S346" s="235">
        <f>IFERROR(__xludf.DUMMYFUNCTION("""COMPUTED_VALUE"""),100.0)</f>
        <v>100</v>
      </c>
      <c r="T346" s="244" t="str">
        <f>IFERROR(__xludf.DUMMYFUNCTION("""COMPUTED_VALUE"""),"1.00")</f>
        <v>1.00</v>
      </c>
      <c r="U346" s="235" t="str">
        <f>IFERROR(__xludf.DUMMYFUNCTION("""COMPUTED_VALUE"""),"0.50")</f>
        <v>0.50</v>
      </c>
      <c r="V346" s="235">
        <f>IFERROR(__xludf.DUMMYFUNCTION("""COMPUTED_VALUE"""),100.0)</f>
        <v>100</v>
      </c>
      <c r="W346" s="235"/>
      <c r="X346" s="235"/>
      <c r="Y346" s="235"/>
      <c r="Z346" s="235" t="str">
        <f>IFERROR(__xludf.DUMMYFUNCTION("""COMPUTED_VALUE"""),"-")</f>
        <v>-</v>
      </c>
      <c r="AA346" s="235"/>
      <c r="AB346" s="235"/>
      <c r="AC346" s="235" t="str">
        <f>IFERROR(__xludf.DUMMYFUNCTION("""COMPUTED_VALUE"""),"通常攻撃25%で氷結にする(4秒間)")</f>
        <v>通常攻撃25%で氷結にする(4秒間)</v>
      </c>
    </row>
    <row r="347">
      <c r="A347" s="235"/>
      <c r="B347" s="235" t="str">
        <f>IFERROR(__xludf.DUMMYFUNCTION("""COMPUTED_VALUE"""),"enemy_glo_00001")</f>
        <v>enemy_glo_00001</v>
      </c>
      <c r="C347" s="254" t="str">
        <f>IFERROR(__xludf.DUMMYFUNCTION("""COMPUTED_VALUE"""),"_general_vh")</f>
        <v>_general_vh</v>
      </c>
      <c r="D347" s="254" t="str">
        <f>IFERROR(__xludf.DUMMYFUNCTION("""COMPUTED_VALUE"""),"e_glo_00001_general_vh_Normal_Yellow")</f>
        <v>e_glo_00001_general_vh_Normal_Yellow</v>
      </c>
      <c r="E347" s="254" t="str">
        <f>IFERROR(__xludf.DUMMYFUNCTION("""COMPUTED_VALUE"""),"GLOW")</f>
        <v>GLOW</v>
      </c>
      <c r="F347" s="254" t="str">
        <f>IFERROR(__xludf.DUMMYFUNCTION("""COMPUTED_VALUE"""),"ファントム")</f>
        <v>ファントム</v>
      </c>
      <c r="G347" s="254" t="str">
        <f>IFERROR(__xludf.DUMMYFUNCTION("""COMPUTED_VALUE"""),"ファントム_general_vh")</f>
        <v>ファントム_general_vh</v>
      </c>
      <c r="H347" s="235" t="str">
        <f>IFERROR(__xludf.DUMMYFUNCTION("""COMPUTED_VALUE"""),"Normal")</f>
        <v>Normal</v>
      </c>
      <c r="I347" s="235" t="str">
        <f>IFERROR(__xludf.DUMMYFUNCTION("""COMPUTED_VALUE"""),"Technical")</f>
        <v>Technical</v>
      </c>
      <c r="J347" s="235" t="str">
        <f>IFERROR(__xludf.DUMMYFUNCTION("""COMPUTED_VALUE"""),"Yellow")</f>
        <v>Yellow</v>
      </c>
      <c r="K347" s="235">
        <f>IFERROR(__xludf.DUMMYFUNCTION("""COMPUTED_VALUE"""),10000.0)</f>
        <v>10000</v>
      </c>
      <c r="L347" s="235">
        <f>IFERROR(__xludf.DUMMYFUNCTION("""COMPUTED_VALUE"""),1.0)</f>
        <v>1</v>
      </c>
      <c r="M347" s="235">
        <f>IFERROR(__xludf.DUMMYFUNCTION("""COMPUTED_VALUE"""),40.0)</f>
        <v>40</v>
      </c>
      <c r="N347" s="235">
        <f>IFERROR(__xludf.DUMMYFUNCTION("""COMPUTED_VALUE"""),0.2)</f>
        <v>0.2</v>
      </c>
      <c r="O347" s="235">
        <f>IFERROR(__xludf.DUMMYFUNCTION("""COMPUTED_VALUE"""),100.0)</f>
        <v>100</v>
      </c>
      <c r="P347" s="235">
        <f>IFERROR(__xludf.DUMMYFUNCTION("""COMPUTED_VALUE"""),0.0)</f>
        <v>0</v>
      </c>
      <c r="Q347" s="235">
        <f>IFERROR(__xludf.DUMMYFUNCTION("""COMPUTED_VALUE"""),0.21)</f>
        <v>0.21</v>
      </c>
      <c r="R347" s="235">
        <f>IFERROR(__xludf.DUMMYFUNCTION("""COMPUTED_VALUE"""),1.0)</f>
        <v>1</v>
      </c>
      <c r="S347" s="235">
        <f>IFERROR(__xludf.DUMMYFUNCTION("""COMPUTED_VALUE"""),100.0)</f>
        <v>100</v>
      </c>
      <c r="T347" s="244" t="str">
        <f>IFERROR(__xludf.DUMMYFUNCTION("""COMPUTED_VALUE"""),"1.00")</f>
        <v>1.00</v>
      </c>
      <c r="U347" s="235" t="str">
        <f>IFERROR(__xludf.DUMMYFUNCTION("""COMPUTED_VALUE"""),"0.50")</f>
        <v>0.50</v>
      </c>
      <c r="V347" s="235">
        <f>IFERROR(__xludf.DUMMYFUNCTION("""COMPUTED_VALUE"""),100.0)</f>
        <v>100</v>
      </c>
      <c r="W347" s="235"/>
      <c r="X347" s="235"/>
      <c r="Y347" s="235"/>
      <c r="Z347" s="235" t="str">
        <f>IFERROR(__xludf.DUMMYFUNCTION("""COMPUTED_VALUE"""),"-")</f>
        <v>-</v>
      </c>
      <c r="AA347" s="235"/>
      <c r="AB347" s="235"/>
      <c r="AC347" s="235" t="str">
        <f>IFERROR(__xludf.DUMMYFUNCTION("""COMPUTED_VALUE"""),"通常攻撃25%でスタンにする(4秒間)")</f>
        <v>通常攻撃25%でスタンにする(4秒間)</v>
      </c>
    </row>
    <row r="348">
      <c r="A348" s="235"/>
      <c r="B348" s="235" t="str">
        <f>IFERROR(__xludf.DUMMYFUNCTION("""COMPUTED_VALUE"""),"enemy_glo_00101")</f>
        <v>enemy_glo_00101</v>
      </c>
      <c r="C348" s="254" t="str">
        <f>IFERROR(__xludf.DUMMYFUNCTION("""COMPUTED_VALUE"""),"_general_vh")</f>
        <v>_general_vh</v>
      </c>
      <c r="D348" s="254" t="str">
        <f>IFERROR(__xludf.DUMMYFUNCTION("""COMPUTED_VALUE"""),"e_glo_00101_general_vh_Boss_Colorless")</f>
        <v>e_glo_00101_general_vh_Boss_Colorless</v>
      </c>
      <c r="E348" s="254" t="str">
        <f>IFERROR(__xludf.DUMMYFUNCTION("""COMPUTED_VALUE"""),"GLOW")</f>
        <v>GLOW</v>
      </c>
      <c r="F348" s="254" t="str">
        <f>IFERROR(__xludf.DUMMYFUNCTION("""COMPUTED_VALUE"""),"ボスファントム")</f>
        <v>ボスファントム</v>
      </c>
      <c r="G348" s="254" t="str">
        <f>IFERROR(__xludf.DUMMYFUNCTION("""COMPUTED_VALUE"""),"中ボスエネミー_general_vh")</f>
        <v>中ボスエネミー_general_vh</v>
      </c>
      <c r="H348" s="235" t="str">
        <f>IFERROR(__xludf.DUMMYFUNCTION("""COMPUTED_VALUE"""),"Boss")</f>
        <v>Boss</v>
      </c>
      <c r="I348" s="235" t="str">
        <f>IFERROR(__xludf.DUMMYFUNCTION("""COMPUTED_VALUE"""),"Attack")</f>
        <v>Attack</v>
      </c>
      <c r="J348" s="235" t="str">
        <f>IFERROR(__xludf.DUMMYFUNCTION("""COMPUTED_VALUE"""),"Colorless")</f>
        <v>Colorless</v>
      </c>
      <c r="K348" s="235">
        <f>IFERROR(__xludf.DUMMYFUNCTION("""COMPUTED_VALUE"""),10000.0)</f>
        <v>10000</v>
      </c>
      <c r="L348" s="235">
        <f>IFERROR(__xludf.DUMMYFUNCTION("""COMPUTED_VALUE"""),1.0)</f>
        <v>1</v>
      </c>
      <c r="M348" s="235">
        <f>IFERROR(__xludf.DUMMYFUNCTION("""COMPUTED_VALUE"""),31.0)</f>
        <v>31</v>
      </c>
      <c r="N348" s="235">
        <f>IFERROR(__xludf.DUMMYFUNCTION("""COMPUTED_VALUE"""),0.23)</f>
        <v>0.23</v>
      </c>
      <c r="O348" s="235">
        <f>IFERROR(__xludf.DUMMYFUNCTION("""COMPUTED_VALUE"""),100.0)</f>
        <v>100</v>
      </c>
      <c r="P348" s="235">
        <f>IFERROR(__xludf.DUMMYFUNCTION("""COMPUTED_VALUE"""),0.0)</f>
        <v>0</v>
      </c>
      <c r="Q348" s="235">
        <f>IFERROR(__xludf.DUMMYFUNCTION("""COMPUTED_VALUE"""),0.25)</f>
        <v>0.25</v>
      </c>
      <c r="R348" s="235">
        <f>IFERROR(__xludf.DUMMYFUNCTION("""COMPUTED_VALUE"""),100.0)</f>
        <v>100</v>
      </c>
      <c r="S348" s="235">
        <f>IFERROR(__xludf.DUMMYFUNCTION("""COMPUTED_VALUE"""),500.0)</f>
        <v>500</v>
      </c>
      <c r="T348" s="244" t="str">
        <f>IFERROR(__xludf.DUMMYFUNCTION("""COMPUTED_VALUE"""),"1.17")</f>
        <v>1.17</v>
      </c>
      <c r="U348" s="235" t="str">
        <f>IFERROR(__xludf.DUMMYFUNCTION("""COMPUTED_VALUE"""),"stop有:1回目 0.56")</f>
        <v>stop有:1回目 0.56</v>
      </c>
      <c r="V348" s="235">
        <f>IFERROR(__xludf.DUMMYFUNCTION("""COMPUTED_VALUE"""),100.0)</f>
        <v>100</v>
      </c>
      <c r="W348" s="235" t="str">
        <f>IFERROR(__xludf.DUMMYFUNCTION("""COMPUTED_VALUE"""),"-")</f>
        <v>-</v>
      </c>
      <c r="X348" s="235" t="str">
        <f>IFERROR(__xludf.DUMMYFUNCTION("""COMPUTED_VALUE"""),"-")</f>
        <v>-</v>
      </c>
      <c r="Y348" s="235"/>
      <c r="Z348" s="235" t="str">
        <f>IFERROR(__xludf.DUMMYFUNCTION("""COMPUTED_VALUE"""),"-")</f>
        <v>-</v>
      </c>
      <c r="AA348" s="235"/>
      <c r="AB348" s="235"/>
      <c r="AC348" s="235" t="str">
        <f>IFERROR(__xludf.DUMMYFUNCTION("""COMPUTED_VALUE"""),"通常攻撃(範囲)100%でノックバックにする")</f>
        <v>通常攻撃(範囲)100%でノックバックにする</v>
      </c>
    </row>
    <row r="349">
      <c r="A349" s="235"/>
      <c r="B349" s="235"/>
      <c r="C349" s="254"/>
      <c r="D349" s="254" t="str">
        <f>IFERROR(__xludf.DUMMYFUNCTION("""COMPUTED_VALUE"""),"___")</f>
        <v>___</v>
      </c>
      <c r="E349" s="254" t="str">
        <f>IFERROR(__xludf.DUMMYFUNCTION("""COMPUTED_VALUE"""),"none")</f>
        <v>none</v>
      </c>
      <c r="F349" s="254" t="str">
        <f>IFERROR(__xludf.DUMMYFUNCTION("""COMPUTED_VALUE"""),"none")</f>
        <v>none</v>
      </c>
      <c r="G349" s="254" t="str">
        <f>IFERROR(__xludf.DUMMYFUNCTION("""COMPUTED_VALUE"""),"none")</f>
        <v>none</v>
      </c>
      <c r="H349" s="235"/>
      <c r="I349" s="235" t="str">
        <f>IFERROR(__xludf.DUMMYFUNCTION("""COMPUTED_VALUE"""),"none")</f>
        <v>none</v>
      </c>
      <c r="J349" s="235"/>
      <c r="K349" s="235"/>
      <c r="L349" s="235"/>
      <c r="M349" s="235"/>
      <c r="N349" s="235"/>
      <c r="O349" s="235"/>
      <c r="P349" s="235"/>
      <c r="Q349" s="235"/>
      <c r="R349" s="235"/>
      <c r="S349" s="235"/>
      <c r="T349" s="244" t="str">
        <f>IFERROR(__xludf.DUMMYFUNCTION("""COMPUTED_VALUE"""),"none")</f>
        <v>none</v>
      </c>
      <c r="U349" s="235" t="str">
        <f>IFERROR(__xludf.DUMMYFUNCTION("""COMPUTED_VALUE"""),"none")</f>
        <v>none</v>
      </c>
      <c r="V349" s="235"/>
      <c r="W349" s="235" t="str">
        <f>IFERROR(__xludf.DUMMYFUNCTION("""COMPUTED_VALUE"""),"none")</f>
        <v>none</v>
      </c>
      <c r="X349" s="235" t="str">
        <f>IFERROR(__xludf.DUMMYFUNCTION("""COMPUTED_VALUE"""),"none")</f>
        <v>none</v>
      </c>
      <c r="Y349" s="235"/>
      <c r="Z349" s="235" t="str">
        <f>IFERROR(__xludf.DUMMYFUNCTION("""COMPUTED_VALUE"""),"-")</f>
        <v>-</v>
      </c>
      <c r="AA349" s="235"/>
      <c r="AB349" s="235"/>
      <c r="AC349" s="235"/>
    </row>
    <row r="350">
      <c r="A350" s="235"/>
      <c r="B350" s="235" t="str">
        <f>IFERROR(__xludf.DUMMYFUNCTION("""COMPUTED_VALUE"""),"enemy_gom_00501")</f>
        <v>enemy_gom_00501</v>
      </c>
      <c r="C350" s="254" t="str">
        <f>IFERROR(__xludf.DUMMYFUNCTION("""COMPUTED_VALUE"""),"_general_n")</f>
        <v>_general_n</v>
      </c>
      <c r="D350" s="254" t="str">
        <f>IFERROR(__xludf.DUMMYFUNCTION("""COMPUTED_VALUE"""),"e_gom_00501_general_n_Normal_Colorless")</f>
        <v>e_gom_00501_general_n_Normal_Colorless</v>
      </c>
      <c r="E350" s="254" t="str">
        <f>IFERROR(__xludf.DUMMYFUNCTION("""COMPUTED_VALUE"""),"姫様“拷問”の時間です")</f>
        <v>姫様“拷問”の時間です</v>
      </c>
      <c r="F350" s="254" t="str">
        <f>IFERROR(__xludf.DUMMYFUNCTION("""COMPUTED_VALUE"""),"バタートースト")</f>
        <v>バタートースト</v>
      </c>
      <c r="G350" s="254" t="str">
        <f>IFERROR(__xludf.DUMMYFUNCTION("""COMPUTED_VALUE"""),"バタートースト_general_n")</f>
        <v>バタートースト_general_n</v>
      </c>
      <c r="H350" s="235" t="str">
        <f>IFERROR(__xludf.DUMMYFUNCTION("""COMPUTED_VALUE"""),"Normal")</f>
        <v>Normal</v>
      </c>
      <c r="I350" s="235" t="str">
        <f>IFERROR(__xludf.DUMMYFUNCTION("""COMPUTED_VALUE"""),"Defense")</f>
        <v>Defense</v>
      </c>
      <c r="J350" s="235" t="str">
        <f>IFERROR(__xludf.DUMMYFUNCTION("""COMPUTED_VALUE"""),"Colorless")</f>
        <v>Colorless</v>
      </c>
      <c r="K350" s="235">
        <f>IFERROR(__xludf.DUMMYFUNCTION("""COMPUTED_VALUE"""),1000.0)</f>
        <v>1000</v>
      </c>
      <c r="L350" s="235">
        <f>IFERROR(__xludf.DUMMYFUNCTION("""COMPUTED_VALUE"""),0.0)</f>
        <v>0</v>
      </c>
      <c r="M350" s="235">
        <f>IFERROR(__xludf.DUMMYFUNCTION("""COMPUTED_VALUE"""),34.0)</f>
        <v>34</v>
      </c>
      <c r="N350" s="235">
        <f>IFERROR(__xludf.DUMMYFUNCTION("""COMPUTED_VALUE"""),0.14)</f>
        <v>0.14</v>
      </c>
      <c r="O350" s="235">
        <f>IFERROR(__xludf.DUMMYFUNCTION("""COMPUTED_VALUE"""),50.0)</f>
        <v>50</v>
      </c>
      <c r="P350" s="235">
        <f>IFERROR(__xludf.DUMMYFUNCTION("""COMPUTED_VALUE"""),0.0)</f>
        <v>0</v>
      </c>
      <c r="Q350" s="235">
        <f>IFERROR(__xludf.DUMMYFUNCTION("""COMPUTED_VALUE"""),0.15)</f>
        <v>0.15</v>
      </c>
      <c r="R350" s="235">
        <f>IFERROR(__xludf.DUMMYFUNCTION("""COMPUTED_VALUE"""),1.0)</f>
        <v>1</v>
      </c>
      <c r="S350" s="235">
        <f>IFERROR(__xludf.DUMMYFUNCTION("""COMPUTED_VALUE"""),200.0)</f>
        <v>200</v>
      </c>
      <c r="T350" s="244" t="str">
        <f>IFERROR(__xludf.DUMMYFUNCTION("""COMPUTED_VALUE"""),"1.00")</f>
        <v>1.00</v>
      </c>
      <c r="U350" s="235" t="str">
        <f>IFERROR(__xludf.DUMMYFUNCTION("""COMPUTED_VALUE"""),"0.833")</f>
        <v>0.833</v>
      </c>
      <c r="V350" s="235">
        <f>IFERROR(__xludf.DUMMYFUNCTION("""COMPUTED_VALUE"""),100.0)</f>
        <v>100</v>
      </c>
      <c r="W350" s="235" t="str">
        <f>IFERROR(__xludf.DUMMYFUNCTION("""COMPUTED_VALUE"""),"-")</f>
        <v>-</v>
      </c>
      <c r="X350" s="235" t="str">
        <f>IFERROR(__xludf.DUMMYFUNCTION("""COMPUTED_VALUE"""),"-")</f>
        <v>-</v>
      </c>
      <c r="Y350" s="235"/>
      <c r="Z350" s="235" t="str">
        <f>IFERROR(__xludf.DUMMYFUNCTION("""COMPUTED_VALUE"""),"-")</f>
        <v>-</v>
      </c>
      <c r="AA350" s="235"/>
      <c r="AB350" s="235" t="str">
        <f>IFERROR(__xludf.DUMMYFUNCTION("""COMPUTED_VALUE"""),"dageki_1")</f>
        <v>dageki_1</v>
      </c>
      <c r="AC350" s="235"/>
    </row>
    <row r="351">
      <c r="A351" s="235"/>
      <c r="B351" s="235" t="str">
        <f>IFERROR(__xludf.DUMMYFUNCTION("""COMPUTED_VALUE"""),"enemy_gom_00501")</f>
        <v>enemy_gom_00501</v>
      </c>
      <c r="C351" s="254" t="str">
        <f>IFERROR(__xludf.DUMMYFUNCTION("""COMPUTED_VALUE"""),"_general_n")</f>
        <v>_general_n</v>
      </c>
      <c r="D351" s="254" t="str">
        <f>IFERROR(__xludf.DUMMYFUNCTION("""COMPUTED_VALUE"""),"e_gom_00501_general_n_Normal_Yellow")</f>
        <v>e_gom_00501_general_n_Normal_Yellow</v>
      </c>
      <c r="E351" s="254" t="str">
        <f>IFERROR(__xludf.DUMMYFUNCTION("""COMPUTED_VALUE"""),"姫様“拷問”の時間です")</f>
        <v>姫様“拷問”の時間です</v>
      </c>
      <c r="F351" s="254" t="str">
        <f>IFERROR(__xludf.DUMMYFUNCTION("""COMPUTED_VALUE"""),"バタートースト")</f>
        <v>バタートースト</v>
      </c>
      <c r="G351" s="254" t="str">
        <f>IFERROR(__xludf.DUMMYFUNCTION("""COMPUTED_VALUE"""),"バタートースト_general_n")</f>
        <v>バタートースト_general_n</v>
      </c>
      <c r="H351" s="235" t="str">
        <f>IFERROR(__xludf.DUMMYFUNCTION("""COMPUTED_VALUE"""),"Normal")</f>
        <v>Normal</v>
      </c>
      <c r="I351" s="235" t="str">
        <f>IFERROR(__xludf.DUMMYFUNCTION("""COMPUTED_VALUE"""),"Defense")</f>
        <v>Defense</v>
      </c>
      <c r="J351" s="235" t="str">
        <f>IFERROR(__xludf.DUMMYFUNCTION("""COMPUTED_VALUE"""),"Yellow")</f>
        <v>Yellow</v>
      </c>
      <c r="K351" s="235">
        <f>IFERROR(__xludf.DUMMYFUNCTION("""COMPUTED_VALUE"""),1000.0)</f>
        <v>1000</v>
      </c>
      <c r="L351" s="235">
        <f>IFERROR(__xludf.DUMMYFUNCTION("""COMPUTED_VALUE"""),0.0)</f>
        <v>0</v>
      </c>
      <c r="M351" s="235">
        <f>IFERROR(__xludf.DUMMYFUNCTION("""COMPUTED_VALUE"""),34.0)</f>
        <v>34</v>
      </c>
      <c r="N351" s="235">
        <f>IFERROR(__xludf.DUMMYFUNCTION("""COMPUTED_VALUE"""),0.14)</f>
        <v>0.14</v>
      </c>
      <c r="O351" s="235">
        <f>IFERROR(__xludf.DUMMYFUNCTION("""COMPUTED_VALUE"""),50.0)</f>
        <v>50</v>
      </c>
      <c r="P351" s="235">
        <f>IFERROR(__xludf.DUMMYFUNCTION("""COMPUTED_VALUE"""),0.0)</f>
        <v>0</v>
      </c>
      <c r="Q351" s="235">
        <f>IFERROR(__xludf.DUMMYFUNCTION("""COMPUTED_VALUE"""),0.15)</f>
        <v>0.15</v>
      </c>
      <c r="R351" s="235">
        <f>IFERROR(__xludf.DUMMYFUNCTION("""COMPUTED_VALUE"""),1.0)</f>
        <v>1</v>
      </c>
      <c r="S351" s="235">
        <f>IFERROR(__xludf.DUMMYFUNCTION("""COMPUTED_VALUE"""),200.0)</f>
        <v>200</v>
      </c>
      <c r="T351" s="244" t="str">
        <f>IFERROR(__xludf.DUMMYFUNCTION("""COMPUTED_VALUE"""),"1.00")</f>
        <v>1.00</v>
      </c>
      <c r="U351" s="235" t="str">
        <f>IFERROR(__xludf.DUMMYFUNCTION("""COMPUTED_VALUE"""),"0.833")</f>
        <v>0.833</v>
      </c>
      <c r="V351" s="235">
        <f>IFERROR(__xludf.DUMMYFUNCTION("""COMPUTED_VALUE"""),100.0)</f>
        <v>100</v>
      </c>
      <c r="W351" s="235" t="str">
        <f>IFERROR(__xludf.DUMMYFUNCTION("""COMPUTED_VALUE"""),"-")</f>
        <v>-</v>
      </c>
      <c r="X351" s="235" t="str">
        <f>IFERROR(__xludf.DUMMYFUNCTION("""COMPUTED_VALUE"""),"-")</f>
        <v>-</v>
      </c>
      <c r="Y351" s="235"/>
      <c r="Z351" s="235" t="str">
        <f>IFERROR(__xludf.DUMMYFUNCTION("""COMPUTED_VALUE"""),"-")</f>
        <v>-</v>
      </c>
      <c r="AA351" s="235"/>
      <c r="AB351" s="235" t="str">
        <f>IFERROR(__xludf.DUMMYFUNCTION("""COMPUTED_VALUE"""),"dageki_1")</f>
        <v>dageki_1</v>
      </c>
      <c r="AC351" s="235"/>
    </row>
    <row r="352">
      <c r="A352" s="235"/>
      <c r="B352" s="235" t="str">
        <f>IFERROR(__xludf.DUMMYFUNCTION("""COMPUTED_VALUE"""),"enemy_gom_00501")</f>
        <v>enemy_gom_00501</v>
      </c>
      <c r="C352" s="254" t="str">
        <f>IFERROR(__xludf.DUMMYFUNCTION("""COMPUTED_VALUE"""),"_general_vh")</f>
        <v>_general_vh</v>
      </c>
      <c r="D352" s="254" t="str">
        <f>IFERROR(__xludf.DUMMYFUNCTION("""COMPUTED_VALUE"""),"e_gom_00501_general_vh_Normal_Red")</f>
        <v>e_gom_00501_general_vh_Normal_Red</v>
      </c>
      <c r="E352" s="254" t="str">
        <f>IFERROR(__xludf.DUMMYFUNCTION("""COMPUTED_VALUE"""),"姫様“拷問”の時間です")</f>
        <v>姫様“拷問”の時間です</v>
      </c>
      <c r="F352" s="254" t="str">
        <f>IFERROR(__xludf.DUMMYFUNCTION("""COMPUTED_VALUE"""),"バタートースト")</f>
        <v>バタートースト</v>
      </c>
      <c r="G352" s="254" t="str">
        <f>IFERROR(__xludf.DUMMYFUNCTION("""COMPUTED_VALUE"""),"バタートースト_general_vh")</f>
        <v>バタートースト_general_vh</v>
      </c>
      <c r="H352" s="235" t="str">
        <f>IFERROR(__xludf.DUMMYFUNCTION("""COMPUTED_VALUE"""),"Normal")</f>
        <v>Normal</v>
      </c>
      <c r="I352" s="235" t="str">
        <f>IFERROR(__xludf.DUMMYFUNCTION("""COMPUTED_VALUE"""),"Defense")</f>
        <v>Defense</v>
      </c>
      <c r="J352" s="235" t="str">
        <f>IFERROR(__xludf.DUMMYFUNCTION("""COMPUTED_VALUE"""),"Red")</f>
        <v>Red</v>
      </c>
      <c r="K352" s="235">
        <f>IFERROR(__xludf.DUMMYFUNCTION("""COMPUTED_VALUE"""),1000.0)</f>
        <v>1000</v>
      </c>
      <c r="L352" s="235">
        <f>IFERROR(__xludf.DUMMYFUNCTION("""COMPUTED_VALUE"""),0.0)</f>
        <v>0</v>
      </c>
      <c r="M352" s="235">
        <f>IFERROR(__xludf.DUMMYFUNCTION("""COMPUTED_VALUE"""),34.0)</f>
        <v>34</v>
      </c>
      <c r="N352" s="235">
        <f>IFERROR(__xludf.DUMMYFUNCTION("""COMPUTED_VALUE"""),0.14)</f>
        <v>0.14</v>
      </c>
      <c r="O352" s="235">
        <f>IFERROR(__xludf.DUMMYFUNCTION("""COMPUTED_VALUE"""),100.0)</f>
        <v>100</v>
      </c>
      <c r="P352" s="235">
        <f>IFERROR(__xludf.DUMMYFUNCTION("""COMPUTED_VALUE"""),0.0)</f>
        <v>0</v>
      </c>
      <c r="Q352" s="235">
        <f>IFERROR(__xludf.DUMMYFUNCTION("""COMPUTED_VALUE"""),0.15)</f>
        <v>0.15</v>
      </c>
      <c r="R352" s="235">
        <f>IFERROR(__xludf.DUMMYFUNCTION("""COMPUTED_VALUE"""),1.0)</f>
        <v>1</v>
      </c>
      <c r="S352" s="235">
        <f>IFERROR(__xludf.DUMMYFUNCTION("""COMPUTED_VALUE"""),200.0)</f>
        <v>200</v>
      </c>
      <c r="T352" s="244" t="str">
        <f>IFERROR(__xludf.DUMMYFUNCTION("""COMPUTED_VALUE"""),"1.00")</f>
        <v>1.00</v>
      </c>
      <c r="U352" s="235" t="str">
        <f>IFERROR(__xludf.DUMMYFUNCTION("""COMPUTED_VALUE"""),"0.833")</f>
        <v>0.833</v>
      </c>
      <c r="V352" s="235">
        <f>IFERROR(__xludf.DUMMYFUNCTION("""COMPUTED_VALUE"""),100.0)</f>
        <v>100</v>
      </c>
      <c r="W352" s="235" t="str">
        <f>IFERROR(__xludf.DUMMYFUNCTION("""COMPUTED_VALUE"""),"-")</f>
        <v>-</v>
      </c>
      <c r="X352" s="235" t="str">
        <f>IFERROR(__xludf.DUMMYFUNCTION("""COMPUTED_VALUE"""),"-")</f>
        <v>-</v>
      </c>
      <c r="Y352" s="235"/>
      <c r="Z352" s="235" t="str">
        <f>IFERROR(__xludf.DUMMYFUNCTION("""COMPUTED_VALUE"""),"-")</f>
        <v>-</v>
      </c>
      <c r="AA352" s="235"/>
      <c r="AB352" s="235" t="str">
        <f>IFERROR(__xludf.DUMMYFUNCTION("""COMPUTED_VALUE"""),"dageki_1")</f>
        <v>dageki_1</v>
      </c>
      <c r="AC352" s="235"/>
    </row>
    <row r="353">
      <c r="A353" s="235"/>
      <c r="B353" s="235" t="str">
        <f>IFERROR(__xludf.DUMMYFUNCTION("""COMPUTED_VALUE"""),"enemy_gom_00501")</f>
        <v>enemy_gom_00501</v>
      </c>
      <c r="C353" s="254" t="str">
        <f>IFERROR(__xludf.DUMMYFUNCTION("""COMPUTED_VALUE"""),"_general_vh")</f>
        <v>_general_vh</v>
      </c>
      <c r="D353" s="254" t="str">
        <f>IFERROR(__xludf.DUMMYFUNCTION("""COMPUTED_VALUE"""),"e_gom_00501_general_vh_Normal_Blue")</f>
        <v>e_gom_00501_general_vh_Normal_Blue</v>
      </c>
      <c r="E353" s="254" t="str">
        <f>IFERROR(__xludf.DUMMYFUNCTION("""COMPUTED_VALUE"""),"姫様“拷問”の時間です")</f>
        <v>姫様“拷問”の時間です</v>
      </c>
      <c r="F353" s="254" t="str">
        <f>IFERROR(__xludf.DUMMYFUNCTION("""COMPUTED_VALUE"""),"バタートースト")</f>
        <v>バタートースト</v>
      </c>
      <c r="G353" s="254" t="str">
        <f>IFERROR(__xludf.DUMMYFUNCTION("""COMPUTED_VALUE"""),"バタートースト_general_vh")</f>
        <v>バタートースト_general_vh</v>
      </c>
      <c r="H353" s="235" t="str">
        <f>IFERROR(__xludf.DUMMYFUNCTION("""COMPUTED_VALUE"""),"Normal")</f>
        <v>Normal</v>
      </c>
      <c r="I353" s="235" t="str">
        <f>IFERROR(__xludf.DUMMYFUNCTION("""COMPUTED_VALUE"""),"Defense")</f>
        <v>Defense</v>
      </c>
      <c r="J353" s="235" t="str">
        <f>IFERROR(__xludf.DUMMYFUNCTION("""COMPUTED_VALUE"""),"Blue")</f>
        <v>Blue</v>
      </c>
      <c r="K353" s="235">
        <f>IFERROR(__xludf.DUMMYFUNCTION("""COMPUTED_VALUE"""),1000.0)</f>
        <v>1000</v>
      </c>
      <c r="L353" s="235">
        <f>IFERROR(__xludf.DUMMYFUNCTION("""COMPUTED_VALUE"""),0.0)</f>
        <v>0</v>
      </c>
      <c r="M353" s="235">
        <f>IFERROR(__xludf.DUMMYFUNCTION("""COMPUTED_VALUE"""),34.0)</f>
        <v>34</v>
      </c>
      <c r="N353" s="235">
        <f>IFERROR(__xludf.DUMMYFUNCTION("""COMPUTED_VALUE"""),0.14)</f>
        <v>0.14</v>
      </c>
      <c r="O353" s="235">
        <f>IFERROR(__xludf.DUMMYFUNCTION("""COMPUTED_VALUE"""),100.0)</f>
        <v>100</v>
      </c>
      <c r="P353" s="235">
        <f>IFERROR(__xludf.DUMMYFUNCTION("""COMPUTED_VALUE"""),0.0)</f>
        <v>0</v>
      </c>
      <c r="Q353" s="235">
        <f>IFERROR(__xludf.DUMMYFUNCTION("""COMPUTED_VALUE"""),0.15)</f>
        <v>0.15</v>
      </c>
      <c r="R353" s="235">
        <f>IFERROR(__xludf.DUMMYFUNCTION("""COMPUTED_VALUE"""),1.0)</f>
        <v>1</v>
      </c>
      <c r="S353" s="235">
        <f>IFERROR(__xludf.DUMMYFUNCTION("""COMPUTED_VALUE"""),200.0)</f>
        <v>200</v>
      </c>
      <c r="T353" s="244" t="str">
        <f>IFERROR(__xludf.DUMMYFUNCTION("""COMPUTED_VALUE"""),"1.00")</f>
        <v>1.00</v>
      </c>
      <c r="U353" s="235" t="str">
        <f>IFERROR(__xludf.DUMMYFUNCTION("""COMPUTED_VALUE"""),"0.833")</f>
        <v>0.833</v>
      </c>
      <c r="V353" s="235">
        <f>IFERROR(__xludf.DUMMYFUNCTION("""COMPUTED_VALUE"""),100.0)</f>
        <v>100</v>
      </c>
      <c r="W353" s="235" t="str">
        <f>IFERROR(__xludf.DUMMYFUNCTION("""COMPUTED_VALUE"""),"-")</f>
        <v>-</v>
      </c>
      <c r="X353" s="235" t="str">
        <f>IFERROR(__xludf.DUMMYFUNCTION("""COMPUTED_VALUE"""),"-")</f>
        <v>-</v>
      </c>
      <c r="Y353" s="235"/>
      <c r="Z353" s="235" t="str">
        <f>IFERROR(__xludf.DUMMYFUNCTION("""COMPUTED_VALUE"""),"-")</f>
        <v>-</v>
      </c>
      <c r="AA353" s="235"/>
      <c r="AB353" s="235" t="str">
        <f>IFERROR(__xludf.DUMMYFUNCTION("""COMPUTED_VALUE"""),"dageki_1")</f>
        <v>dageki_1</v>
      </c>
      <c r="AC353" s="235"/>
    </row>
    <row r="354">
      <c r="A354" s="235"/>
      <c r="B354" s="235" t="str">
        <f>IFERROR(__xludf.DUMMYFUNCTION("""COMPUTED_VALUE"""),"enemy_gom_00502")</f>
        <v>enemy_gom_00502</v>
      </c>
      <c r="C354" s="254" t="str">
        <f>IFERROR(__xludf.DUMMYFUNCTION("""COMPUTED_VALUE"""),"_general_n")</f>
        <v>_general_n</v>
      </c>
      <c r="D354" s="254" t="str">
        <f>IFERROR(__xludf.DUMMYFUNCTION("""COMPUTED_VALUE"""),"e_gom_00502_general_n_Normal_Colorless")</f>
        <v>e_gom_00502_general_n_Normal_Colorless</v>
      </c>
      <c r="E354" s="254" t="str">
        <f>IFERROR(__xludf.DUMMYFUNCTION("""COMPUTED_VALUE"""),"姫様“拷問”の時間です")</f>
        <v>姫様“拷問”の時間です</v>
      </c>
      <c r="F354" s="254" t="str">
        <f>IFERROR(__xludf.DUMMYFUNCTION("""COMPUTED_VALUE"""),"割きトースト")</f>
        <v>割きトースト</v>
      </c>
      <c r="G354" s="254" t="str">
        <f>IFERROR(__xludf.DUMMYFUNCTION("""COMPUTED_VALUE"""),"割きトースト_general_n")</f>
        <v>割きトースト_general_n</v>
      </c>
      <c r="H354" s="235" t="str">
        <f>IFERROR(__xludf.DUMMYFUNCTION("""COMPUTED_VALUE"""),"Normal")</f>
        <v>Normal</v>
      </c>
      <c r="I354" s="235" t="str">
        <f>IFERROR(__xludf.DUMMYFUNCTION("""COMPUTED_VALUE"""),"Attack")</f>
        <v>Attack</v>
      </c>
      <c r="J354" s="235" t="str">
        <f>IFERROR(__xludf.DUMMYFUNCTION("""COMPUTED_VALUE"""),"Colorless")</f>
        <v>Colorless</v>
      </c>
      <c r="K354" s="235">
        <f>IFERROR(__xludf.DUMMYFUNCTION("""COMPUTED_VALUE"""),1000.0)</f>
        <v>1000</v>
      </c>
      <c r="L354" s="235">
        <f>IFERROR(__xludf.DUMMYFUNCTION("""COMPUTED_VALUE"""),0.0)</f>
        <v>0</v>
      </c>
      <c r="M354" s="235">
        <f>IFERROR(__xludf.DUMMYFUNCTION("""COMPUTED_VALUE"""),34.0)</f>
        <v>34</v>
      </c>
      <c r="N354" s="235">
        <f>IFERROR(__xludf.DUMMYFUNCTION("""COMPUTED_VALUE"""),0.19)</f>
        <v>0.19</v>
      </c>
      <c r="O354" s="235">
        <f>IFERROR(__xludf.DUMMYFUNCTION("""COMPUTED_VALUE"""),50.0)</f>
        <v>50</v>
      </c>
      <c r="P354" s="235">
        <f>IFERROR(__xludf.DUMMYFUNCTION("""COMPUTED_VALUE"""),0.0)</f>
        <v>0</v>
      </c>
      <c r="Q354" s="235">
        <f>IFERROR(__xludf.DUMMYFUNCTION("""COMPUTED_VALUE"""),0.2)</f>
        <v>0.2</v>
      </c>
      <c r="R354" s="235">
        <f>IFERROR(__xludf.DUMMYFUNCTION("""COMPUTED_VALUE"""),1.0)</f>
        <v>1</v>
      </c>
      <c r="S354" s="235">
        <f>IFERROR(__xludf.DUMMYFUNCTION("""COMPUTED_VALUE"""),200.0)</f>
        <v>200</v>
      </c>
      <c r="T354" s="244" t="str">
        <f>IFERROR(__xludf.DUMMYFUNCTION("""COMPUTED_VALUE"""),"1.00")</f>
        <v>1.00</v>
      </c>
      <c r="U354" s="235" t="str">
        <f>IFERROR(__xludf.DUMMYFUNCTION("""COMPUTED_VALUE"""),"0.833")</f>
        <v>0.833</v>
      </c>
      <c r="V354" s="235">
        <f>IFERROR(__xludf.DUMMYFUNCTION("""COMPUTED_VALUE"""),150.0)</f>
        <v>150</v>
      </c>
      <c r="W354" s="235" t="str">
        <f>IFERROR(__xludf.DUMMYFUNCTION("""COMPUTED_VALUE"""),"-")</f>
        <v>-</v>
      </c>
      <c r="X354" s="235" t="str">
        <f>IFERROR(__xludf.DUMMYFUNCTION("""COMPUTED_VALUE"""),"-")</f>
        <v>-</v>
      </c>
      <c r="Y354" s="235"/>
      <c r="Z354" s="235" t="str">
        <f>IFERROR(__xludf.DUMMYFUNCTION("""COMPUTED_VALUE"""),"-")</f>
        <v>-</v>
      </c>
      <c r="AA354" s="235"/>
      <c r="AB354" s="235" t="str">
        <f>IFERROR(__xludf.DUMMYFUNCTION("""COMPUTED_VALUE"""),"dageki_1")</f>
        <v>dageki_1</v>
      </c>
      <c r="AC354" s="235"/>
    </row>
    <row r="355">
      <c r="A355" s="235"/>
      <c r="B355" s="235" t="str">
        <f>IFERROR(__xludf.DUMMYFUNCTION("""COMPUTED_VALUE"""),"enemy_gom_00502")</f>
        <v>enemy_gom_00502</v>
      </c>
      <c r="C355" s="254" t="str">
        <f>IFERROR(__xludf.DUMMYFUNCTION("""COMPUTED_VALUE"""),"_general_n")</f>
        <v>_general_n</v>
      </c>
      <c r="D355" s="254" t="str">
        <f>IFERROR(__xludf.DUMMYFUNCTION("""COMPUTED_VALUE"""),"e_gom_00502_general_n_Normal_Yellow")</f>
        <v>e_gom_00502_general_n_Normal_Yellow</v>
      </c>
      <c r="E355" s="254" t="str">
        <f>IFERROR(__xludf.DUMMYFUNCTION("""COMPUTED_VALUE"""),"姫様“拷問”の時間です")</f>
        <v>姫様“拷問”の時間です</v>
      </c>
      <c r="F355" s="254" t="str">
        <f>IFERROR(__xludf.DUMMYFUNCTION("""COMPUTED_VALUE"""),"割きトースト")</f>
        <v>割きトースト</v>
      </c>
      <c r="G355" s="254" t="str">
        <f>IFERROR(__xludf.DUMMYFUNCTION("""COMPUTED_VALUE"""),"割きトースト_general_n")</f>
        <v>割きトースト_general_n</v>
      </c>
      <c r="H355" s="235" t="str">
        <f>IFERROR(__xludf.DUMMYFUNCTION("""COMPUTED_VALUE"""),"Normal")</f>
        <v>Normal</v>
      </c>
      <c r="I355" s="235" t="str">
        <f>IFERROR(__xludf.DUMMYFUNCTION("""COMPUTED_VALUE"""),"Attack")</f>
        <v>Attack</v>
      </c>
      <c r="J355" s="235" t="str">
        <f>IFERROR(__xludf.DUMMYFUNCTION("""COMPUTED_VALUE"""),"Yellow")</f>
        <v>Yellow</v>
      </c>
      <c r="K355" s="235">
        <f>IFERROR(__xludf.DUMMYFUNCTION("""COMPUTED_VALUE"""),1000.0)</f>
        <v>1000</v>
      </c>
      <c r="L355" s="235">
        <f>IFERROR(__xludf.DUMMYFUNCTION("""COMPUTED_VALUE"""),0.0)</f>
        <v>0</v>
      </c>
      <c r="M355" s="235">
        <f>IFERROR(__xludf.DUMMYFUNCTION("""COMPUTED_VALUE"""),34.0)</f>
        <v>34</v>
      </c>
      <c r="N355" s="235">
        <f>IFERROR(__xludf.DUMMYFUNCTION("""COMPUTED_VALUE"""),0.19)</f>
        <v>0.19</v>
      </c>
      <c r="O355" s="235">
        <f>IFERROR(__xludf.DUMMYFUNCTION("""COMPUTED_VALUE"""),50.0)</f>
        <v>50</v>
      </c>
      <c r="P355" s="235">
        <f>IFERROR(__xludf.DUMMYFUNCTION("""COMPUTED_VALUE"""),0.0)</f>
        <v>0</v>
      </c>
      <c r="Q355" s="235">
        <f>IFERROR(__xludf.DUMMYFUNCTION("""COMPUTED_VALUE"""),0.2)</f>
        <v>0.2</v>
      </c>
      <c r="R355" s="235">
        <f>IFERROR(__xludf.DUMMYFUNCTION("""COMPUTED_VALUE"""),1.0)</f>
        <v>1</v>
      </c>
      <c r="S355" s="235">
        <f>IFERROR(__xludf.DUMMYFUNCTION("""COMPUTED_VALUE"""),200.0)</f>
        <v>200</v>
      </c>
      <c r="T355" s="244" t="str">
        <f>IFERROR(__xludf.DUMMYFUNCTION("""COMPUTED_VALUE"""),"1.00")</f>
        <v>1.00</v>
      </c>
      <c r="U355" s="235" t="str">
        <f>IFERROR(__xludf.DUMMYFUNCTION("""COMPUTED_VALUE"""),"0.833")</f>
        <v>0.833</v>
      </c>
      <c r="V355" s="235">
        <f>IFERROR(__xludf.DUMMYFUNCTION("""COMPUTED_VALUE"""),150.0)</f>
        <v>150</v>
      </c>
      <c r="W355" s="235" t="str">
        <f>IFERROR(__xludf.DUMMYFUNCTION("""COMPUTED_VALUE"""),"-")</f>
        <v>-</v>
      </c>
      <c r="X355" s="235" t="str">
        <f>IFERROR(__xludf.DUMMYFUNCTION("""COMPUTED_VALUE"""),"-")</f>
        <v>-</v>
      </c>
      <c r="Y355" s="235"/>
      <c r="Z355" s="235" t="str">
        <f>IFERROR(__xludf.DUMMYFUNCTION("""COMPUTED_VALUE"""),"-")</f>
        <v>-</v>
      </c>
      <c r="AA355" s="235"/>
      <c r="AB355" s="235" t="str">
        <f>IFERROR(__xludf.DUMMYFUNCTION("""COMPUTED_VALUE"""),"dageki_1")</f>
        <v>dageki_1</v>
      </c>
      <c r="AC355" s="235"/>
    </row>
    <row r="356">
      <c r="A356" s="235"/>
      <c r="B356" s="235" t="str">
        <f>IFERROR(__xludf.DUMMYFUNCTION("""COMPUTED_VALUE"""),"enemy_gom_00502")</f>
        <v>enemy_gom_00502</v>
      </c>
      <c r="C356" s="254" t="str">
        <f>IFERROR(__xludf.DUMMYFUNCTION("""COMPUTED_VALUE"""),"_general_vh")</f>
        <v>_general_vh</v>
      </c>
      <c r="D356" s="254" t="str">
        <f>IFERROR(__xludf.DUMMYFUNCTION("""COMPUTED_VALUE"""),"e_gom_00502_general_vh_Normal_Red")</f>
        <v>e_gom_00502_general_vh_Normal_Red</v>
      </c>
      <c r="E356" s="254" t="str">
        <f>IFERROR(__xludf.DUMMYFUNCTION("""COMPUTED_VALUE"""),"姫様“拷問”の時間です")</f>
        <v>姫様“拷問”の時間です</v>
      </c>
      <c r="F356" s="254" t="str">
        <f>IFERROR(__xludf.DUMMYFUNCTION("""COMPUTED_VALUE"""),"割きトースト")</f>
        <v>割きトースト</v>
      </c>
      <c r="G356" s="254" t="str">
        <f>IFERROR(__xludf.DUMMYFUNCTION("""COMPUTED_VALUE"""),"割きトースト_general_vh")</f>
        <v>割きトースト_general_vh</v>
      </c>
      <c r="H356" s="235" t="str">
        <f>IFERROR(__xludf.DUMMYFUNCTION("""COMPUTED_VALUE"""),"Normal")</f>
        <v>Normal</v>
      </c>
      <c r="I356" s="235" t="str">
        <f>IFERROR(__xludf.DUMMYFUNCTION("""COMPUTED_VALUE"""),"Attack")</f>
        <v>Attack</v>
      </c>
      <c r="J356" s="235" t="str">
        <f>IFERROR(__xludf.DUMMYFUNCTION("""COMPUTED_VALUE"""),"Red")</f>
        <v>Red</v>
      </c>
      <c r="K356" s="235">
        <f>IFERROR(__xludf.DUMMYFUNCTION("""COMPUTED_VALUE"""),1000.0)</f>
        <v>1000</v>
      </c>
      <c r="L356" s="235">
        <f>IFERROR(__xludf.DUMMYFUNCTION("""COMPUTED_VALUE"""),0.0)</f>
        <v>0</v>
      </c>
      <c r="M356" s="235">
        <f>IFERROR(__xludf.DUMMYFUNCTION("""COMPUTED_VALUE"""),34.0)</f>
        <v>34</v>
      </c>
      <c r="N356" s="235">
        <f>IFERROR(__xludf.DUMMYFUNCTION("""COMPUTED_VALUE"""),0.19)</f>
        <v>0.19</v>
      </c>
      <c r="O356" s="235">
        <f>IFERROR(__xludf.DUMMYFUNCTION("""COMPUTED_VALUE"""),100.0)</f>
        <v>100</v>
      </c>
      <c r="P356" s="235">
        <f>IFERROR(__xludf.DUMMYFUNCTION("""COMPUTED_VALUE"""),0.0)</f>
        <v>0</v>
      </c>
      <c r="Q356" s="235">
        <f>IFERROR(__xludf.DUMMYFUNCTION("""COMPUTED_VALUE"""),0.2)</f>
        <v>0.2</v>
      </c>
      <c r="R356" s="235">
        <f>IFERROR(__xludf.DUMMYFUNCTION("""COMPUTED_VALUE"""),1.0)</f>
        <v>1</v>
      </c>
      <c r="S356" s="235">
        <f>IFERROR(__xludf.DUMMYFUNCTION("""COMPUTED_VALUE"""),200.0)</f>
        <v>200</v>
      </c>
      <c r="T356" s="244" t="str">
        <f>IFERROR(__xludf.DUMMYFUNCTION("""COMPUTED_VALUE"""),"1.00")</f>
        <v>1.00</v>
      </c>
      <c r="U356" s="235" t="str">
        <f>IFERROR(__xludf.DUMMYFUNCTION("""COMPUTED_VALUE"""),"0.833")</f>
        <v>0.833</v>
      </c>
      <c r="V356" s="235">
        <f>IFERROR(__xludf.DUMMYFUNCTION("""COMPUTED_VALUE"""),150.0)</f>
        <v>150</v>
      </c>
      <c r="W356" s="235" t="str">
        <f>IFERROR(__xludf.DUMMYFUNCTION("""COMPUTED_VALUE"""),"-")</f>
        <v>-</v>
      </c>
      <c r="X356" s="235" t="str">
        <f>IFERROR(__xludf.DUMMYFUNCTION("""COMPUTED_VALUE"""),"-")</f>
        <v>-</v>
      </c>
      <c r="Y356" s="235"/>
      <c r="Z356" s="235" t="str">
        <f>IFERROR(__xludf.DUMMYFUNCTION("""COMPUTED_VALUE"""),"-")</f>
        <v>-</v>
      </c>
      <c r="AA356" s="235"/>
      <c r="AB356" s="235" t="str">
        <f>IFERROR(__xludf.DUMMYFUNCTION("""COMPUTED_VALUE"""),"dageki_1")</f>
        <v>dageki_1</v>
      </c>
      <c r="AC356" s="235"/>
    </row>
    <row r="357">
      <c r="A357" s="235"/>
      <c r="B357" s="235" t="str">
        <f>IFERROR(__xludf.DUMMYFUNCTION("""COMPUTED_VALUE"""),"enemy_gom_00502")</f>
        <v>enemy_gom_00502</v>
      </c>
      <c r="C357" s="254" t="str">
        <f>IFERROR(__xludf.DUMMYFUNCTION("""COMPUTED_VALUE"""),"_general_vh")</f>
        <v>_general_vh</v>
      </c>
      <c r="D357" s="254" t="str">
        <f>IFERROR(__xludf.DUMMYFUNCTION("""COMPUTED_VALUE"""),"e_gom_00502_general_vh_Normal_Blue")</f>
        <v>e_gom_00502_general_vh_Normal_Blue</v>
      </c>
      <c r="E357" s="254" t="str">
        <f>IFERROR(__xludf.DUMMYFUNCTION("""COMPUTED_VALUE"""),"姫様“拷問”の時間です")</f>
        <v>姫様“拷問”の時間です</v>
      </c>
      <c r="F357" s="254" t="str">
        <f>IFERROR(__xludf.DUMMYFUNCTION("""COMPUTED_VALUE"""),"割きトースト")</f>
        <v>割きトースト</v>
      </c>
      <c r="G357" s="254" t="str">
        <f>IFERROR(__xludf.DUMMYFUNCTION("""COMPUTED_VALUE"""),"割きトースト_general_vh")</f>
        <v>割きトースト_general_vh</v>
      </c>
      <c r="H357" s="235" t="str">
        <f>IFERROR(__xludf.DUMMYFUNCTION("""COMPUTED_VALUE"""),"Normal")</f>
        <v>Normal</v>
      </c>
      <c r="I357" s="235" t="str">
        <f>IFERROR(__xludf.DUMMYFUNCTION("""COMPUTED_VALUE"""),"Attack")</f>
        <v>Attack</v>
      </c>
      <c r="J357" s="235" t="str">
        <f>IFERROR(__xludf.DUMMYFUNCTION("""COMPUTED_VALUE"""),"Blue")</f>
        <v>Blue</v>
      </c>
      <c r="K357" s="235">
        <f>IFERROR(__xludf.DUMMYFUNCTION("""COMPUTED_VALUE"""),1000.0)</f>
        <v>1000</v>
      </c>
      <c r="L357" s="235">
        <f>IFERROR(__xludf.DUMMYFUNCTION("""COMPUTED_VALUE"""),0.0)</f>
        <v>0</v>
      </c>
      <c r="M357" s="235">
        <f>IFERROR(__xludf.DUMMYFUNCTION("""COMPUTED_VALUE"""),34.0)</f>
        <v>34</v>
      </c>
      <c r="N357" s="235">
        <f>IFERROR(__xludf.DUMMYFUNCTION("""COMPUTED_VALUE"""),0.19)</f>
        <v>0.19</v>
      </c>
      <c r="O357" s="235">
        <f>IFERROR(__xludf.DUMMYFUNCTION("""COMPUTED_VALUE"""),100.0)</f>
        <v>100</v>
      </c>
      <c r="P357" s="235">
        <f>IFERROR(__xludf.DUMMYFUNCTION("""COMPUTED_VALUE"""),0.0)</f>
        <v>0</v>
      </c>
      <c r="Q357" s="235">
        <f>IFERROR(__xludf.DUMMYFUNCTION("""COMPUTED_VALUE"""),0.2)</f>
        <v>0.2</v>
      </c>
      <c r="R357" s="235">
        <f>IFERROR(__xludf.DUMMYFUNCTION("""COMPUTED_VALUE"""),1.0)</f>
        <v>1</v>
      </c>
      <c r="S357" s="235">
        <f>IFERROR(__xludf.DUMMYFUNCTION("""COMPUTED_VALUE"""),200.0)</f>
        <v>200</v>
      </c>
      <c r="T357" s="244" t="str">
        <f>IFERROR(__xludf.DUMMYFUNCTION("""COMPUTED_VALUE"""),"1.00")</f>
        <v>1.00</v>
      </c>
      <c r="U357" s="235" t="str">
        <f>IFERROR(__xludf.DUMMYFUNCTION("""COMPUTED_VALUE"""),"0.833")</f>
        <v>0.833</v>
      </c>
      <c r="V357" s="235">
        <f>IFERROR(__xludf.DUMMYFUNCTION("""COMPUTED_VALUE"""),150.0)</f>
        <v>150</v>
      </c>
      <c r="W357" s="235" t="str">
        <f>IFERROR(__xludf.DUMMYFUNCTION("""COMPUTED_VALUE"""),"-")</f>
        <v>-</v>
      </c>
      <c r="X357" s="235" t="str">
        <f>IFERROR(__xludf.DUMMYFUNCTION("""COMPUTED_VALUE"""),"-")</f>
        <v>-</v>
      </c>
      <c r="Y357" s="235"/>
      <c r="Z357" s="235" t="str">
        <f>IFERROR(__xludf.DUMMYFUNCTION("""COMPUTED_VALUE"""),"-")</f>
        <v>-</v>
      </c>
      <c r="AA357" s="235"/>
      <c r="AB357" s="235" t="str">
        <f>IFERROR(__xludf.DUMMYFUNCTION("""COMPUTED_VALUE"""),"dageki_1")</f>
        <v>dageki_1</v>
      </c>
      <c r="AC357" s="235"/>
    </row>
    <row r="358">
      <c r="A358" s="235"/>
      <c r="B358" s="235" t="str">
        <f>IFERROR(__xludf.DUMMYFUNCTION("""COMPUTED_VALUE"""),"enemy_gom_00402")</f>
        <v>enemy_gom_00402</v>
      </c>
      <c r="C358" s="254" t="str">
        <f>IFERROR(__xludf.DUMMYFUNCTION("""COMPUTED_VALUE"""),"_general_n")</f>
        <v>_general_n</v>
      </c>
      <c r="D358" s="254" t="str">
        <f>IFERROR(__xludf.DUMMYFUNCTION("""COMPUTED_VALUE"""),"e_gom_00402_general_n_Normal_Colorless")</f>
        <v>e_gom_00402_general_n_Normal_Colorless</v>
      </c>
      <c r="E358" s="254" t="str">
        <f>IFERROR(__xludf.DUMMYFUNCTION("""COMPUTED_VALUE"""),"姫様“拷問”の時間です")</f>
        <v>姫様“拷問”の時間です</v>
      </c>
      <c r="F358" s="254" t="str">
        <f>IFERROR(__xludf.DUMMYFUNCTION("""COMPUTED_VALUE"""),"たこ焼き")</f>
        <v>たこ焼き</v>
      </c>
      <c r="G358" s="254" t="str">
        <f>IFERROR(__xludf.DUMMYFUNCTION("""COMPUTED_VALUE"""),"たこ焼き_general_n")</f>
        <v>たこ焼き_general_n</v>
      </c>
      <c r="H358" s="235" t="str">
        <f>IFERROR(__xludf.DUMMYFUNCTION("""COMPUTED_VALUE"""),"Normal")</f>
        <v>Normal</v>
      </c>
      <c r="I358" s="235" t="str">
        <f>IFERROR(__xludf.DUMMYFUNCTION("""COMPUTED_VALUE"""),"Attack")</f>
        <v>Attack</v>
      </c>
      <c r="J358" s="235" t="str">
        <f>IFERROR(__xludf.DUMMYFUNCTION("""COMPUTED_VALUE"""),"Colorless")</f>
        <v>Colorless</v>
      </c>
      <c r="K358" s="235">
        <f>IFERROR(__xludf.DUMMYFUNCTION("""COMPUTED_VALUE"""),1000.0)</f>
        <v>1000</v>
      </c>
      <c r="L358" s="235">
        <f>IFERROR(__xludf.DUMMYFUNCTION("""COMPUTED_VALUE"""),0.0)</f>
        <v>0</v>
      </c>
      <c r="M358" s="235">
        <f>IFERROR(__xludf.DUMMYFUNCTION("""COMPUTED_VALUE"""),34.0)</f>
        <v>34</v>
      </c>
      <c r="N358" s="235">
        <f>IFERROR(__xludf.DUMMYFUNCTION("""COMPUTED_VALUE"""),0.11)</f>
        <v>0.11</v>
      </c>
      <c r="O358" s="235">
        <f>IFERROR(__xludf.DUMMYFUNCTION("""COMPUTED_VALUE"""),50.0)</f>
        <v>50</v>
      </c>
      <c r="P358" s="235">
        <f>IFERROR(__xludf.DUMMYFUNCTION("""COMPUTED_VALUE"""),0.0)</f>
        <v>0</v>
      </c>
      <c r="Q358" s="235">
        <f>IFERROR(__xludf.DUMMYFUNCTION("""COMPUTED_VALUE"""),0.12)</f>
        <v>0.12</v>
      </c>
      <c r="R358" s="235">
        <f>IFERROR(__xludf.DUMMYFUNCTION("""COMPUTED_VALUE"""),1.0)</f>
        <v>1</v>
      </c>
      <c r="S358" s="235">
        <f>IFERROR(__xludf.DUMMYFUNCTION("""COMPUTED_VALUE"""),100.0)</f>
        <v>100</v>
      </c>
      <c r="T358" s="244" t="str">
        <f>IFERROR(__xludf.DUMMYFUNCTION("""COMPUTED_VALUE"""),"1.00")</f>
        <v>1.00</v>
      </c>
      <c r="U358" s="235" t="str">
        <f>IFERROR(__xludf.DUMMYFUNCTION("""COMPUTED_VALUE"""),"0.833")</f>
        <v>0.833</v>
      </c>
      <c r="V358" s="235">
        <f>IFERROR(__xludf.DUMMYFUNCTION("""COMPUTED_VALUE"""),50.0)</f>
        <v>50</v>
      </c>
      <c r="W358" s="235" t="str">
        <f>IFERROR(__xludf.DUMMYFUNCTION("""COMPUTED_VALUE"""),"-")</f>
        <v>-</v>
      </c>
      <c r="X358" s="235" t="str">
        <f>IFERROR(__xludf.DUMMYFUNCTION("""COMPUTED_VALUE"""),"-")</f>
        <v>-</v>
      </c>
      <c r="Y358" s="235"/>
      <c r="Z358" s="235" t="str">
        <f>IFERROR(__xludf.DUMMYFUNCTION("""COMPUTED_VALUE"""),"-")</f>
        <v>-</v>
      </c>
      <c r="AA358" s="235"/>
      <c r="AB358" s="235" t="str">
        <f>IFERROR(__xludf.DUMMYFUNCTION("""COMPUTED_VALUE"""),"dageki_1")</f>
        <v>dageki_1</v>
      </c>
      <c r="AC358" s="235"/>
    </row>
    <row r="359">
      <c r="A359" s="235"/>
      <c r="B359" s="235" t="str">
        <f>IFERROR(__xludf.DUMMYFUNCTION("""COMPUTED_VALUE"""),"enemy_gom_00402")</f>
        <v>enemy_gom_00402</v>
      </c>
      <c r="C359" s="254" t="str">
        <f>IFERROR(__xludf.DUMMYFUNCTION("""COMPUTED_VALUE"""),"_general_n")</f>
        <v>_general_n</v>
      </c>
      <c r="D359" s="254" t="str">
        <f>IFERROR(__xludf.DUMMYFUNCTION("""COMPUTED_VALUE"""),"e_gom_00402_general_n_Normal_Yellow")</f>
        <v>e_gom_00402_general_n_Normal_Yellow</v>
      </c>
      <c r="E359" s="254" t="str">
        <f>IFERROR(__xludf.DUMMYFUNCTION("""COMPUTED_VALUE"""),"姫様“拷問”の時間です")</f>
        <v>姫様“拷問”の時間です</v>
      </c>
      <c r="F359" s="254" t="str">
        <f>IFERROR(__xludf.DUMMYFUNCTION("""COMPUTED_VALUE"""),"たこ焼き")</f>
        <v>たこ焼き</v>
      </c>
      <c r="G359" s="254" t="str">
        <f>IFERROR(__xludf.DUMMYFUNCTION("""COMPUTED_VALUE"""),"たこ焼き_general_n")</f>
        <v>たこ焼き_general_n</v>
      </c>
      <c r="H359" s="235" t="str">
        <f>IFERROR(__xludf.DUMMYFUNCTION("""COMPUTED_VALUE"""),"Normal")</f>
        <v>Normal</v>
      </c>
      <c r="I359" s="235" t="str">
        <f>IFERROR(__xludf.DUMMYFUNCTION("""COMPUTED_VALUE"""),"Attack")</f>
        <v>Attack</v>
      </c>
      <c r="J359" s="235" t="str">
        <f>IFERROR(__xludf.DUMMYFUNCTION("""COMPUTED_VALUE"""),"Yellow")</f>
        <v>Yellow</v>
      </c>
      <c r="K359" s="235">
        <f>IFERROR(__xludf.DUMMYFUNCTION("""COMPUTED_VALUE"""),1000.0)</f>
        <v>1000</v>
      </c>
      <c r="L359" s="235">
        <f>IFERROR(__xludf.DUMMYFUNCTION("""COMPUTED_VALUE"""),0.0)</f>
        <v>0</v>
      </c>
      <c r="M359" s="235">
        <f>IFERROR(__xludf.DUMMYFUNCTION("""COMPUTED_VALUE"""),34.0)</f>
        <v>34</v>
      </c>
      <c r="N359" s="235">
        <f>IFERROR(__xludf.DUMMYFUNCTION("""COMPUTED_VALUE"""),0.11)</f>
        <v>0.11</v>
      </c>
      <c r="O359" s="235">
        <f>IFERROR(__xludf.DUMMYFUNCTION("""COMPUTED_VALUE"""),50.0)</f>
        <v>50</v>
      </c>
      <c r="P359" s="235">
        <f>IFERROR(__xludf.DUMMYFUNCTION("""COMPUTED_VALUE"""),0.0)</f>
        <v>0</v>
      </c>
      <c r="Q359" s="235">
        <f>IFERROR(__xludf.DUMMYFUNCTION("""COMPUTED_VALUE"""),0.12)</f>
        <v>0.12</v>
      </c>
      <c r="R359" s="235">
        <f>IFERROR(__xludf.DUMMYFUNCTION("""COMPUTED_VALUE"""),1.0)</f>
        <v>1</v>
      </c>
      <c r="S359" s="235">
        <f>IFERROR(__xludf.DUMMYFUNCTION("""COMPUTED_VALUE"""),100.0)</f>
        <v>100</v>
      </c>
      <c r="T359" s="244" t="str">
        <f>IFERROR(__xludf.DUMMYFUNCTION("""COMPUTED_VALUE"""),"1.00")</f>
        <v>1.00</v>
      </c>
      <c r="U359" s="235" t="str">
        <f>IFERROR(__xludf.DUMMYFUNCTION("""COMPUTED_VALUE"""),"0.833")</f>
        <v>0.833</v>
      </c>
      <c r="V359" s="235">
        <f>IFERROR(__xludf.DUMMYFUNCTION("""COMPUTED_VALUE"""),50.0)</f>
        <v>50</v>
      </c>
      <c r="W359" s="235" t="str">
        <f>IFERROR(__xludf.DUMMYFUNCTION("""COMPUTED_VALUE"""),"-")</f>
        <v>-</v>
      </c>
      <c r="X359" s="235" t="str">
        <f>IFERROR(__xludf.DUMMYFUNCTION("""COMPUTED_VALUE"""),"-")</f>
        <v>-</v>
      </c>
      <c r="Y359" s="235"/>
      <c r="Z359" s="235" t="str">
        <f>IFERROR(__xludf.DUMMYFUNCTION("""COMPUTED_VALUE"""),"-")</f>
        <v>-</v>
      </c>
      <c r="AA359" s="235"/>
      <c r="AB359" s="235" t="str">
        <f>IFERROR(__xludf.DUMMYFUNCTION("""COMPUTED_VALUE"""),"dageki_1")</f>
        <v>dageki_1</v>
      </c>
      <c r="AC359" s="235"/>
    </row>
    <row r="360">
      <c r="A360" s="235"/>
      <c r="B360" s="235" t="str">
        <f>IFERROR(__xludf.DUMMYFUNCTION("""COMPUTED_VALUE"""),"enemy_gom_00402")</f>
        <v>enemy_gom_00402</v>
      </c>
      <c r="C360" s="254" t="str">
        <f>IFERROR(__xludf.DUMMYFUNCTION("""COMPUTED_VALUE"""),"_general_vh")</f>
        <v>_general_vh</v>
      </c>
      <c r="D360" s="254" t="str">
        <f>IFERROR(__xludf.DUMMYFUNCTION("""COMPUTED_VALUE"""),"e_gom_00402_general_vh_Normal_Red")</f>
        <v>e_gom_00402_general_vh_Normal_Red</v>
      </c>
      <c r="E360" s="254" t="str">
        <f>IFERROR(__xludf.DUMMYFUNCTION("""COMPUTED_VALUE"""),"姫様“拷問”の時間です")</f>
        <v>姫様“拷問”の時間です</v>
      </c>
      <c r="F360" s="254" t="str">
        <f>IFERROR(__xludf.DUMMYFUNCTION("""COMPUTED_VALUE"""),"たこ焼き")</f>
        <v>たこ焼き</v>
      </c>
      <c r="G360" s="254" t="str">
        <f>IFERROR(__xludf.DUMMYFUNCTION("""COMPUTED_VALUE"""),"たこ焼き_general_vh")</f>
        <v>たこ焼き_general_vh</v>
      </c>
      <c r="H360" s="235" t="str">
        <f>IFERROR(__xludf.DUMMYFUNCTION("""COMPUTED_VALUE"""),"Normal")</f>
        <v>Normal</v>
      </c>
      <c r="I360" s="235" t="str">
        <f>IFERROR(__xludf.DUMMYFUNCTION("""COMPUTED_VALUE"""),"Attack")</f>
        <v>Attack</v>
      </c>
      <c r="J360" s="235" t="str">
        <f>IFERROR(__xludf.DUMMYFUNCTION("""COMPUTED_VALUE"""),"Red")</f>
        <v>Red</v>
      </c>
      <c r="K360" s="235">
        <f>IFERROR(__xludf.DUMMYFUNCTION("""COMPUTED_VALUE"""),1000.0)</f>
        <v>1000</v>
      </c>
      <c r="L360" s="235">
        <f>IFERROR(__xludf.DUMMYFUNCTION("""COMPUTED_VALUE"""),0.0)</f>
        <v>0</v>
      </c>
      <c r="M360" s="235">
        <f>IFERROR(__xludf.DUMMYFUNCTION("""COMPUTED_VALUE"""),34.0)</f>
        <v>34</v>
      </c>
      <c r="N360" s="235">
        <f>IFERROR(__xludf.DUMMYFUNCTION("""COMPUTED_VALUE"""),0.11)</f>
        <v>0.11</v>
      </c>
      <c r="O360" s="235">
        <f>IFERROR(__xludf.DUMMYFUNCTION("""COMPUTED_VALUE"""),100.0)</f>
        <v>100</v>
      </c>
      <c r="P360" s="235">
        <f>IFERROR(__xludf.DUMMYFUNCTION("""COMPUTED_VALUE"""),0.0)</f>
        <v>0</v>
      </c>
      <c r="Q360" s="235">
        <f>IFERROR(__xludf.DUMMYFUNCTION("""COMPUTED_VALUE"""),0.12)</f>
        <v>0.12</v>
      </c>
      <c r="R360" s="235">
        <f>IFERROR(__xludf.DUMMYFUNCTION("""COMPUTED_VALUE"""),1.0)</f>
        <v>1</v>
      </c>
      <c r="S360" s="235">
        <f>IFERROR(__xludf.DUMMYFUNCTION("""COMPUTED_VALUE"""),50.0)</f>
        <v>50</v>
      </c>
      <c r="T360" s="244" t="str">
        <f>IFERROR(__xludf.DUMMYFUNCTION("""COMPUTED_VALUE"""),"1.00")</f>
        <v>1.00</v>
      </c>
      <c r="U360" s="235" t="str">
        <f>IFERROR(__xludf.DUMMYFUNCTION("""COMPUTED_VALUE"""),"0.833")</f>
        <v>0.833</v>
      </c>
      <c r="V360" s="235">
        <f>IFERROR(__xludf.DUMMYFUNCTION("""COMPUTED_VALUE"""),50.0)</f>
        <v>50</v>
      </c>
      <c r="W360" s="235" t="str">
        <f>IFERROR(__xludf.DUMMYFUNCTION("""COMPUTED_VALUE"""),"-")</f>
        <v>-</v>
      </c>
      <c r="X360" s="235" t="str">
        <f>IFERROR(__xludf.DUMMYFUNCTION("""COMPUTED_VALUE"""),"-")</f>
        <v>-</v>
      </c>
      <c r="Y360" s="235"/>
      <c r="Z360" s="235" t="str">
        <f>IFERROR(__xludf.DUMMYFUNCTION("""COMPUTED_VALUE"""),"-")</f>
        <v>-</v>
      </c>
      <c r="AA360" s="235"/>
      <c r="AB360" s="235" t="str">
        <f>IFERROR(__xludf.DUMMYFUNCTION("""COMPUTED_VALUE"""),"dageki_1")</f>
        <v>dageki_1</v>
      </c>
      <c r="AC360" s="235"/>
    </row>
    <row r="361">
      <c r="A361" s="235"/>
      <c r="B361" s="235" t="str">
        <f>IFERROR(__xludf.DUMMYFUNCTION("""COMPUTED_VALUE"""),"enemy_gom_00402")</f>
        <v>enemy_gom_00402</v>
      </c>
      <c r="C361" s="254" t="str">
        <f>IFERROR(__xludf.DUMMYFUNCTION("""COMPUTED_VALUE"""),"_general_vh")</f>
        <v>_general_vh</v>
      </c>
      <c r="D361" s="254" t="str">
        <f>IFERROR(__xludf.DUMMYFUNCTION("""COMPUTED_VALUE"""),"e_gom_00402_general_vh_Normal_Blue")</f>
        <v>e_gom_00402_general_vh_Normal_Blue</v>
      </c>
      <c r="E361" s="254" t="str">
        <f>IFERROR(__xludf.DUMMYFUNCTION("""COMPUTED_VALUE"""),"姫様“拷問”の時間です")</f>
        <v>姫様“拷問”の時間です</v>
      </c>
      <c r="F361" s="254" t="str">
        <f>IFERROR(__xludf.DUMMYFUNCTION("""COMPUTED_VALUE"""),"たこ焼き")</f>
        <v>たこ焼き</v>
      </c>
      <c r="G361" s="254" t="str">
        <f>IFERROR(__xludf.DUMMYFUNCTION("""COMPUTED_VALUE"""),"たこ焼き_general_vh")</f>
        <v>たこ焼き_general_vh</v>
      </c>
      <c r="H361" s="235" t="str">
        <f>IFERROR(__xludf.DUMMYFUNCTION("""COMPUTED_VALUE"""),"Normal")</f>
        <v>Normal</v>
      </c>
      <c r="I361" s="235" t="str">
        <f>IFERROR(__xludf.DUMMYFUNCTION("""COMPUTED_VALUE"""),"Attack")</f>
        <v>Attack</v>
      </c>
      <c r="J361" s="235" t="str">
        <f>IFERROR(__xludf.DUMMYFUNCTION("""COMPUTED_VALUE"""),"Blue")</f>
        <v>Blue</v>
      </c>
      <c r="K361" s="235">
        <f>IFERROR(__xludf.DUMMYFUNCTION("""COMPUTED_VALUE"""),1000.0)</f>
        <v>1000</v>
      </c>
      <c r="L361" s="235">
        <f>IFERROR(__xludf.DUMMYFUNCTION("""COMPUTED_VALUE"""),0.0)</f>
        <v>0</v>
      </c>
      <c r="M361" s="235">
        <f>IFERROR(__xludf.DUMMYFUNCTION("""COMPUTED_VALUE"""),34.0)</f>
        <v>34</v>
      </c>
      <c r="N361" s="235">
        <f>IFERROR(__xludf.DUMMYFUNCTION("""COMPUTED_VALUE"""),0.11)</f>
        <v>0.11</v>
      </c>
      <c r="O361" s="235">
        <f>IFERROR(__xludf.DUMMYFUNCTION("""COMPUTED_VALUE"""),100.0)</f>
        <v>100</v>
      </c>
      <c r="P361" s="235">
        <f>IFERROR(__xludf.DUMMYFUNCTION("""COMPUTED_VALUE"""),0.0)</f>
        <v>0</v>
      </c>
      <c r="Q361" s="235">
        <f>IFERROR(__xludf.DUMMYFUNCTION("""COMPUTED_VALUE"""),0.12)</f>
        <v>0.12</v>
      </c>
      <c r="R361" s="235">
        <f>IFERROR(__xludf.DUMMYFUNCTION("""COMPUTED_VALUE"""),1.0)</f>
        <v>1</v>
      </c>
      <c r="S361" s="235">
        <f>IFERROR(__xludf.DUMMYFUNCTION("""COMPUTED_VALUE"""),50.0)</f>
        <v>50</v>
      </c>
      <c r="T361" s="244" t="str">
        <f>IFERROR(__xludf.DUMMYFUNCTION("""COMPUTED_VALUE"""),"1.00")</f>
        <v>1.00</v>
      </c>
      <c r="U361" s="235" t="str">
        <f>IFERROR(__xludf.DUMMYFUNCTION("""COMPUTED_VALUE"""),"0.833")</f>
        <v>0.833</v>
      </c>
      <c r="V361" s="235">
        <f>IFERROR(__xludf.DUMMYFUNCTION("""COMPUTED_VALUE"""),50.0)</f>
        <v>50</v>
      </c>
      <c r="W361" s="235" t="str">
        <f>IFERROR(__xludf.DUMMYFUNCTION("""COMPUTED_VALUE"""),"-")</f>
        <v>-</v>
      </c>
      <c r="X361" s="235" t="str">
        <f>IFERROR(__xludf.DUMMYFUNCTION("""COMPUTED_VALUE"""),"-")</f>
        <v>-</v>
      </c>
      <c r="Y361" s="235"/>
      <c r="Z361" s="235" t="str">
        <f>IFERROR(__xludf.DUMMYFUNCTION("""COMPUTED_VALUE"""),"-")</f>
        <v>-</v>
      </c>
      <c r="AA361" s="235"/>
      <c r="AB361" s="235" t="str">
        <f>IFERROR(__xludf.DUMMYFUNCTION("""COMPUTED_VALUE"""),"dageki_1")</f>
        <v>dageki_1</v>
      </c>
      <c r="AC361" s="235"/>
    </row>
    <row r="362">
      <c r="A362" s="235"/>
      <c r="B362" s="235" t="str">
        <f>IFERROR(__xludf.DUMMYFUNCTION("""COMPUTED_VALUE"""),"enemy_gom_00402")</f>
        <v>enemy_gom_00402</v>
      </c>
      <c r="C362" s="254" t="str">
        <f>IFERROR(__xludf.DUMMYFUNCTION("""COMPUTED_VALUE"""),"_general_vh")</f>
        <v>_general_vh</v>
      </c>
      <c r="D362" s="254" t="str">
        <f>IFERROR(__xludf.DUMMYFUNCTION("""COMPUTED_VALUE"""),"e_gom_00402_general_vh_Normal_Yellow")</f>
        <v>e_gom_00402_general_vh_Normal_Yellow</v>
      </c>
      <c r="E362" s="254" t="str">
        <f>IFERROR(__xludf.DUMMYFUNCTION("""COMPUTED_VALUE"""),"姫様“拷問”の時間です")</f>
        <v>姫様“拷問”の時間です</v>
      </c>
      <c r="F362" s="254" t="str">
        <f>IFERROR(__xludf.DUMMYFUNCTION("""COMPUTED_VALUE"""),"たこ焼き")</f>
        <v>たこ焼き</v>
      </c>
      <c r="G362" s="254" t="str">
        <f>IFERROR(__xludf.DUMMYFUNCTION("""COMPUTED_VALUE"""),"たこ焼き_general_vh")</f>
        <v>たこ焼き_general_vh</v>
      </c>
      <c r="H362" s="235" t="str">
        <f>IFERROR(__xludf.DUMMYFUNCTION("""COMPUTED_VALUE"""),"Normal")</f>
        <v>Normal</v>
      </c>
      <c r="I362" s="235" t="str">
        <f>IFERROR(__xludf.DUMMYFUNCTION("""COMPUTED_VALUE"""),"Attack")</f>
        <v>Attack</v>
      </c>
      <c r="J362" s="235" t="str">
        <f>IFERROR(__xludf.DUMMYFUNCTION("""COMPUTED_VALUE"""),"Yellow")</f>
        <v>Yellow</v>
      </c>
      <c r="K362" s="235">
        <f>IFERROR(__xludf.DUMMYFUNCTION("""COMPUTED_VALUE"""),1000.0)</f>
        <v>1000</v>
      </c>
      <c r="L362" s="235">
        <f>IFERROR(__xludf.DUMMYFUNCTION("""COMPUTED_VALUE"""),0.0)</f>
        <v>0</v>
      </c>
      <c r="M362" s="235">
        <f>IFERROR(__xludf.DUMMYFUNCTION("""COMPUTED_VALUE"""),34.0)</f>
        <v>34</v>
      </c>
      <c r="N362" s="235">
        <f>IFERROR(__xludf.DUMMYFUNCTION("""COMPUTED_VALUE"""),0.11)</f>
        <v>0.11</v>
      </c>
      <c r="O362" s="235">
        <f>IFERROR(__xludf.DUMMYFUNCTION("""COMPUTED_VALUE"""),100.0)</f>
        <v>100</v>
      </c>
      <c r="P362" s="235">
        <f>IFERROR(__xludf.DUMMYFUNCTION("""COMPUTED_VALUE"""),0.0)</f>
        <v>0</v>
      </c>
      <c r="Q362" s="235">
        <f>IFERROR(__xludf.DUMMYFUNCTION("""COMPUTED_VALUE"""),0.12)</f>
        <v>0.12</v>
      </c>
      <c r="R362" s="235">
        <f>IFERROR(__xludf.DUMMYFUNCTION("""COMPUTED_VALUE"""),1.0)</f>
        <v>1</v>
      </c>
      <c r="S362" s="235">
        <f>IFERROR(__xludf.DUMMYFUNCTION("""COMPUTED_VALUE"""),100.0)</f>
        <v>100</v>
      </c>
      <c r="T362" s="244" t="str">
        <f>IFERROR(__xludf.DUMMYFUNCTION("""COMPUTED_VALUE"""),"1.00")</f>
        <v>1.00</v>
      </c>
      <c r="U362" s="235" t="str">
        <f>IFERROR(__xludf.DUMMYFUNCTION("""COMPUTED_VALUE"""),"0.833")</f>
        <v>0.833</v>
      </c>
      <c r="V362" s="235">
        <f>IFERROR(__xludf.DUMMYFUNCTION("""COMPUTED_VALUE"""),50.0)</f>
        <v>50</v>
      </c>
      <c r="W362" s="235" t="str">
        <f>IFERROR(__xludf.DUMMYFUNCTION("""COMPUTED_VALUE"""),"-")</f>
        <v>-</v>
      </c>
      <c r="X362" s="235" t="str">
        <f>IFERROR(__xludf.DUMMYFUNCTION("""COMPUTED_VALUE"""),"-")</f>
        <v>-</v>
      </c>
      <c r="Y362" s="235"/>
      <c r="Z362" s="235" t="str">
        <f>IFERROR(__xludf.DUMMYFUNCTION("""COMPUTED_VALUE"""),"-")</f>
        <v>-</v>
      </c>
      <c r="AA362" s="235"/>
      <c r="AB362" s="235" t="str">
        <f>IFERROR(__xludf.DUMMYFUNCTION("""COMPUTED_VALUE"""),"dageki_1")</f>
        <v>dageki_1</v>
      </c>
      <c r="AC362" s="235" t="str">
        <f>IFERROR(__xludf.DUMMYFUNCTION("""COMPUTED_VALUE"""),"通常攻撃時10%の確率で小ノックバック")</f>
        <v>通常攻撃時10%の確率で小ノックバック</v>
      </c>
    </row>
    <row r="363">
      <c r="A363" s="235"/>
      <c r="B363" s="235" t="str">
        <f>IFERROR(__xludf.DUMMYFUNCTION("""COMPUTED_VALUE"""),"enemy_gom_00401")</f>
        <v>enemy_gom_00401</v>
      </c>
      <c r="C363" s="254" t="str">
        <f>IFERROR(__xludf.DUMMYFUNCTION("""COMPUTED_VALUE"""),"_general_n")</f>
        <v>_general_n</v>
      </c>
      <c r="D363" s="254" t="str">
        <f>IFERROR(__xludf.DUMMYFUNCTION("""COMPUTED_VALUE"""),"e_gom_00401_general_n_Normal_Colorless")</f>
        <v>e_gom_00401_general_n_Normal_Colorless</v>
      </c>
      <c r="E363" s="254" t="str">
        <f>IFERROR(__xludf.DUMMYFUNCTION("""COMPUTED_VALUE"""),"姫様“拷問”の時間です")</f>
        <v>姫様“拷問”の時間です</v>
      </c>
      <c r="F363" s="254" t="str">
        <f>IFERROR(__xludf.DUMMYFUNCTION("""COMPUTED_VALUE"""),"たこ焼きくん")</f>
        <v>たこ焼きくん</v>
      </c>
      <c r="G363" s="254" t="str">
        <f>IFERROR(__xludf.DUMMYFUNCTION("""COMPUTED_VALUE"""),"たこ焼きくん_general_n")</f>
        <v>たこ焼きくん_general_n</v>
      </c>
      <c r="H363" s="235" t="str">
        <f>IFERROR(__xludf.DUMMYFUNCTION("""COMPUTED_VALUE"""),"Normal")</f>
        <v>Normal</v>
      </c>
      <c r="I363" s="235" t="str">
        <f>IFERROR(__xludf.DUMMYFUNCTION("""COMPUTED_VALUE"""),"Attack")</f>
        <v>Attack</v>
      </c>
      <c r="J363" s="235" t="str">
        <f>IFERROR(__xludf.DUMMYFUNCTION("""COMPUTED_VALUE"""),"Colorless")</f>
        <v>Colorless</v>
      </c>
      <c r="K363" s="235">
        <f>IFERROR(__xludf.DUMMYFUNCTION("""COMPUTED_VALUE"""),1000.0)</f>
        <v>1000</v>
      </c>
      <c r="L363" s="235">
        <f>IFERROR(__xludf.DUMMYFUNCTION("""COMPUTED_VALUE"""),1.0)</f>
        <v>1</v>
      </c>
      <c r="M363" s="235">
        <f>IFERROR(__xludf.DUMMYFUNCTION("""COMPUTED_VALUE"""),20.0)</f>
        <v>20</v>
      </c>
      <c r="N363" s="235">
        <f>IFERROR(__xludf.DUMMYFUNCTION("""COMPUTED_VALUE"""),0.26)</f>
        <v>0.26</v>
      </c>
      <c r="O363" s="235">
        <f>IFERROR(__xludf.DUMMYFUNCTION("""COMPUTED_VALUE"""),50.0)</f>
        <v>50</v>
      </c>
      <c r="P363" s="235">
        <f>IFERROR(__xludf.DUMMYFUNCTION("""COMPUTED_VALUE"""),0.0)</f>
        <v>0</v>
      </c>
      <c r="Q363" s="235">
        <f>IFERROR(__xludf.DUMMYFUNCTION("""COMPUTED_VALUE"""),0.27)</f>
        <v>0.27</v>
      </c>
      <c r="R363" s="235">
        <f>IFERROR(__xludf.DUMMYFUNCTION("""COMPUTED_VALUE"""),100.0)</f>
        <v>100</v>
      </c>
      <c r="S363" s="235">
        <f>IFERROR(__xludf.DUMMYFUNCTION("""COMPUTED_VALUE"""),100.0)</f>
        <v>100</v>
      </c>
      <c r="T363" s="244" t="str">
        <f>IFERROR(__xludf.DUMMYFUNCTION("""COMPUTED_VALUE"""),"1.00")</f>
        <v>1.00</v>
      </c>
      <c r="U363" s="235" t="str">
        <f>IFERROR(__xludf.DUMMYFUNCTION("""COMPUTED_VALUE"""),"0.833")</f>
        <v>0.833</v>
      </c>
      <c r="V363" s="235">
        <f>IFERROR(__xludf.DUMMYFUNCTION("""COMPUTED_VALUE"""),25.0)</f>
        <v>25</v>
      </c>
      <c r="W363" s="235" t="str">
        <f>IFERROR(__xludf.DUMMYFUNCTION("""COMPUTED_VALUE"""),"-")</f>
        <v>-</v>
      </c>
      <c r="X363" s="235" t="str">
        <f>IFERROR(__xludf.DUMMYFUNCTION("""COMPUTED_VALUE"""),"-")</f>
        <v>-</v>
      </c>
      <c r="Y363" s="235"/>
      <c r="Z363" s="235" t="str">
        <f>IFERROR(__xludf.DUMMYFUNCTION("""COMPUTED_VALUE"""),"-")</f>
        <v>-</v>
      </c>
      <c r="AA363" s="235"/>
      <c r="AB363" s="235" t="str">
        <f>IFERROR(__xludf.DUMMYFUNCTION("""COMPUTED_VALUE"""),"dageki_1")</f>
        <v>dageki_1</v>
      </c>
      <c r="AC363" s="235"/>
    </row>
    <row r="364">
      <c r="A364" s="235"/>
      <c r="B364" s="235" t="str">
        <f>IFERROR(__xludf.DUMMYFUNCTION("""COMPUTED_VALUE"""),"enemy_gom_00401")</f>
        <v>enemy_gom_00401</v>
      </c>
      <c r="C364" s="254" t="str">
        <f>IFERROR(__xludf.DUMMYFUNCTION("""COMPUTED_VALUE"""),"_general_n")</f>
        <v>_general_n</v>
      </c>
      <c r="D364" s="254" t="str">
        <f>IFERROR(__xludf.DUMMYFUNCTION("""COMPUTED_VALUE"""),"e_gom_00401_general_n_Boss_Colorless")</f>
        <v>e_gom_00401_general_n_Boss_Colorless</v>
      </c>
      <c r="E364" s="254" t="str">
        <f>IFERROR(__xludf.DUMMYFUNCTION("""COMPUTED_VALUE"""),"姫様“拷問”の時間です")</f>
        <v>姫様“拷問”の時間です</v>
      </c>
      <c r="F364" s="254" t="str">
        <f>IFERROR(__xludf.DUMMYFUNCTION("""COMPUTED_VALUE"""),"たこ焼きくん")</f>
        <v>たこ焼きくん</v>
      </c>
      <c r="G364" s="254" t="str">
        <f>IFERROR(__xludf.DUMMYFUNCTION("""COMPUTED_VALUE"""),"たこ焼きくん_general_n")</f>
        <v>たこ焼きくん_general_n</v>
      </c>
      <c r="H364" s="235" t="str">
        <f>IFERROR(__xludf.DUMMYFUNCTION("""COMPUTED_VALUE"""),"Boss")</f>
        <v>Boss</v>
      </c>
      <c r="I364" s="235" t="str">
        <f>IFERROR(__xludf.DUMMYFUNCTION("""COMPUTED_VALUE"""),"Attack")</f>
        <v>Attack</v>
      </c>
      <c r="J364" s="235" t="str">
        <f>IFERROR(__xludf.DUMMYFUNCTION("""COMPUTED_VALUE"""),"Colorless")</f>
        <v>Colorless</v>
      </c>
      <c r="K364" s="235">
        <f>IFERROR(__xludf.DUMMYFUNCTION("""COMPUTED_VALUE"""),10000.0)</f>
        <v>10000</v>
      </c>
      <c r="L364" s="235">
        <f>IFERROR(__xludf.DUMMYFUNCTION("""COMPUTED_VALUE"""),1.0)</f>
        <v>1</v>
      </c>
      <c r="M364" s="235">
        <f>IFERROR(__xludf.DUMMYFUNCTION("""COMPUTED_VALUE"""),20.0)</f>
        <v>20</v>
      </c>
      <c r="N364" s="235">
        <f>IFERROR(__xludf.DUMMYFUNCTION("""COMPUTED_VALUE"""),0.26)</f>
        <v>0.26</v>
      </c>
      <c r="O364" s="235">
        <f>IFERROR(__xludf.DUMMYFUNCTION("""COMPUTED_VALUE"""),50.0)</f>
        <v>50</v>
      </c>
      <c r="P364" s="235">
        <f>IFERROR(__xludf.DUMMYFUNCTION("""COMPUTED_VALUE"""),0.0)</f>
        <v>0</v>
      </c>
      <c r="Q364" s="235">
        <f>IFERROR(__xludf.DUMMYFUNCTION("""COMPUTED_VALUE"""),0.27)</f>
        <v>0.27</v>
      </c>
      <c r="R364" s="235">
        <f>IFERROR(__xludf.DUMMYFUNCTION("""COMPUTED_VALUE"""),100.0)</f>
        <v>100</v>
      </c>
      <c r="S364" s="235">
        <f>IFERROR(__xludf.DUMMYFUNCTION("""COMPUTED_VALUE"""),500.0)</f>
        <v>500</v>
      </c>
      <c r="T364" s="244" t="str">
        <f>IFERROR(__xludf.DUMMYFUNCTION("""COMPUTED_VALUE"""),"1.00")</f>
        <v>1.00</v>
      </c>
      <c r="U364" s="235" t="str">
        <f>IFERROR(__xludf.DUMMYFUNCTION("""COMPUTED_VALUE"""),"0.833")</f>
        <v>0.833</v>
      </c>
      <c r="V364" s="235">
        <f>IFERROR(__xludf.DUMMYFUNCTION("""COMPUTED_VALUE"""),25.0)</f>
        <v>25</v>
      </c>
      <c r="W364" s="235" t="str">
        <f>IFERROR(__xludf.DUMMYFUNCTION("""COMPUTED_VALUE"""),"-")</f>
        <v>-</v>
      </c>
      <c r="X364" s="235" t="str">
        <f>IFERROR(__xludf.DUMMYFUNCTION("""COMPUTED_VALUE"""),"-")</f>
        <v>-</v>
      </c>
      <c r="Y364" s="235"/>
      <c r="Z364" s="235" t="str">
        <f>IFERROR(__xludf.DUMMYFUNCTION("""COMPUTED_VALUE"""),"-")</f>
        <v>-</v>
      </c>
      <c r="AA364" s="235"/>
      <c r="AB364" s="235" t="str">
        <f>IFERROR(__xludf.DUMMYFUNCTION("""COMPUTED_VALUE"""),"dageki_1")</f>
        <v>dageki_1</v>
      </c>
      <c r="AC364" s="235"/>
    </row>
    <row r="365">
      <c r="A365" s="235"/>
      <c r="B365" s="235" t="str">
        <f>IFERROR(__xludf.DUMMYFUNCTION("""COMPUTED_VALUE"""),"enemy_gom_00401")</f>
        <v>enemy_gom_00401</v>
      </c>
      <c r="C365" s="254" t="str">
        <f>IFERROR(__xludf.DUMMYFUNCTION("""COMPUTED_VALUE"""),"_general_n")</f>
        <v>_general_n</v>
      </c>
      <c r="D365" s="254" t="str">
        <f>IFERROR(__xludf.DUMMYFUNCTION("""COMPUTED_VALUE"""),"e_gom_00401_general_n_Boss_Yellow")</f>
        <v>e_gom_00401_general_n_Boss_Yellow</v>
      </c>
      <c r="E365" s="254" t="str">
        <f>IFERROR(__xludf.DUMMYFUNCTION("""COMPUTED_VALUE"""),"姫様“拷問”の時間です")</f>
        <v>姫様“拷問”の時間です</v>
      </c>
      <c r="F365" s="254" t="str">
        <f>IFERROR(__xludf.DUMMYFUNCTION("""COMPUTED_VALUE"""),"たこ焼きくん")</f>
        <v>たこ焼きくん</v>
      </c>
      <c r="G365" s="254" t="str">
        <f>IFERROR(__xludf.DUMMYFUNCTION("""COMPUTED_VALUE"""),"たこ焼きくん_general_n")</f>
        <v>たこ焼きくん_general_n</v>
      </c>
      <c r="H365" s="235" t="str">
        <f>IFERROR(__xludf.DUMMYFUNCTION("""COMPUTED_VALUE"""),"Boss")</f>
        <v>Boss</v>
      </c>
      <c r="I365" s="235" t="str">
        <f>IFERROR(__xludf.DUMMYFUNCTION("""COMPUTED_VALUE"""),"Attack")</f>
        <v>Attack</v>
      </c>
      <c r="J365" s="235" t="str">
        <f>IFERROR(__xludf.DUMMYFUNCTION("""COMPUTED_VALUE"""),"Yellow")</f>
        <v>Yellow</v>
      </c>
      <c r="K365" s="235">
        <f>IFERROR(__xludf.DUMMYFUNCTION("""COMPUTED_VALUE"""),10000.0)</f>
        <v>10000</v>
      </c>
      <c r="L365" s="235">
        <f>IFERROR(__xludf.DUMMYFUNCTION("""COMPUTED_VALUE"""),1.0)</f>
        <v>1</v>
      </c>
      <c r="M365" s="235">
        <f>IFERROR(__xludf.DUMMYFUNCTION("""COMPUTED_VALUE"""),20.0)</f>
        <v>20</v>
      </c>
      <c r="N365" s="235">
        <f>IFERROR(__xludf.DUMMYFUNCTION("""COMPUTED_VALUE"""),0.26)</f>
        <v>0.26</v>
      </c>
      <c r="O365" s="235">
        <f>IFERROR(__xludf.DUMMYFUNCTION("""COMPUTED_VALUE"""),50.0)</f>
        <v>50</v>
      </c>
      <c r="P365" s="235">
        <f>IFERROR(__xludf.DUMMYFUNCTION("""COMPUTED_VALUE"""),0.0)</f>
        <v>0</v>
      </c>
      <c r="Q365" s="235">
        <f>IFERROR(__xludf.DUMMYFUNCTION("""COMPUTED_VALUE"""),0.27)</f>
        <v>0.27</v>
      </c>
      <c r="R365" s="235">
        <f>IFERROR(__xludf.DUMMYFUNCTION("""COMPUTED_VALUE"""),100.0)</f>
        <v>100</v>
      </c>
      <c r="S365" s="235">
        <f>IFERROR(__xludf.DUMMYFUNCTION("""COMPUTED_VALUE"""),500.0)</f>
        <v>500</v>
      </c>
      <c r="T365" s="244" t="str">
        <f>IFERROR(__xludf.DUMMYFUNCTION("""COMPUTED_VALUE"""),"1.00")</f>
        <v>1.00</v>
      </c>
      <c r="U365" s="235" t="str">
        <f>IFERROR(__xludf.DUMMYFUNCTION("""COMPUTED_VALUE"""),"0.833")</f>
        <v>0.833</v>
      </c>
      <c r="V365" s="235">
        <f>IFERROR(__xludf.DUMMYFUNCTION("""COMPUTED_VALUE"""),25.0)</f>
        <v>25</v>
      </c>
      <c r="W365" s="235" t="str">
        <f>IFERROR(__xludf.DUMMYFUNCTION("""COMPUTED_VALUE"""),"-")</f>
        <v>-</v>
      </c>
      <c r="X365" s="235" t="str">
        <f>IFERROR(__xludf.DUMMYFUNCTION("""COMPUTED_VALUE"""),"-")</f>
        <v>-</v>
      </c>
      <c r="Y365" s="235"/>
      <c r="Z365" s="235" t="str">
        <f>IFERROR(__xludf.DUMMYFUNCTION("""COMPUTED_VALUE"""),"-")</f>
        <v>-</v>
      </c>
      <c r="AA365" s="235"/>
      <c r="AB365" s="235" t="str">
        <f>IFERROR(__xludf.DUMMYFUNCTION("""COMPUTED_VALUE"""),"dageki_1")</f>
        <v>dageki_1</v>
      </c>
      <c r="AC365" s="235"/>
    </row>
    <row r="366">
      <c r="A366" s="235"/>
      <c r="B366" s="235" t="str">
        <f>IFERROR(__xludf.DUMMYFUNCTION("""COMPUTED_VALUE"""),"enemy_gom_00401")</f>
        <v>enemy_gom_00401</v>
      </c>
      <c r="C366" s="254" t="str">
        <f>IFERROR(__xludf.DUMMYFUNCTION("""COMPUTED_VALUE"""),"_general_vh")</f>
        <v>_general_vh</v>
      </c>
      <c r="D366" s="254" t="str">
        <f>IFERROR(__xludf.DUMMYFUNCTION("""COMPUTED_VALUE"""),"e_gom_00401_general_vh_Boss_Blue")</f>
        <v>e_gom_00401_general_vh_Boss_Blue</v>
      </c>
      <c r="E366" s="254" t="str">
        <f>IFERROR(__xludf.DUMMYFUNCTION("""COMPUTED_VALUE"""),"姫様“拷問”の時間です")</f>
        <v>姫様“拷問”の時間です</v>
      </c>
      <c r="F366" s="254" t="str">
        <f>IFERROR(__xludf.DUMMYFUNCTION("""COMPUTED_VALUE"""),"たこ焼きくん")</f>
        <v>たこ焼きくん</v>
      </c>
      <c r="G366" s="254" t="str">
        <f>IFERROR(__xludf.DUMMYFUNCTION("""COMPUTED_VALUE"""),"たこ焼きくん_general_vh")</f>
        <v>たこ焼きくん_general_vh</v>
      </c>
      <c r="H366" s="235" t="str">
        <f>IFERROR(__xludf.DUMMYFUNCTION("""COMPUTED_VALUE"""),"Boss")</f>
        <v>Boss</v>
      </c>
      <c r="I366" s="235" t="str">
        <f>IFERROR(__xludf.DUMMYFUNCTION("""COMPUTED_VALUE"""),"Technical")</f>
        <v>Technical</v>
      </c>
      <c r="J366" s="235" t="str">
        <f>IFERROR(__xludf.DUMMYFUNCTION("""COMPUTED_VALUE"""),"Blue")</f>
        <v>Blue</v>
      </c>
      <c r="K366" s="235">
        <f>IFERROR(__xludf.DUMMYFUNCTION("""COMPUTED_VALUE"""),10000.0)</f>
        <v>10000</v>
      </c>
      <c r="L366" s="235">
        <f>IFERROR(__xludf.DUMMYFUNCTION("""COMPUTED_VALUE"""),1.0)</f>
        <v>1</v>
      </c>
      <c r="M366" s="235">
        <f>IFERROR(__xludf.DUMMYFUNCTION("""COMPUTED_VALUE"""),20.0)</f>
        <v>20</v>
      </c>
      <c r="N366" s="235">
        <f>IFERROR(__xludf.DUMMYFUNCTION("""COMPUTED_VALUE"""),0.26)</f>
        <v>0.26</v>
      </c>
      <c r="O366" s="235">
        <f>IFERROR(__xludf.DUMMYFUNCTION("""COMPUTED_VALUE"""),100.0)</f>
        <v>100</v>
      </c>
      <c r="P366" s="235">
        <f>IFERROR(__xludf.DUMMYFUNCTION("""COMPUTED_VALUE"""),0.0)</f>
        <v>0</v>
      </c>
      <c r="Q366" s="235">
        <f>IFERROR(__xludf.DUMMYFUNCTION("""COMPUTED_VALUE"""),0.27)</f>
        <v>0.27</v>
      </c>
      <c r="R366" s="235">
        <f>IFERROR(__xludf.DUMMYFUNCTION("""COMPUTED_VALUE"""),100.0)</f>
        <v>100</v>
      </c>
      <c r="S366" s="235">
        <f>IFERROR(__xludf.DUMMYFUNCTION("""COMPUTED_VALUE"""),500.0)</f>
        <v>500</v>
      </c>
      <c r="T366" s="244" t="str">
        <f>IFERROR(__xludf.DUMMYFUNCTION("""COMPUTED_VALUE"""),"1.00")</f>
        <v>1.00</v>
      </c>
      <c r="U366" s="235" t="str">
        <f>IFERROR(__xludf.DUMMYFUNCTION("""COMPUTED_VALUE"""),"0.833")</f>
        <v>0.833</v>
      </c>
      <c r="V366" s="235">
        <f>IFERROR(__xludf.DUMMYFUNCTION("""COMPUTED_VALUE"""),25.0)</f>
        <v>25</v>
      </c>
      <c r="W366" s="235" t="str">
        <f>IFERROR(__xludf.DUMMYFUNCTION("""COMPUTED_VALUE"""),"-")</f>
        <v>-</v>
      </c>
      <c r="X366" s="235" t="str">
        <f>IFERROR(__xludf.DUMMYFUNCTION("""COMPUTED_VALUE"""),"-")</f>
        <v>-</v>
      </c>
      <c r="Y366" s="235"/>
      <c r="Z366" s="235" t="str">
        <f>IFERROR(__xludf.DUMMYFUNCTION("""COMPUTED_VALUE"""),"-")</f>
        <v>-</v>
      </c>
      <c r="AA366" s="235"/>
      <c r="AB366" s="235" t="str">
        <f>IFERROR(__xludf.DUMMYFUNCTION("""COMPUTED_VALUE"""),"dageki_1")</f>
        <v>dageki_1</v>
      </c>
      <c r="AC366" s="235" t="str">
        <f>IFERROR(__xludf.DUMMYFUNCTION("""COMPUTED_VALUE"""),"通常攻撃時25%の確率で敵一体を氷結にする(4秒間)")</f>
        <v>通常攻撃時25%の確率で敵一体を氷結にする(4秒間)</v>
      </c>
    </row>
    <row r="367">
      <c r="A367" s="235"/>
      <c r="B367" s="235" t="str">
        <f>IFERROR(__xludf.DUMMYFUNCTION("""COMPUTED_VALUE"""),"enemy_gom_00401")</f>
        <v>enemy_gom_00401</v>
      </c>
      <c r="C367" s="254" t="str">
        <f>IFERROR(__xludf.DUMMYFUNCTION("""COMPUTED_VALUE"""),"_general_vh")</f>
        <v>_general_vh</v>
      </c>
      <c r="D367" s="254" t="str">
        <f>IFERROR(__xludf.DUMMYFUNCTION("""COMPUTED_VALUE"""),"e_gom_00401_general_vh_Boss_Yellow")</f>
        <v>e_gom_00401_general_vh_Boss_Yellow</v>
      </c>
      <c r="E367" s="254" t="str">
        <f>IFERROR(__xludf.DUMMYFUNCTION("""COMPUTED_VALUE"""),"姫様“拷問”の時間です")</f>
        <v>姫様“拷問”の時間です</v>
      </c>
      <c r="F367" s="254" t="str">
        <f>IFERROR(__xludf.DUMMYFUNCTION("""COMPUTED_VALUE"""),"たこ焼きくん")</f>
        <v>たこ焼きくん</v>
      </c>
      <c r="G367" s="254" t="str">
        <f>IFERROR(__xludf.DUMMYFUNCTION("""COMPUTED_VALUE"""),"たこ焼きくん_general_vh")</f>
        <v>たこ焼きくん_general_vh</v>
      </c>
      <c r="H367" s="235" t="str">
        <f>IFERROR(__xludf.DUMMYFUNCTION("""COMPUTED_VALUE"""),"Boss")</f>
        <v>Boss</v>
      </c>
      <c r="I367" s="235" t="str">
        <f>IFERROR(__xludf.DUMMYFUNCTION("""COMPUTED_VALUE"""),"Technical")</f>
        <v>Technical</v>
      </c>
      <c r="J367" s="235" t="str">
        <f>IFERROR(__xludf.DUMMYFUNCTION("""COMPUTED_VALUE"""),"Yellow")</f>
        <v>Yellow</v>
      </c>
      <c r="K367" s="235">
        <f>IFERROR(__xludf.DUMMYFUNCTION("""COMPUTED_VALUE"""),10000.0)</f>
        <v>10000</v>
      </c>
      <c r="L367" s="235">
        <f>IFERROR(__xludf.DUMMYFUNCTION("""COMPUTED_VALUE"""),1.0)</f>
        <v>1</v>
      </c>
      <c r="M367" s="235">
        <f>IFERROR(__xludf.DUMMYFUNCTION("""COMPUTED_VALUE"""),20.0)</f>
        <v>20</v>
      </c>
      <c r="N367" s="235">
        <f>IFERROR(__xludf.DUMMYFUNCTION("""COMPUTED_VALUE"""),0.26)</f>
        <v>0.26</v>
      </c>
      <c r="O367" s="235">
        <f>IFERROR(__xludf.DUMMYFUNCTION("""COMPUTED_VALUE"""),100.0)</f>
        <v>100</v>
      </c>
      <c r="P367" s="235">
        <f>IFERROR(__xludf.DUMMYFUNCTION("""COMPUTED_VALUE"""),0.0)</f>
        <v>0</v>
      </c>
      <c r="Q367" s="235">
        <f>IFERROR(__xludf.DUMMYFUNCTION("""COMPUTED_VALUE"""),0.27)</f>
        <v>0.27</v>
      </c>
      <c r="R367" s="235">
        <f>IFERROR(__xludf.DUMMYFUNCTION("""COMPUTED_VALUE"""),100.0)</f>
        <v>100</v>
      </c>
      <c r="S367" s="235">
        <f>IFERROR(__xludf.DUMMYFUNCTION("""COMPUTED_VALUE"""),500.0)</f>
        <v>500</v>
      </c>
      <c r="T367" s="244" t="str">
        <f>IFERROR(__xludf.DUMMYFUNCTION("""COMPUTED_VALUE"""),"1.00")</f>
        <v>1.00</v>
      </c>
      <c r="U367" s="235" t="str">
        <f>IFERROR(__xludf.DUMMYFUNCTION("""COMPUTED_VALUE"""),"0.833")</f>
        <v>0.833</v>
      </c>
      <c r="V367" s="235">
        <f>IFERROR(__xludf.DUMMYFUNCTION("""COMPUTED_VALUE"""),25.0)</f>
        <v>25</v>
      </c>
      <c r="W367" s="235" t="str">
        <f>IFERROR(__xludf.DUMMYFUNCTION("""COMPUTED_VALUE"""),"-")</f>
        <v>-</v>
      </c>
      <c r="X367" s="235" t="str">
        <f>IFERROR(__xludf.DUMMYFUNCTION("""COMPUTED_VALUE"""),"-")</f>
        <v>-</v>
      </c>
      <c r="Y367" s="235"/>
      <c r="Z367" s="235" t="str">
        <f>IFERROR(__xludf.DUMMYFUNCTION("""COMPUTED_VALUE"""),"-")</f>
        <v>-</v>
      </c>
      <c r="AA367" s="235"/>
      <c r="AB367" s="235" t="str">
        <f>IFERROR(__xludf.DUMMYFUNCTION("""COMPUTED_VALUE"""),"dageki_1")</f>
        <v>dageki_1</v>
      </c>
      <c r="AC367" s="235" t="str">
        <f>IFERROR(__xludf.DUMMYFUNCTION("""COMPUTED_VALUE"""),"通常攻撃時25%の確率で敵一体をスタンにする(4秒間)")</f>
        <v>通常攻撃時25%の確率で敵一体をスタンにする(4秒間)</v>
      </c>
    </row>
    <row r="368">
      <c r="A368" s="235"/>
      <c r="B368" s="235" t="str">
        <f>IFERROR(__xludf.DUMMYFUNCTION("""COMPUTED_VALUE"""),"enemy_gom_00301")</f>
        <v>enemy_gom_00301</v>
      </c>
      <c r="C368" s="254" t="str">
        <f>IFERROR(__xludf.DUMMYFUNCTION("""COMPUTED_VALUE"""),"_general_n")</f>
        <v>_general_n</v>
      </c>
      <c r="D368" s="254" t="str">
        <f>IFERROR(__xludf.DUMMYFUNCTION("""COMPUTED_VALUE"""),"e_gom_00301_general_n_Boss_Yellow")</f>
        <v>e_gom_00301_general_n_Boss_Yellow</v>
      </c>
      <c r="E368" s="254" t="str">
        <f>IFERROR(__xludf.DUMMYFUNCTION("""COMPUTED_VALUE"""),"姫様“拷問”の時間です")</f>
        <v>姫様“拷問”の時間です</v>
      </c>
      <c r="F368" s="254" t="str">
        <f>IFERROR(__xludf.DUMMYFUNCTION("""COMPUTED_VALUE"""),"キュイ")</f>
        <v>キュイ</v>
      </c>
      <c r="G368" s="254" t="str">
        <f>IFERROR(__xludf.DUMMYFUNCTION("""COMPUTED_VALUE"""),"キュイ_general_n")</f>
        <v>キュイ_general_n</v>
      </c>
      <c r="H368" s="235" t="str">
        <f>IFERROR(__xludf.DUMMYFUNCTION("""COMPUTED_VALUE"""),"Boss")</f>
        <v>Boss</v>
      </c>
      <c r="I368" s="235" t="str">
        <f>IFERROR(__xludf.DUMMYFUNCTION("""COMPUTED_VALUE"""),"Defense")</f>
        <v>Defense</v>
      </c>
      <c r="J368" s="235" t="str">
        <f>IFERROR(__xludf.DUMMYFUNCTION("""COMPUTED_VALUE"""),"Yellow")</f>
        <v>Yellow</v>
      </c>
      <c r="K368" s="235">
        <f>IFERROR(__xludf.DUMMYFUNCTION("""COMPUTED_VALUE"""),10000.0)</f>
        <v>10000</v>
      </c>
      <c r="L368" s="235">
        <f>IFERROR(__xludf.DUMMYFUNCTION("""COMPUTED_VALUE"""),0.0)</f>
        <v>0</v>
      </c>
      <c r="M368" s="235">
        <f>IFERROR(__xludf.DUMMYFUNCTION("""COMPUTED_VALUE"""),20.0)</f>
        <v>20</v>
      </c>
      <c r="N368" s="235">
        <f>IFERROR(__xludf.DUMMYFUNCTION("""COMPUTED_VALUE"""),0.18)</f>
        <v>0.18</v>
      </c>
      <c r="O368" s="235">
        <f>IFERROR(__xludf.DUMMYFUNCTION("""COMPUTED_VALUE"""),50.0)</f>
        <v>50</v>
      </c>
      <c r="P368" s="235">
        <f>IFERROR(__xludf.DUMMYFUNCTION("""COMPUTED_VALUE"""),0.0)</f>
        <v>0</v>
      </c>
      <c r="Q368" s="235">
        <f>IFERROR(__xludf.DUMMYFUNCTION("""COMPUTED_VALUE"""),0.19)</f>
        <v>0.19</v>
      </c>
      <c r="R368" s="235">
        <f>IFERROR(__xludf.DUMMYFUNCTION("""COMPUTED_VALUE"""),1.0)</f>
        <v>1</v>
      </c>
      <c r="S368" s="235">
        <f>IFERROR(__xludf.DUMMYFUNCTION("""COMPUTED_VALUE"""),500.0)</f>
        <v>500</v>
      </c>
      <c r="T368" s="244" t="str">
        <f>IFERROR(__xludf.DUMMYFUNCTION("""COMPUTED_VALUE"""),"2.76")</f>
        <v>2.76</v>
      </c>
      <c r="U368" s="235" t="str">
        <f>IFERROR(__xludf.DUMMYFUNCTION("""COMPUTED_VALUE"""),"1.50")</f>
        <v>1.50</v>
      </c>
      <c r="V368" s="235">
        <f>IFERROR(__xludf.DUMMYFUNCTION("""COMPUTED_VALUE"""),100.0)</f>
        <v>100</v>
      </c>
      <c r="W368" s="235" t="str">
        <f>IFERROR(__xludf.DUMMYFUNCTION("""COMPUTED_VALUE"""),"-")</f>
        <v>-</v>
      </c>
      <c r="X368" s="235" t="str">
        <f>IFERROR(__xludf.DUMMYFUNCTION("""COMPUTED_VALUE"""),"-")</f>
        <v>-</v>
      </c>
      <c r="Y368" s="235"/>
      <c r="Z368" s="235" t="str">
        <f>IFERROR(__xludf.DUMMYFUNCTION("""COMPUTED_VALUE"""),"-")</f>
        <v>-</v>
      </c>
      <c r="AA368" s="235"/>
      <c r="AB368" s="235" t="str">
        <f>IFERROR(__xludf.DUMMYFUNCTION("""COMPUTED_VALUE"""),"dageki_1")</f>
        <v>dageki_1</v>
      </c>
      <c r="AC368" s="235"/>
    </row>
    <row r="369">
      <c r="A369" s="235"/>
      <c r="B369" s="235" t="str">
        <f>IFERROR(__xludf.DUMMYFUNCTION("""COMPUTED_VALUE"""),"enemy_gom_01001")</f>
        <v>enemy_gom_01001</v>
      </c>
      <c r="C369" s="254" t="str">
        <f>IFERROR(__xludf.DUMMYFUNCTION("""COMPUTED_VALUE"""),"_general_n")</f>
        <v>_general_n</v>
      </c>
      <c r="D369" s="254" t="str">
        <f>IFERROR(__xludf.DUMMYFUNCTION("""COMPUTED_VALUE"""),"e_gom_01001_general_n_Normal_Colorless")</f>
        <v>e_gom_01001_general_n_Normal_Colorless</v>
      </c>
      <c r="E369" s="254" t="str">
        <f>IFERROR(__xludf.DUMMYFUNCTION("""COMPUTED_VALUE"""),"姫様“拷問”の時間です")</f>
        <v>姫様“拷問”の時間です</v>
      </c>
      <c r="F369" s="254" t="str">
        <f>IFERROR(__xludf.DUMMYFUNCTION("""COMPUTED_VALUE"""),"あんぱん")</f>
        <v>あんぱん</v>
      </c>
      <c r="G369" s="254" t="str">
        <f>IFERROR(__xludf.DUMMYFUNCTION("""COMPUTED_VALUE"""),"あんぱん_general_n")</f>
        <v>あんぱん_general_n</v>
      </c>
      <c r="H369" s="235" t="str">
        <f>IFERROR(__xludf.DUMMYFUNCTION("""COMPUTED_VALUE"""),"Normal")</f>
        <v>Normal</v>
      </c>
      <c r="I369" s="235" t="str">
        <f>IFERROR(__xludf.DUMMYFUNCTION("""COMPUTED_VALUE"""),"Attack")</f>
        <v>Attack</v>
      </c>
      <c r="J369" s="235" t="str">
        <f>IFERROR(__xludf.DUMMYFUNCTION("""COMPUTED_VALUE"""),"Colorless")</f>
        <v>Colorless</v>
      </c>
      <c r="K369" s="235">
        <f>IFERROR(__xludf.DUMMYFUNCTION("""COMPUTED_VALUE"""),1000.0)</f>
        <v>1000</v>
      </c>
      <c r="L369" s="235">
        <f>IFERROR(__xludf.DUMMYFUNCTION("""COMPUTED_VALUE"""),0.0)</f>
        <v>0</v>
      </c>
      <c r="M369" s="235">
        <f>IFERROR(__xludf.DUMMYFUNCTION("""COMPUTED_VALUE"""),25.0)</f>
        <v>25</v>
      </c>
      <c r="N369" s="235">
        <f>IFERROR(__xludf.DUMMYFUNCTION("""COMPUTED_VALUE"""),0.2)</f>
        <v>0.2</v>
      </c>
      <c r="O369" s="235">
        <f>IFERROR(__xludf.DUMMYFUNCTION("""COMPUTED_VALUE"""),50.0)</f>
        <v>50</v>
      </c>
      <c r="P369" s="235">
        <f>IFERROR(__xludf.DUMMYFUNCTION("""COMPUTED_VALUE"""),0.0)</f>
        <v>0</v>
      </c>
      <c r="Q369" s="235">
        <f>IFERROR(__xludf.DUMMYFUNCTION("""COMPUTED_VALUE"""),0.21)</f>
        <v>0.21</v>
      </c>
      <c r="R369" s="235">
        <f>IFERROR(__xludf.DUMMYFUNCTION("""COMPUTED_VALUE"""),100.0)</f>
        <v>100</v>
      </c>
      <c r="S369" s="235">
        <f>IFERROR(__xludf.DUMMYFUNCTION("""COMPUTED_VALUE"""),200.0)</f>
        <v>200</v>
      </c>
      <c r="T369" s="235"/>
      <c r="U369" s="235"/>
      <c r="V369" s="235">
        <f>IFERROR(__xludf.DUMMYFUNCTION("""COMPUTED_VALUE"""),50.0)</f>
        <v>50</v>
      </c>
      <c r="W369" s="235" t="str">
        <f>IFERROR(__xludf.DUMMYFUNCTION("""COMPUTED_VALUE"""),"-")</f>
        <v>-</v>
      </c>
      <c r="X369" s="235" t="str">
        <f>IFERROR(__xludf.DUMMYFUNCTION("""COMPUTED_VALUE"""),"-")</f>
        <v>-</v>
      </c>
      <c r="Y369" s="235"/>
      <c r="Z369" s="235" t="str">
        <f>IFERROR(__xludf.DUMMYFUNCTION("""COMPUTED_VALUE"""),"-")</f>
        <v>-</v>
      </c>
      <c r="AA369" s="235"/>
      <c r="AB369" s="235"/>
      <c r="AC369" s="235"/>
    </row>
    <row r="370">
      <c r="A370" s="235"/>
      <c r="B370" s="235" t="str">
        <f>IFERROR(__xludf.DUMMYFUNCTION("""COMPUTED_VALUE"""),"enemy_gom_01001")</f>
        <v>enemy_gom_01001</v>
      </c>
      <c r="C370" s="254" t="str">
        <f>IFERROR(__xludf.DUMMYFUNCTION("""COMPUTED_VALUE"""),"_general_n")</f>
        <v>_general_n</v>
      </c>
      <c r="D370" s="254" t="str">
        <f>IFERROR(__xludf.DUMMYFUNCTION("""COMPUTED_VALUE"""),"e_gom_01001_general_n_Normal_Yellow")</f>
        <v>e_gom_01001_general_n_Normal_Yellow</v>
      </c>
      <c r="E370" s="254" t="str">
        <f>IFERROR(__xludf.DUMMYFUNCTION("""COMPUTED_VALUE"""),"姫様“拷問”の時間です")</f>
        <v>姫様“拷問”の時間です</v>
      </c>
      <c r="F370" s="254" t="str">
        <f>IFERROR(__xludf.DUMMYFUNCTION("""COMPUTED_VALUE"""),"あんぱん")</f>
        <v>あんぱん</v>
      </c>
      <c r="G370" s="254" t="str">
        <f>IFERROR(__xludf.DUMMYFUNCTION("""COMPUTED_VALUE"""),"あんぱん_general_n")</f>
        <v>あんぱん_general_n</v>
      </c>
      <c r="H370" s="235" t="str">
        <f>IFERROR(__xludf.DUMMYFUNCTION("""COMPUTED_VALUE"""),"Normal")</f>
        <v>Normal</v>
      </c>
      <c r="I370" s="235" t="str">
        <f>IFERROR(__xludf.DUMMYFUNCTION("""COMPUTED_VALUE"""),"Attack")</f>
        <v>Attack</v>
      </c>
      <c r="J370" s="235" t="str">
        <f>IFERROR(__xludf.DUMMYFUNCTION("""COMPUTED_VALUE"""),"Yellow")</f>
        <v>Yellow</v>
      </c>
      <c r="K370" s="235">
        <f>IFERROR(__xludf.DUMMYFUNCTION("""COMPUTED_VALUE"""),1000.0)</f>
        <v>1000</v>
      </c>
      <c r="L370" s="235">
        <f>IFERROR(__xludf.DUMMYFUNCTION("""COMPUTED_VALUE"""),0.0)</f>
        <v>0</v>
      </c>
      <c r="M370" s="235">
        <f>IFERROR(__xludf.DUMMYFUNCTION("""COMPUTED_VALUE"""),25.0)</f>
        <v>25</v>
      </c>
      <c r="N370" s="235">
        <f>IFERROR(__xludf.DUMMYFUNCTION("""COMPUTED_VALUE"""),0.2)</f>
        <v>0.2</v>
      </c>
      <c r="O370" s="235">
        <f>IFERROR(__xludf.DUMMYFUNCTION("""COMPUTED_VALUE"""),50.0)</f>
        <v>50</v>
      </c>
      <c r="P370" s="235">
        <f>IFERROR(__xludf.DUMMYFUNCTION("""COMPUTED_VALUE"""),0.0)</f>
        <v>0</v>
      </c>
      <c r="Q370" s="235">
        <f>IFERROR(__xludf.DUMMYFUNCTION("""COMPUTED_VALUE"""),0.21)</f>
        <v>0.21</v>
      </c>
      <c r="R370" s="235">
        <f>IFERROR(__xludf.DUMMYFUNCTION("""COMPUTED_VALUE"""),100.0)</f>
        <v>100</v>
      </c>
      <c r="S370" s="235">
        <f>IFERROR(__xludf.DUMMYFUNCTION("""COMPUTED_VALUE"""),200.0)</f>
        <v>200</v>
      </c>
      <c r="T370" s="235"/>
      <c r="U370" s="235"/>
      <c r="V370" s="235">
        <f>IFERROR(__xludf.DUMMYFUNCTION("""COMPUTED_VALUE"""),50.0)</f>
        <v>50</v>
      </c>
      <c r="W370" s="235" t="str">
        <f>IFERROR(__xludf.DUMMYFUNCTION("""COMPUTED_VALUE"""),"-")</f>
        <v>-</v>
      </c>
      <c r="X370" s="235" t="str">
        <f>IFERROR(__xludf.DUMMYFUNCTION("""COMPUTED_VALUE"""),"-")</f>
        <v>-</v>
      </c>
      <c r="Y370" s="235"/>
      <c r="Z370" s="235" t="str">
        <f>IFERROR(__xludf.DUMMYFUNCTION("""COMPUTED_VALUE"""),"-")</f>
        <v>-</v>
      </c>
      <c r="AA370" s="235"/>
      <c r="AB370" s="235"/>
      <c r="AC370" s="235"/>
    </row>
    <row r="371">
      <c r="A371" s="235"/>
      <c r="B371" s="235" t="str">
        <f>IFERROR(__xludf.DUMMYFUNCTION("""COMPUTED_VALUE"""),"enemy_gom_01001")</f>
        <v>enemy_gom_01001</v>
      </c>
      <c r="C371" s="254" t="str">
        <f>IFERROR(__xludf.DUMMYFUNCTION("""COMPUTED_VALUE"""),"_general_h")</f>
        <v>_general_h</v>
      </c>
      <c r="D371" s="254" t="str">
        <f>IFERROR(__xludf.DUMMYFUNCTION("""COMPUTED_VALUE"""),"e_gom_01001_general_h_Boss_Colorless")</f>
        <v>e_gom_01001_general_h_Boss_Colorless</v>
      </c>
      <c r="E371" s="254" t="str">
        <f>IFERROR(__xludf.DUMMYFUNCTION("""COMPUTED_VALUE"""),"姫様“拷問”の時間です")</f>
        <v>姫様“拷問”の時間です</v>
      </c>
      <c r="F371" s="254" t="str">
        <f>IFERROR(__xludf.DUMMYFUNCTION("""COMPUTED_VALUE"""),"あんぱん")</f>
        <v>あんぱん</v>
      </c>
      <c r="G371" s="254" t="str">
        <f>IFERROR(__xludf.DUMMYFUNCTION("""COMPUTED_VALUE"""),"あんぱん_general_h")</f>
        <v>あんぱん_general_h</v>
      </c>
      <c r="H371" s="235" t="str">
        <f>IFERROR(__xludf.DUMMYFUNCTION("""COMPUTED_VALUE"""),"Boss")</f>
        <v>Boss</v>
      </c>
      <c r="I371" s="235" t="str">
        <f>IFERROR(__xludf.DUMMYFUNCTION("""COMPUTED_VALUE"""),"Attack")</f>
        <v>Attack</v>
      </c>
      <c r="J371" s="235" t="str">
        <f>IFERROR(__xludf.DUMMYFUNCTION("""COMPUTED_VALUE"""),"Colorless")</f>
        <v>Colorless</v>
      </c>
      <c r="K371" s="235">
        <f>IFERROR(__xludf.DUMMYFUNCTION("""COMPUTED_VALUE"""),10000.0)</f>
        <v>10000</v>
      </c>
      <c r="L371" s="235">
        <f>IFERROR(__xludf.DUMMYFUNCTION("""COMPUTED_VALUE"""),0.0)</f>
        <v>0</v>
      </c>
      <c r="M371" s="235">
        <f>IFERROR(__xludf.DUMMYFUNCTION("""COMPUTED_VALUE"""),25.0)</f>
        <v>25</v>
      </c>
      <c r="N371" s="235">
        <f>IFERROR(__xludf.DUMMYFUNCTION("""COMPUTED_VALUE"""),0.2)</f>
        <v>0.2</v>
      </c>
      <c r="O371" s="235">
        <f>IFERROR(__xludf.DUMMYFUNCTION("""COMPUTED_VALUE"""),100.0)</f>
        <v>100</v>
      </c>
      <c r="P371" s="235">
        <f>IFERROR(__xludf.DUMMYFUNCTION("""COMPUTED_VALUE"""),0.0)</f>
        <v>0</v>
      </c>
      <c r="Q371" s="235">
        <f>IFERROR(__xludf.DUMMYFUNCTION("""COMPUTED_VALUE"""),0.21)</f>
        <v>0.21</v>
      </c>
      <c r="R371" s="235">
        <f>IFERROR(__xludf.DUMMYFUNCTION("""COMPUTED_VALUE"""),100.0)</f>
        <v>100</v>
      </c>
      <c r="S371" s="235">
        <f>IFERROR(__xludf.DUMMYFUNCTION("""COMPUTED_VALUE"""),200.0)</f>
        <v>200</v>
      </c>
      <c r="T371" s="235"/>
      <c r="U371" s="235"/>
      <c r="V371" s="235">
        <f>IFERROR(__xludf.DUMMYFUNCTION("""COMPUTED_VALUE"""),50.0)</f>
        <v>50</v>
      </c>
      <c r="W371" s="235" t="str">
        <f>IFERROR(__xludf.DUMMYFUNCTION("""COMPUTED_VALUE"""),"-")</f>
        <v>-</v>
      </c>
      <c r="X371" s="235" t="str">
        <f>IFERROR(__xludf.DUMMYFUNCTION("""COMPUTED_VALUE"""),"-")</f>
        <v>-</v>
      </c>
      <c r="Y371" s="235"/>
      <c r="Z371" s="235" t="str">
        <f>IFERROR(__xludf.DUMMYFUNCTION("""COMPUTED_VALUE"""),"-")</f>
        <v>-</v>
      </c>
      <c r="AA371" s="235"/>
      <c r="AB371" s="235"/>
      <c r="AC371" s="235"/>
    </row>
    <row r="372">
      <c r="A372" s="235"/>
      <c r="B372" s="235" t="str">
        <f>IFERROR(__xludf.DUMMYFUNCTION("""COMPUTED_VALUE"""),"enemy_gom_01001")</f>
        <v>enemy_gom_01001</v>
      </c>
      <c r="C372" s="254" t="str">
        <f>IFERROR(__xludf.DUMMYFUNCTION("""COMPUTED_VALUE"""),"_general_vh")</f>
        <v>_general_vh</v>
      </c>
      <c r="D372" s="254" t="str">
        <f>IFERROR(__xludf.DUMMYFUNCTION("""COMPUTED_VALUE"""),"e_gom_01001_general_vh_Normal_Red")</f>
        <v>e_gom_01001_general_vh_Normal_Red</v>
      </c>
      <c r="E372" s="254" t="str">
        <f>IFERROR(__xludf.DUMMYFUNCTION("""COMPUTED_VALUE"""),"姫様“拷問”の時間です")</f>
        <v>姫様“拷問”の時間です</v>
      </c>
      <c r="F372" s="254" t="str">
        <f>IFERROR(__xludf.DUMMYFUNCTION("""COMPUTED_VALUE"""),"あんぱん")</f>
        <v>あんぱん</v>
      </c>
      <c r="G372" s="254" t="str">
        <f>IFERROR(__xludf.DUMMYFUNCTION("""COMPUTED_VALUE"""),"あんぱん_general_vh")</f>
        <v>あんぱん_general_vh</v>
      </c>
      <c r="H372" s="235" t="str">
        <f>IFERROR(__xludf.DUMMYFUNCTION("""COMPUTED_VALUE"""),"Normal")</f>
        <v>Normal</v>
      </c>
      <c r="I372" s="235" t="str">
        <f>IFERROR(__xludf.DUMMYFUNCTION("""COMPUTED_VALUE"""),"Attack")</f>
        <v>Attack</v>
      </c>
      <c r="J372" s="235" t="str">
        <f>IFERROR(__xludf.DUMMYFUNCTION("""COMPUTED_VALUE"""),"Red")</f>
        <v>Red</v>
      </c>
      <c r="K372" s="235">
        <f>IFERROR(__xludf.DUMMYFUNCTION("""COMPUTED_VALUE"""),1000.0)</f>
        <v>1000</v>
      </c>
      <c r="L372" s="235">
        <f>IFERROR(__xludf.DUMMYFUNCTION("""COMPUTED_VALUE"""),0.0)</f>
        <v>0</v>
      </c>
      <c r="M372" s="235">
        <f>IFERROR(__xludf.DUMMYFUNCTION("""COMPUTED_VALUE"""),25.0)</f>
        <v>25</v>
      </c>
      <c r="N372" s="235">
        <f>IFERROR(__xludf.DUMMYFUNCTION("""COMPUTED_VALUE"""),0.2)</f>
        <v>0.2</v>
      </c>
      <c r="O372" s="235">
        <f>IFERROR(__xludf.DUMMYFUNCTION("""COMPUTED_VALUE"""),100.0)</f>
        <v>100</v>
      </c>
      <c r="P372" s="235">
        <f>IFERROR(__xludf.DUMMYFUNCTION("""COMPUTED_VALUE"""),0.0)</f>
        <v>0</v>
      </c>
      <c r="Q372" s="235">
        <f>IFERROR(__xludf.DUMMYFUNCTION("""COMPUTED_VALUE"""),0.21)</f>
        <v>0.21</v>
      </c>
      <c r="R372" s="235">
        <f>IFERROR(__xludf.DUMMYFUNCTION("""COMPUTED_VALUE"""),100.0)</f>
        <v>100</v>
      </c>
      <c r="S372" s="235">
        <f>IFERROR(__xludf.DUMMYFUNCTION("""COMPUTED_VALUE"""),200.0)</f>
        <v>200</v>
      </c>
      <c r="T372" s="235"/>
      <c r="U372" s="235"/>
      <c r="V372" s="235">
        <f>IFERROR(__xludf.DUMMYFUNCTION("""COMPUTED_VALUE"""),50.0)</f>
        <v>50</v>
      </c>
      <c r="W372" s="235" t="str">
        <f>IFERROR(__xludf.DUMMYFUNCTION("""COMPUTED_VALUE"""),"-")</f>
        <v>-</v>
      </c>
      <c r="X372" s="235" t="str">
        <f>IFERROR(__xludf.DUMMYFUNCTION("""COMPUTED_VALUE"""),"-")</f>
        <v>-</v>
      </c>
      <c r="Y372" s="235"/>
      <c r="Z372" s="235" t="str">
        <f>IFERROR(__xludf.DUMMYFUNCTION("""COMPUTED_VALUE"""),"-")</f>
        <v>-</v>
      </c>
      <c r="AA372" s="235"/>
      <c r="AB372" s="235"/>
      <c r="AC372" s="235"/>
    </row>
    <row r="373">
      <c r="A373" s="235"/>
      <c r="B373" s="235" t="str">
        <f>IFERROR(__xludf.DUMMYFUNCTION("""COMPUTED_VALUE"""),"enemy_gom_01001")</f>
        <v>enemy_gom_01001</v>
      </c>
      <c r="C373" s="254" t="str">
        <f>IFERROR(__xludf.DUMMYFUNCTION("""COMPUTED_VALUE"""),"_general_vh")</f>
        <v>_general_vh</v>
      </c>
      <c r="D373" s="254" t="str">
        <f>IFERROR(__xludf.DUMMYFUNCTION("""COMPUTED_VALUE"""),"e_gom_01001_general_vh_Normal_Blue")</f>
        <v>e_gom_01001_general_vh_Normal_Blue</v>
      </c>
      <c r="E373" s="254" t="str">
        <f>IFERROR(__xludf.DUMMYFUNCTION("""COMPUTED_VALUE"""),"姫様“拷問”の時間です")</f>
        <v>姫様“拷問”の時間です</v>
      </c>
      <c r="F373" s="254" t="str">
        <f>IFERROR(__xludf.DUMMYFUNCTION("""COMPUTED_VALUE"""),"あんぱん")</f>
        <v>あんぱん</v>
      </c>
      <c r="G373" s="254" t="str">
        <f>IFERROR(__xludf.DUMMYFUNCTION("""COMPUTED_VALUE"""),"あんぱん_general_vh")</f>
        <v>あんぱん_general_vh</v>
      </c>
      <c r="H373" s="235" t="str">
        <f>IFERROR(__xludf.DUMMYFUNCTION("""COMPUTED_VALUE"""),"Normal")</f>
        <v>Normal</v>
      </c>
      <c r="I373" s="235" t="str">
        <f>IFERROR(__xludf.DUMMYFUNCTION("""COMPUTED_VALUE"""),"Attack")</f>
        <v>Attack</v>
      </c>
      <c r="J373" s="235" t="str">
        <f>IFERROR(__xludf.DUMMYFUNCTION("""COMPUTED_VALUE"""),"Blue")</f>
        <v>Blue</v>
      </c>
      <c r="K373" s="235">
        <f>IFERROR(__xludf.DUMMYFUNCTION("""COMPUTED_VALUE"""),1000.0)</f>
        <v>1000</v>
      </c>
      <c r="L373" s="235">
        <f>IFERROR(__xludf.DUMMYFUNCTION("""COMPUTED_VALUE"""),0.0)</f>
        <v>0</v>
      </c>
      <c r="M373" s="235">
        <f>IFERROR(__xludf.DUMMYFUNCTION("""COMPUTED_VALUE"""),25.0)</f>
        <v>25</v>
      </c>
      <c r="N373" s="235">
        <f>IFERROR(__xludf.DUMMYFUNCTION("""COMPUTED_VALUE"""),0.2)</f>
        <v>0.2</v>
      </c>
      <c r="O373" s="235">
        <f>IFERROR(__xludf.DUMMYFUNCTION("""COMPUTED_VALUE"""),100.0)</f>
        <v>100</v>
      </c>
      <c r="P373" s="235">
        <f>IFERROR(__xludf.DUMMYFUNCTION("""COMPUTED_VALUE"""),0.0)</f>
        <v>0</v>
      </c>
      <c r="Q373" s="235">
        <f>IFERROR(__xludf.DUMMYFUNCTION("""COMPUTED_VALUE"""),0.21)</f>
        <v>0.21</v>
      </c>
      <c r="R373" s="235">
        <f>IFERROR(__xludf.DUMMYFUNCTION("""COMPUTED_VALUE"""),100.0)</f>
        <v>100</v>
      </c>
      <c r="S373" s="235">
        <f>IFERROR(__xludf.DUMMYFUNCTION("""COMPUTED_VALUE"""),200.0)</f>
        <v>200</v>
      </c>
      <c r="T373" s="235"/>
      <c r="U373" s="235"/>
      <c r="V373" s="235">
        <f>IFERROR(__xludf.DUMMYFUNCTION("""COMPUTED_VALUE"""),50.0)</f>
        <v>50</v>
      </c>
      <c r="W373" s="235" t="str">
        <f>IFERROR(__xludf.DUMMYFUNCTION("""COMPUTED_VALUE"""),"-")</f>
        <v>-</v>
      </c>
      <c r="X373" s="235" t="str">
        <f>IFERROR(__xludf.DUMMYFUNCTION("""COMPUTED_VALUE"""),"-")</f>
        <v>-</v>
      </c>
      <c r="Y373" s="235"/>
      <c r="Z373" s="235" t="str">
        <f>IFERROR(__xludf.DUMMYFUNCTION("""COMPUTED_VALUE"""),"-")</f>
        <v>-</v>
      </c>
      <c r="AA373" s="235"/>
      <c r="AB373" s="235"/>
      <c r="AC373" s="235"/>
    </row>
    <row r="374">
      <c r="A374" s="235"/>
      <c r="B374" s="235" t="str">
        <f>IFERROR(__xludf.DUMMYFUNCTION("""COMPUTED_VALUE"""),"enemy_gom_01001")</f>
        <v>enemy_gom_01001</v>
      </c>
      <c r="C374" s="254" t="str">
        <f>IFERROR(__xludf.DUMMYFUNCTION("""COMPUTED_VALUE"""),"_general_vh")</f>
        <v>_general_vh</v>
      </c>
      <c r="D374" s="254" t="str">
        <f>IFERROR(__xludf.DUMMYFUNCTION("""COMPUTED_VALUE"""),"e_gom_01001_general_vh_Normal_Yellow")</f>
        <v>e_gom_01001_general_vh_Normal_Yellow</v>
      </c>
      <c r="E374" s="254" t="str">
        <f>IFERROR(__xludf.DUMMYFUNCTION("""COMPUTED_VALUE"""),"姫様“拷問”の時間です")</f>
        <v>姫様“拷問”の時間です</v>
      </c>
      <c r="F374" s="254" t="str">
        <f>IFERROR(__xludf.DUMMYFUNCTION("""COMPUTED_VALUE"""),"あんぱん")</f>
        <v>あんぱん</v>
      </c>
      <c r="G374" s="254" t="str">
        <f>IFERROR(__xludf.DUMMYFUNCTION("""COMPUTED_VALUE"""),"あんぱん_general_vh")</f>
        <v>あんぱん_general_vh</v>
      </c>
      <c r="H374" s="235" t="str">
        <f>IFERROR(__xludf.DUMMYFUNCTION("""COMPUTED_VALUE"""),"Normal")</f>
        <v>Normal</v>
      </c>
      <c r="I374" s="235" t="str">
        <f>IFERROR(__xludf.DUMMYFUNCTION("""COMPUTED_VALUE"""),"Attack")</f>
        <v>Attack</v>
      </c>
      <c r="J374" s="235" t="str">
        <f>IFERROR(__xludf.DUMMYFUNCTION("""COMPUTED_VALUE"""),"Yellow")</f>
        <v>Yellow</v>
      </c>
      <c r="K374" s="235">
        <f>IFERROR(__xludf.DUMMYFUNCTION("""COMPUTED_VALUE"""),1000.0)</f>
        <v>1000</v>
      </c>
      <c r="L374" s="235">
        <f>IFERROR(__xludf.DUMMYFUNCTION("""COMPUTED_VALUE"""),0.0)</f>
        <v>0</v>
      </c>
      <c r="M374" s="235">
        <f>IFERROR(__xludf.DUMMYFUNCTION("""COMPUTED_VALUE"""),25.0)</f>
        <v>25</v>
      </c>
      <c r="N374" s="235">
        <f>IFERROR(__xludf.DUMMYFUNCTION("""COMPUTED_VALUE"""),0.2)</f>
        <v>0.2</v>
      </c>
      <c r="O374" s="235">
        <f>IFERROR(__xludf.DUMMYFUNCTION("""COMPUTED_VALUE"""),100.0)</f>
        <v>100</v>
      </c>
      <c r="P374" s="235">
        <f>IFERROR(__xludf.DUMMYFUNCTION("""COMPUTED_VALUE"""),0.0)</f>
        <v>0</v>
      </c>
      <c r="Q374" s="235">
        <f>IFERROR(__xludf.DUMMYFUNCTION("""COMPUTED_VALUE"""),0.21)</f>
        <v>0.21</v>
      </c>
      <c r="R374" s="235">
        <f>IFERROR(__xludf.DUMMYFUNCTION("""COMPUTED_VALUE"""),100.0)</f>
        <v>100</v>
      </c>
      <c r="S374" s="235">
        <f>IFERROR(__xludf.DUMMYFUNCTION("""COMPUTED_VALUE"""),200.0)</f>
        <v>200</v>
      </c>
      <c r="T374" s="235"/>
      <c r="U374" s="235"/>
      <c r="V374" s="235">
        <f>IFERROR(__xludf.DUMMYFUNCTION("""COMPUTED_VALUE"""),100.0)</f>
        <v>100</v>
      </c>
      <c r="W374" s="235" t="str">
        <f>IFERROR(__xludf.DUMMYFUNCTION("""COMPUTED_VALUE"""),"-")</f>
        <v>-</v>
      </c>
      <c r="X374" s="235" t="str">
        <f>IFERROR(__xludf.DUMMYFUNCTION("""COMPUTED_VALUE"""),"-")</f>
        <v>-</v>
      </c>
      <c r="Y374" s="235"/>
      <c r="Z374" s="235" t="str">
        <f>IFERROR(__xludf.DUMMYFUNCTION("""COMPUTED_VALUE"""),"-")</f>
        <v>-</v>
      </c>
      <c r="AA374" s="235"/>
      <c r="AB374" s="235"/>
      <c r="AC374" s="235"/>
    </row>
    <row r="375">
      <c r="A375" s="235"/>
      <c r="B375" s="235" t="str">
        <f>IFERROR(__xludf.DUMMYFUNCTION("""COMPUTED_VALUE"""),"enemy_gom_01001")</f>
        <v>enemy_gom_01001</v>
      </c>
      <c r="C375" s="254" t="str">
        <f>IFERROR(__xludf.DUMMYFUNCTION("""COMPUTED_VALUE"""),"_general_vh")</f>
        <v>_general_vh</v>
      </c>
      <c r="D375" s="254" t="str">
        <f>IFERROR(__xludf.DUMMYFUNCTION("""COMPUTED_VALUE"""),"e_gom_01001_general_vh_Boss_Yellow")</f>
        <v>e_gom_01001_general_vh_Boss_Yellow</v>
      </c>
      <c r="E375" s="254" t="str">
        <f>IFERROR(__xludf.DUMMYFUNCTION("""COMPUTED_VALUE"""),"姫様“拷問”の時間です")</f>
        <v>姫様“拷問”の時間です</v>
      </c>
      <c r="F375" s="254" t="str">
        <f>IFERROR(__xludf.DUMMYFUNCTION("""COMPUTED_VALUE"""),"あんぱん")</f>
        <v>あんぱん</v>
      </c>
      <c r="G375" s="254" t="str">
        <f>IFERROR(__xludf.DUMMYFUNCTION("""COMPUTED_VALUE"""),"あんぱん_general_vh")</f>
        <v>あんぱん_general_vh</v>
      </c>
      <c r="H375" s="235" t="str">
        <f>IFERROR(__xludf.DUMMYFUNCTION("""COMPUTED_VALUE"""),"Boss")</f>
        <v>Boss</v>
      </c>
      <c r="I375" s="235" t="str">
        <f>IFERROR(__xludf.DUMMYFUNCTION("""COMPUTED_VALUE"""),"Attack")</f>
        <v>Attack</v>
      </c>
      <c r="J375" s="235" t="str">
        <f>IFERROR(__xludf.DUMMYFUNCTION("""COMPUTED_VALUE"""),"Yellow")</f>
        <v>Yellow</v>
      </c>
      <c r="K375" s="235">
        <f>IFERROR(__xludf.DUMMYFUNCTION("""COMPUTED_VALUE"""),1000.0)</f>
        <v>1000</v>
      </c>
      <c r="L375" s="235">
        <f>IFERROR(__xludf.DUMMYFUNCTION("""COMPUTED_VALUE"""),0.0)</f>
        <v>0</v>
      </c>
      <c r="M375" s="235">
        <f>IFERROR(__xludf.DUMMYFUNCTION("""COMPUTED_VALUE"""),25.0)</f>
        <v>25</v>
      </c>
      <c r="N375" s="235">
        <f>IFERROR(__xludf.DUMMYFUNCTION("""COMPUTED_VALUE"""),0.2)</f>
        <v>0.2</v>
      </c>
      <c r="O375" s="235">
        <f>IFERROR(__xludf.DUMMYFUNCTION("""COMPUTED_VALUE"""),100.0)</f>
        <v>100</v>
      </c>
      <c r="P375" s="235">
        <f>IFERROR(__xludf.DUMMYFUNCTION("""COMPUTED_VALUE"""),0.0)</f>
        <v>0</v>
      </c>
      <c r="Q375" s="235">
        <f>IFERROR(__xludf.DUMMYFUNCTION("""COMPUTED_VALUE"""),0.21)</f>
        <v>0.21</v>
      </c>
      <c r="R375" s="235">
        <f>IFERROR(__xludf.DUMMYFUNCTION("""COMPUTED_VALUE"""),100.0)</f>
        <v>100</v>
      </c>
      <c r="S375" s="235">
        <f>IFERROR(__xludf.DUMMYFUNCTION("""COMPUTED_VALUE"""),200.0)</f>
        <v>200</v>
      </c>
      <c r="T375" s="235"/>
      <c r="U375" s="235"/>
      <c r="V375" s="235">
        <f>IFERROR(__xludf.DUMMYFUNCTION("""COMPUTED_VALUE"""),100.0)</f>
        <v>100</v>
      </c>
      <c r="W375" s="235" t="str">
        <f>IFERROR(__xludf.DUMMYFUNCTION("""COMPUTED_VALUE"""),"-")</f>
        <v>-</v>
      </c>
      <c r="X375" s="235" t="str">
        <f>IFERROR(__xludf.DUMMYFUNCTION("""COMPUTED_VALUE"""),"-")</f>
        <v>-</v>
      </c>
      <c r="Y375" s="235"/>
      <c r="Z375" s="235" t="str">
        <f>IFERROR(__xludf.DUMMYFUNCTION("""COMPUTED_VALUE"""),"-")</f>
        <v>-</v>
      </c>
      <c r="AA375" s="235"/>
      <c r="AB375" s="235"/>
      <c r="AC375" s="235"/>
    </row>
    <row r="376">
      <c r="A376" s="235"/>
      <c r="B376" s="235" t="str">
        <f>IFERROR(__xludf.DUMMYFUNCTION("""COMPUTED_VALUE"""),"enemy_gom_01002")</f>
        <v>enemy_gom_01002</v>
      </c>
      <c r="C376" s="254" t="str">
        <f>IFERROR(__xludf.DUMMYFUNCTION("""COMPUTED_VALUE"""),"_general_n")</f>
        <v>_general_n</v>
      </c>
      <c r="D376" s="254" t="str">
        <f>IFERROR(__xludf.DUMMYFUNCTION("""COMPUTED_VALUE"""),"e_gom_01002_general_n_Normal_Colorless")</f>
        <v>e_gom_01002_general_n_Normal_Colorless</v>
      </c>
      <c r="E376" s="254" t="str">
        <f>IFERROR(__xludf.DUMMYFUNCTION("""COMPUTED_VALUE"""),"姫様“拷問”の時間です")</f>
        <v>姫様“拷問”の時間です</v>
      </c>
      <c r="F376" s="254" t="str">
        <f>IFERROR(__xludf.DUMMYFUNCTION("""COMPUTED_VALUE"""),"トーストあんぱん")</f>
        <v>トーストあんぱん</v>
      </c>
      <c r="G376" s="254" t="str">
        <f>IFERROR(__xludf.DUMMYFUNCTION("""COMPUTED_VALUE"""),"トーストあんぱん_general_n")</f>
        <v>トーストあんぱん_general_n</v>
      </c>
      <c r="H376" s="235" t="str">
        <f>IFERROR(__xludf.DUMMYFUNCTION("""COMPUTED_VALUE"""),"Normal")</f>
        <v>Normal</v>
      </c>
      <c r="I376" s="235" t="str">
        <f>IFERROR(__xludf.DUMMYFUNCTION("""COMPUTED_VALUE"""),"Defense")</f>
        <v>Defense</v>
      </c>
      <c r="J376" s="235" t="str">
        <f>IFERROR(__xludf.DUMMYFUNCTION("""COMPUTED_VALUE"""),"Colorless")</f>
        <v>Colorless</v>
      </c>
      <c r="K376" s="235">
        <f>IFERROR(__xludf.DUMMYFUNCTION("""COMPUTED_VALUE"""),1000.0)</f>
        <v>1000</v>
      </c>
      <c r="L376" s="235">
        <f>IFERROR(__xludf.DUMMYFUNCTION("""COMPUTED_VALUE"""),0.0)</f>
        <v>0</v>
      </c>
      <c r="M376" s="235">
        <f>IFERROR(__xludf.DUMMYFUNCTION("""COMPUTED_VALUE"""),25.0)</f>
        <v>25</v>
      </c>
      <c r="N376" s="235">
        <f>IFERROR(__xludf.DUMMYFUNCTION("""COMPUTED_VALUE"""),0.15)</f>
        <v>0.15</v>
      </c>
      <c r="O376" s="235">
        <f>IFERROR(__xludf.DUMMYFUNCTION("""COMPUTED_VALUE"""),50.0)</f>
        <v>50</v>
      </c>
      <c r="P376" s="235">
        <f>IFERROR(__xludf.DUMMYFUNCTION("""COMPUTED_VALUE"""),0.0)</f>
        <v>0</v>
      </c>
      <c r="Q376" s="235">
        <f>IFERROR(__xludf.DUMMYFUNCTION("""COMPUTED_VALUE"""),0.16)</f>
        <v>0.16</v>
      </c>
      <c r="R376" s="235">
        <f>IFERROR(__xludf.DUMMYFUNCTION("""COMPUTED_VALUE"""),1.0)</f>
        <v>1</v>
      </c>
      <c r="S376" s="235">
        <f>IFERROR(__xludf.DUMMYFUNCTION("""COMPUTED_VALUE"""),200.0)</f>
        <v>200</v>
      </c>
      <c r="T376" s="235"/>
      <c r="U376" s="235"/>
      <c r="V376" s="235">
        <f>IFERROR(__xludf.DUMMYFUNCTION("""COMPUTED_VALUE"""),100.0)</f>
        <v>100</v>
      </c>
      <c r="W376" s="235" t="str">
        <f>IFERROR(__xludf.DUMMYFUNCTION("""COMPUTED_VALUE"""),"-")</f>
        <v>-</v>
      </c>
      <c r="X376" s="235" t="str">
        <f>IFERROR(__xludf.DUMMYFUNCTION("""COMPUTED_VALUE"""),"-")</f>
        <v>-</v>
      </c>
      <c r="Y376" s="235"/>
      <c r="Z376" s="235" t="str">
        <f>IFERROR(__xludf.DUMMYFUNCTION("""COMPUTED_VALUE"""),"-")</f>
        <v>-</v>
      </c>
      <c r="AA376" s="235"/>
      <c r="AB376" s="235"/>
      <c r="AC376" s="235"/>
    </row>
    <row r="377">
      <c r="A377" s="235"/>
      <c r="B377" s="235" t="str">
        <f>IFERROR(__xludf.DUMMYFUNCTION("""COMPUTED_VALUE"""),"enemy_gom_01002")</f>
        <v>enemy_gom_01002</v>
      </c>
      <c r="C377" s="254" t="str">
        <f>IFERROR(__xludf.DUMMYFUNCTION("""COMPUTED_VALUE"""),"_general_n")</f>
        <v>_general_n</v>
      </c>
      <c r="D377" s="254" t="str">
        <f>IFERROR(__xludf.DUMMYFUNCTION("""COMPUTED_VALUE"""),"e_gom_01002_general_n_Normal_Yellow")</f>
        <v>e_gom_01002_general_n_Normal_Yellow</v>
      </c>
      <c r="E377" s="254" t="str">
        <f>IFERROR(__xludf.DUMMYFUNCTION("""COMPUTED_VALUE"""),"姫様“拷問”の時間です")</f>
        <v>姫様“拷問”の時間です</v>
      </c>
      <c r="F377" s="254" t="str">
        <f>IFERROR(__xludf.DUMMYFUNCTION("""COMPUTED_VALUE"""),"トーストあんぱん")</f>
        <v>トーストあんぱん</v>
      </c>
      <c r="G377" s="254" t="str">
        <f>IFERROR(__xludf.DUMMYFUNCTION("""COMPUTED_VALUE"""),"トーストあんぱん_general_n")</f>
        <v>トーストあんぱん_general_n</v>
      </c>
      <c r="H377" s="235" t="str">
        <f>IFERROR(__xludf.DUMMYFUNCTION("""COMPUTED_VALUE"""),"Normal")</f>
        <v>Normal</v>
      </c>
      <c r="I377" s="235" t="str">
        <f>IFERROR(__xludf.DUMMYFUNCTION("""COMPUTED_VALUE"""),"Defense")</f>
        <v>Defense</v>
      </c>
      <c r="J377" s="235" t="str">
        <f>IFERROR(__xludf.DUMMYFUNCTION("""COMPUTED_VALUE"""),"Yellow")</f>
        <v>Yellow</v>
      </c>
      <c r="K377" s="235">
        <f>IFERROR(__xludf.DUMMYFUNCTION("""COMPUTED_VALUE"""),1000.0)</f>
        <v>1000</v>
      </c>
      <c r="L377" s="235">
        <f>IFERROR(__xludf.DUMMYFUNCTION("""COMPUTED_VALUE"""),0.0)</f>
        <v>0</v>
      </c>
      <c r="M377" s="235">
        <f>IFERROR(__xludf.DUMMYFUNCTION("""COMPUTED_VALUE"""),25.0)</f>
        <v>25</v>
      </c>
      <c r="N377" s="235">
        <f>IFERROR(__xludf.DUMMYFUNCTION("""COMPUTED_VALUE"""),0.15)</f>
        <v>0.15</v>
      </c>
      <c r="O377" s="235">
        <f>IFERROR(__xludf.DUMMYFUNCTION("""COMPUTED_VALUE"""),50.0)</f>
        <v>50</v>
      </c>
      <c r="P377" s="235">
        <f>IFERROR(__xludf.DUMMYFUNCTION("""COMPUTED_VALUE"""),0.0)</f>
        <v>0</v>
      </c>
      <c r="Q377" s="235">
        <f>IFERROR(__xludf.DUMMYFUNCTION("""COMPUTED_VALUE"""),0.16)</f>
        <v>0.16</v>
      </c>
      <c r="R377" s="235">
        <f>IFERROR(__xludf.DUMMYFUNCTION("""COMPUTED_VALUE"""),1.0)</f>
        <v>1</v>
      </c>
      <c r="S377" s="235">
        <f>IFERROR(__xludf.DUMMYFUNCTION("""COMPUTED_VALUE"""),200.0)</f>
        <v>200</v>
      </c>
      <c r="T377" s="235"/>
      <c r="U377" s="235"/>
      <c r="V377" s="235">
        <f>IFERROR(__xludf.DUMMYFUNCTION("""COMPUTED_VALUE"""),100.0)</f>
        <v>100</v>
      </c>
      <c r="W377" s="235" t="str">
        <f>IFERROR(__xludf.DUMMYFUNCTION("""COMPUTED_VALUE"""),"-")</f>
        <v>-</v>
      </c>
      <c r="X377" s="235" t="str">
        <f>IFERROR(__xludf.DUMMYFUNCTION("""COMPUTED_VALUE"""),"-")</f>
        <v>-</v>
      </c>
      <c r="Y377" s="235"/>
      <c r="Z377" s="235" t="str">
        <f>IFERROR(__xludf.DUMMYFUNCTION("""COMPUTED_VALUE"""),"-")</f>
        <v>-</v>
      </c>
      <c r="AA377" s="235"/>
      <c r="AB377" s="235"/>
      <c r="AC377" s="235"/>
    </row>
    <row r="378">
      <c r="A378" s="235"/>
      <c r="B378" s="235" t="str">
        <f>IFERROR(__xludf.DUMMYFUNCTION("""COMPUTED_VALUE"""),"enemy_gom_01002")</f>
        <v>enemy_gom_01002</v>
      </c>
      <c r="C378" s="254" t="str">
        <f>IFERROR(__xludf.DUMMYFUNCTION("""COMPUTED_VALUE"""),"_general_vh")</f>
        <v>_general_vh</v>
      </c>
      <c r="D378" s="254" t="str">
        <f>IFERROR(__xludf.DUMMYFUNCTION("""COMPUTED_VALUE"""),"e_gom_01002_general_vh_Normal_Red")</f>
        <v>e_gom_01002_general_vh_Normal_Red</v>
      </c>
      <c r="E378" s="254" t="str">
        <f>IFERROR(__xludf.DUMMYFUNCTION("""COMPUTED_VALUE"""),"姫様“拷問”の時間です")</f>
        <v>姫様“拷問”の時間です</v>
      </c>
      <c r="F378" s="254" t="str">
        <f>IFERROR(__xludf.DUMMYFUNCTION("""COMPUTED_VALUE"""),"トーストあんぱん")</f>
        <v>トーストあんぱん</v>
      </c>
      <c r="G378" s="254" t="str">
        <f>IFERROR(__xludf.DUMMYFUNCTION("""COMPUTED_VALUE"""),"トーストあんぱん_general_vh")</f>
        <v>トーストあんぱん_general_vh</v>
      </c>
      <c r="H378" s="235" t="str">
        <f>IFERROR(__xludf.DUMMYFUNCTION("""COMPUTED_VALUE"""),"Normal")</f>
        <v>Normal</v>
      </c>
      <c r="I378" s="235" t="str">
        <f>IFERROR(__xludf.DUMMYFUNCTION("""COMPUTED_VALUE"""),"Defense")</f>
        <v>Defense</v>
      </c>
      <c r="J378" s="235" t="str">
        <f>IFERROR(__xludf.DUMMYFUNCTION("""COMPUTED_VALUE"""),"Red")</f>
        <v>Red</v>
      </c>
      <c r="K378" s="235">
        <f>IFERROR(__xludf.DUMMYFUNCTION("""COMPUTED_VALUE"""),1000.0)</f>
        <v>1000</v>
      </c>
      <c r="L378" s="235">
        <f>IFERROR(__xludf.DUMMYFUNCTION("""COMPUTED_VALUE"""),0.0)</f>
        <v>0</v>
      </c>
      <c r="M378" s="235">
        <f>IFERROR(__xludf.DUMMYFUNCTION("""COMPUTED_VALUE"""),25.0)</f>
        <v>25</v>
      </c>
      <c r="N378" s="235">
        <f>IFERROR(__xludf.DUMMYFUNCTION("""COMPUTED_VALUE"""),0.15)</f>
        <v>0.15</v>
      </c>
      <c r="O378" s="235">
        <f>IFERROR(__xludf.DUMMYFUNCTION("""COMPUTED_VALUE"""),100.0)</f>
        <v>100</v>
      </c>
      <c r="P378" s="235">
        <f>IFERROR(__xludf.DUMMYFUNCTION("""COMPUTED_VALUE"""),0.0)</f>
        <v>0</v>
      </c>
      <c r="Q378" s="235">
        <f>IFERROR(__xludf.DUMMYFUNCTION("""COMPUTED_VALUE"""),0.16)</f>
        <v>0.16</v>
      </c>
      <c r="R378" s="235">
        <f>IFERROR(__xludf.DUMMYFUNCTION("""COMPUTED_VALUE"""),1.0)</f>
        <v>1</v>
      </c>
      <c r="S378" s="235">
        <f>IFERROR(__xludf.DUMMYFUNCTION("""COMPUTED_VALUE"""),200.0)</f>
        <v>200</v>
      </c>
      <c r="T378" s="235"/>
      <c r="U378" s="235"/>
      <c r="V378" s="235">
        <f>IFERROR(__xludf.DUMMYFUNCTION("""COMPUTED_VALUE"""),100.0)</f>
        <v>100</v>
      </c>
      <c r="W378" s="235" t="str">
        <f>IFERROR(__xludf.DUMMYFUNCTION("""COMPUTED_VALUE"""),"-")</f>
        <v>-</v>
      </c>
      <c r="X378" s="235" t="str">
        <f>IFERROR(__xludf.DUMMYFUNCTION("""COMPUTED_VALUE"""),"-")</f>
        <v>-</v>
      </c>
      <c r="Y378" s="235"/>
      <c r="Z378" s="235" t="str">
        <f>IFERROR(__xludf.DUMMYFUNCTION("""COMPUTED_VALUE"""),"-")</f>
        <v>-</v>
      </c>
      <c r="AA378" s="235"/>
      <c r="AB378" s="235"/>
      <c r="AC378" s="235"/>
    </row>
    <row r="379">
      <c r="A379" s="235"/>
      <c r="B379" s="235" t="str">
        <f>IFERROR(__xludf.DUMMYFUNCTION("""COMPUTED_VALUE"""),"enemy_gom_01002")</f>
        <v>enemy_gom_01002</v>
      </c>
      <c r="C379" s="254" t="str">
        <f>IFERROR(__xludf.DUMMYFUNCTION("""COMPUTED_VALUE"""),"_general_vh")</f>
        <v>_general_vh</v>
      </c>
      <c r="D379" s="254" t="str">
        <f>IFERROR(__xludf.DUMMYFUNCTION("""COMPUTED_VALUE"""),"e_gom_01002_general_vh_Normal_Blue")</f>
        <v>e_gom_01002_general_vh_Normal_Blue</v>
      </c>
      <c r="E379" s="254" t="str">
        <f>IFERROR(__xludf.DUMMYFUNCTION("""COMPUTED_VALUE"""),"姫様“拷問”の時間です")</f>
        <v>姫様“拷問”の時間です</v>
      </c>
      <c r="F379" s="254" t="str">
        <f>IFERROR(__xludf.DUMMYFUNCTION("""COMPUTED_VALUE"""),"トーストあんぱん")</f>
        <v>トーストあんぱん</v>
      </c>
      <c r="G379" s="254" t="str">
        <f>IFERROR(__xludf.DUMMYFUNCTION("""COMPUTED_VALUE"""),"トーストあんぱん_general_vh")</f>
        <v>トーストあんぱん_general_vh</v>
      </c>
      <c r="H379" s="235" t="str">
        <f>IFERROR(__xludf.DUMMYFUNCTION("""COMPUTED_VALUE"""),"Normal")</f>
        <v>Normal</v>
      </c>
      <c r="I379" s="235" t="str">
        <f>IFERROR(__xludf.DUMMYFUNCTION("""COMPUTED_VALUE"""),"Defense")</f>
        <v>Defense</v>
      </c>
      <c r="J379" s="235" t="str">
        <f>IFERROR(__xludf.DUMMYFUNCTION("""COMPUTED_VALUE"""),"Blue")</f>
        <v>Blue</v>
      </c>
      <c r="K379" s="235">
        <f>IFERROR(__xludf.DUMMYFUNCTION("""COMPUTED_VALUE"""),1000.0)</f>
        <v>1000</v>
      </c>
      <c r="L379" s="235">
        <f>IFERROR(__xludf.DUMMYFUNCTION("""COMPUTED_VALUE"""),0.0)</f>
        <v>0</v>
      </c>
      <c r="M379" s="235">
        <f>IFERROR(__xludf.DUMMYFUNCTION("""COMPUTED_VALUE"""),25.0)</f>
        <v>25</v>
      </c>
      <c r="N379" s="235">
        <f>IFERROR(__xludf.DUMMYFUNCTION("""COMPUTED_VALUE"""),0.15)</f>
        <v>0.15</v>
      </c>
      <c r="O379" s="235">
        <f>IFERROR(__xludf.DUMMYFUNCTION("""COMPUTED_VALUE"""),100.0)</f>
        <v>100</v>
      </c>
      <c r="P379" s="235">
        <f>IFERROR(__xludf.DUMMYFUNCTION("""COMPUTED_VALUE"""),0.0)</f>
        <v>0</v>
      </c>
      <c r="Q379" s="235">
        <f>IFERROR(__xludf.DUMMYFUNCTION("""COMPUTED_VALUE"""),0.16)</f>
        <v>0.16</v>
      </c>
      <c r="R379" s="235">
        <f>IFERROR(__xludf.DUMMYFUNCTION("""COMPUTED_VALUE"""),1.0)</f>
        <v>1</v>
      </c>
      <c r="S379" s="235">
        <f>IFERROR(__xludf.DUMMYFUNCTION("""COMPUTED_VALUE"""),200.0)</f>
        <v>200</v>
      </c>
      <c r="T379" s="235"/>
      <c r="U379" s="235"/>
      <c r="V379" s="235">
        <f>IFERROR(__xludf.DUMMYFUNCTION("""COMPUTED_VALUE"""),100.0)</f>
        <v>100</v>
      </c>
      <c r="W379" s="235" t="str">
        <f>IFERROR(__xludf.DUMMYFUNCTION("""COMPUTED_VALUE"""),"-")</f>
        <v>-</v>
      </c>
      <c r="X379" s="235" t="str">
        <f>IFERROR(__xludf.DUMMYFUNCTION("""COMPUTED_VALUE"""),"-")</f>
        <v>-</v>
      </c>
      <c r="Y379" s="235"/>
      <c r="Z379" s="235" t="str">
        <f>IFERROR(__xludf.DUMMYFUNCTION("""COMPUTED_VALUE"""),"-")</f>
        <v>-</v>
      </c>
      <c r="AA379" s="235"/>
      <c r="AB379" s="235"/>
      <c r="AC379" s="235"/>
    </row>
    <row r="380">
      <c r="A380" s="235"/>
      <c r="B380" s="235" t="str">
        <f>IFERROR(__xludf.DUMMYFUNCTION("""COMPUTED_VALUE"""),"enemy_gom_01002")</f>
        <v>enemy_gom_01002</v>
      </c>
      <c r="C380" s="254" t="str">
        <f>IFERROR(__xludf.DUMMYFUNCTION("""COMPUTED_VALUE"""),"_general_vh")</f>
        <v>_general_vh</v>
      </c>
      <c r="D380" s="254" t="str">
        <f>IFERROR(__xludf.DUMMYFUNCTION("""COMPUTED_VALUE"""),"e_gom_01002_general_vh_Normal_Yellow")</f>
        <v>e_gom_01002_general_vh_Normal_Yellow</v>
      </c>
      <c r="E380" s="254" t="str">
        <f>IFERROR(__xludf.DUMMYFUNCTION("""COMPUTED_VALUE"""),"姫様“拷問”の時間です")</f>
        <v>姫様“拷問”の時間です</v>
      </c>
      <c r="F380" s="254" t="str">
        <f>IFERROR(__xludf.DUMMYFUNCTION("""COMPUTED_VALUE"""),"トーストあんぱん")</f>
        <v>トーストあんぱん</v>
      </c>
      <c r="G380" s="254" t="str">
        <f>IFERROR(__xludf.DUMMYFUNCTION("""COMPUTED_VALUE"""),"トーストあんぱん_general_vh")</f>
        <v>トーストあんぱん_general_vh</v>
      </c>
      <c r="H380" s="235" t="str">
        <f>IFERROR(__xludf.DUMMYFUNCTION("""COMPUTED_VALUE"""),"Normal")</f>
        <v>Normal</v>
      </c>
      <c r="I380" s="235" t="str">
        <f>IFERROR(__xludf.DUMMYFUNCTION("""COMPUTED_VALUE"""),"Defense")</f>
        <v>Defense</v>
      </c>
      <c r="J380" s="235" t="str">
        <f>IFERROR(__xludf.DUMMYFUNCTION("""COMPUTED_VALUE"""),"Yellow")</f>
        <v>Yellow</v>
      </c>
      <c r="K380" s="235">
        <f>IFERROR(__xludf.DUMMYFUNCTION("""COMPUTED_VALUE"""),1000.0)</f>
        <v>1000</v>
      </c>
      <c r="L380" s="235">
        <f>IFERROR(__xludf.DUMMYFUNCTION("""COMPUTED_VALUE"""),0.0)</f>
        <v>0</v>
      </c>
      <c r="M380" s="235">
        <f>IFERROR(__xludf.DUMMYFUNCTION("""COMPUTED_VALUE"""),25.0)</f>
        <v>25</v>
      </c>
      <c r="N380" s="235">
        <f>IFERROR(__xludf.DUMMYFUNCTION("""COMPUTED_VALUE"""),0.15)</f>
        <v>0.15</v>
      </c>
      <c r="O380" s="235">
        <f>IFERROR(__xludf.DUMMYFUNCTION("""COMPUTED_VALUE"""),100.0)</f>
        <v>100</v>
      </c>
      <c r="P380" s="235">
        <f>IFERROR(__xludf.DUMMYFUNCTION("""COMPUTED_VALUE"""),0.0)</f>
        <v>0</v>
      </c>
      <c r="Q380" s="235">
        <f>IFERROR(__xludf.DUMMYFUNCTION("""COMPUTED_VALUE"""),0.16)</f>
        <v>0.16</v>
      </c>
      <c r="R380" s="235">
        <f>IFERROR(__xludf.DUMMYFUNCTION("""COMPUTED_VALUE"""),1.0)</f>
        <v>1</v>
      </c>
      <c r="S380" s="235">
        <f>IFERROR(__xludf.DUMMYFUNCTION("""COMPUTED_VALUE"""),100.0)</f>
        <v>100</v>
      </c>
      <c r="T380" s="235"/>
      <c r="U380" s="235"/>
      <c r="V380" s="235">
        <f>IFERROR(__xludf.DUMMYFUNCTION("""COMPUTED_VALUE"""),100.0)</f>
        <v>100</v>
      </c>
      <c r="W380" s="235" t="str">
        <f>IFERROR(__xludf.DUMMYFUNCTION("""COMPUTED_VALUE"""),"-")</f>
        <v>-</v>
      </c>
      <c r="X380" s="235" t="str">
        <f>IFERROR(__xludf.DUMMYFUNCTION("""COMPUTED_VALUE"""),"-")</f>
        <v>-</v>
      </c>
      <c r="Y380" s="235"/>
      <c r="Z380" s="235" t="str">
        <f>IFERROR(__xludf.DUMMYFUNCTION("""COMPUTED_VALUE"""),"-")</f>
        <v>-</v>
      </c>
      <c r="AA380" s="235"/>
      <c r="AB380" s="235"/>
      <c r="AC380" s="235"/>
    </row>
    <row r="381">
      <c r="A381" s="235"/>
      <c r="B381" s="235" t="str">
        <f>IFERROR(__xludf.DUMMYFUNCTION("""COMPUTED_VALUE"""),"enemy_gom_01002")</f>
        <v>enemy_gom_01002</v>
      </c>
      <c r="C381" s="254" t="str">
        <f>IFERROR(__xludf.DUMMYFUNCTION("""COMPUTED_VALUE"""),"_general_vh")</f>
        <v>_general_vh</v>
      </c>
      <c r="D381" s="254" t="str">
        <f>IFERROR(__xludf.DUMMYFUNCTION("""COMPUTED_VALUE"""),"e_gom_01002_general_vh_Boss_Yellow")</f>
        <v>e_gom_01002_general_vh_Boss_Yellow</v>
      </c>
      <c r="E381" s="254" t="str">
        <f>IFERROR(__xludf.DUMMYFUNCTION("""COMPUTED_VALUE"""),"姫様“拷問”の時間です")</f>
        <v>姫様“拷問”の時間です</v>
      </c>
      <c r="F381" s="254" t="str">
        <f>IFERROR(__xludf.DUMMYFUNCTION("""COMPUTED_VALUE"""),"トーストあんぱん")</f>
        <v>トーストあんぱん</v>
      </c>
      <c r="G381" s="254" t="str">
        <f>IFERROR(__xludf.DUMMYFUNCTION("""COMPUTED_VALUE"""),"トーストあんぱん_general_vh")</f>
        <v>トーストあんぱん_general_vh</v>
      </c>
      <c r="H381" s="235" t="str">
        <f>IFERROR(__xludf.DUMMYFUNCTION("""COMPUTED_VALUE"""),"Boss")</f>
        <v>Boss</v>
      </c>
      <c r="I381" s="235" t="str">
        <f>IFERROR(__xludf.DUMMYFUNCTION("""COMPUTED_VALUE"""),"Defense")</f>
        <v>Defense</v>
      </c>
      <c r="J381" s="235" t="str">
        <f>IFERROR(__xludf.DUMMYFUNCTION("""COMPUTED_VALUE"""),"Yellow")</f>
        <v>Yellow</v>
      </c>
      <c r="K381" s="235">
        <f>IFERROR(__xludf.DUMMYFUNCTION("""COMPUTED_VALUE"""),1000.0)</f>
        <v>1000</v>
      </c>
      <c r="L381" s="235">
        <f>IFERROR(__xludf.DUMMYFUNCTION("""COMPUTED_VALUE"""),0.0)</f>
        <v>0</v>
      </c>
      <c r="M381" s="235">
        <f>IFERROR(__xludf.DUMMYFUNCTION("""COMPUTED_VALUE"""),25.0)</f>
        <v>25</v>
      </c>
      <c r="N381" s="235">
        <f>IFERROR(__xludf.DUMMYFUNCTION("""COMPUTED_VALUE"""),0.15)</f>
        <v>0.15</v>
      </c>
      <c r="O381" s="235">
        <f>IFERROR(__xludf.DUMMYFUNCTION("""COMPUTED_VALUE"""),100.0)</f>
        <v>100</v>
      </c>
      <c r="P381" s="235">
        <f>IFERROR(__xludf.DUMMYFUNCTION("""COMPUTED_VALUE"""),0.0)</f>
        <v>0</v>
      </c>
      <c r="Q381" s="235">
        <f>IFERROR(__xludf.DUMMYFUNCTION("""COMPUTED_VALUE"""),0.16)</f>
        <v>0.16</v>
      </c>
      <c r="R381" s="235">
        <f>IFERROR(__xludf.DUMMYFUNCTION("""COMPUTED_VALUE"""),1.0)</f>
        <v>1</v>
      </c>
      <c r="S381" s="235">
        <f>IFERROR(__xludf.DUMMYFUNCTION("""COMPUTED_VALUE"""),100.0)</f>
        <v>100</v>
      </c>
      <c r="T381" s="235"/>
      <c r="U381" s="235"/>
      <c r="V381" s="235">
        <f>IFERROR(__xludf.DUMMYFUNCTION("""COMPUTED_VALUE"""),100.0)</f>
        <v>100</v>
      </c>
      <c r="W381" s="235" t="str">
        <f>IFERROR(__xludf.DUMMYFUNCTION("""COMPUTED_VALUE"""),"-")</f>
        <v>-</v>
      </c>
      <c r="X381" s="235" t="str">
        <f>IFERROR(__xludf.DUMMYFUNCTION("""COMPUTED_VALUE"""),"-")</f>
        <v>-</v>
      </c>
      <c r="Y381" s="235"/>
      <c r="Z381" s="235" t="str">
        <f>IFERROR(__xludf.DUMMYFUNCTION("""COMPUTED_VALUE"""),"-")</f>
        <v>-</v>
      </c>
      <c r="AA381" s="235"/>
      <c r="AB381" s="235"/>
      <c r="AC381" s="235"/>
    </row>
    <row r="382">
      <c r="A382" s="235"/>
      <c r="B382" s="235" t="str">
        <f>IFERROR(__xludf.DUMMYFUNCTION("""COMPUTED_VALUE"""),"chara_gom_00201")</f>
        <v>chara_gom_00201</v>
      </c>
      <c r="C382" s="254" t="str">
        <f>IFERROR(__xludf.DUMMYFUNCTION("""COMPUTED_VALUE"""),"_general_n")</f>
        <v>_general_n</v>
      </c>
      <c r="D382" s="254" t="str">
        <f>IFERROR(__xludf.DUMMYFUNCTION("""COMPUTED_VALUE"""),"c_gom_00201_general_n_Boss_Yellow")</f>
        <v>c_gom_00201_general_n_Boss_Yellow</v>
      </c>
      <c r="E382" s="254" t="str">
        <f>IFERROR(__xludf.DUMMYFUNCTION("""COMPUTED_VALUE"""),"姫様“拷問”の時間です")</f>
        <v>姫様“拷問”の時間です</v>
      </c>
      <c r="F382" s="254" t="str">
        <f>IFERROR(__xludf.DUMMYFUNCTION("""COMPUTED_VALUE"""),"クロル")</f>
        <v>クロル</v>
      </c>
      <c r="G382" s="254" t="str">
        <f>IFERROR(__xludf.DUMMYFUNCTION("""COMPUTED_VALUE"""),"クロル_general_n")</f>
        <v>クロル_general_n</v>
      </c>
      <c r="H382" s="235" t="str">
        <f>IFERROR(__xludf.DUMMYFUNCTION("""COMPUTED_VALUE"""),"Boss")</f>
        <v>Boss</v>
      </c>
      <c r="I382" s="235" t="str">
        <f>IFERROR(__xludf.DUMMYFUNCTION("""COMPUTED_VALUE"""),"Attack")</f>
        <v>Attack</v>
      </c>
      <c r="J382" s="235" t="str">
        <f>IFERROR(__xludf.DUMMYFUNCTION("""COMPUTED_VALUE"""),"Yellow")</f>
        <v>Yellow</v>
      </c>
      <c r="K382" s="235">
        <f>IFERROR(__xludf.DUMMYFUNCTION("""COMPUTED_VALUE"""),10000.0)</f>
        <v>10000</v>
      </c>
      <c r="L382" s="235">
        <f>IFERROR(__xludf.DUMMYFUNCTION("""COMPUTED_VALUE"""),2.0)</f>
        <v>2</v>
      </c>
      <c r="M382" s="235">
        <f>IFERROR(__xludf.DUMMYFUNCTION("""COMPUTED_VALUE"""),50.0)</f>
        <v>50</v>
      </c>
      <c r="N382" s="235">
        <f>IFERROR(__xludf.DUMMYFUNCTION("""COMPUTED_VALUE"""),0.6)</f>
        <v>0.6</v>
      </c>
      <c r="O382" s="235">
        <f>IFERROR(__xludf.DUMMYFUNCTION("""COMPUTED_VALUE"""),50.0)</f>
        <v>50</v>
      </c>
      <c r="P382" s="235">
        <f>IFERROR(__xludf.DUMMYFUNCTION("""COMPUTED_VALUE"""),0.0)</f>
        <v>0</v>
      </c>
      <c r="Q382" s="235">
        <f>IFERROR(__xludf.DUMMYFUNCTION("""COMPUTED_VALUE"""),0.62)</f>
        <v>0.62</v>
      </c>
      <c r="R382" s="235">
        <f>IFERROR(__xludf.DUMMYFUNCTION("""COMPUTED_VALUE"""),100.0)</f>
        <v>100</v>
      </c>
      <c r="S382" s="235">
        <f>IFERROR(__xludf.DUMMYFUNCTION("""COMPUTED_VALUE"""),500.0)</f>
        <v>500</v>
      </c>
      <c r="T382" s="244" t="str">
        <f>IFERROR(__xludf.DUMMYFUNCTION("""COMPUTED_VALUE"""),"1.43")</f>
        <v>1.43</v>
      </c>
      <c r="U382" s="235" t="str">
        <f>IFERROR(__xludf.DUMMYFUNCTION("""COMPUTED_VALUE"""),"stop無:1回目 0.40
stop無:2回目 0.60
stop無:3回目 0.80")</f>
        <v>stop無:1回目 0.40
stop無:2回目 0.60
stop無:3回目 0.80</v>
      </c>
      <c r="V382" s="235">
        <f>IFERROR(__xludf.DUMMYFUNCTION("""COMPUTED_VALUE"""),100.0)</f>
        <v>100</v>
      </c>
      <c r="W382" s="235" t="str">
        <f>IFERROR(__xludf.DUMMYFUNCTION("""COMPUTED_VALUE"""),"5.00")</f>
        <v>5.00</v>
      </c>
      <c r="X382" s="235"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Y382" s="235"/>
      <c r="Z382" s="235">
        <f>IFERROR(__xludf.DUMMYFUNCTION("""COMPUTED_VALUE"""),6.0)</f>
        <v>6</v>
      </c>
      <c r="AA382" s="235"/>
      <c r="AB382" s="235" t="str">
        <f>IFERROR(__xludf.DUMMYFUNCTION("""COMPUTED_VALUE"""),"dageki_1")</f>
        <v>dageki_1</v>
      </c>
      <c r="AC382" s="235"/>
    </row>
    <row r="383">
      <c r="A383" s="235"/>
      <c r="B383" s="235" t="str">
        <f>IFERROR(__xludf.DUMMYFUNCTION("""COMPUTED_VALUE"""),"chara_gom_00201")</f>
        <v>chara_gom_00201</v>
      </c>
      <c r="C383" s="254" t="str">
        <f>IFERROR(__xludf.DUMMYFUNCTION("""COMPUTED_VALUE"""),"_general_h")</f>
        <v>_general_h</v>
      </c>
      <c r="D383" s="254" t="str">
        <f>IFERROR(__xludf.DUMMYFUNCTION("""COMPUTED_VALUE"""),"c_gom_00201_general_h_Boss_Yellow")</f>
        <v>c_gom_00201_general_h_Boss_Yellow</v>
      </c>
      <c r="E383" s="254" t="str">
        <f>IFERROR(__xludf.DUMMYFUNCTION("""COMPUTED_VALUE"""),"姫様“拷問”の時間です")</f>
        <v>姫様“拷問”の時間です</v>
      </c>
      <c r="F383" s="254" t="str">
        <f>IFERROR(__xludf.DUMMYFUNCTION("""COMPUTED_VALUE"""),"クロル")</f>
        <v>クロル</v>
      </c>
      <c r="G383" s="254" t="str">
        <f>IFERROR(__xludf.DUMMYFUNCTION("""COMPUTED_VALUE"""),"クロル_general_h")</f>
        <v>クロル_general_h</v>
      </c>
      <c r="H383" s="235" t="str">
        <f>IFERROR(__xludf.DUMMYFUNCTION("""COMPUTED_VALUE"""),"Boss")</f>
        <v>Boss</v>
      </c>
      <c r="I383" s="235" t="str">
        <f>IFERROR(__xludf.DUMMYFUNCTION("""COMPUTED_VALUE"""),"Attack")</f>
        <v>Attack</v>
      </c>
      <c r="J383" s="235" t="str">
        <f>IFERROR(__xludf.DUMMYFUNCTION("""COMPUTED_VALUE"""),"Yellow")</f>
        <v>Yellow</v>
      </c>
      <c r="K383" s="235">
        <f>IFERROR(__xludf.DUMMYFUNCTION("""COMPUTED_VALUE"""),10000.0)</f>
        <v>10000</v>
      </c>
      <c r="L383" s="235">
        <f>IFERROR(__xludf.DUMMYFUNCTION("""COMPUTED_VALUE"""),2.0)</f>
        <v>2</v>
      </c>
      <c r="M383" s="235">
        <f>IFERROR(__xludf.DUMMYFUNCTION("""COMPUTED_VALUE"""),50.0)</f>
        <v>50</v>
      </c>
      <c r="N383" s="235">
        <f>IFERROR(__xludf.DUMMYFUNCTION("""COMPUTED_VALUE"""),0.6)</f>
        <v>0.6</v>
      </c>
      <c r="O383" s="235">
        <f>IFERROR(__xludf.DUMMYFUNCTION("""COMPUTED_VALUE"""),100.0)</f>
        <v>100</v>
      </c>
      <c r="P383" s="235">
        <f>IFERROR(__xludf.DUMMYFUNCTION("""COMPUTED_VALUE"""),0.0)</f>
        <v>0</v>
      </c>
      <c r="Q383" s="235">
        <f>IFERROR(__xludf.DUMMYFUNCTION("""COMPUTED_VALUE"""),0.62)</f>
        <v>0.62</v>
      </c>
      <c r="R383" s="235">
        <f>IFERROR(__xludf.DUMMYFUNCTION("""COMPUTED_VALUE"""),100.0)</f>
        <v>100</v>
      </c>
      <c r="S383" s="235">
        <f>IFERROR(__xludf.DUMMYFUNCTION("""COMPUTED_VALUE"""),200.0)</f>
        <v>200</v>
      </c>
      <c r="T383" s="244" t="str">
        <f>IFERROR(__xludf.DUMMYFUNCTION("""COMPUTED_VALUE"""),"1.43")</f>
        <v>1.43</v>
      </c>
      <c r="U383" s="235" t="str">
        <f>IFERROR(__xludf.DUMMYFUNCTION("""COMPUTED_VALUE"""),"stop無:1回目 0.40
stop無:2回目 0.60
stop無:3回目 0.80")</f>
        <v>stop無:1回目 0.40
stop無:2回目 0.60
stop無:3回目 0.80</v>
      </c>
      <c r="V383" s="235">
        <f>IFERROR(__xludf.DUMMYFUNCTION("""COMPUTED_VALUE"""),100.0)</f>
        <v>100</v>
      </c>
      <c r="W383" s="235" t="str">
        <f>IFERROR(__xludf.DUMMYFUNCTION("""COMPUTED_VALUE"""),"5.00")</f>
        <v>5.00</v>
      </c>
      <c r="X383" s="235"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Y383" s="235"/>
      <c r="Z383" s="235">
        <f>IFERROR(__xludf.DUMMYFUNCTION("""COMPUTED_VALUE"""),5.0)</f>
        <v>5</v>
      </c>
      <c r="AA383" s="235"/>
      <c r="AB383" s="235" t="str">
        <f>IFERROR(__xludf.DUMMYFUNCTION("""COMPUTED_VALUE"""),"dageki_1")</f>
        <v>dageki_1</v>
      </c>
      <c r="AC383" s="235"/>
    </row>
    <row r="384">
      <c r="A384" s="235"/>
      <c r="B384" s="235" t="str">
        <f>IFERROR(__xludf.DUMMYFUNCTION("""COMPUTED_VALUE"""),"chara_gom_00201")</f>
        <v>chara_gom_00201</v>
      </c>
      <c r="C384" s="254" t="str">
        <f>IFERROR(__xludf.DUMMYFUNCTION("""COMPUTED_VALUE"""),"_general_vh")</f>
        <v>_general_vh</v>
      </c>
      <c r="D384" s="254" t="str">
        <f>IFERROR(__xludf.DUMMYFUNCTION("""COMPUTED_VALUE"""),"c_gom_00201_general_vh_Boss_Yellow")</f>
        <v>c_gom_00201_general_vh_Boss_Yellow</v>
      </c>
      <c r="E384" s="254" t="str">
        <f>IFERROR(__xludf.DUMMYFUNCTION("""COMPUTED_VALUE"""),"姫様“拷問”の時間です")</f>
        <v>姫様“拷問”の時間です</v>
      </c>
      <c r="F384" s="254" t="str">
        <f>IFERROR(__xludf.DUMMYFUNCTION("""COMPUTED_VALUE"""),"クロル")</f>
        <v>クロル</v>
      </c>
      <c r="G384" s="254" t="str">
        <f>IFERROR(__xludf.DUMMYFUNCTION("""COMPUTED_VALUE"""),"クロル_general_vh")</f>
        <v>クロル_general_vh</v>
      </c>
      <c r="H384" s="235" t="str">
        <f>IFERROR(__xludf.DUMMYFUNCTION("""COMPUTED_VALUE"""),"Boss")</f>
        <v>Boss</v>
      </c>
      <c r="I384" s="235" t="str">
        <f>IFERROR(__xludf.DUMMYFUNCTION("""COMPUTED_VALUE"""),"Attack")</f>
        <v>Attack</v>
      </c>
      <c r="J384" s="235" t="str">
        <f>IFERROR(__xludf.DUMMYFUNCTION("""COMPUTED_VALUE"""),"Yellow")</f>
        <v>Yellow</v>
      </c>
      <c r="K384" s="235">
        <f>IFERROR(__xludf.DUMMYFUNCTION("""COMPUTED_VALUE"""),10000.0)</f>
        <v>10000</v>
      </c>
      <c r="L384" s="235">
        <f>IFERROR(__xludf.DUMMYFUNCTION("""COMPUTED_VALUE"""),5.0)</f>
        <v>5</v>
      </c>
      <c r="M384" s="235">
        <f>IFERROR(__xludf.DUMMYFUNCTION("""COMPUTED_VALUE"""),50.0)</f>
        <v>50</v>
      </c>
      <c r="N384" s="235">
        <f>IFERROR(__xludf.DUMMYFUNCTION("""COMPUTED_VALUE"""),0.6)</f>
        <v>0.6</v>
      </c>
      <c r="O384" s="235">
        <f>IFERROR(__xludf.DUMMYFUNCTION("""COMPUTED_VALUE"""),100.0)</f>
        <v>100</v>
      </c>
      <c r="P384" s="235">
        <f>IFERROR(__xludf.DUMMYFUNCTION("""COMPUTED_VALUE"""),0.0)</f>
        <v>0</v>
      </c>
      <c r="Q384" s="235">
        <f>IFERROR(__xludf.DUMMYFUNCTION("""COMPUTED_VALUE"""),0.62)</f>
        <v>0.62</v>
      </c>
      <c r="R384" s="235">
        <f>IFERROR(__xludf.DUMMYFUNCTION("""COMPUTED_VALUE"""),100.0)</f>
        <v>100</v>
      </c>
      <c r="S384" s="235">
        <f>IFERROR(__xludf.DUMMYFUNCTION("""COMPUTED_VALUE"""),200.0)</f>
        <v>200</v>
      </c>
      <c r="T384" s="244" t="str">
        <f>IFERROR(__xludf.DUMMYFUNCTION("""COMPUTED_VALUE"""),"1.43")</f>
        <v>1.43</v>
      </c>
      <c r="U384" s="235" t="str">
        <f>IFERROR(__xludf.DUMMYFUNCTION("""COMPUTED_VALUE"""),"stop無:1回目 0.40
stop無:2回目 0.60
stop無:3回目 0.80")</f>
        <v>stop無:1回目 0.40
stop無:2回目 0.60
stop無:3回目 0.80</v>
      </c>
      <c r="V384" s="235">
        <f>IFERROR(__xludf.DUMMYFUNCTION("""COMPUTED_VALUE"""),100.0)</f>
        <v>100</v>
      </c>
      <c r="W384" s="235" t="str">
        <f>IFERROR(__xludf.DUMMYFUNCTION("""COMPUTED_VALUE"""),"5.00")</f>
        <v>5.00</v>
      </c>
      <c r="X384" s="235"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Y384" s="235"/>
      <c r="Z384" s="235">
        <f>IFERROR(__xludf.DUMMYFUNCTION("""COMPUTED_VALUE"""),5.0)</f>
        <v>5</v>
      </c>
      <c r="AA384" s="235"/>
      <c r="AB384" s="235" t="str">
        <f>IFERROR(__xludf.DUMMYFUNCTION("""COMPUTED_VALUE"""),"dageki_1")</f>
        <v>dageki_1</v>
      </c>
      <c r="AC384" s="235"/>
    </row>
    <row r="385">
      <c r="A385" s="235"/>
      <c r="B385" s="235" t="str">
        <f>IFERROR(__xludf.DUMMYFUNCTION("""COMPUTED_VALUE"""),"chara_gom_00101")</f>
        <v>chara_gom_00101</v>
      </c>
      <c r="C385" s="254" t="str">
        <f>IFERROR(__xludf.DUMMYFUNCTION("""COMPUTED_VALUE"""),"_general_n")</f>
        <v>_general_n</v>
      </c>
      <c r="D385" s="254" t="str">
        <f>IFERROR(__xludf.DUMMYFUNCTION("""COMPUTED_VALUE"""),"c_gom_00101_general_n_Boss_Red")</f>
        <v>c_gom_00101_general_n_Boss_Red</v>
      </c>
      <c r="E385" s="254" t="str">
        <f>IFERROR(__xludf.DUMMYFUNCTION("""COMPUTED_VALUE"""),"姫様“拷問”の時間です")</f>
        <v>姫様“拷問”の時間です</v>
      </c>
      <c r="F385" s="254" t="str">
        <f>IFERROR(__xludf.DUMMYFUNCTION("""COMPUTED_VALUE"""),"トーチャー・トルチュール")</f>
        <v>トーチャー・トルチュール</v>
      </c>
      <c r="G385" s="254" t="str">
        <f>IFERROR(__xludf.DUMMYFUNCTION("""COMPUTED_VALUE"""),"トーチャー・トルチュール_general_n")</f>
        <v>トーチャー・トルチュール_general_n</v>
      </c>
      <c r="H385" s="235" t="str">
        <f>IFERROR(__xludf.DUMMYFUNCTION("""COMPUTED_VALUE"""),"Boss")</f>
        <v>Boss</v>
      </c>
      <c r="I385" s="235" t="str">
        <f>IFERROR(__xludf.DUMMYFUNCTION("""COMPUTED_VALUE"""),"Technical")</f>
        <v>Technical</v>
      </c>
      <c r="J385" s="235" t="str">
        <f>IFERROR(__xludf.DUMMYFUNCTION("""COMPUTED_VALUE"""),"Red")</f>
        <v>Red</v>
      </c>
      <c r="K385" s="235">
        <f>IFERROR(__xludf.DUMMYFUNCTION("""COMPUTED_VALUE"""),10000.0)</f>
        <v>10000</v>
      </c>
      <c r="L385" s="235">
        <f>IFERROR(__xludf.DUMMYFUNCTION("""COMPUTED_VALUE"""),0.0)</f>
        <v>0</v>
      </c>
      <c r="M385" s="235">
        <f>IFERROR(__xludf.DUMMYFUNCTION("""COMPUTED_VALUE"""),25.0)</f>
        <v>25</v>
      </c>
      <c r="N385" s="235">
        <f>IFERROR(__xludf.DUMMYFUNCTION("""COMPUTED_VALUE"""),0.39)</f>
        <v>0.39</v>
      </c>
      <c r="O385" s="235">
        <f>IFERROR(__xludf.DUMMYFUNCTION("""COMPUTED_VALUE"""),50.0)</f>
        <v>50</v>
      </c>
      <c r="P385" s="235">
        <f>IFERROR(__xludf.DUMMYFUNCTION("""COMPUTED_VALUE"""),0.0)</f>
        <v>0</v>
      </c>
      <c r="Q385" s="235">
        <f>IFERROR(__xludf.DUMMYFUNCTION("""COMPUTED_VALUE"""),0.4)</f>
        <v>0.4</v>
      </c>
      <c r="R385" s="235">
        <f>IFERROR(__xludf.DUMMYFUNCTION("""COMPUTED_VALUE"""),100.0)</f>
        <v>100</v>
      </c>
      <c r="S385" s="235">
        <f>IFERROR(__xludf.DUMMYFUNCTION("""COMPUTED_VALUE"""),500.0)</f>
        <v>500</v>
      </c>
      <c r="T385" s="244" t="str">
        <f>IFERROR(__xludf.DUMMYFUNCTION("""COMPUTED_VALUE"""),"1.34")</f>
        <v>1.34</v>
      </c>
      <c r="U385" s="235" t="str">
        <f>IFERROR(__xludf.DUMMYFUNCTION("""COMPUTED_VALUE"""),"stop無:1回目 0.43")</f>
        <v>stop無:1回目 0.43</v>
      </c>
      <c r="V385" s="235">
        <f>IFERROR(__xludf.DUMMYFUNCTION("""COMPUTED_VALUE"""),100.0)</f>
        <v>100</v>
      </c>
      <c r="W385" s="235" t="str">
        <f>IFERROR(__xludf.DUMMYFUNCTION("""COMPUTED_VALUE"""),"4.84")</f>
        <v>4.84</v>
      </c>
      <c r="X385" s="235" t="str">
        <f>IFERROR(__xludf.DUMMYFUNCTION("""COMPUTED_VALUE"""),"stop無:1回目 3.00")</f>
        <v>stop無:1回目 3.00</v>
      </c>
      <c r="Y385" s="235" t="str">
        <f>IFERROR(__xludf.DUMMYFUNCTION("""COMPUTED_VALUE"""),"小範囲に攻撃力ダウン(10%)")</f>
        <v>小範囲に攻撃力ダウン(10%)</v>
      </c>
      <c r="Z385" s="235">
        <f>IFERROR(__xludf.DUMMYFUNCTION("""COMPUTED_VALUE"""),6.0)</f>
        <v>6</v>
      </c>
      <c r="AA385" s="235"/>
      <c r="AB385" s="235" t="str">
        <f>IFERROR(__xludf.DUMMYFUNCTION("""COMPUTED_VALUE"""),"dageki_2")</f>
        <v>dageki_2</v>
      </c>
      <c r="AC385" s="235"/>
    </row>
    <row r="386">
      <c r="A386" s="235"/>
      <c r="B386" s="235" t="str">
        <f>IFERROR(__xludf.DUMMYFUNCTION("""COMPUTED_VALUE"""),"chara_gom_00101")</f>
        <v>chara_gom_00101</v>
      </c>
      <c r="C386" s="254" t="str">
        <f>IFERROR(__xludf.DUMMYFUNCTION("""COMPUTED_VALUE"""),"_general_n")</f>
        <v>_general_n</v>
      </c>
      <c r="D386" s="254" t="str">
        <f>IFERROR(__xludf.DUMMYFUNCTION("""COMPUTED_VALUE"""),"c_gom_00101_general_n_Boss_Yellow")</f>
        <v>c_gom_00101_general_n_Boss_Yellow</v>
      </c>
      <c r="E386" s="254" t="str">
        <f>IFERROR(__xludf.DUMMYFUNCTION("""COMPUTED_VALUE"""),"姫様“拷問”の時間です")</f>
        <v>姫様“拷問”の時間です</v>
      </c>
      <c r="F386" s="254" t="str">
        <f>IFERROR(__xludf.DUMMYFUNCTION("""COMPUTED_VALUE"""),"トーチャー・トルチュール")</f>
        <v>トーチャー・トルチュール</v>
      </c>
      <c r="G386" s="254" t="str">
        <f>IFERROR(__xludf.DUMMYFUNCTION("""COMPUTED_VALUE"""),"トーチャー・トルチュール_general_n")</f>
        <v>トーチャー・トルチュール_general_n</v>
      </c>
      <c r="H386" s="235" t="str">
        <f>IFERROR(__xludf.DUMMYFUNCTION("""COMPUTED_VALUE"""),"Boss")</f>
        <v>Boss</v>
      </c>
      <c r="I386" s="235" t="str">
        <f>IFERROR(__xludf.DUMMYFUNCTION("""COMPUTED_VALUE"""),"Technical")</f>
        <v>Technical</v>
      </c>
      <c r="J386" s="235" t="str">
        <f>IFERROR(__xludf.DUMMYFUNCTION("""COMPUTED_VALUE"""),"Yellow")</f>
        <v>Yellow</v>
      </c>
      <c r="K386" s="235">
        <f>IFERROR(__xludf.DUMMYFUNCTION("""COMPUTED_VALUE"""),10000.0)</f>
        <v>10000</v>
      </c>
      <c r="L386" s="235">
        <f>IFERROR(__xludf.DUMMYFUNCTION("""COMPUTED_VALUE"""),0.0)</f>
        <v>0</v>
      </c>
      <c r="M386" s="235">
        <f>IFERROR(__xludf.DUMMYFUNCTION("""COMPUTED_VALUE"""),25.0)</f>
        <v>25</v>
      </c>
      <c r="N386" s="235">
        <f>IFERROR(__xludf.DUMMYFUNCTION("""COMPUTED_VALUE"""),0.39)</f>
        <v>0.39</v>
      </c>
      <c r="O386" s="235">
        <f>IFERROR(__xludf.DUMMYFUNCTION("""COMPUTED_VALUE"""),50.0)</f>
        <v>50</v>
      </c>
      <c r="P386" s="235">
        <f>IFERROR(__xludf.DUMMYFUNCTION("""COMPUTED_VALUE"""),0.0)</f>
        <v>0</v>
      </c>
      <c r="Q386" s="235">
        <f>IFERROR(__xludf.DUMMYFUNCTION("""COMPUTED_VALUE"""),0.4)</f>
        <v>0.4</v>
      </c>
      <c r="R386" s="235">
        <f>IFERROR(__xludf.DUMMYFUNCTION("""COMPUTED_VALUE"""),100.0)</f>
        <v>100</v>
      </c>
      <c r="S386" s="235">
        <f>IFERROR(__xludf.DUMMYFUNCTION("""COMPUTED_VALUE"""),500.0)</f>
        <v>500</v>
      </c>
      <c r="T386" s="244" t="str">
        <f>IFERROR(__xludf.DUMMYFUNCTION("""COMPUTED_VALUE"""),"1.34")</f>
        <v>1.34</v>
      </c>
      <c r="U386" s="235" t="str">
        <f>IFERROR(__xludf.DUMMYFUNCTION("""COMPUTED_VALUE"""),"stop無:1回目 0.43")</f>
        <v>stop無:1回目 0.43</v>
      </c>
      <c r="V386" s="235">
        <f>IFERROR(__xludf.DUMMYFUNCTION("""COMPUTED_VALUE"""),100.0)</f>
        <v>100</v>
      </c>
      <c r="W386" s="235" t="str">
        <f>IFERROR(__xludf.DUMMYFUNCTION("""COMPUTED_VALUE"""),"4.84")</f>
        <v>4.84</v>
      </c>
      <c r="X386" s="235" t="str">
        <f>IFERROR(__xludf.DUMMYFUNCTION("""COMPUTED_VALUE"""),"stop無:1回目 3.00")</f>
        <v>stop無:1回目 3.00</v>
      </c>
      <c r="Y386" s="235" t="str">
        <f>IFERROR(__xludf.DUMMYFUNCTION("""COMPUTED_VALUE"""),"小範囲に攻撃力ダウン(10%)")</f>
        <v>小範囲に攻撃力ダウン(10%)</v>
      </c>
      <c r="Z386" s="235">
        <f>IFERROR(__xludf.DUMMYFUNCTION("""COMPUTED_VALUE"""),6.0)</f>
        <v>6</v>
      </c>
      <c r="AA386" s="235"/>
      <c r="AB386" s="235" t="str">
        <f>IFERROR(__xludf.DUMMYFUNCTION("""COMPUTED_VALUE"""),"dageki_2")</f>
        <v>dageki_2</v>
      </c>
      <c r="AC386" s="235"/>
    </row>
    <row r="387">
      <c r="A387" s="235"/>
      <c r="B387" s="235" t="str">
        <f>IFERROR(__xludf.DUMMYFUNCTION("""COMPUTED_VALUE"""),"chara_gom_00101")</f>
        <v>chara_gom_00101</v>
      </c>
      <c r="C387" s="254" t="str">
        <f>IFERROR(__xludf.DUMMYFUNCTION("""COMPUTED_VALUE"""),"_general_h")</f>
        <v>_general_h</v>
      </c>
      <c r="D387" s="254" t="str">
        <f>IFERROR(__xludf.DUMMYFUNCTION("""COMPUTED_VALUE"""),"c_gom_00101_general_h_Boss_Red")</f>
        <v>c_gom_00101_general_h_Boss_Red</v>
      </c>
      <c r="E387" s="254" t="str">
        <f>IFERROR(__xludf.DUMMYFUNCTION("""COMPUTED_VALUE"""),"姫様“拷問”の時間です")</f>
        <v>姫様“拷問”の時間です</v>
      </c>
      <c r="F387" s="254" t="str">
        <f>IFERROR(__xludf.DUMMYFUNCTION("""COMPUTED_VALUE"""),"トーチャー・トルチュール")</f>
        <v>トーチャー・トルチュール</v>
      </c>
      <c r="G387" s="254" t="str">
        <f>IFERROR(__xludf.DUMMYFUNCTION("""COMPUTED_VALUE"""),"トーチャー・トルチュール_general_h")</f>
        <v>トーチャー・トルチュール_general_h</v>
      </c>
      <c r="H387" s="235" t="str">
        <f>IFERROR(__xludf.DUMMYFUNCTION("""COMPUTED_VALUE"""),"Boss")</f>
        <v>Boss</v>
      </c>
      <c r="I387" s="235" t="str">
        <f>IFERROR(__xludf.DUMMYFUNCTION("""COMPUTED_VALUE"""),"Technical")</f>
        <v>Technical</v>
      </c>
      <c r="J387" s="235" t="str">
        <f>IFERROR(__xludf.DUMMYFUNCTION("""COMPUTED_VALUE"""),"Red")</f>
        <v>Red</v>
      </c>
      <c r="K387" s="235">
        <f>IFERROR(__xludf.DUMMYFUNCTION("""COMPUTED_VALUE"""),10000.0)</f>
        <v>10000</v>
      </c>
      <c r="L387" s="235">
        <f>IFERROR(__xludf.DUMMYFUNCTION("""COMPUTED_VALUE"""),0.0)</f>
        <v>0</v>
      </c>
      <c r="M387" s="235">
        <f>IFERROR(__xludf.DUMMYFUNCTION("""COMPUTED_VALUE"""),25.0)</f>
        <v>25</v>
      </c>
      <c r="N387" s="235">
        <f>IFERROR(__xludf.DUMMYFUNCTION("""COMPUTED_VALUE"""),0.39)</f>
        <v>0.39</v>
      </c>
      <c r="O387" s="235">
        <f>IFERROR(__xludf.DUMMYFUNCTION("""COMPUTED_VALUE"""),100.0)</f>
        <v>100</v>
      </c>
      <c r="P387" s="235">
        <f>IFERROR(__xludf.DUMMYFUNCTION("""COMPUTED_VALUE"""),0.0)</f>
        <v>0</v>
      </c>
      <c r="Q387" s="235">
        <f>IFERROR(__xludf.DUMMYFUNCTION("""COMPUTED_VALUE"""),0.4)</f>
        <v>0.4</v>
      </c>
      <c r="R387" s="235">
        <f>IFERROR(__xludf.DUMMYFUNCTION("""COMPUTED_VALUE"""),100.0)</f>
        <v>100</v>
      </c>
      <c r="S387" s="235">
        <f>IFERROR(__xludf.DUMMYFUNCTION("""COMPUTED_VALUE"""),500.0)</f>
        <v>500</v>
      </c>
      <c r="T387" s="244" t="str">
        <f>IFERROR(__xludf.DUMMYFUNCTION("""COMPUTED_VALUE"""),"1.34")</f>
        <v>1.34</v>
      </c>
      <c r="U387" s="235" t="str">
        <f>IFERROR(__xludf.DUMMYFUNCTION("""COMPUTED_VALUE"""),"stop無:1回目 0.43")</f>
        <v>stop無:1回目 0.43</v>
      </c>
      <c r="V387" s="235">
        <f>IFERROR(__xludf.DUMMYFUNCTION("""COMPUTED_VALUE"""),100.0)</f>
        <v>100</v>
      </c>
      <c r="W387" s="235" t="str">
        <f>IFERROR(__xludf.DUMMYFUNCTION("""COMPUTED_VALUE"""),"4.84")</f>
        <v>4.84</v>
      </c>
      <c r="X387" s="235" t="str">
        <f>IFERROR(__xludf.DUMMYFUNCTION("""COMPUTED_VALUE"""),"stop無:1回目 3.00")</f>
        <v>stop無:1回目 3.00</v>
      </c>
      <c r="Y387" s="235" t="str">
        <f>IFERROR(__xludf.DUMMYFUNCTION("""COMPUTED_VALUE"""),"小範囲に攻撃力ダウン(30%)")</f>
        <v>小範囲に攻撃力ダウン(30%)</v>
      </c>
      <c r="Z387" s="235">
        <f>IFERROR(__xludf.DUMMYFUNCTION("""COMPUTED_VALUE"""),4.0)</f>
        <v>4</v>
      </c>
      <c r="AA387" s="235"/>
      <c r="AB387" s="235" t="str">
        <f>IFERROR(__xludf.DUMMYFUNCTION("""COMPUTED_VALUE"""),"dageki_2")</f>
        <v>dageki_2</v>
      </c>
      <c r="AC387" s="235"/>
    </row>
    <row r="388">
      <c r="A388" s="235"/>
      <c r="B388" s="235" t="str">
        <f>IFERROR(__xludf.DUMMYFUNCTION("""COMPUTED_VALUE"""),"chara_gom_00101")</f>
        <v>chara_gom_00101</v>
      </c>
      <c r="C388" s="254" t="str">
        <f>IFERROR(__xludf.DUMMYFUNCTION("""COMPUTED_VALUE"""),"_general_h")</f>
        <v>_general_h</v>
      </c>
      <c r="D388" s="254" t="str">
        <f>IFERROR(__xludf.DUMMYFUNCTION("""COMPUTED_VALUE"""),"c_gom_00101_general_h_Boss_Yellow")</f>
        <v>c_gom_00101_general_h_Boss_Yellow</v>
      </c>
      <c r="E388" s="254" t="str">
        <f>IFERROR(__xludf.DUMMYFUNCTION("""COMPUTED_VALUE"""),"姫様“拷問”の時間です")</f>
        <v>姫様“拷問”の時間です</v>
      </c>
      <c r="F388" s="254" t="str">
        <f>IFERROR(__xludf.DUMMYFUNCTION("""COMPUTED_VALUE"""),"トーチャー・トルチュール")</f>
        <v>トーチャー・トルチュール</v>
      </c>
      <c r="G388" s="254" t="str">
        <f>IFERROR(__xludf.DUMMYFUNCTION("""COMPUTED_VALUE"""),"トーチャー・トルチュール_general_h")</f>
        <v>トーチャー・トルチュール_general_h</v>
      </c>
      <c r="H388" s="235" t="str">
        <f>IFERROR(__xludf.DUMMYFUNCTION("""COMPUTED_VALUE"""),"Boss")</f>
        <v>Boss</v>
      </c>
      <c r="I388" s="235" t="str">
        <f>IFERROR(__xludf.DUMMYFUNCTION("""COMPUTED_VALUE"""),"Technical")</f>
        <v>Technical</v>
      </c>
      <c r="J388" s="235" t="str">
        <f>IFERROR(__xludf.DUMMYFUNCTION("""COMPUTED_VALUE"""),"Yellow")</f>
        <v>Yellow</v>
      </c>
      <c r="K388" s="235">
        <f>IFERROR(__xludf.DUMMYFUNCTION("""COMPUTED_VALUE"""),10000.0)</f>
        <v>10000</v>
      </c>
      <c r="L388" s="235">
        <f>IFERROR(__xludf.DUMMYFUNCTION("""COMPUTED_VALUE"""),0.0)</f>
        <v>0</v>
      </c>
      <c r="M388" s="235">
        <f>IFERROR(__xludf.DUMMYFUNCTION("""COMPUTED_VALUE"""),25.0)</f>
        <v>25</v>
      </c>
      <c r="N388" s="235">
        <f>IFERROR(__xludf.DUMMYFUNCTION("""COMPUTED_VALUE"""),0.39)</f>
        <v>0.39</v>
      </c>
      <c r="O388" s="235">
        <f>IFERROR(__xludf.DUMMYFUNCTION("""COMPUTED_VALUE"""),100.0)</f>
        <v>100</v>
      </c>
      <c r="P388" s="235">
        <f>IFERROR(__xludf.DUMMYFUNCTION("""COMPUTED_VALUE"""),0.0)</f>
        <v>0</v>
      </c>
      <c r="Q388" s="235">
        <f>IFERROR(__xludf.DUMMYFUNCTION("""COMPUTED_VALUE"""),0.4)</f>
        <v>0.4</v>
      </c>
      <c r="R388" s="235">
        <f>IFERROR(__xludf.DUMMYFUNCTION("""COMPUTED_VALUE"""),100.0)</f>
        <v>100</v>
      </c>
      <c r="S388" s="235">
        <f>IFERROR(__xludf.DUMMYFUNCTION("""COMPUTED_VALUE"""),500.0)</f>
        <v>500</v>
      </c>
      <c r="T388" s="244" t="str">
        <f>IFERROR(__xludf.DUMMYFUNCTION("""COMPUTED_VALUE"""),"1.34")</f>
        <v>1.34</v>
      </c>
      <c r="U388" s="235" t="str">
        <f>IFERROR(__xludf.DUMMYFUNCTION("""COMPUTED_VALUE"""),"stop無:1回目 0.43")</f>
        <v>stop無:1回目 0.43</v>
      </c>
      <c r="V388" s="235">
        <f>IFERROR(__xludf.DUMMYFUNCTION("""COMPUTED_VALUE"""),100.0)</f>
        <v>100</v>
      </c>
      <c r="W388" s="235" t="str">
        <f>IFERROR(__xludf.DUMMYFUNCTION("""COMPUTED_VALUE"""),"4.84")</f>
        <v>4.84</v>
      </c>
      <c r="X388" s="235" t="str">
        <f>IFERROR(__xludf.DUMMYFUNCTION("""COMPUTED_VALUE"""),"stop無:1回目 3.00")</f>
        <v>stop無:1回目 3.00</v>
      </c>
      <c r="Y388" s="235" t="str">
        <f>IFERROR(__xludf.DUMMYFUNCTION("""COMPUTED_VALUE"""),"小範囲に攻撃力ダウン(30%)")</f>
        <v>小範囲に攻撃力ダウン(30%)</v>
      </c>
      <c r="Z388" s="235">
        <f>IFERROR(__xludf.DUMMYFUNCTION("""COMPUTED_VALUE"""),4.0)</f>
        <v>4</v>
      </c>
      <c r="AA388" s="235"/>
      <c r="AB388" s="235" t="str">
        <f>IFERROR(__xludf.DUMMYFUNCTION("""COMPUTED_VALUE"""),"dageki_2")</f>
        <v>dageki_2</v>
      </c>
      <c r="AC388" s="235"/>
    </row>
    <row r="389">
      <c r="A389" s="235"/>
      <c r="B389" s="235" t="str">
        <f>IFERROR(__xludf.DUMMYFUNCTION("""COMPUTED_VALUE"""),"chara_gom_00101")</f>
        <v>chara_gom_00101</v>
      </c>
      <c r="C389" s="254" t="str">
        <f>IFERROR(__xludf.DUMMYFUNCTION("""COMPUTED_VALUE"""),"_general_vh")</f>
        <v>_general_vh</v>
      </c>
      <c r="D389" s="254" t="str">
        <f>IFERROR(__xludf.DUMMYFUNCTION("""COMPUTED_VALUE"""),"c_gom_00101_general_vh_Boss_Red")</f>
        <v>c_gom_00101_general_vh_Boss_Red</v>
      </c>
      <c r="E389" s="254" t="str">
        <f>IFERROR(__xludf.DUMMYFUNCTION("""COMPUTED_VALUE"""),"姫様“拷問”の時間です")</f>
        <v>姫様“拷問”の時間です</v>
      </c>
      <c r="F389" s="254" t="str">
        <f>IFERROR(__xludf.DUMMYFUNCTION("""COMPUTED_VALUE"""),"トーチャー・トルチュール")</f>
        <v>トーチャー・トルチュール</v>
      </c>
      <c r="G389" s="254" t="str">
        <f>IFERROR(__xludf.DUMMYFUNCTION("""COMPUTED_VALUE"""),"トーチャー・トルチュール_general_vh")</f>
        <v>トーチャー・トルチュール_general_vh</v>
      </c>
      <c r="H389" s="235" t="str">
        <f>IFERROR(__xludf.DUMMYFUNCTION("""COMPUTED_VALUE"""),"Boss")</f>
        <v>Boss</v>
      </c>
      <c r="I389" s="235" t="str">
        <f>IFERROR(__xludf.DUMMYFUNCTION("""COMPUTED_VALUE"""),"Technical")</f>
        <v>Technical</v>
      </c>
      <c r="J389" s="235" t="str">
        <f>IFERROR(__xludf.DUMMYFUNCTION("""COMPUTED_VALUE"""),"Red")</f>
        <v>Red</v>
      </c>
      <c r="K389" s="235">
        <f>IFERROR(__xludf.DUMMYFUNCTION("""COMPUTED_VALUE"""),10000.0)</f>
        <v>10000</v>
      </c>
      <c r="L389" s="235">
        <f>IFERROR(__xludf.DUMMYFUNCTION("""COMPUTED_VALUE"""),0.0)</f>
        <v>0</v>
      </c>
      <c r="M389" s="235">
        <f>IFERROR(__xludf.DUMMYFUNCTION("""COMPUTED_VALUE"""),25.0)</f>
        <v>25</v>
      </c>
      <c r="N389" s="235">
        <f>IFERROR(__xludf.DUMMYFUNCTION("""COMPUTED_VALUE"""),0.39)</f>
        <v>0.39</v>
      </c>
      <c r="O389" s="235">
        <f>IFERROR(__xludf.DUMMYFUNCTION("""COMPUTED_VALUE"""),100.0)</f>
        <v>100</v>
      </c>
      <c r="P389" s="235">
        <f>IFERROR(__xludf.DUMMYFUNCTION("""COMPUTED_VALUE"""),0.0)</f>
        <v>0</v>
      </c>
      <c r="Q389" s="235">
        <f>IFERROR(__xludf.DUMMYFUNCTION("""COMPUTED_VALUE"""),0.4)</f>
        <v>0.4</v>
      </c>
      <c r="R389" s="235">
        <f>IFERROR(__xludf.DUMMYFUNCTION("""COMPUTED_VALUE"""),100.0)</f>
        <v>100</v>
      </c>
      <c r="S389" s="235">
        <f>IFERROR(__xludf.DUMMYFUNCTION("""COMPUTED_VALUE"""),500.0)</f>
        <v>500</v>
      </c>
      <c r="T389" s="244" t="str">
        <f>IFERROR(__xludf.DUMMYFUNCTION("""COMPUTED_VALUE"""),"1.34")</f>
        <v>1.34</v>
      </c>
      <c r="U389" s="235" t="str">
        <f>IFERROR(__xludf.DUMMYFUNCTION("""COMPUTED_VALUE"""),"stop無:1回目 0.43")</f>
        <v>stop無:1回目 0.43</v>
      </c>
      <c r="V389" s="235">
        <f>IFERROR(__xludf.DUMMYFUNCTION("""COMPUTED_VALUE"""),100.0)</f>
        <v>100</v>
      </c>
      <c r="W389" s="235" t="str">
        <f>IFERROR(__xludf.DUMMYFUNCTION("""COMPUTED_VALUE"""),"4.84")</f>
        <v>4.84</v>
      </c>
      <c r="X389" s="235" t="str">
        <f>IFERROR(__xludf.DUMMYFUNCTION("""COMPUTED_VALUE"""),"stop無:1回目 3.00")</f>
        <v>stop無:1回目 3.00</v>
      </c>
      <c r="Y389" s="235" t="str">
        <f>IFERROR(__xludf.DUMMYFUNCTION("""COMPUTED_VALUE"""),"小範囲に攻撃力ダウン(60%)")</f>
        <v>小範囲に攻撃力ダウン(60%)</v>
      </c>
      <c r="Z389" s="235">
        <f>IFERROR(__xludf.DUMMYFUNCTION("""COMPUTED_VALUE"""),4.0)</f>
        <v>4</v>
      </c>
      <c r="AA389" s="235"/>
      <c r="AB389" s="235" t="str">
        <f>IFERROR(__xludf.DUMMYFUNCTION("""COMPUTED_VALUE"""),"dageki_2")</f>
        <v>dageki_2</v>
      </c>
      <c r="AC389" s="235"/>
    </row>
    <row r="390">
      <c r="A390" s="235"/>
      <c r="B390" s="235" t="str">
        <f>IFERROR(__xludf.DUMMYFUNCTION("""COMPUTED_VALUE"""),"chara_gom_00101")</f>
        <v>chara_gom_00101</v>
      </c>
      <c r="C390" s="254" t="str">
        <f>IFERROR(__xludf.DUMMYFUNCTION("""COMPUTED_VALUE"""),"_general_vh")</f>
        <v>_general_vh</v>
      </c>
      <c r="D390" s="254" t="str">
        <f>IFERROR(__xludf.DUMMYFUNCTION("""COMPUTED_VALUE"""),"c_gom_00101_general_vh_Boss_Yellow")</f>
        <v>c_gom_00101_general_vh_Boss_Yellow</v>
      </c>
      <c r="E390" s="254" t="str">
        <f>IFERROR(__xludf.DUMMYFUNCTION("""COMPUTED_VALUE"""),"姫様“拷問”の時間です")</f>
        <v>姫様“拷問”の時間です</v>
      </c>
      <c r="F390" s="254" t="str">
        <f>IFERROR(__xludf.DUMMYFUNCTION("""COMPUTED_VALUE"""),"トーチャー・トルチュール")</f>
        <v>トーチャー・トルチュール</v>
      </c>
      <c r="G390" s="254" t="str">
        <f>IFERROR(__xludf.DUMMYFUNCTION("""COMPUTED_VALUE"""),"トーチャー・トルチュール_general_vh")</f>
        <v>トーチャー・トルチュール_general_vh</v>
      </c>
      <c r="H390" s="235" t="str">
        <f>IFERROR(__xludf.DUMMYFUNCTION("""COMPUTED_VALUE"""),"Boss")</f>
        <v>Boss</v>
      </c>
      <c r="I390" s="235" t="str">
        <f>IFERROR(__xludf.DUMMYFUNCTION("""COMPUTED_VALUE"""),"Technical")</f>
        <v>Technical</v>
      </c>
      <c r="J390" s="235" t="str">
        <f>IFERROR(__xludf.DUMMYFUNCTION("""COMPUTED_VALUE"""),"Yellow")</f>
        <v>Yellow</v>
      </c>
      <c r="K390" s="235">
        <f>IFERROR(__xludf.DUMMYFUNCTION("""COMPUTED_VALUE"""),10000.0)</f>
        <v>10000</v>
      </c>
      <c r="L390" s="235">
        <f>IFERROR(__xludf.DUMMYFUNCTION("""COMPUTED_VALUE"""),0.0)</f>
        <v>0</v>
      </c>
      <c r="M390" s="235">
        <f>IFERROR(__xludf.DUMMYFUNCTION("""COMPUTED_VALUE"""),25.0)</f>
        <v>25</v>
      </c>
      <c r="N390" s="235">
        <f>IFERROR(__xludf.DUMMYFUNCTION("""COMPUTED_VALUE"""),0.39)</f>
        <v>0.39</v>
      </c>
      <c r="O390" s="235">
        <f>IFERROR(__xludf.DUMMYFUNCTION("""COMPUTED_VALUE"""),100.0)</f>
        <v>100</v>
      </c>
      <c r="P390" s="235">
        <f>IFERROR(__xludf.DUMMYFUNCTION("""COMPUTED_VALUE"""),0.0)</f>
        <v>0</v>
      </c>
      <c r="Q390" s="235">
        <f>IFERROR(__xludf.DUMMYFUNCTION("""COMPUTED_VALUE"""),0.4)</f>
        <v>0.4</v>
      </c>
      <c r="R390" s="235">
        <f>IFERROR(__xludf.DUMMYFUNCTION("""COMPUTED_VALUE"""),100.0)</f>
        <v>100</v>
      </c>
      <c r="S390" s="235">
        <f>IFERROR(__xludf.DUMMYFUNCTION("""COMPUTED_VALUE"""),500.0)</f>
        <v>500</v>
      </c>
      <c r="T390" s="244" t="str">
        <f>IFERROR(__xludf.DUMMYFUNCTION("""COMPUTED_VALUE"""),"1.34")</f>
        <v>1.34</v>
      </c>
      <c r="U390" s="235" t="str">
        <f>IFERROR(__xludf.DUMMYFUNCTION("""COMPUTED_VALUE"""),"stop無:1回目 0.43")</f>
        <v>stop無:1回目 0.43</v>
      </c>
      <c r="V390" s="235">
        <f>IFERROR(__xludf.DUMMYFUNCTION("""COMPUTED_VALUE"""),100.0)</f>
        <v>100</v>
      </c>
      <c r="W390" s="235" t="str">
        <f>IFERROR(__xludf.DUMMYFUNCTION("""COMPUTED_VALUE"""),"4.84")</f>
        <v>4.84</v>
      </c>
      <c r="X390" s="235" t="str">
        <f>IFERROR(__xludf.DUMMYFUNCTION("""COMPUTED_VALUE"""),"stop無:1回目 3.00")</f>
        <v>stop無:1回目 3.00</v>
      </c>
      <c r="Y390" s="235" t="str">
        <f>IFERROR(__xludf.DUMMYFUNCTION("""COMPUTED_VALUE"""),"小範囲に攻撃力ダウン(60%)")</f>
        <v>小範囲に攻撃力ダウン(60%)</v>
      </c>
      <c r="Z390" s="235">
        <f>IFERROR(__xludf.DUMMYFUNCTION("""COMPUTED_VALUE"""),4.0)</f>
        <v>4</v>
      </c>
      <c r="AA390" s="235"/>
      <c r="AB390" s="235" t="str">
        <f>IFERROR(__xludf.DUMMYFUNCTION("""COMPUTED_VALUE"""),"dageki_2")</f>
        <v>dageki_2</v>
      </c>
      <c r="AC390" s="235"/>
    </row>
    <row r="391">
      <c r="A391" s="235"/>
      <c r="B391" s="235" t="str">
        <f>IFERROR(__xludf.DUMMYFUNCTION("""COMPUTED_VALUE"""),"enemy_gom_00701")</f>
        <v>enemy_gom_00701</v>
      </c>
      <c r="C391" s="254" t="str">
        <f>IFERROR(__xludf.DUMMYFUNCTION("""COMPUTED_VALUE"""),"_general_vh")</f>
        <v>_general_vh</v>
      </c>
      <c r="D391" s="254" t="str">
        <f>IFERROR(__xludf.DUMMYFUNCTION("""COMPUTED_VALUE"""),"e_gom_00701_general_vh_Normal_Blue")</f>
        <v>e_gom_00701_general_vh_Normal_Blue</v>
      </c>
      <c r="E391" s="254" t="str">
        <f>IFERROR(__xludf.DUMMYFUNCTION("""COMPUTED_VALUE"""),"姫様“拷問”の時間です")</f>
        <v>姫様“拷問”の時間です</v>
      </c>
      <c r="F391" s="254" t="str">
        <f>IFERROR(__xludf.DUMMYFUNCTION("""COMPUTED_VALUE"""),"ラーメン")</f>
        <v>ラーメン</v>
      </c>
      <c r="G391" s="254" t="str">
        <f>IFERROR(__xludf.DUMMYFUNCTION("""COMPUTED_VALUE"""),"ラーメン_general_vh")</f>
        <v>ラーメン_general_vh</v>
      </c>
      <c r="H391" s="235" t="str">
        <f>IFERROR(__xludf.DUMMYFUNCTION("""COMPUTED_VALUE"""),"Normal")</f>
        <v>Normal</v>
      </c>
      <c r="I391" s="235" t="str">
        <f>IFERROR(__xludf.DUMMYFUNCTION("""COMPUTED_VALUE"""),"Attack")</f>
        <v>Attack</v>
      </c>
      <c r="J391" s="235" t="str">
        <f>IFERROR(__xludf.DUMMYFUNCTION("""COMPUTED_VALUE"""),"Blue")</f>
        <v>Blue</v>
      </c>
      <c r="K391" s="235">
        <f>IFERROR(__xludf.DUMMYFUNCTION("""COMPUTED_VALUE"""),10000.0)</f>
        <v>10000</v>
      </c>
      <c r="L391" s="235">
        <f>IFERROR(__xludf.DUMMYFUNCTION("""COMPUTED_VALUE"""),0.0)</f>
        <v>0</v>
      </c>
      <c r="M391" s="235">
        <f>IFERROR(__xludf.DUMMYFUNCTION("""COMPUTED_VALUE"""),25.0)</f>
        <v>25</v>
      </c>
      <c r="N391" s="235">
        <f>IFERROR(__xludf.DUMMYFUNCTION("""COMPUTED_VALUE"""),0.11)</f>
        <v>0.11</v>
      </c>
      <c r="O391" s="235">
        <f>IFERROR(__xludf.DUMMYFUNCTION("""COMPUTED_VALUE"""),100.0)</f>
        <v>100</v>
      </c>
      <c r="P391" s="235">
        <f>IFERROR(__xludf.DUMMYFUNCTION("""COMPUTED_VALUE"""),0.0)</f>
        <v>0</v>
      </c>
      <c r="Q391" s="235">
        <f>IFERROR(__xludf.DUMMYFUNCTION("""COMPUTED_VALUE"""),0.27)</f>
        <v>0.27</v>
      </c>
      <c r="R391" s="235">
        <f>IFERROR(__xludf.DUMMYFUNCTION("""COMPUTED_VALUE"""),1.0)</f>
        <v>1</v>
      </c>
      <c r="S391" s="235">
        <f>IFERROR(__xludf.DUMMYFUNCTION("""COMPUTED_VALUE"""),200.0)</f>
        <v>200</v>
      </c>
      <c r="T391" s="244" t="str">
        <f>IFERROR(__xludf.DUMMYFUNCTION("""COMPUTED_VALUE"""),"1.00")</f>
        <v>1.00</v>
      </c>
      <c r="U391" s="235" t="str">
        <f>IFERROR(__xludf.DUMMYFUNCTION("""COMPUTED_VALUE"""),"0.833")</f>
        <v>0.833</v>
      </c>
      <c r="V391" s="235">
        <f>IFERROR(__xludf.DUMMYFUNCTION("""COMPUTED_VALUE"""),100.0)</f>
        <v>100</v>
      </c>
      <c r="W391" s="235" t="str">
        <f>IFERROR(__xludf.DUMMYFUNCTION("""COMPUTED_VALUE"""),"-")</f>
        <v>-</v>
      </c>
      <c r="X391" s="235" t="str">
        <f>IFERROR(__xludf.DUMMYFUNCTION("""COMPUTED_VALUE"""),"-")</f>
        <v>-</v>
      </c>
      <c r="Y391" s="235"/>
      <c r="Z391" s="235" t="str">
        <f>IFERROR(__xludf.DUMMYFUNCTION("""COMPUTED_VALUE"""),"-")</f>
        <v>-</v>
      </c>
      <c r="AA391" s="235"/>
      <c r="AB391" s="235"/>
      <c r="AC391" s="235" t="str">
        <f>IFERROR(__xludf.DUMMYFUNCTION("""COMPUTED_VALUE"""),"通常攻撃時20%の確率で自身の攻撃力を100%UP(5秒間)")</f>
        <v>通常攻撃時20%の確率で自身の攻撃力を100%UP(5秒間)</v>
      </c>
    </row>
    <row r="392">
      <c r="A392" s="235"/>
      <c r="B392" s="235" t="str">
        <f>IFERROR(__xludf.DUMMYFUNCTION("""COMPUTED_VALUE"""),"enemy_gom_00701")</f>
        <v>enemy_gom_00701</v>
      </c>
      <c r="C392" s="254" t="str">
        <f>IFERROR(__xludf.DUMMYFUNCTION("""COMPUTED_VALUE"""),"_general_n")</f>
        <v>_general_n</v>
      </c>
      <c r="D392" s="254" t="str">
        <f>IFERROR(__xludf.DUMMYFUNCTION("""COMPUTED_VALUE"""),"e_gom_00701_general_n_Boss_Colorless")</f>
        <v>e_gom_00701_general_n_Boss_Colorless</v>
      </c>
      <c r="E392" s="254" t="str">
        <f>IFERROR(__xludf.DUMMYFUNCTION("""COMPUTED_VALUE"""),"姫様“拷問”の時間です")</f>
        <v>姫様“拷問”の時間です</v>
      </c>
      <c r="F392" s="254" t="str">
        <f>IFERROR(__xludf.DUMMYFUNCTION("""COMPUTED_VALUE"""),"ラーメン")</f>
        <v>ラーメン</v>
      </c>
      <c r="G392" s="254" t="str">
        <f>IFERROR(__xludf.DUMMYFUNCTION("""COMPUTED_VALUE"""),"ラーメン_general_n")</f>
        <v>ラーメン_general_n</v>
      </c>
      <c r="H392" s="235" t="str">
        <f>IFERROR(__xludf.DUMMYFUNCTION("""COMPUTED_VALUE"""),"Boss")</f>
        <v>Boss</v>
      </c>
      <c r="I392" s="235" t="str">
        <f>IFERROR(__xludf.DUMMYFUNCTION("""COMPUTED_VALUE"""),"Attack")</f>
        <v>Attack</v>
      </c>
      <c r="J392" s="235" t="str">
        <f>IFERROR(__xludf.DUMMYFUNCTION("""COMPUTED_VALUE"""),"Colorless")</f>
        <v>Colorless</v>
      </c>
      <c r="K392" s="235">
        <f>IFERROR(__xludf.DUMMYFUNCTION("""COMPUTED_VALUE"""),10000.0)</f>
        <v>10000</v>
      </c>
      <c r="L392" s="235">
        <f>IFERROR(__xludf.DUMMYFUNCTION("""COMPUTED_VALUE"""),0.0)</f>
        <v>0</v>
      </c>
      <c r="M392" s="235">
        <f>IFERROR(__xludf.DUMMYFUNCTION("""COMPUTED_VALUE"""),25.0)</f>
        <v>25</v>
      </c>
      <c r="N392" s="235">
        <f>IFERROR(__xludf.DUMMYFUNCTION("""COMPUTED_VALUE"""),0.11)</f>
        <v>0.11</v>
      </c>
      <c r="O392" s="235">
        <f>IFERROR(__xludf.DUMMYFUNCTION("""COMPUTED_VALUE"""),50.0)</f>
        <v>50</v>
      </c>
      <c r="P392" s="235">
        <f>IFERROR(__xludf.DUMMYFUNCTION("""COMPUTED_VALUE"""),0.0)</f>
        <v>0</v>
      </c>
      <c r="Q392" s="235">
        <f>IFERROR(__xludf.DUMMYFUNCTION("""COMPUTED_VALUE"""),0.27)</f>
        <v>0.27</v>
      </c>
      <c r="R392" s="235">
        <f>IFERROR(__xludf.DUMMYFUNCTION("""COMPUTED_VALUE"""),1.0)</f>
        <v>1</v>
      </c>
      <c r="S392" s="235">
        <f>IFERROR(__xludf.DUMMYFUNCTION("""COMPUTED_VALUE"""),200.0)</f>
        <v>200</v>
      </c>
      <c r="T392" s="244" t="str">
        <f>IFERROR(__xludf.DUMMYFUNCTION("""COMPUTED_VALUE"""),"1.00")</f>
        <v>1.00</v>
      </c>
      <c r="U392" s="235" t="str">
        <f>IFERROR(__xludf.DUMMYFUNCTION("""COMPUTED_VALUE"""),"0.833")</f>
        <v>0.833</v>
      </c>
      <c r="V392" s="235">
        <f>IFERROR(__xludf.DUMMYFUNCTION("""COMPUTED_VALUE"""),100.0)</f>
        <v>100</v>
      </c>
      <c r="W392" s="235" t="str">
        <f>IFERROR(__xludf.DUMMYFUNCTION("""COMPUTED_VALUE"""),"-")</f>
        <v>-</v>
      </c>
      <c r="X392" s="235" t="str">
        <f>IFERROR(__xludf.DUMMYFUNCTION("""COMPUTED_VALUE"""),"-")</f>
        <v>-</v>
      </c>
      <c r="Y392" s="235"/>
      <c r="Z392" s="235" t="str">
        <f>IFERROR(__xludf.DUMMYFUNCTION("""COMPUTED_VALUE"""),"-")</f>
        <v>-</v>
      </c>
      <c r="AA392" s="235"/>
      <c r="AB392" s="235"/>
      <c r="AC392" s="235"/>
    </row>
    <row r="393">
      <c r="A393" s="235"/>
      <c r="B393" s="235" t="str">
        <f>IFERROR(__xludf.DUMMYFUNCTION("""COMPUTED_VALUE"""),"enemy_gom_00701")</f>
        <v>enemy_gom_00701</v>
      </c>
      <c r="C393" s="254" t="str">
        <f>IFERROR(__xludf.DUMMYFUNCTION("""COMPUTED_VALUE"""),"_general_n")</f>
        <v>_general_n</v>
      </c>
      <c r="D393" s="254" t="str">
        <f>IFERROR(__xludf.DUMMYFUNCTION("""COMPUTED_VALUE"""),"e_gom_00701_general_n_Boss_Yellow")</f>
        <v>e_gom_00701_general_n_Boss_Yellow</v>
      </c>
      <c r="E393" s="254" t="str">
        <f>IFERROR(__xludf.DUMMYFUNCTION("""COMPUTED_VALUE"""),"姫様“拷問”の時間です")</f>
        <v>姫様“拷問”の時間です</v>
      </c>
      <c r="F393" s="254" t="str">
        <f>IFERROR(__xludf.DUMMYFUNCTION("""COMPUTED_VALUE"""),"ラーメン")</f>
        <v>ラーメン</v>
      </c>
      <c r="G393" s="254" t="str">
        <f>IFERROR(__xludf.DUMMYFUNCTION("""COMPUTED_VALUE"""),"ラーメン_general_n")</f>
        <v>ラーメン_general_n</v>
      </c>
      <c r="H393" s="235" t="str">
        <f>IFERROR(__xludf.DUMMYFUNCTION("""COMPUTED_VALUE"""),"Boss")</f>
        <v>Boss</v>
      </c>
      <c r="I393" s="235" t="str">
        <f>IFERROR(__xludf.DUMMYFUNCTION("""COMPUTED_VALUE"""),"Attack")</f>
        <v>Attack</v>
      </c>
      <c r="J393" s="235" t="str">
        <f>IFERROR(__xludf.DUMMYFUNCTION("""COMPUTED_VALUE"""),"Yellow")</f>
        <v>Yellow</v>
      </c>
      <c r="K393" s="235">
        <f>IFERROR(__xludf.DUMMYFUNCTION("""COMPUTED_VALUE"""),10000.0)</f>
        <v>10000</v>
      </c>
      <c r="L393" s="235">
        <f>IFERROR(__xludf.DUMMYFUNCTION("""COMPUTED_VALUE"""),0.0)</f>
        <v>0</v>
      </c>
      <c r="M393" s="235">
        <f>IFERROR(__xludf.DUMMYFUNCTION("""COMPUTED_VALUE"""),25.0)</f>
        <v>25</v>
      </c>
      <c r="N393" s="235">
        <f>IFERROR(__xludf.DUMMYFUNCTION("""COMPUTED_VALUE"""),0.11)</f>
        <v>0.11</v>
      </c>
      <c r="O393" s="235">
        <f>IFERROR(__xludf.DUMMYFUNCTION("""COMPUTED_VALUE"""),50.0)</f>
        <v>50</v>
      </c>
      <c r="P393" s="235">
        <f>IFERROR(__xludf.DUMMYFUNCTION("""COMPUTED_VALUE"""),0.0)</f>
        <v>0</v>
      </c>
      <c r="Q393" s="235">
        <f>IFERROR(__xludf.DUMMYFUNCTION("""COMPUTED_VALUE"""),0.27)</f>
        <v>0.27</v>
      </c>
      <c r="R393" s="235">
        <f>IFERROR(__xludf.DUMMYFUNCTION("""COMPUTED_VALUE"""),1.0)</f>
        <v>1</v>
      </c>
      <c r="S393" s="235">
        <f>IFERROR(__xludf.DUMMYFUNCTION("""COMPUTED_VALUE"""),200.0)</f>
        <v>200</v>
      </c>
      <c r="T393" s="244" t="str">
        <f>IFERROR(__xludf.DUMMYFUNCTION("""COMPUTED_VALUE"""),"1.00")</f>
        <v>1.00</v>
      </c>
      <c r="U393" s="235" t="str">
        <f>IFERROR(__xludf.DUMMYFUNCTION("""COMPUTED_VALUE"""),"0.833")</f>
        <v>0.833</v>
      </c>
      <c r="V393" s="235">
        <f>IFERROR(__xludf.DUMMYFUNCTION("""COMPUTED_VALUE"""),100.0)</f>
        <v>100</v>
      </c>
      <c r="W393" s="235" t="str">
        <f>IFERROR(__xludf.DUMMYFUNCTION("""COMPUTED_VALUE"""),"-")</f>
        <v>-</v>
      </c>
      <c r="X393" s="235" t="str">
        <f>IFERROR(__xludf.DUMMYFUNCTION("""COMPUTED_VALUE"""),"-")</f>
        <v>-</v>
      </c>
      <c r="Y393" s="235"/>
      <c r="Z393" s="235" t="str">
        <f>IFERROR(__xludf.DUMMYFUNCTION("""COMPUTED_VALUE"""),"-")</f>
        <v>-</v>
      </c>
      <c r="AA393" s="235"/>
      <c r="AB393" s="235"/>
      <c r="AC393" s="235"/>
    </row>
    <row r="394">
      <c r="A394" s="235"/>
      <c r="B394" s="235" t="str">
        <f>IFERROR(__xludf.DUMMYFUNCTION("""COMPUTED_VALUE"""),"enemy_gom_00701")</f>
        <v>enemy_gom_00701</v>
      </c>
      <c r="C394" s="254" t="str">
        <f>IFERROR(__xludf.DUMMYFUNCTION("""COMPUTED_VALUE"""),"_general_vh")</f>
        <v>_general_vh</v>
      </c>
      <c r="D394" s="254" t="str">
        <f>IFERROR(__xludf.DUMMYFUNCTION("""COMPUTED_VALUE"""),"e_gom_00701_general_vh_Boss_Red")</f>
        <v>e_gom_00701_general_vh_Boss_Red</v>
      </c>
      <c r="E394" s="254" t="str">
        <f>IFERROR(__xludf.DUMMYFUNCTION("""COMPUTED_VALUE"""),"姫様“拷問”の時間です")</f>
        <v>姫様“拷問”の時間です</v>
      </c>
      <c r="F394" s="254" t="str">
        <f>IFERROR(__xludf.DUMMYFUNCTION("""COMPUTED_VALUE"""),"ラーメン")</f>
        <v>ラーメン</v>
      </c>
      <c r="G394" s="254" t="str">
        <f>IFERROR(__xludf.DUMMYFUNCTION("""COMPUTED_VALUE"""),"ラーメン_general_vh")</f>
        <v>ラーメン_general_vh</v>
      </c>
      <c r="H394" s="235" t="str">
        <f>IFERROR(__xludf.DUMMYFUNCTION("""COMPUTED_VALUE"""),"Boss")</f>
        <v>Boss</v>
      </c>
      <c r="I394" s="235" t="str">
        <f>IFERROR(__xludf.DUMMYFUNCTION("""COMPUTED_VALUE"""),"Technical")</f>
        <v>Technical</v>
      </c>
      <c r="J394" s="235" t="str">
        <f>IFERROR(__xludf.DUMMYFUNCTION("""COMPUTED_VALUE"""),"Red")</f>
        <v>Red</v>
      </c>
      <c r="K394" s="235">
        <f>IFERROR(__xludf.DUMMYFUNCTION("""COMPUTED_VALUE"""),10000.0)</f>
        <v>10000</v>
      </c>
      <c r="L394" s="235">
        <f>IFERROR(__xludf.DUMMYFUNCTION("""COMPUTED_VALUE"""),0.0)</f>
        <v>0</v>
      </c>
      <c r="M394" s="235">
        <f>IFERROR(__xludf.DUMMYFUNCTION("""COMPUTED_VALUE"""),25.0)</f>
        <v>25</v>
      </c>
      <c r="N394" s="235">
        <f>IFERROR(__xludf.DUMMYFUNCTION("""COMPUTED_VALUE"""),0.11)</f>
        <v>0.11</v>
      </c>
      <c r="O394" s="235">
        <f>IFERROR(__xludf.DUMMYFUNCTION("""COMPUTED_VALUE"""),100.0)</f>
        <v>100</v>
      </c>
      <c r="P394" s="235">
        <f>IFERROR(__xludf.DUMMYFUNCTION("""COMPUTED_VALUE"""),0.0)</f>
        <v>0</v>
      </c>
      <c r="Q394" s="235">
        <f>IFERROR(__xludf.DUMMYFUNCTION("""COMPUTED_VALUE"""),0.27)</f>
        <v>0.27</v>
      </c>
      <c r="R394" s="235">
        <f>IFERROR(__xludf.DUMMYFUNCTION("""COMPUTED_VALUE"""),1.0)</f>
        <v>1</v>
      </c>
      <c r="S394" s="235">
        <f>IFERROR(__xludf.DUMMYFUNCTION("""COMPUTED_VALUE"""),200.0)</f>
        <v>200</v>
      </c>
      <c r="T394" s="244" t="str">
        <f>IFERROR(__xludf.DUMMYFUNCTION("""COMPUTED_VALUE"""),"1.00")</f>
        <v>1.00</v>
      </c>
      <c r="U394" s="235" t="str">
        <f>IFERROR(__xludf.DUMMYFUNCTION("""COMPUTED_VALUE"""),"0.833")</f>
        <v>0.833</v>
      </c>
      <c r="V394" s="235">
        <f>IFERROR(__xludf.DUMMYFUNCTION("""COMPUTED_VALUE"""),100.0)</f>
        <v>100</v>
      </c>
      <c r="W394" s="235" t="str">
        <f>IFERROR(__xludf.DUMMYFUNCTION("""COMPUTED_VALUE"""),"-")</f>
        <v>-</v>
      </c>
      <c r="X394" s="235" t="str">
        <f>IFERROR(__xludf.DUMMYFUNCTION("""COMPUTED_VALUE"""),"-")</f>
        <v>-</v>
      </c>
      <c r="Y394" s="235"/>
      <c r="Z394" s="235" t="str">
        <f>IFERROR(__xludf.DUMMYFUNCTION("""COMPUTED_VALUE"""),"-")</f>
        <v>-</v>
      </c>
      <c r="AA394" s="235"/>
      <c r="AB394" s="235"/>
      <c r="AC394" s="235" t="str">
        <f>IFERROR(__xludf.DUMMYFUNCTION("""COMPUTED_VALUE"""),"通常攻撃時20%の確率で敵一体を1000ダメージの火傷にする(2秒間)")</f>
        <v>通常攻撃時20%の確率で敵一体を1000ダメージの火傷にする(2秒間)</v>
      </c>
    </row>
    <row r="395">
      <c r="A395" s="235"/>
      <c r="B395" s="235" t="str">
        <f>IFERROR(__xludf.DUMMYFUNCTION("""COMPUTED_VALUE"""),"enemy_gom_00701")</f>
        <v>enemy_gom_00701</v>
      </c>
      <c r="C395" s="254" t="str">
        <f>IFERROR(__xludf.DUMMYFUNCTION("""COMPUTED_VALUE"""),"_general_vh")</f>
        <v>_general_vh</v>
      </c>
      <c r="D395" s="254" t="str">
        <f>IFERROR(__xludf.DUMMYFUNCTION("""COMPUTED_VALUE"""),"e_gom_00701_general_vh_Boss_Blue")</f>
        <v>e_gom_00701_general_vh_Boss_Blue</v>
      </c>
      <c r="E395" s="254" t="str">
        <f>IFERROR(__xludf.DUMMYFUNCTION("""COMPUTED_VALUE"""),"姫様“拷問”の時間です")</f>
        <v>姫様“拷問”の時間です</v>
      </c>
      <c r="F395" s="254" t="str">
        <f>IFERROR(__xludf.DUMMYFUNCTION("""COMPUTED_VALUE"""),"ラーメン")</f>
        <v>ラーメン</v>
      </c>
      <c r="G395" s="254" t="str">
        <f>IFERROR(__xludf.DUMMYFUNCTION("""COMPUTED_VALUE"""),"ラーメン_general_vh")</f>
        <v>ラーメン_general_vh</v>
      </c>
      <c r="H395" s="235" t="str">
        <f>IFERROR(__xludf.DUMMYFUNCTION("""COMPUTED_VALUE"""),"Boss")</f>
        <v>Boss</v>
      </c>
      <c r="I395" s="235" t="str">
        <f>IFERROR(__xludf.DUMMYFUNCTION("""COMPUTED_VALUE"""),"Technical")</f>
        <v>Technical</v>
      </c>
      <c r="J395" s="235" t="str">
        <f>IFERROR(__xludf.DUMMYFUNCTION("""COMPUTED_VALUE"""),"Blue")</f>
        <v>Blue</v>
      </c>
      <c r="K395" s="235">
        <f>IFERROR(__xludf.DUMMYFUNCTION("""COMPUTED_VALUE"""),10000.0)</f>
        <v>10000</v>
      </c>
      <c r="L395" s="235">
        <f>IFERROR(__xludf.DUMMYFUNCTION("""COMPUTED_VALUE"""),0.0)</f>
        <v>0</v>
      </c>
      <c r="M395" s="235">
        <f>IFERROR(__xludf.DUMMYFUNCTION("""COMPUTED_VALUE"""),25.0)</f>
        <v>25</v>
      </c>
      <c r="N395" s="235">
        <f>IFERROR(__xludf.DUMMYFUNCTION("""COMPUTED_VALUE"""),0.11)</f>
        <v>0.11</v>
      </c>
      <c r="O395" s="235">
        <f>IFERROR(__xludf.DUMMYFUNCTION("""COMPUTED_VALUE"""),100.0)</f>
        <v>100</v>
      </c>
      <c r="P395" s="235">
        <f>IFERROR(__xludf.DUMMYFUNCTION("""COMPUTED_VALUE"""),0.0)</f>
        <v>0</v>
      </c>
      <c r="Q395" s="235">
        <f>IFERROR(__xludf.DUMMYFUNCTION("""COMPUTED_VALUE"""),0.27)</f>
        <v>0.27</v>
      </c>
      <c r="R395" s="235">
        <f>IFERROR(__xludf.DUMMYFUNCTION("""COMPUTED_VALUE"""),1.0)</f>
        <v>1</v>
      </c>
      <c r="S395" s="235">
        <f>IFERROR(__xludf.DUMMYFUNCTION("""COMPUTED_VALUE"""),200.0)</f>
        <v>200</v>
      </c>
      <c r="T395" s="244" t="str">
        <f>IFERROR(__xludf.DUMMYFUNCTION("""COMPUTED_VALUE"""),"1.00")</f>
        <v>1.00</v>
      </c>
      <c r="U395" s="235" t="str">
        <f>IFERROR(__xludf.DUMMYFUNCTION("""COMPUTED_VALUE"""),"0.833")</f>
        <v>0.833</v>
      </c>
      <c r="V395" s="235">
        <f>IFERROR(__xludf.DUMMYFUNCTION("""COMPUTED_VALUE"""),100.0)</f>
        <v>100</v>
      </c>
      <c r="W395" s="235" t="str">
        <f>IFERROR(__xludf.DUMMYFUNCTION("""COMPUTED_VALUE"""),"-")</f>
        <v>-</v>
      </c>
      <c r="X395" s="235" t="str">
        <f>IFERROR(__xludf.DUMMYFUNCTION("""COMPUTED_VALUE"""),"-")</f>
        <v>-</v>
      </c>
      <c r="Y395" s="235"/>
      <c r="Z395" s="235" t="str">
        <f>IFERROR(__xludf.DUMMYFUNCTION("""COMPUTED_VALUE"""),"-")</f>
        <v>-</v>
      </c>
      <c r="AA395" s="235"/>
      <c r="AB395" s="235"/>
      <c r="AC395" s="235" t="str">
        <f>IFERROR(__xludf.DUMMYFUNCTION("""COMPUTED_VALUE"""),"通常攻撃時20%の確率で敵一体を12%の毒にする(7秒間)")</f>
        <v>通常攻撃時20%の確率で敵一体を12%の毒にする(7秒間)</v>
      </c>
    </row>
    <row r="396">
      <c r="A396" s="235"/>
      <c r="B396" s="235" t="str">
        <f>IFERROR(__xludf.DUMMYFUNCTION("""COMPUTED_VALUE"""),"enemy_gom_00801")</f>
        <v>enemy_gom_00801</v>
      </c>
      <c r="C396" s="254" t="str">
        <f>IFERROR(__xludf.DUMMYFUNCTION("""COMPUTED_VALUE"""),"_general_n")</f>
        <v>_general_n</v>
      </c>
      <c r="D396" s="254" t="str">
        <f>IFERROR(__xludf.DUMMYFUNCTION("""COMPUTED_VALUE"""),"e_gom_00801_general_n_Normal_Colorless")</f>
        <v>e_gom_00801_general_n_Normal_Colorless</v>
      </c>
      <c r="E396" s="254" t="str">
        <f>IFERROR(__xludf.DUMMYFUNCTION("""COMPUTED_VALUE"""),"姫様“拷問”の時間です")</f>
        <v>姫様“拷問”の時間です</v>
      </c>
      <c r="F396" s="254" t="str">
        <f>IFERROR(__xludf.DUMMYFUNCTION("""COMPUTED_VALUE"""),"ライス")</f>
        <v>ライス</v>
      </c>
      <c r="G396" s="254" t="str">
        <f>IFERROR(__xludf.DUMMYFUNCTION("""COMPUTED_VALUE"""),"ライス_general_n")</f>
        <v>ライス_general_n</v>
      </c>
      <c r="H396" s="235" t="str">
        <f>IFERROR(__xludf.DUMMYFUNCTION("""COMPUTED_VALUE"""),"Normal")</f>
        <v>Normal</v>
      </c>
      <c r="I396" s="235" t="str">
        <f>IFERROR(__xludf.DUMMYFUNCTION("""COMPUTED_VALUE"""),"Defense")</f>
        <v>Defense</v>
      </c>
      <c r="J396" s="235" t="str">
        <f>IFERROR(__xludf.DUMMYFUNCTION("""COMPUTED_VALUE"""),"Colorless")</f>
        <v>Colorless</v>
      </c>
      <c r="K396" s="235">
        <f>IFERROR(__xludf.DUMMYFUNCTION("""COMPUTED_VALUE"""),1000.0)</f>
        <v>1000</v>
      </c>
      <c r="L396" s="235">
        <f>IFERROR(__xludf.DUMMYFUNCTION("""COMPUTED_VALUE"""),0.0)</f>
        <v>0</v>
      </c>
      <c r="M396" s="235">
        <f>IFERROR(__xludf.DUMMYFUNCTION("""COMPUTED_VALUE"""),31.0)</f>
        <v>31</v>
      </c>
      <c r="N396" s="235">
        <f>IFERROR(__xludf.DUMMYFUNCTION("""COMPUTED_VALUE"""),0.11)</f>
        <v>0.11</v>
      </c>
      <c r="O396" s="235">
        <f>IFERROR(__xludf.DUMMYFUNCTION("""COMPUTED_VALUE"""),50.0)</f>
        <v>50</v>
      </c>
      <c r="P396" s="235">
        <f>IFERROR(__xludf.DUMMYFUNCTION("""COMPUTED_VALUE"""),0.0)</f>
        <v>0</v>
      </c>
      <c r="Q396" s="235">
        <f>IFERROR(__xludf.DUMMYFUNCTION("""COMPUTED_VALUE"""),0.12)</f>
        <v>0.12</v>
      </c>
      <c r="R396" s="235">
        <f>IFERROR(__xludf.DUMMYFUNCTION("""COMPUTED_VALUE"""),1.0)</f>
        <v>1</v>
      </c>
      <c r="S396" s="235">
        <f>IFERROR(__xludf.DUMMYFUNCTION("""COMPUTED_VALUE"""),100.0)</f>
        <v>100</v>
      </c>
      <c r="T396" s="244" t="str">
        <f>IFERROR(__xludf.DUMMYFUNCTION("""COMPUTED_VALUE"""),"1.00")</f>
        <v>1.00</v>
      </c>
      <c r="U396" s="235" t="str">
        <f>IFERROR(__xludf.DUMMYFUNCTION("""COMPUTED_VALUE"""),"0.833")</f>
        <v>0.833</v>
      </c>
      <c r="V396" s="235">
        <f>IFERROR(__xludf.DUMMYFUNCTION("""COMPUTED_VALUE"""),100.0)</f>
        <v>100</v>
      </c>
      <c r="W396" s="235" t="str">
        <f>IFERROR(__xludf.DUMMYFUNCTION("""COMPUTED_VALUE"""),"-")</f>
        <v>-</v>
      </c>
      <c r="X396" s="235" t="str">
        <f>IFERROR(__xludf.DUMMYFUNCTION("""COMPUTED_VALUE"""),"-")</f>
        <v>-</v>
      </c>
      <c r="Y396" s="235"/>
      <c r="Z396" s="235" t="str">
        <f>IFERROR(__xludf.DUMMYFUNCTION("""COMPUTED_VALUE"""),"-")</f>
        <v>-</v>
      </c>
      <c r="AA396" s="235"/>
      <c r="AB396" s="235"/>
      <c r="AC396" s="235"/>
    </row>
    <row r="397">
      <c r="A397" s="235"/>
      <c r="B397" s="235" t="str">
        <f>IFERROR(__xludf.DUMMYFUNCTION("""COMPUTED_VALUE"""),"enemy_gom_00801")</f>
        <v>enemy_gom_00801</v>
      </c>
      <c r="C397" s="254" t="str">
        <f>IFERROR(__xludf.DUMMYFUNCTION("""COMPUTED_VALUE"""),"_general_n")</f>
        <v>_general_n</v>
      </c>
      <c r="D397" s="254" t="str">
        <f>IFERROR(__xludf.DUMMYFUNCTION("""COMPUTED_VALUE"""),"e_gom_00801_general_n_Normal_Yellow")</f>
        <v>e_gom_00801_general_n_Normal_Yellow</v>
      </c>
      <c r="E397" s="254" t="str">
        <f>IFERROR(__xludf.DUMMYFUNCTION("""COMPUTED_VALUE"""),"姫様“拷問”の時間です")</f>
        <v>姫様“拷問”の時間です</v>
      </c>
      <c r="F397" s="254" t="str">
        <f>IFERROR(__xludf.DUMMYFUNCTION("""COMPUTED_VALUE"""),"ライス")</f>
        <v>ライス</v>
      </c>
      <c r="G397" s="254" t="str">
        <f>IFERROR(__xludf.DUMMYFUNCTION("""COMPUTED_VALUE"""),"ライス_general_n")</f>
        <v>ライス_general_n</v>
      </c>
      <c r="H397" s="235" t="str">
        <f>IFERROR(__xludf.DUMMYFUNCTION("""COMPUTED_VALUE"""),"Normal")</f>
        <v>Normal</v>
      </c>
      <c r="I397" s="235" t="str">
        <f>IFERROR(__xludf.DUMMYFUNCTION("""COMPUTED_VALUE"""),"Defense")</f>
        <v>Defense</v>
      </c>
      <c r="J397" s="235" t="str">
        <f>IFERROR(__xludf.DUMMYFUNCTION("""COMPUTED_VALUE"""),"Yellow")</f>
        <v>Yellow</v>
      </c>
      <c r="K397" s="235">
        <f>IFERROR(__xludf.DUMMYFUNCTION("""COMPUTED_VALUE"""),1000.0)</f>
        <v>1000</v>
      </c>
      <c r="L397" s="235">
        <f>IFERROR(__xludf.DUMMYFUNCTION("""COMPUTED_VALUE"""),0.0)</f>
        <v>0</v>
      </c>
      <c r="M397" s="235">
        <f>IFERROR(__xludf.DUMMYFUNCTION("""COMPUTED_VALUE"""),31.0)</f>
        <v>31</v>
      </c>
      <c r="N397" s="235">
        <f>IFERROR(__xludf.DUMMYFUNCTION("""COMPUTED_VALUE"""),0.11)</f>
        <v>0.11</v>
      </c>
      <c r="O397" s="235">
        <f>IFERROR(__xludf.DUMMYFUNCTION("""COMPUTED_VALUE"""),50.0)</f>
        <v>50</v>
      </c>
      <c r="P397" s="235">
        <f>IFERROR(__xludf.DUMMYFUNCTION("""COMPUTED_VALUE"""),0.0)</f>
        <v>0</v>
      </c>
      <c r="Q397" s="235">
        <f>IFERROR(__xludf.DUMMYFUNCTION("""COMPUTED_VALUE"""),0.12)</f>
        <v>0.12</v>
      </c>
      <c r="R397" s="235">
        <f>IFERROR(__xludf.DUMMYFUNCTION("""COMPUTED_VALUE"""),1.0)</f>
        <v>1</v>
      </c>
      <c r="S397" s="235">
        <f>IFERROR(__xludf.DUMMYFUNCTION("""COMPUTED_VALUE"""),100.0)</f>
        <v>100</v>
      </c>
      <c r="T397" s="244" t="str">
        <f>IFERROR(__xludf.DUMMYFUNCTION("""COMPUTED_VALUE"""),"1.00")</f>
        <v>1.00</v>
      </c>
      <c r="U397" s="235" t="str">
        <f>IFERROR(__xludf.DUMMYFUNCTION("""COMPUTED_VALUE"""),"0.833")</f>
        <v>0.833</v>
      </c>
      <c r="V397" s="235">
        <f>IFERROR(__xludf.DUMMYFUNCTION("""COMPUTED_VALUE"""),100.0)</f>
        <v>100</v>
      </c>
      <c r="W397" s="235" t="str">
        <f>IFERROR(__xludf.DUMMYFUNCTION("""COMPUTED_VALUE"""),"-")</f>
        <v>-</v>
      </c>
      <c r="X397" s="235" t="str">
        <f>IFERROR(__xludf.DUMMYFUNCTION("""COMPUTED_VALUE"""),"-")</f>
        <v>-</v>
      </c>
      <c r="Y397" s="235"/>
      <c r="Z397" s="235" t="str">
        <f>IFERROR(__xludf.DUMMYFUNCTION("""COMPUTED_VALUE"""),"-")</f>
        <v>-</v>
      </c>
      <c r="AA397" s="235"/>
      <c r="AB397" s="235"/>
      <c r="AC397" s="235"/>
    </row>
    <row r="398">
      <c r="A398" s="235"/>
      <c r="B398" s="235" t="str">
        <f>IFERROR(__xludf.DUMMYFUNCTION("""COMPUTED_VALUE"""),"enemy_gom_00801")</f>
        <v>enemy_gom_00801</v>
      </c>
      <c r="C398" s="254" t="str">
        <f>IFERROR(__xludf.DUMMYFUNCTION("""COMPUTED_VALUE"""),"_general_vh")</f>
        <v>_general_vh</v>
      </c>
      <c r="D398" s="254" t="str">
        <f>IFERROR(__xludf.DUMMYFUNCTION("""COMPUTED_VALUE"""),"e_gom_00801_general_vh_Normal_Red")</f>
        <v>e_gom_00801_general_vh_Normal_Red</v>
      </c>
      <c r="E398" s="254" t="str">
        <f>IFERROR(__xludf.DUMMYFUNCTION("""COMPUTED_VALUE"""),"姫様“拷問”の時間です")</f>
        <v>姫様“拷問”の時間です</v>
      </c>
      <c r="F398" s="254" t="str">
        <f>IFERROR(__xludf.DUMMYFUNCTION("""COMPUTED_VALUE"""),"ライス")</f>
        <v>ライス</v>
      </c>
      <c r="G398" s="254" t="str">
        <f>IFERROR(__xludf.DUMMYFUNCTION("""COMPUTED_VALUE"""),"ライス_general_vh")</f>
        <v>ライス_general_vh</v>
      </c>
      <c r="H398" s="235" t="str">
        <f>IFERROR(__xludf.DUMMYFUNCTION("""COMPUTED_VALUE"""),"Normal")</f>
        <v>Normal</v>
      </c>
      <c r="I398" s="235" t="str">
        <f>IFERROR(__xludf.DUMMYFUNCTION("""COMPUTED_VALUE"""),"Defense")</f>
        <v>Defense</v>
      </c>
      <c r="J398" s="235" t="str">
        <f>IFERROR(__xludf.DUMMYFUNCTION("""COMPUTED_VALUE"""),"Red")</f>
        <v>Red</v>
      </c>
      <c r="K398" s="235">
        <f>IFERROR(__xludf.DUMMYFUNCTION("""COMPUTED_VALUE"""),1000.0)</f>
        <v>1000</v>
      </c>
      <c r="L398" s="235">
        <f>IFERROR(__xludf.DUMMYFUNCTION("""COMPUTED_VALUE"""),0.0)</f>
        <v>0</v>
      </c>
      <c r="M398" s="235">
        <f>IFERROR(__xludf.DUMMYFUNCTION("""COMPUTED_VALUE"""),31.0)</f>
        <v>31</v>
      </c>
      <c r="N398" s="235">
        <f>IFERROR(__xludf.DUMMYFUNCTION("""COMPUTED_VALUE"""),0.11)</f>
        <v>0.11</v>
      </c>
      <c r="O398" s="235">
        <f>IFERROR(__xludf.DUMMYFUNCTION("""COMPUTED_VALUE"""),100.0)</f>
        <v>100</v>
      </c>
      <c r="P398" s="235">
        <f>IFERROR(__xludf.DUMMYFUNCTION("""COMPUTED_VALUE"""),0.0)</f>
        <v>0</v>
      </c>
      <c r="Q398" s="235">
        <f>IFERROR(__xludf.DUMMYFUNCTION("""COMPUTED_VALUE"""),0.12)</f>
        <v>0.12</v>
      </c>
      <c r="R398" s="235">
        <f>IFERROR(__xludf.DUMMYFUNCTION("""COMPUTED_VALUE"""),1.0)</f>
        <v>1</v>
      </c>
      <c r="S398" s="235">
        <f>IFERROR(__xludf.DUMMYFUNCTION("""COMPUTED_VALUE"""),100.0)</f>
        <v>100</v>
      </c>
      <c r="T398" s="244" t="str">
        <f>IFERROR(__xludf.DUMMYFUNCTION("""COMPUTED_VALUE"""),"1.00")</f>
        <v>1.00</v>
      </c>
      <c r="U398" s="235" t="str">
        <f>IFERROR(__xludf.DUMMYFUNCTION("""COMPUTED_VALUE"""),"0.833")</f>
        <v>0.833</v>
      </c>
      <c r="V398" s="235">
        <f>IFERROR(__xludf.DUMMYFUNCTION("""COMPUTED_VALUE"""),100.0)</f>
        <v>100</v>
      </c>
      <c r="W398" s="235" t="str">
        <f>IFERROR(__xludf.DUMMYFUNCTION("""COMPUTED_VALUE"""),"-")</f>
        <v>-</v>
      </c>
      <c r="X398" s="235" t="str">
        <f>IFERROR(__xludf.DUMMYFUNCTION("""COMPUTED_VALUE"""),"-")</f>
        <v>-</v>
      </c>
      <c r="Y398" s="235"/>
      <c r="Z398" s="235" t="str">
        <f>IFERROR(__xludf.DUMMYFUNCTION("""COMPUTED_VALUE"""),"-")</f>
        <v>-</v>
      </c>
      <c r="AA398" s="235"/>
      <c r="AB398" s="235"/>
      <c r="AC398" s="235"/>
    </row>
    <row r="399">
      <c r="A399" s="235"/>
      <c r="B399" s="235" t="str">
        <f>IFERROR(__xludf.DUMMYFUNCTION("""COMPUTED_VALUE"""),"enemy_gom_00801")</f>
        <v>enemy_gom_00801</v>
      </c>
      <c r="C399" s="254" t="str">
        <f>IFERROR(__xludf.DUMMYFUNCTION("""COMPUTED_VALUE"""),"_general_vh")</f>
        <v>_general_vh</v>
      </c>
      <c r="D399" s="254" t="str">
        <f>IFERROR(__xludf.DUMMYFUNCTION("""COMPUTED_VALUE"""),"e_gom_00801_general_vh_Normal_Green")</f>
        <v>e_gom_00801_general_vh_Normal_Green</v>
      </c>
      <c r="E399" s="254" t="str">
        <f>IFERROR(__xludf.DUMMYFUNCTION("""COMPUTED_VALUE"""),"姫様“拷問”の時間です")</f>
        <v>姫様“拷問”の時間です</v>
      </c>
      <c r="F399" s="254" t="str">
        <f>IFERROR(__xludf.DUMMYFUNCTION("""COMPUTED_VALUE"""),"ライス")</f>
        <v>ライス</v>
      </c>
      <c r="G399" s="254" t="str">
        <f>IFERROR(__xludf.DUMMYFUNCTION("""COMPUTED_VALUE"""),"ライス_general_vh")</f>
        <v>ライス_general_vh</v>
      </c>
      <c r="H399" s="235" t="str">
        <f>IFERROR(__xludf.DUMMYFUNCTION("""COMPUTED_VALUE"""),"Normal")</f>
        <v>Normal</v>
      </c>
      <c r="I399" s="235" t="str">
        <f>IFERROR(__xludf.DUMMYFUNCTION("""COMPUTED_VALUE"""),"Defense")</f>
        <v>Defense</v>
      </c>
      <c r="J399" s="235" t="str">
        <f>IFERROR(__xludf.DUMMYFUNCTION("""COMPUTED_VALUE"""),"Green")</f>
        <v>Green</v>
      </c>
      <c r="K399" s="235">
        <f>IFERROR(__xludf.DUMMYFUNCTION("""COMPUTED_VALUE"""),1000.0)</f>
        <v>1000</v>
      </c>
      <c r="L399" s="235">
        <f>IFERROR(__xludf.DUMMYFUNCTION("""COMPUTED_VALUE"""),0.0)</f>
        <v>0</v>
      </c>
      <c r="M399" s="235">
        <f>IFERROR(__xludf.DUMMYFUNCTION("""COMPUTED_VALUE"""),31.0)</f>
        <v>31</v>
      </c>
      <c r="N399" s="235">
        <f>IFERROR(__xludf.DUMMYFUNCTION("""COMPUTED_VALUE"""),0.11)</f>
        <v>0.11</v>
      </c>
      <c r="O399" s="235">
        <f>IFERROR(__xludf.DUMMYFUNCTION("""COMPUTED_VALUE"""),100.0)</f>
        <v>100</v>
      </c>
      <c r="P399" s="235">
        <f>IFERROR(__xludf.DUMMYFUNCTION("""COMPUTED_VALUE"""),0.0)</f>
        <v>0</v>
      </c>
      <c r="Q399" s="235">
        <f>IFERROR(__xludf.DUMMYFUNCTION("""COMPUTED_VALUE"""),0.12)</f>
        <v>0.12</v>
      </c>
      <c r="R399" s="235">
        <f>IFERROR(__xludf.DUMMYFUNCTION("""COMPUTED_VALUE"""),1.0)</f>
        <v>1</v>
      </c>
      <c r="S399" s="235">
        <f>IFERROR(__xludf.DUMMYFUNCTION("""COMPUTED_VALUE"""),100.0)</f>
        <v>100</v>
      </c>
      <c r="T399" s="244" t="str">
        <f>IFERROR(__xludf.DUMMYFUNCTION("""COMPUTED_VALUE"""),"1.00")</f>
        <v>1.00</v>
      </c>
      <c r="U399" s="235" t="str">
        <f>IFERROR(__xludf.DUMMYFUNCTION("""COMPUTED_VALUE"""),"0.833")</f>
        <v>0.833</v>
      </c>
      <c r="V399" s="235">
        <f>IFERROR(__xludf.DUMMYFUNCTION("""COMPUTED_VALUE"""),100.0)</f>
        <v>100</v>
      </c>
      <c r="W399" s="235" t="str">
        <f>IFERROR(__xludf.DUMMYFUNCTION("""COMPUTED_VALUE"""),"-")</f>
        <v>-</v>
      </c>
      <c r="X399" s="235" t="str">
        <f>IFERROR(__xludf.DUMMYFUNCTION("""COMPUTED_VALUE"""),"-")</f>
        <v>-</v>
      </c>
      <c r="Y399" s="235"/>
      <c r="Z399" s="235" t="str">
        <f>IFERROR(__xludf.DUMMYFUNCTION("""COMPUTED_VALUE"""),"-")</f>
        <v>-</v>
      </c>
      <c r="AA399" s="235"/>
      <c r="AB399" s="235"/>
      <c r="AC399" s="235"/>
    </row>
    <row r="400">
      <c r="A400" s="235"/>
      <c r="B400" s="235" t="str">
        <f>IFERROR(__xludf.DUMMYFUNCTION("""COMPUTED_VALUE"""),"enemy_gom_00801")</f>
        <v>enemy_gom_00801</v>
      </c>
      <c r="C400" s="254" t="str">
        <f>IFERROR(__xludf.DUMMYFUNCTION("""COMPUTED_VALUE"""),"_general_vh")</f>
        <v>_general_vh</v>
      </c>
      <c r="D400" s="254" t="str">
        <f>IFERROR(__xludf.DUMMYFUNCTION("""COMPUTED_VALUE"""),"e_gom_00801_general_vh_Normal_Blue")</f>
        <v>e_gom_00801_general_vh_Normal_Blue</v>
      </c>
      <c r="E400" s="254" t="str">
        <f>IFERROR(__xludf.DUMMYFUNCTION("""COMPUTED_VALUE"""),"姫様“拷問”の時間です")</f>
        <v>姫様“拷問”の時間です</v>
      </c>
      <c r="F400" s="254" t="str">
        <f>IFERROR(__xludf.DUMMYFUNCTION("""COMPUTED_VALUE"""),"ライス")</f>
        <v>ライス</v>
      </c>
      <c r="G400" s="254" t="str">
        <f>IFERROR(__xludf.DUMMYFUNCTION("""COMPUTED_VALUE"""),"ライス_general_vh")</f>
        <v>ライス_general_vh</v>
      </c>
      <c r="H400" s="235" t="str">
        <f>IFERROR(__xludf.DUMMYFUNCTION("""COMPUTED_VALUE"""),"Normal")</f>
        <v>Normal</v>
      </c>
      <c r="I400" s="235" t="str">
        <f>IFERROR(__xludf.DUMMYFUNCTION("""COMPUTED_VALUE"""),"Defense")</f>
        <v>Defense</v>
      </c>
      <c r="J400" s="235" t="str">
        <f>IFERROR(__xludf.DUMMYFUNCTION("""COMPUTED_VALUE"""),"Blue")</f>
        <v>Blue</v>
      </c>
      <c r="K400" s="235">
        <f>IFERROR(__xludf.DUMMYFUNCTION("""COMPUTED_VALUE"""),1000.0)</f>
        <v>1000</v>
      </c>
      <c r="L400" s="235">
        <f>IFERROR(__xludf.DUMMYFUNCTION("""COMPUTED_VALUE"""),0.0)</f>
        <v>0</v>
      </c>
      <c r="M400" s="235">
        <f>IFERROR(__xludf.DUMMYFUNCTION("""COMPUTED_VALUE"""),31.0)</f>
        <v>31</v>
      </c>
      <c r="N400" s="235">
        <f>IFERROR(__xludf.DUMMYFUNCTION("""COMPUTED_VALUE"""),0.11)</f>
        <v>0.11</v>
      </c>
      <c r="O400" s="235">
        <f>IFERROR(__xludf.DUMMYFUNCTION("""COMPUTED_VALUE"""),100.0)</f>
        <v>100</v>
      </c>
      <c r="P400" s="235">
        <f>IFERROR(__xludf.DUMMYFUNCTION("""COMPUTED_VALUE"""),0.0)</f>
        <v>0</v>
      </c>
      <c r="Q400" s="235">
        <f>IFERROR(__xludf.DUMMYFUNCTION("""COMPUTED_VALUE"""),0.12)</f>
        <v>0.12</v>
      </c>
      <c r="R400" s="235">
        <f>IFERROR(__xludf.DUMMYFUNCTION("""COMPUTED_VALUE"""),1.0)</f>
        <v>1</v>
      </c>
      <c r="S400" s="235">
        <f>IFERROR(__xludf.DUMMYFUNCTION("""COMPUTED_VALUE"""),100.0)</f>
        <v>100</v>
      </c>
      <c r="T400" s="244" t="str">
        <f>IFERROR(__xludf.DUMMYFUNCTION("""COMPUTED_VALUE"""),"1.00")</f>
        <v>1.00</v>
      </c>
      <c r="U400" s="235" t="str">
        <f>IFERROR(__xludf.DUMMYFUNCTION("""COMPUTED_VALUE"""),"0.833")</f>
        <v>0.833</v>
      </c>
      <c r="V400" s="235">
        <f>IFERROR(__xludf.DUMMYFUNCTION("""COMPUTED_VALUE"""),100.0)</f>
        <v>100</v>
      </c>
      <c r="W400" s="235" t="str">
        <f>IFERROR(__xludf.DUMMYFUNCTION("""COMPUTED_VALUE"""),"-")</f>
        <v>-</v>
      </c>
      <c r="X400" s="235" t="str">
        <f>IFERROR(__xludf.DUMMYFUNCTION("""COMPUTED_VALUE"""),"-")</f>
        <v>-</v>
      </c>
      <c r="Y400" s="235"/>
      <c r="Z400" s="235" t="str">
        <f>IFERROR(__xludf.DUMMYFUNCTION("""COMPUTED_VALUE"""),"-")</f>
        <v>-</v>
      </c>
      <c r="AA400" s="235"/>
      <c r="AB400" s="235"/>
      <c r="AC400" s="235"/>
    </row>
    <row r="401">
      <c r="A401" s="235"/>
      <c r="B401" s="235" t="str">
        <f>IFERROR(__xludf.DUMMYFUNCTION("""COMPUTED_VALUE"""),"enemy_gom_00901")</f>
        <v>enemy_gom_00901</v>
      </c>
      <c r="C401" s="254" t="str">
        <f>IFERROR(__xludf.DUMMYFUNCTION("""COMPUTED_VALUE"""),"_general_n")</f>
        <v>_general_n</v>
      </c>
      <c r="D401" s="254" t="str">
        <f>IFERROR(__xludf.DUMMYFUNCTION("""COMPUTED_VALUE"""),"e_gom_00901_general_n_Normal_Colorless")</f>
        <v>e_gom_00901_general_n_Normal_Colorless</v>
      </c>
      <c r="E401" s="254" t="str">
        <f>IFERROR(__xludf.DUMMYFUNCTION("""COMPUTED_VALUE"""),"姫様“拷問”の時間です")</f>
        <v>姫様“拷問”の時間です</v>
      </c>
      <c r="F401" s="254" t="str">
        <f>IFERROR(__xludf.DUMMYFUNCTION("""COMPUTED_VALUE"""),"ライス (海苔)")</f>
        <v>ライス (海苔)</v>
      </c>
      <c r="G401" s="254" t="str">
        <f>IFERROR(__xludf.DUMMYFUNCTION("""COMPUTED_VALUE"""),"ライス(海苔)_general_n")</f>
        <v>ライス(海苔)_general_n</v>
      </c>
      <c r="H401" s="235" t="str">
        <f>IFERROR(__xludf.DUMMYFUNCTION("""COMPUTED_VALUE"""),"Normal")</f>
        <v>Normal</v>
      </c>
      <c r="I401" s="235" t="str">
        <f>IFERROR(__xludf.DUMMYFUNCTION("""COMPUTED_VALUE"""),"Attack")</f>
        <v>Attack</v>
      </c>
      <c r="J401" s="235" t="str">
        <f>IFERROR(__xludf.DUMMYFUNCTION("""COMPUTED_VALUE"""),"Colorless")</f>
        <v>Colorless</v>
      </c>
      <c r="K401" s="235">
        <f>IFERROR(__xludf.DUMMYFUNCTION("""COMPUTED_VALUE"""),1000.0)</f>
        <v>1000</v>
      </c>
      <c r="L401" s="235">
        <f>IFERROR(__xludf.DUMMYFUNCTION("""COMPUTED_VALUE"""),0.0)</f>
        <v>0</v>
      </c>
      <c r="M401" s="235">
        <f>IFERROR(__xludf.DUMMYFUNCTION("""COMPUTED_VALUE"""),40.0)</f>
        <v>40</v>
      </c>
      <c r="N401" s="235">
        <f>IFERROR(__xludf.DUMMYFUNCTION("""COMPUTED_VALUE"""),0.11)</f>
        <v>0.11</v>
      </c>
      <c r="O401" s="235">
        <f>IFERROR(__xludf.DUMMYFUNCTION("""COMPUTED_VALUE"""),50.0)</f>
        <v>50</v>
      </c>
      <c r="P401" s="235">
        <f>IFERROR(__xludf.DUMMYFUNCTION("""COMPUTED_VALUE"""),0.0)</f>
        <v>0</v>
      </c>
      <c r="Q401" s="235">
        <f>IFERROR(__xludf.DUMMYFUNCTION("""COMPUTED_VALUE"""),0.12)</f>
        <v>0.12</v>
      </c>
      <c r="R401" s="235">
        <f>IFERROR(__xludf.DUMMYFUNCTION("""COMPUTED_VALUE"""),1.0)</f>
        <v>1</v>
      </c>
      <c r="S401" s="235">
        <f>IFERROR(__xludf.DUMMYFUNCTION("""COMPUTED_VALUE"""),100.0)</f>
        <v>100</v>
      </c>
      <c r="T401" s="244" t="str">
        <f>IFERROR(__xludf.DUMMYFUNCTION("""COMPUTED_VALUE"""),"1.00")</f>
        <v>1.00</v>
      </c>
      <c r="U401" s="235" t="str">
        <f>IFERROR(__xludf.DUMMYFUNCTION("""COMPUTED_VALUE"""),"0.833")</f>
        <v>0.833</v>
      </c>
      <c r="V401" s="235">
        <f>IFERROR(__xludf.DUMMYFUNCTION("""COMPUTED_VALUE"""),50.0)</f>
        <v>50</v>
      </c>
      <c r="W401" s="235" t="str">
        <f>IFERROR(__xludf.DUMMYFUNCTION("""COMPUTED_VALUE"""),"-")</f>
        <v>-</v>
      </c>
      <c r="X401" s="235" t="str">
        <f>IFERROR(__xludf.DUMMYFUNCTION("""COMPUTED_VALUE"""),"-")</f>
        <v>-</v>
      </c>
      <c r="Y401" s="235"/>
      <c r="Z401" s="235" t="str">
        <f>IFERROR(__xludf.DUMMYFUNCTION("""COMPUTED_VALUE"""),"-")</f>
        <v>-</v>
      </c>
      <c r="AA401" s="235"/>
      <c r="AB401" s="235"/>
      <c r="AC401" s="235"/>
    </row>
    <row r="402">
      <c r="A402" s="235"/>
      <c r="B402" s="235" t="str">
        <f>IFERROR(__xludf.DUMMYFUNCTION("""COMPUTED_VALUE"""),"enemy_gom_00901")</f>
        <v>enemy_gom_00901</v>
      </c>
      <c r="C402" s="254" t="str">
        <f>IFERROR(__xludf.DUMMYFUNCTION("""COMPUTED_VALUE"""),"_general_n")</f>
        <v>_general_n</v>
      </c>
      <c r="D402" s="254" t="str">
        <f>IFERROR(__xludf.DUMMYFUNCTION("""COMPUTED_VALUE"""),"e_gom_00901_general_n_Normal_Yellow")</f>
        <v>e_gom_00901_general_n_Normal_Yellow</v>
      </c>
      <c r="E402" s="254" t="str">
        <f>IFERROR(__xludf.DUMMYFUNCTION("""COMPUTED_VALUE"""),"姫様“拷問”の時間です")</f>
        <v>姫様“拷問”の時間です</v>
      </c>
      <c r="F402" s="254" t="str">
        <f>IFERROR(__xludf.DUMMYFUNCTION("""COMPUTED_VALUE"""),"ライス (海苔)")</f>
        <v>ライス (海苔)</v>
      </c>
      <c r="G402" s="254" t="str">
        <f>IFERROR(__xludf.DUMMYFUNCTION("""COMPUTED_VALUE"""),"ライス(海苔)_general_n")</f>
        <v>ライス(海苔)_general_n</v>
      </c>
      <c r="H402" s="235" t="str">
        <f>IFERROR(__xludf.DUMMYFUNCTION("""COMPUTED_VALUE"""),"Normal")</f>
        <v>Normal</v>
      </c>
      <c r="I402" s="235" t="str">
        <f>IFERROR(__xludf.DUMMYFUNCTION("""COMPUTED_VALUE"""),"Attack")</f>
        <v>Attack</v>
      </c>
      <c r="J402" s="235" t="str">
        <f>IFERROR(__xludf.DUMMYFUNCTION("""COMPUTED_VALUE"""),"Yellow")</f>
        <v>Yellow</v>
      </c>
      <c r="K402" s="235">
        <f>IFERROR(__xludf.DUMMYFUNCTION("""COMPUTED_VALUE"""),1000.0)</f>
        <v>1000</v>
      </c>
      <c r="L402" s="235">
        <f>IFERROR(__xludf.DUMMYFUNCTION("""COMPUTED_VALUE"""),0.0)</f>
        <v>0</v>
      </c>
      <c r="M402" s="235">
        <f>IFERROR(__xludf.DUMMYFUNCTION("""COMPUTED_VALUE"""),40.0)</f>
        <v>40</v>
      </c>
      <c r="N402" s="235">
        <f>IFERROR(__xludf.DUMMYFUNCTION("""COMPUTED_VALUE"""),0.11)</f>
        <v>0.11</v>
      </c>
      <c r="O402" s="235">
        <f>IFERROR(__xludf.DUMMYFUNCTION("""COMPUTED_VALUE"""),50.0)</f>
        <v>50</v>
      </c>
      <c r="P402" s="235">
        <f>IFERROR(__xludf.DUMMYFUNCTION("""COMPUTED_VALUE"""),0.0)</f>
        <v>0</v>
      </c>
      <c r="Q402" s="235">
        <f>IFERROR(__xludf.DUMMYFUNCTION("""COMPUTED_VALUE"""),0.12)</f>
        <v>0.12</v>
      </c>
      <c r="R402" s="235">
        <f>IFERROR(__xludf.DUMMYFUNCTION("""COMPUTED_VALUE"""),1.0)</f>
        <v>1</v>
      </c>
      <c r="S402" s="235">
        <f>IFERROR(__xludf.DUMMYFUNCTION("""COMPUTED_VALUE"""),100.0)</f>
        <v>100</v>
      </c>
      <c r="T402" s="244" t="str">
        <f>IFERROR(__xludf.DUMMYFUNCTION("""COMPUTED_VALUE"""),"1.00")</f>
        <v>1.00</v>
      </c>
      <c r="U402" s="235" t="str">
        <f>IFERROR(__xludf.DUMMYFUNCTION("""COMPUTED_VALUE"""),"0.833")</f>
        <v>0.833</v>
      </c>
      <c r="V402" s="235">
        <f>IFERROR(__xludf.DUMMYFUNCTION("""COMPUTED_VALUE"""),50.0)</f>
        <v>50</v>
      </c>
      <c r="W402" s="235" t="str">
        <f>IFERROR(__xludf.DUMMYFUNCTION("""COMPUTED_VALUE"""),"-")</f>
        <v>-</v>
      </c>
      <c r="X402" s="235" t="str">
        <f>IFERROR(__xludf.DUMMYFUNCTION("""COMPUTED_VALUE"""),"-")</f>
        <v>-</v>
      </c>
      <c r="Y402" s="235"/>
      <c r="Z402" s="235" t="str">
        <f>IFERROR(__xludf.DUMMYFUNCTION("""COMPUTED_VALUE"""),"-")</f>
        <v>-</v>
      </c>
      <c r="AA402" s="235"/>
      <c r="AB402" s="235"/>
      <c r="AC402" s="235"/>
    </row>
    <row r="403">
      <c r="A403" s="235"/>
      <c r="B403" s="235" t="str">
        <f>IFERROR(__xludf.DUMMYFUNCTION("""COMPUTED_VALUE"""),"enemy_gom_00901")</f>
        <v>enemy_gom_00901</v>
      </c>
      <c r="C403" s="254" t="str">
        <f>IFERROR(__xludf.DUMMYFUNCTION("""COMPUTED_VALUE"""),"_general_vh")</f>
        <v>_general_vh</v>
      </c>
      <c r="D403" s="254" t="str">
        <f>IFERROR(__xludf.DUMMYFUNCTION("""COMPUTED_VALUE"""),"e_gom_00901_general_vh_Normal_Red")</f>
        <v>e_gom_00901_general_vh_Normal_Red</v>
      </c>
      <c r="E403" s="254" t="str">
        <f>IFERROR(__xludf.DUMMYFUNCTION("""COMPUTED_VALUE"""),"姫様“拷問”の時間です")</f>
        <v>姫様“拷問”の時間です</v>
      </c>
      <c r="F403" s="254" t="str">
        <f>IFERROR(__xludf.DUMMYFUNCTION("""COMPUTED_VALUE"""),"ライス (海苔)")</f>
        <v>ライス (海苔)</v>
      </c>
      <c r="G403" s="254" t="str">
        <f>IFERROR(__xludf.DUMMYFUNCTION("""COMPUTED_VALUE"""),"ライス(海苔)_general_vh")</f>
        <v>ライス(海苔)_general_vh</v>
      </c>
      <c r="H403" s="235" t="str">
        <f>IFERROR(__xludf.DUMMYFUNCTION("""COMPUTED_VALUE"""),"Normal")</f>
        <v>Normal</v>
      </c>
      <c r="I403" s="235" t="str">
        <f>IFERROR(__xludf.DUMMYFUNCTION("""COMPUTED_VALUE"""),"Attack")</f>
        <v>Attack</v>
      </c>
      <c r="J403" s="235" t="str">
        <f>IFERROR(__xludf.DUMMYFUNCTION("""COMPUTED_VALUE"""),"Red")</f>
        <v>Red</v>
      </c>
      <c r="K403" s="235">
        <f>IFERROR(__xludf.DUMMYFUNCTION("""COMPUTED_VALUE"""),1000.0)</f>
        <v>1000</v>
      </c>
      <c r="L403" s="235">
        <f>IFERROR(__xludf.DUMMYFUNCTION("""COMPUTED_VALUE"""),0.0)</f>
        <v>0</v>
      </c>
      <c r="M403" s="235">
        <f>IFERROR(__xludf.DUMMYFUNCTION("""COMPUTED_VALUE"""),40.0)</f>
        <v>40</v>
      </c>
      <c r="N403" s="235">
        <f>IFERROR(__xludf.DUMMYFUNCTION("""COMPUTED_VALUE"""),0.11)</f>
        <v>0.11</v>
      </c>
      <c r="O403" s="235">
        <f>IFERROR(__xludf.DUMMYFUNCTION("""COMPUTED_VALUE"""),100.0)</f>
        <v>100</v>
      </c>
      <c r="P403" s="235">
        <f>IFERROR(__xludf.DUMMYFUNCTION("""COMPUTED_VALUE"""),0.0)</f>
        <v>0</v>
      </c>
      <c r="Q403" s="235">
        <f>IFERROR(__xludf.DUMMYFUNCTION("""COMPUTED_VALUE"""),0.12)</f>
        <v>0.12</v>
      </c>
      <c r="R403" s="235">
        <f>IFERROR(__xludf.DUMMYFUNCTION("""COMPUTED_VALUE"""),1.0)</f>
        <v>1</v>
      </c>
      <c r="S403" s="235">
        <f>IFERROR(__xludf.DUMMYFUNCTION("""COMPUTED_VALUE"""),100.0)</f>
        <v>100</v>
      </c>
      <c r="T403" s="244" t="str">
        <f>IFERROR(__xludf.DUMMYFUNCTION("""COMPUTED_VALUE"""),"1.00")</f>
        <v>1.00</v>
      </c>
      <c r="U403" s="235" t="str">
        <f>IFERROR(__xludf.DUMMYFUNCTION("""COMPUTED_VALUE"""),"0.833")</f>
        <v>0.833</v>
      </c>
      <c r="V403" s="235">
        <f>IFERROR(__xludf.DUMMYFUNCTION("""COMPUTED_VALUE"""),50.0)</f>
        <v>50</v>
      </c>
      <c r="W403" s="235" t="str">
        <f>IFERROR(__xludf.DUMMYFUNCTION("""COMPUTED_VALUE"""),"-")</f>
        <v>-</v>
      </c>
      <c r="X403" s="235" t="str">
        <f>IFERROR(__xludf.DUMMYFUNCTION("""COMPUTED_VALUE"""),"-")</f>
        <v>-</v>
      </c>
      <c r="Y403" s="235"/>
      <c r="Z403" s="235" t="str">
        <f>IFERROR(__xludf.DUMMYFUNCTION("""COMPUTED_VALUE"""),"-")</f>
        <v>-</v>
      </c>
      <c r="AA403" s="235"/>
      <c r="AB403" s="235"/>
      <c r="AC403" s="235"/>
    </row>
    <row r="404">
      <c r="A404" s="235"/>
      <c r="B404" s="235" t="str">
        <f>IFERROR(__xludf.DUMMYFUNCTION("""COMPUTED_VALUE"""),"enemy_gom_00901")</f>
        <v>enemy_gom_00901</v>
      </c>
      <c r="C404" s="254" t="str">
        <f>IFERROR(__xludf.DUMMYFUNCTION("""COMPUTED_VALUE"""),"_general_vh")</f>
        <v>_general_vh</v>
      </c>
      <c r="D404" s="254" t="str">
        <f>IFERROR(__xludf.DUMMYFUNCTION("""COMPUTED_VALUE"""),"e_gom_00901_general_vh_Normal_Green")</f>
        <v>e_gom_00901_general_vh_Normal_Green</v>
      </c>
      <c r="E404" s="254" t="str">
        <f>IFERROR(__xludf.DUMMYFUNCTION("""COMPUTED_VALUE"""),"姫様“拷問”の時間です")</f>
        <v>姫様“拷問”の時間です</v>
      </c>
      <c r="F404" s="254" t="str">
        <f>IFERROR(__xludf.DUMMYFUNCTION("""COMPUTED_VALUE"""),"ライス (海苔)")</f>
        <v>ライス (海苔)</v>
      </c>
      <c r="G404" s="254" t="str">
        <f>IFERROR(__xludf.DUMMYFUNCTION("""COMPUTED_VALUE"""),"ライス(海苔)_general_vh")</f>
        <v>ライス(海苔)_general_vh</v>
      </c>
      <c r="H404" s="235" t="str">
        <f>IFERROR(__xludf.DUMMYFUNCTION("""COMPUTED_VALUE"""),"Normal")</f>
        <v>Normal</v>
      </c>
      <c r="I404" s="235" t="str">
        <f>IFERROR(__xludf.DUMMYFUNCTION("""COMPUTED_VALUE"""),"Technical")</f>
        <v>Technical</v>
      </c>
      <c r="J404" s="235" t="str">
        <f>IFERROR(__xludf.DUMMYFUNCTION("""COMPUTED_VALUE"""),"Green")</f>
        <v>Green</v>
      </c>
      <c r="K404" s="235">
        <f>IFERROR(__xludf.DUMMYFUNCTION("""COMPUTED_VALUE"""),1000.0)</f>
        <v>1000</v>
      </c>
      <c r="L404" s="235">
        <f>IFERROR(__xludf.DUMMYFUNCTION("""COMPUTED_VALUE"""),0.0)</f>
        <v>0</v>
      </c>
      <c r="M404" s="235">
        <f>IFERROR(__xludf.DUMMYFUNCTION("""COMPUTED_VALUE"""),40.0)</f>
        <v>40</v>
      </c>
      <c r="N404" s="235">
        <f>IFERROR(__xludf.DUMMYFUNCTION("""COMPUTED_VALUE"""),0.11)</f>
        <v>0.11</v>
      </c>
      <c r="O404" s="235">
        <f>IFERROR(__xludf.DUMMYFUNCTION("""COMPUTED_VALUE"""),100.0)</f>
        <v>100</v>
      </c>
      <c r="P404" s="235">
        <f>IFERROR(__xludf.DUMMYFUNCTION("""COMPUTED_VALUE"""),0.0)</f>
        <v>0</v>
      </c>
      <c r="Q404" s="235">
        <f>IFERROR(__xludf.DUMMYFUNCTION("""COMPUTED_VALUE"""),0.12)</f>
        <v>0.12</v>
      </c>
      <c r="R404" s="235">
        <f>IFERROR(__xludf.DUMMYFUNCTION("""COMPUTED_VALUE"""),1.0)</f>
        <v>1</v>
      </c>
      <c r="S404" s="235">
        <f>IFERROR(__xludf.DUMMYFUNCTION("""COMPUTED_VALUE"""),100.0)</f>
        <v>100</v>
      </c>
      <c r="T404" s="244" t="str">
        <f>IFERROR(__xludf.DUMMYFUNCTION("""COMPUTED_VALUE"""),"1.00")</f>
        <v>1.00</v>
      </c>
      <c r="U404" s="235" t="str">
        <f>IFERROR(__xludf.DUMMYFUNCTION("""COMPUTED_VALUE"""),"0.833")</f>
        <v>0.833</v>
      </c>
      <c r="V404" s="235">
        <f>IFERROR(__xludf.DUMMYFUNCTION("""COMPUTED_VALUE"""),50.0)</f>
        <v>50</v>
      </c>
      <c r="W404" s="235" t="str">
        <f>IFERROR(__xludf.DUMMYFUNCTION("""COMPUTED_VALUE"""),"-")</f>
        <v>-</v>
      </c>
      <c r="X404" s="235" t="str">
        <f>IFERROR(__xludf.DUMMYFUNCTION("""COMPUTED_VALUE"""),"-")</f>
        <v>-</v>
      </c>
      <c r="Y404" s="235"/>
      <c r="Z404" s="235" t="str">
        <f>IFERROR(__xludf.DUMMYFUNCTION("""COMPUTED_VALUE"""),"-")</f>
        <v>-</v>
      </c>
      <c r="AA404" s="235"/>
      <c r="AB404" s="235"/>
      <c r="AC404" s="235" t="str">
        <f>IFERROR(__xludf.DUMMYFUNCTION("""COMPUTED_VALUE"""),"通常攻撃時30%の確率で攻撃力ダウン(60%/10秒間)")</f>
        <v>通常攻撃時30%の確率で攻撃力ダウン(60%/10秒間)</v>
      </c>
    </row>
    <row r="405">
      <c r="A405" s="235"/>
      <c r="B405" s="235" t="str">
        <f>IFERROR(__xludf.DUMMYFUNCTION("""COMPUTED_VALUE"""),"enemy_gom_00901")</f>
        <v>enemy_gom_00901</v>
      </c>
      <c r="C405" s="254" t="str">
        <f>IFERROR(__xludf.DUMMYFUNCTION("""COMPUTED_VALUE"""),"_general_vh")</f>
        <v>_general_vh</v>
      </c>
      <c r="D405" s="254" t="str">
        <f>IFERROR(__xludf.DUMMYFUNCTION("""COMPUTED_VALUE"""),"e_gom_00901_general_vh_Normal_Blue")</f>
        <v>e_gom_00901_general_vh_Normal_Blue</v>
      </c>
      <c r="E405" s="254" t="str">
        <f>IFERROR(__xludf.DUMMYFUNCTION("""COMPUTED_VALUE"""),"姫様“拷問”の時間です")</f>
        <v>姫様“拷問”の時間です</v>
      </c>
      <c r="F405" s="254" t="str">
        <f>IFERROR(__xludf.DUMMYFUNCTION("""COMPUTED_VALUE"""),"ライス (海苔)")</f>
        <v>ライス (海苔)</v>
      </c>
      <c r="G405" s="254" t="str">
        <f>IFERROR(__xludf.DUMMYFUNCTION("""COMPUTED_VALUE"""),"ライス(海苔)_general_vh")</f>
        <v>ライス(海苔)_general_vh</v>
      </c>
      <c r="H405" s="235" t="str">
        <f>IFERROR(__xludf.DUMMYFUNCTION("""COMPUTED_VALUE"""),"Normal")</f>
        <v>Normal</v>
      </c>
      <c r="I405" s="235" t="str">
        <f>IFERROR(__xludf.DUMMYFUNCTION("""COMPUTED_VALUE"""),"Technical")</f>
        <v>Technical</v>
      </c>
      <c r="J405" s="235" t="str">
        <f>IFERROR(__xludf.DUMMYFUNCTION("""COMPUTED_VALUE"""),"Blue")</f>
        <v>Blue</v>
      </c>
      <c r="K405" s="235">
        <f>IFERROR(__xludf.DUMMYFUNCTION("""COMPUTED_VALUE"""),1000.0)</f>
        <v>1000</v>
      </c>
      <c r="L405" s="235">
        <f>IFERROR(__xludf.DUMMYFUNCTION("""COMPUTED_VALUE"""),0.0)</f>
        <v>0</v>
      </c>
      <c r="M405" s="235">
        <f>IFERROR(__xludf.DUMMYFUNCTION("""COMPUTED_VALUE"""),40.0)</f>
        <v>40</v>
      </c>
      <c r="N405" s="235">
        <f>IFERROR(__xludf.DUMMYFUNCTION("""COMPUTED_VALUE"""),0.11)</f>
        <v>0.11</v>
      </c>
      <c r="O405" s="235">
        <f>IFERROR(__xludf.DUMMYFUNCTION("""COMPUTED_VALUE"""),100.0)</f>
        <v>100</v>
      </c>
      <c r="P405" s="235">
        <f>IFERROR(__xludf.DUMMYFUNCTION("""COMPUTED_VALUE"""),0.0)</f>
        <v>0</v>
      </c>
      <c r="Q405" s="235">
        <f>IFERROR(__xludf.DUMMYFUNCTION("""COMPUTED_VALUE"""),0.12)</f>
        <v>0.12</v>
      </c>
      <c r="R405" s="235">
        <f>IFERROR(__xludf.DUMMYFUNCTION("""COMPUTED_VALUE"""),1.0)</f>
        <v>1</v>
      </c>
      <c r="S405" s="235">
        <f>IFERROR(__xludf.DUMMYFUNCTION("""COMPUTED_VALUE"""),100.0)</f>
        <v>100</v>
      </c>
      <c r="T405" s="244" t="str">
        <f>IFERROR(__xludf.DUMMYFUNCTION("""COMPUTED_VALUE"""),"1.00")</f>
        <v>1.00</v>
      </c>
      <c r="U405" s="235" t="str">
        <f>IFERROR(__xludf.DUMMYFUNCTION("""COMPUTED_VALUE"""),"0.833")</f>
        <v>0.833</v>
      </c>
      <c r="V405" s="235">
        <f>IFERROR(__xludf.DUMMYFUNCTION("""COMPUTED_VALUE"""),50.0)</f>
        <v>50</v>
      </c>
      <c r="W405" s="235" t="str">
        <f>IFERROR(__xludf.DUMMYFUNCTION("""COMPUTED_VALUE"""),"-")</f>
        <v>-</v>
      </c>
      <c r="X405" s="235" t="str">
        <f>IFERROR(__xludf.DUMMYFUNCTION("""COMPUTED_VALUE"""),"-")</f>
        <v>-</v>
      </c>
      <c r="Y405" s="235"/>
      <c r="Z405" s="235" t="str">
        <f>IFERROR(__xludf.DUMMYFUNCTION("""COMPUTED_VALUE"""),"-")</f>
        <v>-</v>
      </c>
      <c r="AA405" s="235"/>
      <c r="AB405" s="235"/>
      <c r="AC405" s="235" t="str">
        <f>IFERROR(__xludf.DUMMYFUNCTION("""COMPUTED_VALUE"""),"通常攻撃時30%の確率で小ノックバック")</f>
        <v>通常攻撃時30%の確率で小ノックバック</v>
      </c>
    </row>
    <row r="406">
      <c r="A406" s="235"/>
      <c r="B406" s="235" t="str">
        <f>IFERROR(__xludf.DUMMYFUNCTION("""COMPUTED_VALUE"""),"chara_gom_00001")</f>
        <v>chara_gom_00001</v>
      </c>
      <c r="C406" s="254" t="str">
        <f>IFERROR(__xludf.DUMMYFUNCTION("""COMPUTED_VALUE"""),"_general_n")</f>
        <v>_general_n</v>
      </c>
      <c r="D406" s="254" t="str">
        <f>IFERROR(__xludf.DUMMYFUNCTION("""COMPUTED_VALUE"""),"c_gom_00001_general_n_Boss_Yellow")</f>
        <v>c_gom_00001_general_n_Boss_Yellow</v>
      </c>
      <c r="E406" s="254" t="str">
        <f>IFERROR(__xludf.DUMMYFUNCTION("""COMPUTED_VALUE"""),"姫様“拷問”の時間です")</f>
        <v>姫様“拷問”の時間です</v>
      </c>
      <c r="F406" s="254" t="str">
        <f>IFERROR(__xludf.DUMMYFUNCTION("""COMPUTED_VALUE"""),"囚われの王女 姫様")</f>
        <v>囚われの王女 姫様</v>
      </c>
      <c r="G406" s="254" t="str">
        <f>IFERROR(__xludf.DUMMYFUNCTION("""COMPUTED_VALUE"""),"囚われの王女 姫様_general_n")</f>
        <v>囚われの王女 姫様_general_n</v>
      </c>
      <c r="H406" s="235" t="str">
        <f>IFERROR(__xludf.DUMMYFUNCTION("""COMPUTED_VALUE"""),"Boss")</f>
        <v>Boss</v>
      </c>
      <c r="I406" s="235" t="str">
        <f>IFERROR(__xludf.DUMMYFUNCTION("""COMPUTED_VALUE"""),"Defense")</f>
        <v>Defense</v>
      </c>
      <c r="J406" s="235" t="str">
        <f>IFERROR(__xludf.DUMMYFUNCTION("""COMPUTED_VALUE"""),"Yellow")</f>
        <v>Yellow</v>
      </c>
      <c r="K406" s="235">
        <f>IFERROR(__xludf.DUMMYFUNCTION("""COMPUTED_VALUE"""),10000.0)</f>
        <v>10000</v>
      </c>
      <c r="L406" s="235">
        <f>IFERROR(__xludf.DUMMYFUNCTION("""COMPUTED_VALUE"""),1.0)</f>
        <v>1</v>
      </c>
      <c r="M406" s="235">
        <f>IFERROR(__xludf.DUMMYFUNCTION("""COMPUTED_VALUE"""),25.0)</f>
        <v>25</v>
      </c>
      <c r="N406" s="235">
        <f>IFERROR(__xludf.DUMMYFUNCTION("""COMPUTED_VALUE"""),0.16)</f>
        <v>0.16</v>
      </c>
      <c r="O406" s="235">
        <f>IFERROR(__xludf.DUMMYFUNCTION("""COMPUTED_VALUE"""),50.0)</f>
        <v>50</v>
      </c>
      <c r="P406" s="235">
        <f>IFERROR(__xludf.DUMMYFUNCTION("""COMPUTED_VALUE"""),0.0)</f>
        <v>0</v>
      </c>
      <c r="Q406" s="235">
        <f>IFERROR(__xludf.DUMMYFUNCTION("""COMPUTED_VALUE"""),0.17)</f>
        <v>0.17</v>
      </c>
      <c r="R406" s="235">
        <f>IFERROR(__xludf.DUMMYFUNCTION("""COMPUTED_VALUE"""),1.0)</f>
        <v>1</v>
      </c>
      <c r="S406" s="235">
        <f>IFERROR(__xludf.DUMMYFUNCTION("""COMPUTED_VALUE"""),500.0)</f>
        <v>500</v>
      </c>
      <c r="T406" s="244" t="str">
        <f>IFERROR(__xludf.DUMMYFUNCTION("""COMPUTED_VALUE"""),"1.30")</f>
        <v>1.30</v>
      </c>
      <c r="U406" s="235" t="str">
        <f>IFERROR(__xludf.DUMMYFUNCTION("""COMPUTED_VALUE"""),"stop有:1回目 0.50")</f>
        <v>stop有:1回目 0.50</v>
      </c>
      <c r="V406" s="235">
        <f>IFERROR(__xludf.DUMMYFUNCTION("""COMPUTED_VALUE"""),100.0)</f>
        <v>100</v>
      </c>
      <c r="W406" s="235" t="str">
        <f>IFERROR(__xludf.DUMMYFUNCTION("""COMPUTED_VALUE"""),"4.00")</f>
        <v>4.00</v>
      </c>
      <c r="X406" s="235" t="str">
        <f>IFERROR(__xludf.DUMMYFUNCTION("""COMPUTED_VALUE"""),"stop無:1回目 2.3")</f>
        <v>stop無:1回目 2.3</v>
      </c>
      <c r="Y406" s="235" t="str">
        <f>IFERROR(__xludf.DUMMYFUNCTION("""COMPUTED_VALUE"""),"10秒間5%ダメージカット")</f>
        <v>10秒間5%ダメージカット</v>
      </c>
      <c r="Z406" s="235">
        <f>IFERROR(__xludf.DUMMYFUNCTION("""COMPUTED_VALUE"""),6.0)</f>
        <v>6</v>
      </c>
      <c r="AA406" s="235"/>
      <c r="AB406" s="235"/>
      <c r="AC406" s="235"/>
    </row>
    <row r="407">
      <c r="A407" s="235"/>
      <c r="B407" s="235" t="str">
        <f>IFERROR(__xludf.DUMMYFUNCTION("""COMPUTED_VALUE"""),"chara_gom_00001")</f>
        <v>chara_gom_00001</v>
      </c>
      <c r="C407" s="254" t="str">
        <f>IFERROR(__xludf.DUMMYFUNCTION("""COMPUTED_VALUE"""),"_general_h")</f>
        <v>_general_h</v>
      </c>
      <c r="D407" s="254" t="str">
        <f>IFERROR(__xludf.DUMMYFUNCTION("""COMPUTED_VALUE"""),"c_gom_00001_general_h_Boss_Yellow")</f>
        <v>c_gom_00001_general_h_Boss_Yellow</v>
      </c>
      <c r="E407" s="254" t="str">
        <f>IFERROR(__xludf.DUMMYFUNCTION("""COMPUTED_VALUE"""),"姫様“拷問”の時間です")</f>
        <v>姫様“拷問”の時間です</v>
      </c>
      <c r="F407" s="254" t="str">
        <f>IFERROR(__xludf.DUMMYFUNCTION("""COMPUTED_VALUE"""),"囚われの王女 姫様")</f>
        <v>囚われの王女 姫様</v>
      </c>
      <c r="G407" s="254" t="str">
        <f>IFERROR(__xludf.DUMMYFUNCTION("""COMPUTED_VALUE"""),"囚われの王女 姫様_general_h")</f>
        <v>囚われの王女 姫様_general_h</v>
      </c>
      <c r="H407" s="235" t="str">
        <f>IFERROR(__xludf.DUMMYFUNCTION("""COMPUTED_VALUE"""),"Boss")</f>
        <v>Boss</v>
      </c>
      <c r="I407" s="235" t="str">
        <f>IFERROR(__xludf.DUMMYFUNCTION("""COMPUTED_VALUE"""),"Defense")</f>
        <v>Defense</v>
      </c>
      <c r="J407" s="235" t="str">
        <f>IFERROR(__xludf.DUMMYFUNCTION("""COMPUTED_VALUE"""),"Yellow")</f>
        <v>Yellow</v>
      </c>
      <c r="K407" s="235">
        <f>IFERROR(__xludf.DUMMYFUNCTION("""COMPUTED_VALUE"""),10000.0)</f>
        <v>10000</v>
      </c>
      <c r="L407" s="235">
        <f>IFERROR(__xludf.DUMMYFUNCTION("""COMPUTED_VALUE"""),1.0)</f>
        <v>1</v>
      </c>
      <c r="M407" s="235">
        <f>IFERROR(__xludf.DUMMYFUNCTION("""COMPUTED_VALUE"""),25.0)</f>
        <v>25</v>
      </c>
      <c r="N407" s="235">
        <f>IFERROR(__xludf.DUMMYFUNCTION("""COMPUTED_VALUE"""),0.16)</f>
        <v>0.16</v>
      </c>
      <c r="O407" s="235">
        <f>IFERROR(__xludf.DUMMYFUNCTION("""COMPUTED_VALUE"""),100.0)</f>
        <v>100</v>
      </c>
      <c r="P407" s="235">
        <f>IFERROR(__xludf.DUMMYFUNCTION("""COMPUTED_VALUE"""),0.0)</f>
        <v>0</v>
      </c>
      <c r="Q407" s="235">
        <f>IFERROR(__xludf.DUMMYFUNCTION("""COMPUTED_VALUE"""),0.17)</f>
        <v>0.17</v>
      </c>
      <c r="R407" s="235">
        <f>IFERROR(__xludf.DUMMYFUNCTION("""COMPUTED_VALUE"""),1.0)</f>
        <v>1</v>
      </c>
      <c r="S407" s="235">
        <f>IFERROR(__xludf.DUMMYFUNCTION("""COMPUTED_VALUE"""),500.0)</f>
        <v>500</v>
      </c>
      <c r="T407" s="244" t="str">
        <f>IFERROR(__xludf.DUMMYFUNCTION("""COMPUTED_VALUE"""),"1.30")</f>
        <v>1.30</v>
      </c>
      <c r="U407" s="235" t="str">
        <f>IFERROR(__xludf.DUMMYFUNCTION("""COMPUTED_VALUE"""),"stop有:1回目 0.50")</f>
        <v>stop有:1回目 0.50</v>
      </c>
      <c r="V407" s="235">
        <f>IFERROR(__xludf.DUMMYFUNCTION("""COMPUTED_VALUE"""),100.0)</f>
        <v>100</v>
      </c>
      <c r="W407" s="235" t="str">
        <f>IFERROR(__xludf.DUMMYFUNCTION("""COMPUTED_VALUE"""),"4.00")</f>
        <v>4.00</v>
      </c>
      <c r="X407" s="235" t="str">
        <f>IFERROR(__xludf.DUMMYFUNCTION("""COMPUTED_VALUE"""),"stop無:1回目 2.3")</f>
        <v>stop無:1回目 2.3</v>
      </c>
      <c r="Y407" s="235" t="str">
        <f>IFERROR(__xludf.DUMMYFUNCTION("""COMPUTED_VALUE"""),"40秒間10%ダメージカット")</f>
        <v>40秒間10%ダメージカット</v>
      </c>
      <c r="Z407" s="235">
        <f>IFERROR(__xludf.DUMMYFUNCTION("""COMPUTED_VALUE"""),5.0)</f>
        <v>5</v>
      </c>
      <c r="AA407" s="235"/>
      <c r="AB407" s="235"/>
      <c r="AC407" s="235"/>
    </row>
    <row r="408">
      <c r="A408" s="235"/>
      <c r="B408" s="235" t="str">
        <f>IFERROR(__xludf.DUMMYFUNCTION("""COMPUTED_VALUE"""),"enemy_glo_00001")</f>
        <v>enemy_glo_00001</v>
      </c>
      <c r="C408" s="254" t="str">
        <f>IFERROR(__xludf.DUMMYFUNCTION("""COMPUTED_VALUE"""),"_general_h")</f>
        <v>_general_h</v>
      </c>
      <c r="D408" s="254" t="str">
        <f>IFERROR(__xludf.DUMMYFUNCTION("""COMPUTED_VALUE"""),"e_glo_00001_general_h_Normal_Yellow")</f>
        <v>e_glo_00001_general_h_Normal_Yellow</v>
      </c>
      <c r="E408" s="254" t="str">
        <f>IFERROR(__xludf.DUMMYFUNCTION("""COMPUTED_VALUE"""),"GLOW")</f>
        <v>GLOW</v>
      </c>
      <c r="F408" s="254" t="str">
        <f>IFERROR(__xludf.DUMMYFUNCTION("""COMPUTED_VALUE"""),"ファントム")</f>
        <v>ファントム</v>
      </c>
      <c r="G408" s="254" t="str">
        <f>IFERROR(__xludf.DUMMYFUNCTION("""COMPUTED_VALUE"""),"ファントム_general_h")</f>
        <v>ファントム_general_h</v>
      </c>
      <c r="H408" s="235" t="str">
        <f>IFERROR(__xludf.DUMMYFUNCTION("""COMPUTED_VALUE"""),"Normal")</f>
        <v>Normal</v>
      </c>
      <c r="I408" s="235" t="str">
        <f>IFERROR(__xludf.DUMMYFUNCTION("""COMPUTED_VALUE"""),"Attack")</f>
        <v>Attack</v>
      </c>
      <c r="J408" s="235" t="str">
        <f>IFERROR(__xludf.DUMMYFUNCTION("""COMPUTED_VALUE"""),"Yellow")</f>
        <v>Yellow</v>
      </c>
      <c r="K408" s="235">
        <f>IFERROR(__xludf.DUMMYFUNCTION("""COMPUTED_VALUE"""),1000.0)</f>
        <v>1000</v>
      </c>
      <c r="L408" s="235">
        <f>IFERROR(__xludf.DUMMYFUNCTION("""COMPUTED_VALUE"""),1.0)</f>
        <v>1</v>
      </c>
      <c r="M408" s="235">
        <f>IFERROR(__xludf.DUMMYFUNCTION("""COMPUTED_VALUE"""),40.0)</f>
        <v>40</v>
      </c>
      <c r="N408" s="235">
        <f>IFERROR(__xludf.DUMMYFUNCTION("""COMPUTED_VALUE"""),0.2)</f>
        <v>0.2</v>
      </c>
      <c r="O408" s="235">
        <f>IFERROR(__xludf.DUMMYFUNCTION("""COMPUTED_VALUE"""),100.0)</f>
        <v>100</v>
      </c>
      <c r="P408" s="235">
        <f>IFERROR(__xludf.DUMMYFUNCTION("""COMPUTED_VALUE"""),0.0)</f>
        <v>0</v>
      </c>
      <c r="Q408" s="235">
        <f>IFERROR(__xludf.DUMMYFUNCTION("""COMPUTED_VALUE"""),0.21)</f>
        <v>0.21</v>
      </c>
      <c r="R408" s="235">
        <f>IFERROR(__xludf.DUMMYFUNCTION("""COMPUTED_VALUE"""),1.0)</f>
        <v>1</v>
      </c>
      <c r="S408" s="235">
        <f>IFERROR(__xludf.DUMMYFUNCTION("""COMPUTED_VALUE"""),100.0)</f>
        <v>100</v>
      </c>
      <c r="T408" s="244" t="str">
        <f>IFERROR(__xludf.DUMMYFUNCTION("""COMPUTED_VALUE"""),"1.00")</f>
        <v>1.00</v>
      </c>
      <c r="U408" s="235" t="str">
        <f>IFERROR(__xludf.DUMMYFUNCTION("""COMPUTED_VALUE"""),"0.50")</f>
        <v>0.50</v>
      </c>
      <c r="V408" s="235">
        <f>IFERROR(__xludf.DUMMYFUNCTION("""COMPUTED_VALUE"""),100.0)</f>
        <v>100</v>
      </c>
      <c r="W408" s="235"/>
      <c r="X408" s="235"/>
      <c r="Y408" s="235"/>
      <c r="Z408" s="235" t="str">
        <f>IFERROR(__xludf.DUMMYFUNCTION("""COMPUTED_VALUE"""),"-")</f>
        <v>-</v>
      </c>
      <c r="AA408" s="235"/>
      <c r="AB408" s="235"/>
      <c r="AC408" s="235"/>
    </row>
    <row r="409">
      <c r="A409" s="235"/>
      <c r="B409" s="235"/>
      <c r="C409" s="254"/>
      <c r="D409" s="254" t="str">
        <f>IFERROR(__xludf.DUMMYFUNCTION("""COMPUTED_VALUE"""),"___")</f>
        <v>___</v>
      </c>
      <c r="E409" s="254" t="str">
        <f>IFERROR(__xludf.DUMMYFUNCTION("""COMPUTED_VALUE"""),"none")</f>
        <v>none</v>
      </c>
      <c r="F409" s="254" t="str">
        <f>IFERROR(__xludf.DUMMYFUNCTION("""COMPUTED_VALUE"""),"none")</f>
        <v>none</v>
      </c>
      <c r="G409" s="254" t="str">
        <f>IFERROR(__xludf.DUMMYFUNCTION("""COMPUTED_VALUE"""),"none")</f>
        <v>none</v>
      </c>
      <c r="H409" s="235"/>
      <c r="I409" s="235" t="str">
        <f>IFERROR(__xludf.DUMMYFUNCTION("""COMPUTED_VALUE"""),"none")</f>
        <v>none</v>
      </c>
      <c r="J409" s="235"/>
      <c r="K409" s="235"/>
      <c r="L409" s="235"/>
      <c r="M409" s="235"/>
      <c r="N409" s="235"/>
      <c r="O409" s="235"/>
      <c r="P409" s="235"/>
      <c r="Q409" s="235"/>
      <c r="R409" s="235"/>
      <c r="S409" s="235"/>
      <c r="T409" s="244" t="str">
        <f>IFERROR(__xludf.DUMMYFUNCTION("""COMPUTED_VALUE"""),"none")</f>
        <v>none</v>
      </c>
      <c r="U409" s="235" t="str">
        <f>IFERROR(__xludf.DUMMYFUNCTION("""COMPUTED_VALUE"""),"none")</f>
        <v>none</v>
      </c>
      <c r="V409" s="235"/>
      <c r="W409" s="235" t="str">
        <f>IFERROR(__xludf.DUMMYFUNCTION("""COMPUTED_VALUE"""),"none")</f>
        <v>none</v>
      </c>
      <c r="X409" s="235" t="str">
        <f>IFERROR(__xludf.DUMMYFUNCTION("""COMPUTED_VALUE"""),"none")</f>
        <v>none</v>
      </c>
      <c r="Y409" s="235"/>
      <c r="Z409" s="235" t="str">
        <f>IFERROR(__xludf.DUMMYFUNCTION("""COMPUTED_VALUE"""),"-")</f>
        <v>-</v>
      </c>
      <c r="AA409" s="235"/>
      <c r="AB409" s="235"/>
      <c r="AC409" s="235"/>
    </row>
    <row r="410">
      <c r="A410" s="235"/>
      <c r="B410" s="235" t="str">
        <f>IFERROR(__xludf.DUMMYFUNCTION("""COMPUTED_VALUE"""),"chara_aka_00101")</f>
        <v>chara_aka_00101</v>
      </c>
      <c r="C410" s="254" t="str">
        <f>IFERROR(__xludf.DUMMYFUNCTION("""COMPUTED_VALUE"""),"_general_h")</f>
        <v>_general_h</v>
      </c>
      <c r="D410" s="254" t="str">
        <f>IFERROR(__xludf.DUMMYFUNCTION("""COMPUTED_VALUE"""),"c_aka_00101_general_h_Normal_Colorless")</f>
        <v>c_aka_00101_general_h_Normal_Colorless</v>
      </c>
      <c r="E410" s="254" t="str">
        <f>IFERROR(__xludf.DUMMYFUNCTION("""COMPUTED_VALUE"""),"ラーメン赤猫")</f>
        <v>ラーメン赤猫</v>
      </c>
      <c r="F410" s="254" t="str">
        <f>IFERROR(__xludf.DUMMYFUNCTION("""COMPUTED_VALUE"""),"文蔵")</f>
        <v>文蔵</v>
      </c>
      <c r="G410" s="254" t="str">
        <f>IFERROR(__xludf.DUMMYFUNCTION("""COMPUTED_VALUE"""),"文蔵_general_h")</f>
        <v>文蔵_general_h</v>
      </c>
      <c r="H410" s="235" t="str">
        <f>IFERROR(__xludf.DUMMYFUNCTION("""COMPUTED_VALUE"""),"Normal")</f>
        <v>Normal</v>
      </c>
      <c r="I410" s="235" t="str">
        <f>IFERROR(__xludf.DUMMYFUNCTION("""COMPUTED_VALUE"""),"Attack")</f>
        <v>Attack</v>
      </c>
      <c r="J410" s="235" t="str">
        <f>IFERROR(__xludf.DUMMYFUNCTION("""COMPUTED_VALUE"""),"Colorless")</f>
        <v>Colorless</v>
      </c>
      <c r="K410" s="235">
        <f>IFERROR(__xludf.DUMMYFUNCTION("""COMPUTED_VALUE"""),10000.0)</f>
        <v>10000</v>
      </c>
      <c r="L410" s="235">
        <f>IFERROR(__xludf.DUMMYFUNCTION("""COMPUTED_VALUE"""),1.0)</f>
        <v>1</v>
      </c>
      <c r="M410" s="235">
        <f>IFERROR(__xludf.DUMMYFUNCTION("""COMPUTED_VALUE"""),31.0)</f>
        <v>31</v>
      </c>
      <c r="N410" s="235">
        <f>IFERROR(__xludf.DUMMYFUNCTION("""COMPUTED_VALUE"""),0.2)</f>
        <v>0.2</v>
      </c>
      <c r="O410" s="235">
        <f>IFERROR(__xludf.DUMMYFUNCTION("""COMPUTED_VALUE"""),100.0)</f>
        <v>100</v>
      </c>
      <c r="P410" s="235">
        <f>IFERROR(__xludf.DUMMYFUNCTION("""COMPUTED_VALUE"""),0.0)</f>
        <v>0</v>
      </c>
      <c r="Q410" s="235">
        <f>IFERROR(__xludf.DUMMYFUNCTION("""COMPUTED_VALUE"""),0.21)</f>
        <v>0.21</v>
      </c>
      <c r="R410" s="235">
        <f>IFERROR(__xludf.DUMMYFUNCTION("""COMPUTED_VALUE"""),1.0)</f>
        <v>1</v>
      </c>
      <c r="S410" s="235">
        <f>IFERROR(__xludf.DUMMYFUNCTION("""COMPUTED_VALUE"""),150.0)</f>
        <v>150</v>
      </c>
      <c r="T410" s="244" t="str">
        <f>IFERROR(__xludf.DUMMYFUNCTION("""COMPUTED_VALUE"""),"1.50")</f>
        <v>1.50</v>
      </c>
      <c r="U410" s="235" t="str">
        <f>IFERROR(__xludf.DUMMYFUNCTION("""COMPUTED_VALUE"""),"stop無:1回目 0.54")</f>
        <v>stop無:1回目 0.54</v>
      </c>
      <c r="V410" s="235">
        <f>IFERROR(__xludf.DUMMYFUNCTION("""COMPUTED_VALUE"""),150.0)</f>
        <v>150</v>
      </c>
      <c r="W410" s="235" t="str">
        <f>IFERROR(__xludf.DUMMYFUNCTION("""COMPUTED_VALUE"""),"4.50")</f>
        <v>4.50</v>
      </c>
      <c r="X410" s="235" t="str">
        <f>IFERROR(__xludf.DUMMYFUNCTION("""COMPUTED_VALUE"""),"stop無:1回目 1.37
stop無:2回目 1.63
stop有:3回目 2.67")</f>
        <v>stop無:1回目 1.37
stop無:2回目 1.63
stop有:3回目 2.67</v>
      </c>
      <c r="Y410" s="235"/>
      <c r="Z410" s="235" t="str">
        <f>IFERROR(__xludf.DUMMYFUNCTION("""COMPUTED_VALUE"""),"-")</f>
        <v>-</v>
      </c>
      <c r="AA410" s="235"/>
      <c r="AB410" s="235"/>
      <c r="AC410" s="235"/>
    </row>
    <row r="411">
      <c r="A411" s="235"/>
      <c r="B411" s="235" t="str">
        <f>IFERROR(__xludf.DUMMYFUNCTION("""COMPUTED_VALUE"""),"chara_aka_00101")</f>
        <v>chara_aka_00101</v>
      </c>
      <c r="C411" s="254" t="str">
        <f>IFERROR(__xludf.DUMMYFUNCTION("""COMPUTED_VALUE"""),"_general_vh")</f>
        <v>_general_vh</v>
      </c>
      <c r="D411" s="254" t="str">
        <f>IFERROR(__xludf.DUMMYFUNCTION("""COMPUTED_VALUE"""),"c_aka_00101_general_vh_Normal_Red")</f>
        <v>c_aka_00101_general_vh_Normal_Red</v>
      </c>
      <c r="E411" s="254" t="str">
        <f>IFERROR(__xludf.DUMMYFUNCTION("""COMPUTED_VALUE"""),"ラーメン赤猫")</f>
        <v>ラーメン赤猫</v>
      </c>
      <c r="F411" s="254" t="str">
        <f>IFERROR(__xludf.DUMMYFUNCTION("""COMPUTED_VALUE"""),"文蔵")</f>
        <v>文蔵</v>
      </c>
      <c r="G411" s="254" t="str">
        <f>IFERROR(__xludf.DUMMYFUNCTION("""COMPUTED_VALUE"""),"文蔵_general_vh")</f>
        <v>文蔵_general_vh</v>
      </c>
      <c r="H411" s="235" t="str">
        <f>IFERROR(__xludf.DUMMYFUNCTION("""COMPUTED_VALUE"""),"Normal")</f>
        <v>Normal</v>
      </c>
      <c r="I411" s="235" t="str">
        <f>IFERROR(__xludf.DUMMYFUNCTION("""COMPUTED_VALUE"""),"Attack")</f>
        <v>Attack</v>
      </c>
      <c r="J411" s="235" t="str">
        <f>IFERROR(__xludf.DUMMYFUNCTION("""COMPUTED_VALUE"""),"Red")</f>
        <v>Red</v>
      </c>
      <c r="K411" s="235">
        <f>IFERROR(__xludf.DUMMYFUNCTION("""COMPUTED_VALUE"""),10000.0)</f>
        <v>10000</v>
      </c>
      <c r="L411" s="235">
        <f>IFERROR(__xludf.DUMMYFUNCTION("""COMPUTED_VALUE"""),1.0)</f>
        <v>1</v>
      </c>
      <c r="M411" s="235">
        <f>IFERROR(__xludf.DUMMYFUNCTION("""COMPUTED_VALUE"""),31.0)</f>
        <v>31</v>
      </c>
      <c r="N411" s="235">
        <f>IFERROR(__xludf.DUMMYFUNCTION("""COMPUTED_VALUE"""),0.2)</f>
        <v>0.2</v>
      </c>
      <c r="O411" s="235">
        <f>IFERROR(__xludf.DUMMYFUNCTION("""COMPUTED_VALUE"""),100.0)</f>
        <v>100</v>
      </c>
      <c r="P411" s="235">
        <f>IFERROR(__xludf.DUMMYFUNCTION("""COMPUTED_VALUE"""),0.0)</f>
        <v>0</v>
      </c>
      <c r="Q411" s="235">
        <f>IFERROR(__xludf.DUMMYFUNCTION("""COMPUTED_VALUE"""),0.21)</f>
        <v>0.21</v>
      </c>
      <c r="R411" s="235">
        <f>IFERROR(__xludf.DUMMYFUNCTION("""COMPUTED_VALUE"""),1.0)</f>
        <v>1</v>
      </c>
      <c r="S411" s="235">
        <f>IFERROR(__xludf.DUMMYFUNCTION("""COMPUTED_VALUE"""),150.0)</f>
        <v>150</v>
      </c>
      <c r="T411" s="244" t="str">
        <f>IFERROR(__xludf.DUMMYFUNCTION("""COMPUTED_VALUE"""),"1.50")</f>
        <v>1.50</v>
      </c>
      <c r="U411" s="235" t="str">
        <f>IFERROR(__xludf.DUMMYFUNCTION("""COMPUTED_VALUE"""),"stop無:1回目 0.54")</f>
        <v>stop無:1回目 0.54</v>
      </c>
      <c r="V411" s="235">
        <f>IFERROR(__xludf.DUMMYFUNCTION("""COMPUTED_VALUE"""),150.0)</f>
        <v>150</v>
      </c>
      <c r="W411" s="235" t="str">
        <f>IFERROR(__xludf.DUMMYFUNCTION("""COMPUTED_VALUE"""),"4.50")</f>
        <v>4.50</v>
      </c>
      <c r="X411" s="235" t="str">
        <f>IFERROR(__xludf.DUMMYFUNCTION("""COMPUTED_VALUE"""),"stop無:1回目 1.37
stop無:2回目 1.63
stop有:3回目 2.67")</f>
        <v>stop無:1回目 1.37
stop無:2回目 1.63
stop有:3回目 2.67</v>
      </c>
      <c r="Y411" s="235"/>
      <c r="Z411" s="235" t="str">
        <f>IFERROR(__xludf.DUMMYFUNCTION("""COMPUTED_VALUE"""),"-")</f>
        <v>-</v>
      </c>
      <c r="AA411" s="235"/>
      <c r="AB411" s="235"/>
      <c r="AC411" s="235"/>
    </row>
    <row r="412">
      <c r="A412" s="235"/>
      <c r="B412" s="235" t="str">
        <f>IFERROR(__xludf.DUMMYFUNCTION("""COMPUTED_VALUE"""),"chara_aka_00101")</f>
        <v>chara_aka_00101</v>
      </c>
      <c r="C412" s="254" t="str">
        <f>IFERROR(__xludf.DUMMYFUNCTION("""COMPUTED_VALUE"""),"_general_n")</f>
        <v>_general_n</v>
      </c>
      <c r="D412" s="254" t="str">
        <f>IFERROR(__xludf.DUMMYFUNCTION("""COMPUTED_VALUE"""),"c_aka_00101_general_n_Boss_Colorless")</f>
        <v>c_aka_00101_general_n_Boss_Colorless</v>
      </c>
      <c r="E412" s="254" t="str">
        <f>IFERROR(__xludf.DUMMYFUNCTION("""COMPUTED_VALUE"""),"ラーメン赤猫")</f>
        <v>ラーメン赤猫</v>
      </c>
      <c r="F412" s="254" t="str">
        <f>IFERROR(__xludf.DUMMYFUNCTION("""COMPUTED_VALUE"""),"文蔵")</f>
        <v>文蔵</v>
      </c>
      <c r="G412" s="254" t="str">
        <f>IFERROR(__xludf.DUMMYFUNCTION("""COMPUTED_VALUE"""),"文蔵_general_n")</f>
        <v>文蔵_general_n</v>
      </c>
      <c r="H412" s="235" t="str">
        <f>IFERROR(__xludf.DUMMYFUNCTION("""COMPUTED_VALUE"""),"Boss")</f>
        <v>Boss</v>
      </c>
      <c r="I412" s="235" t="str">
        <f>IFERROR(__xludf.DUMMYFUNCTION("""COMPUTED_VALUE"""),"Attack")</f>
        <v>Attack</v>
      </c>
      <c r="J412" s="235" t="str">
        <f>IFERROR(__xludf.DUMMYFUNCTION("""COMPUTED_VALUE"""),"Colorless")</f>
        <v>Colorless</v>
      </c>
      <c r="K412" s="235">
        <f>IFERROR(__xludf.DUMMYFUNCTION("""COMPUTED_VALUE"""),10000.0)</f>
        <v>10000</v>
      </c>
      <c r="L412" s="235">
        <f>IFERROR(__xludf.DUMMYFUNCTION("""COMPUTED_VALUE"""),1.0)</f>
        <v>1</v>
      </c>
      <c r="M412" s="235">
        <f>IFERROR(__xludf.DUMMYFUNCTION("""COMPUTED_VALUE"""),31.0)</f>
        <v>31</v>
      </c>
      <c r="N412" s="235">
        <f>IFERROR(__xludf.DUMMYFUNCTION("""COMPUTED_VALUE"""),0.2)</f>
        <v>0.2</v>
      </c>
      <c r="O412" s="235">
        <f>IFERROR(__xludf.DUMMYFUNCTION("""COMPUTED_VALUE"""),50.0)</f>
        <v>50</v>
      </c>
      <c r="P412" s="235">
        <f>IFERROR(__xludf.DUMMYFUNCTION("""COMPUTED_VALUE"""),0.0)</f>
        <v>0</v>
      </c>
      <c r="Q412" s="235">
        <f>IFERROR(__xludf.DUMMYFUNCTION("""COMPUTED_VALUE"""),0.21)</f>
        <v>0.21</v>
      </c>
      <c r="R412" s="235">
        <f>IFERROR(__xludf.DUMMYFUNCTION("""COMPUTED_VALUE"""),1.0)</f>
        <v>1</v>
      </c>
      <c r="S412" s="235">
        <f>IFERROR(__xludf.DUMMYFUNCTION("""COMPUTED_VALUE"""),500.0)</f>
        <v>500</v>
      </c>
      <c r="T412" s="244" t="str">
        <f>IFERROR(__xludf.DUMMYFUNCTION("""COMPUTED_VALUE"""),"1.50")</f>
        <v>1.50</v>
      </c>
      <c r="U412" s="235" t="str">
        <f>IFERROR(__xludf.DUMMYFUNCTION("""COMPUTED_VALUE"""),"stop無:1回目 0.54")</f>
        <v>stop無:1回目 0.54</v>
      </c>
      <c r="V412" s="235">
        <f>IFERROR(__xludf.DUMMYFUNCTION("""COMPUTED_VALUE"""),150.0)</f>
        <v>150</v>
      </c>
      <c r="W412" s="235" t="str">
        <f>IFERROR(__xludf.DUMMYFUNCTION("""COMPUTED_VALUE"""),"4.50")</f>
        <v>4.50</v>
      </c>
      <c r="X412" s="235" t="str">
        <f>IFERROR(__xludf.DUMMYFUNCTION("""COMPUTED_VALUE"""),"stop無:1回目 1.37
stop無:2回目 1.63
stop有:3回目 2.67")</f>
        <v>stop無:1回目 1.37
stop無:2回目 1.63
stop有:3回目 2.67</v>
      </c>
      <c r="Y412" s="235"/>
      <c r="Z412" s="235">
        <f>IFERROR(__xludf.DUMMYFUNCTION("""COMPUTED_VALUE"""),6.0)</f>
        <v>6</v>
      </c>
      <c r="AA412" s="235"/>
      <c r="AB412" s="235"/>
      <c r="AC412" s="235"/>
    </row>
    <row r="413">
      <c r="A413" s="235"/>
      <c r="B413" s="235" t="str">
        <f>IFERROR(__xludf.DUMMYFUNCTION("""COMPUTED_VALUE"""),"chara_aka_00101")</f>
        <v>chara_aka_00101</v>
      </c>
      <c r="C413" s="254" t="str">
        <f>IFERROR(__xludf.DUMMYFUNCTION("""COMPUTED_VALUE"""),"_general_n")</f>
        <v>_general_n</v>
      </c>
      <c r="D413" s="254" t="str">
        <f>IFERROR(__xludf.DUMMYFUNCTION("""COMPUTED_VALUE"""),"c_aka_00101_general_n_Boss_Red")</f>
        <v>c_aka_00101_general_n_Boss_Red</v>
      </c>
      <c r="E413" s="254" t="str">
        <f>IFERROR(__xludf.DUMMYFUNCTION("""COMPUTED_VALUE"""),"ラーメン赤猫")</f>
        <v>ラーメン赤猫</v>
      </c>
      <c r="F413" s="254" t="str">
        <f>IFERROR(__xludf.DUMMYFUNCTION("""COMPUTED_VALUE"""),"文蔵")</f>
        <v>文蔵</v>
      </c>
      <c r="G413" s="254" t="str">
        <f>IFERROR(__xludf.DUMMYFUNCTION("""COMPUTED_VALUE"""),"文蔵_general_n")</f>
        <v>文蔵_general_n</v>
      </c>
      <c r="H413" s="235" t="str">
        <f>IFERROR(__xludf.DUMMYFUNCTION("""COMPUTED_VALUE"""),"Boss")</f>
        <v>Boss</v>
      </c>
      <c r="I413" s="235" t="str">
        <f>IFERROR(__xludf.DUMMYFUNCTION("""COMPUTED_VALUE"""),"Attack")</f>
        <v>Attack</v>
      </c>
      <c r="J413" s="235" t="str">
        <f>IFERROR(__xludf.DUMMYFUNCTION("""COMPUTED_VALUE"""),"Red")</f>
        <v>Red</v>
      </c>
      <c r="K413" s="235">
        <f>IFERROR(__xludf.DUMMYFUNCTION("""COMPUTED_VALUE"""),10000.0)</f>
        <v>10000</v>
      </c>
      <c r="L413" s="235">
        <f>IFERROR(__xludf.DUMMYFUNCTION("""COMPUTED_VALUE"""),1.0)</f>
        <v>1</v>
      </c>
      <c r="M413" s="235">
        <f>IFERROR(__xludf.DUMMYFUNCTION("""COMPUTED_VALUE"""),31.0)</f>
        <v>31</v>
      </c>
      <c r="N413" s="235">
        <f>IFERROR(__xludf.DUMMYFUNCTION("""COMPUTED_VALUE"""),0.2)</f>
        <v>0.2</v>
      </c>
      <c r="O413" s="235">
        <f>IFERROR(__xludf.DUMMYFUNCTION("""COMPUTED_VALUE"""),50.0)</f>
        <v>50</v>
      </c>
      <c r="P413" s="235">
        <f>IFERROR(__xludf.DUMMYFUNCTION("""COMPUTED_VALUE"""),0.0)</f>
        <v>0</v>
      </c>
      <c r="Q413" s="235">
        <f>IFERROR(__xludf.DUMMYFUNCTION("""COMPUTED_VALUE"""),0.21)</f>
        <v>0.21</v>
      </c>
      <c r="R413" s="235">
        <f>IFERROR(__xludf.DUMMYFUNCTION("""COMPUTED_VALUE"""),1.0)</f>
        <v>1</v>
      </c>
      <c r="S413" s="235">
        <f>IFERROR(__xludf.DUMMYFUNCTION("""COMPUTED_VALUE"""),500.0)</f>
        <v>500</v>
      </c>
      <c r="T413" s="244" t="str">
        <f>IFERROR(__xludf.DUMMYFUNCTION("""COMPUTED_VALUE"""),"1.50")</f>
        <v>1.50</v>
      </c>
      <c r="U413" s="235" t="str">
        <f>IFERROR(__xludf.DUMMYFUNCTION("""COMPUTED_VALUE"""),"stop無:1回目 0.54")</f>
        <v>stop無:1回目 0.54</v>
      </c>
      <c r="V413" s="235">
        <f>IFERROR(__xludf.DUMMYFUNCTION("""COMPUTED_VALUE"""),100.0)</f>
        <v>100</v>
      </c>
      <c r="W413" s="235" t="str">
        <f>IFERROR(__xludf.DUMMYFUNCTION("""COMPUTED_VALUE"""),"4.50")</f>
        <v>4.50</v>
      </c>
      <c r="X413" s="235" t="str">
        <f>IFERROR(__xludf.DUMMYFUNCTION("""COMPUTED_VALUE"""),"stop無:1回目 1.37
stop無:2回目 1.63
stop有:3回目 2.67")</f>
        <v>stop無:1回目 1.37
stop無:2回目 1.63
stop有:3回目 2.67</v>
      </c>
      <c r="Y413" s="235"/>
      <c r="Z413" s="235">
        <f>IFERROR(__xludf.DUMMYFUNCTION("""COMPUTED_VALUE"""),6.0)</f>
        <v>6</v>
      </c>
      <c r="AA413" s="235"/>
      <c r="AB413" s="235"/>
      <c r="AC413" s="235"/>
    </row>
    <row r="414">
      <c r="A414" s="235"/>
      <c r="B414" s="235" t="str">
        <f>IFERROR(__xludf.DUMMYFUNCTION("""COMPUTED_VALUE"""),"chara_aka_00101")</f>
        <v>chara_aka_00101</v>
      </c>
      <c r="C414" s="254" t="str">
        <f>IFERROR(__xludf.DUMMYFUNCTION("""COMPUTED_VALUE"""),"_general_h")</f>
        <v>_general_h</v>
      </c>
      <c r="D414" s="254" t="str">
        <f>IFERROR(__xludf.DUMMYFUNCTION("""COMPUTED_VALUE"""),"c_aka_00101_general_h_Boss_Colorless")</f>
        <v>c_aka_00101_general_h_Boss_Colorless</v>
      </c>
      <c r="E414" s="254" t="str">
        <f>IFERROR(__xludf.DUMMYFUNCTION("""COMPUTED_VALUE"""),"ラーメン赤猫")</f>
        <v>ラーメン赤猫</v>
      </c>
      <c r="F414" s="254" t="str">
        <f>IFERROR(__xludf.DUMMYFUNCTION("""COMPUTED_VALUE"""),"文蔵")</f>
        <v>文蔵</v>
      </c>
      <c r="G414" s="254" t="str">
        <f>IFERROR(__xludf.DUMMYFUNCTION("""COMPUTED_VALUE"""),"文蔵_general_h")</f>
        <v>文蔵_general_h</v>
      </c>
      <c r="H414" s="235" t="str">
        <f>IFERROR(__xludf.DUMMYFUNCTION("""COMPUTED_VALUE"""),"Boss")</f>
        <v>Boss</v>
      </c>
      <c r="I414" s="235" t="str">
        <f>IFERROR(__xludf.DUMMYFUNCTION("""COMPUTED_VALUE"""),"Technical")</f>
        <v>Technical</v>
      </c>
      <c r="J414" s="235" t="str">
        <f>IFERROR(__xludf.DUMMYFUNCTION("""COMPUTED_VALUE"""),"Colorless")</f>
        <v>Colorless</v>
      </c>
      <c r="K414" s="235">
        <f>IFERROR(__xludf.DUMMYFUNCTION("""COMPUTED_VALUE"""),10000.0)</f>
        <v>10000</v>
      </c>
      <c r="L414" s="235">
        <f>IFERROR(__xludf.DUMMYFUNCTION("""COMPUTED_VALUE"""),1.0)</f>
        <v>1</v>
      </c>
      <c r="M414" s="235">
        <f>IFERROR(__xludf.DUMMYFUNCTION("""COMPUTED_VALUE"""),31.0)</f>
        <v>31</v>
      </c>
      <c r="N414" s="235">
        <f>IFERROR(__xludf.DUMMYFUNCTION("""COMPUTED_VALUE"""),0.2)</f>
        <v>0.2</v>
      </c>
      <c r="O414" s="235">
        <f>IFERROR(__xludf.DUMMYFUNCTION("""COMPUTED_VALUE"""),100.0)</f>
        <v>100</v>
      </c>
      <c r="P414" s="235">
        <f>IFERROR(__xludf.DUMMYFUNCTION("""COMPUTED_VALUE"""),0.0)</f>
        <v>0</v>
      </c>
      <c r="Q414" s="235">
        <f>IFERROR(__xludf.DUMMYFUNCTION("""COMPUTED_VALUE"""),0.21)</f>
        <v>0.21</v>
      </c>
      <c r="R414" s="235">
        <f>IFERROR(__xludf.DUMMYFUNCTION("""COMPUTED_VALUE"""),1.0)</f>
        <v>1</v>
      </c>
      <c r="S414" s="235">
        <f>IFERROR(__xludf.DUMMYFUNCTION("""COMPUTED_VALUE"""),200.0)</f>
        <v>200</v>
      </c>
      <c r="T414" s="244" t="str">
        <f>IFERROR(__xludf.DUMMYFUNCTION("""COMPUTED_VALUE"""),"1.50")</f>
        <v>1.50</v>
      </c>
      <c r="U414" s="235" t="str">
        <f>IFERROR(__xludf.DUMMYFUNCTION("""COMPUTED_VALUE"""),"stop無:1回目 0.54")</f>
        <v>stop無:1回目 0.54</v>
      </c>
      <c r="V414" s="235">
        <f>IFERROR(__xludf.DUMMYFUNCTION("""COMPUTED_VALUE"""),100.0)</f>
        <v>100</v>
      </c>
      <c r="W414" s="235" t="str">
        <f>IFERROR(__xludf.DUMMYFUNCTION("""COMPUTED_VALUE"""),"4.50")</f>
        <v>4.50</v>
      </c>
      <c r="X414" s="235" t="str">
        <f>IFERROR(__xludf.DUMMYFUNCTION("""COMPUTED_VALUE"""),"stop無:1回目 1.37
stop無:2回目 1.63
stop有:3回目 2.67")</f>
        <v>stop無:1回目 1.37
stop無:2回目 1.63
stop有:3回目 2.67</v>
      </c>
      <c r="Y414" s="235" t="str">
        <f>IFERROR(__xludf.DUMMYFUNCTION("""COMPUTED_VALUE"""),"500ダメージの火傷(3秒間)")</f>
        <v>500ダメージの火傷(3秒間)</v>
      </c>
      <c r="Z414" s="235">
        <f>IFERROR(__xludf.DUMMYFUNCTION("""COMPUTED_VALUE"""),5.0)</f>
        <v>5</v>
      </c>
      <c r="AA414" s="235"/>
      <c r="AB414" s="235"/>
      <c r="AC414" s="235"/>
    </row>
    <row r="415">
      <c r="A415" s="235"/>
      <c r="B415" s="235" t="str">
        <f>IFERROR(__xludf.DUMMYFUNCTION("""COMPUTED_VALUE"""),"chara_aka_00101")</f>
        <v>chara_aka_00101</v>
      </c>
      <c r="C415" s="254" t="str">
        <f>IFERROR(__xludf.DUMMYFUNCTION("""COMPUTED_VALUE"""),"_general_h")</f>
        <v>_general_h</v>
      </c>
      <c r="D415" s="254" t="str">
        <f>IFERROR(__xludf.DUMMYFUNCTION("""COMPUTED_VALUE"""),"c_aka_00101_general_h_Boss_Red")</f>
        <v>c_aka_00101_general_h_Boss_Red</v>
      </c>
      <c r="E415" s="254" t="str">
        <f>IFERROR(__xludf.DUMMYFUNCTION("""COMPUTED_VALUE"""),"ラーメン赤猫")</f>
        <v>ラーメン赤猫</v>
      </c>
      <c r="F415" s="254" t="str">
        <f>IFERROR(__xludf.DUMMYFUNCTION("""COMPUTED_VALUE"""),"文蔵")</f>
        <v>文蔵</v>
      </c>
      <c r="G415" s="254" t="str">
        <f>IFERROR(__xludf.DUMMYFUNCTION("""COMPUTED_VALUE"""),"文蔵_general_h")</f>
        <v>文蔵_general_h</v>
      </c>
      <c r="H415" s="235" t="str">
        <f>IFERROR(__xludf.DUMMYFUNCTION("""COMPUTED_VALUE"""),"Boss")</f>
        <v>Boss</v>
      </c>
      <c r="I415" s="235" t="str">
        <f>IFERROR(__xludf.DUMMYFUNCTION("""COMPUTED_VALUE"""),"Technical")</f>
        <v>Technical</v>
      </c>
      <c r="J415" s="235" t="str">
        <f>IFERROR(__xludf.DUMMYFUNCTION("""COMPUTED_VALUE"""),"Red")</f>
        <v>Red</v>
      </c>
      <c r="K415" s="235">
        <f>IFERROR(__xludf.DUMMYFUNCTION("""COMPUTED_VALUE"""),10000.0)</f>
        <v>10000</v>
      </c>
      <c r="L415" s="235">
        <f>IFERROR(__xludf.DUMMYFUNCTION("""COMPUTED_VALUE"""),1.0)</f>
        <v>1</v>
      </c>
      <c r="M415" s="235">
        <f>IFERROR(__xludf.DUMMYFUNCTION("""COMPUTED_VALUE"""),31.0)</f>
        <v>31</v>
      </c>
      <c r="N415" s="235">
        <f>IFERROR(__xludf.DUMMYFUNCTION("""COMPUTED_VALUE"""),0.2)</f>
        <v>0.2</v>
      </c>
      <c r="O415" s="235">
        <f>IFERROR(__xludf.DUMMYFUNCTION("""COMPUTED_VALUE"""),100.0)</f>
        <v>100</v>
      </c>
      <c r="P415" s="235">
        <f>IFERROR(__xludf.DUMMYFUNCTION("""COMPUTED_VALUE"""),0.0)</f>
        <v>0</v>
      </c>
      <c r="Q415" s="235">
        <f>IFERROR(__xludf.DUMMYFUNCTION("""COMPUTED_VALUE"""),0.21)</f>
        <v>0.21</v>
      </c>
      <c r="R415" s="235">
        <f>IFERROR(__xludf.DUMMYFUNCTION("""COMPUTED_VALUE"""),1.0)</f>
        <v>1</v>
      </c>
      <c r="S415" s="235">
        <f>IFERROR(__xludf.DUMMYFUNCTION("""COMPUTED_VALUE"""),200.0)</f>
        <v>200</v>
      </c>
      <c r="T415" s="244" t="str">
        <f>IFERROR(__xludf.DUMMYFUNCTION("""COMPUTED_VALUE"""),"1.50")</f>
        <v>1.50</v>
      </c>
      <c r="U415" s="235" t="str">
        <f>IFERROR(__xludf.DUMMYFUNCTION("""COMPUTED_VALUE"""),"stop無:1回目 0.54")</f>
        <v>stop無:1回目 0.54</v>
      </c>
      <c r="V415" s="235">
        <f>IFERROR(__xludf.DUMMYFUNCTION("""COMPUTED_VALUE"""),100.0)</f>
        <v>100</v>
      </c>
      <c r="W415" s="235" t="str">
        <f>IFERROR(__xludf.DUMMYFUNCTION("""COMPUTED_VALUE"""),"4.50")</f>
        <v>4.50</v>
      </c>
      <c r="X415" s="235" t="str">
        <f>IFERROR(__xludf.DUMMYFUNCTION("""COMPUTED_VALUE"""),"stop無:1回目 1.37
stop無:2回目 1.63
stop有:3回目 2.67")</f>
        <v>stop無:1回目 1.37
stop無:2回目 1.63
stop有:3回目 2.67</v>
      </c>
      <c r="Y415" s="235" t="str">
        <f>IFERROR(__xludf.DUMMYFUNCTION("""COMPUTED_VALUE"""),"500ダメージの火傷(3秒間)")</f>
        <v>500ダメージの火傷(3秒間)</v>
      </c>
      <c r="Z415" s="235">
        <f>IFERROR(__xludf.DUMMYFUNCTION("""COMPUTED_VALUE"""),5.0)</f>
        <v>5</v>
      </c>
      <c r="AA415" s="235"/>
      <c r="AB415" s="235"/>
      <c r="AC415" s="235"/>
    </row>
    <row r="416">
      <c r="A416" s="235"/>
      <c r="B416" s="235" t="str">
        <f>IFERROR(__xludf.DUMMYFUNCTION("""COMPUTED_VALUE"""),"chara_aka_00101")</f>
        <v>chara_aka_00101</v>
      </c>
      <c r="C416" s="254" t="str">
        <f>IFERROR(__xludf.DUMMYFUNCTION("""COMPUTED_VALUE"""),"_general_vh")</f>
        <v>_general_vh</v>
      </c>
      <c r="D416" s="254" t="str">
        <f>IFERROR(__xludf.DUMMYFUNCTION("""COMPUTED_VALUE"""),"c_aka_00101_general_vh_Boss_Colorless")</f>
        <v>c_aka_00101_general_vh_Boss_Colorless</v>
      </c>
      <c r="E416" s="254" t="str">
        <f>IFERROR(__xludf.DUMMYFUNCTION("""COMPUTED_VALUE"""),"ラーメン赤猫")</f>
        <v>ラーメン赤猫</v>
      </c>
      <c r="F416" s="254" t="str">
        <f>IFERROR(__xludf.DUMMYFUNCTION("""COMPUTED_VALUE"""),"文蔵")</f>
        <v>文蔵</v>
      </c>
      <c r="G416" s="254" t="str">
        <f>IFERROR(__xludf.DUMMYFUNCTION("""COMPUTED_VALUE"""),"文蔵_general_vh")</f>
        <v>文蔵_general_vh</v>
      </c>
      <c r="H416" s="235" t="str">
        <f>IFERROR(__xludf.DUMMYFUNCTION("""COMPUTED_VALUE"""),"Boss")</f>
        <v>Boss</v>
      </c>
      <c r="I416" s="235" t="str">
        <f>IFERROR(__xludf.DUMMYFUNCTION("""COMPUTED_VALUE"""),"Technical")</f>
        <v>Technical</v>
      </c>
      <c r="J416" s="235" t="str">
        <f>IFERROR(__xludf.DUMMYFUNCTION("""COMPUTED_VALUE"""),"Colorless")</f>
        <v>Colorless</v>
      </c>
      <c r="K416" s="235">
        <f>IFERROR(__xludf.DUMMYFUNCTION("""COMPUTED_VALUE"""),10000.0)</f>
        <v>10000</v>
      </c>
      <c r="L416" s="235">
        <f>IFERROR(__xludf.DUMMYFUNCTION("""COMPUTED_VALUE"""),1.0)</f>
        <v>1</v>
      </c>
      <c r="M416" s="235">
        <f>IFERROR(__xludf.DUMMYFUNCTION("""COMPUTED_VALUE"""),31.0)</f>
        <v>31</v>
      </c>
      <c r="N416" s="235">
        <f>IFERROR(__xludf.DUMMYFUNCTION("""COMPUTED_VALUE"""),0.2)</f>
        <v>0.2</v>
      </c>
      <c r="O416" s="235">
        <f>IFERROR(__xludf.DUMMYFUNCTION("""COMPUTED_VALUE"""),100.0)</f>
        <v>100</v>
      </c>
      <c r="P416" s="235">
        <f>IFERROR(__xludf.DUMMYFUNCTION("""COMPUTED_VALUE"""),0.0)</f>
        <v>0</v>
      </c>
      <c r="Q416" s="235">
        <f>IFERROR(__xludf.DUMMYFUNCTION("""COMPUTED_VALUE"""),0.21)</f>
        <v>0.21</v>
      </c>
      <c r="R416" s="235">
        <f>IFERROR(__xludf.DUMMYFUNCTION("""COMPUTED_VALUE"""),1.0)</f>
        <v>1</v>
      </c>
      <c r="S416" s="235">
        <f>IFERROR(__xludf.DUMMYFUNCTION("""COMPUTED_VALUE"""),200.0)</f>
        <v>200</v>
      </c>
      <c r="T416" s="244" t="str">
        <f>IFERROR(__xludf.DUMMYFUNCTION("""COMPUTED_VALUE"""),"1.50")</f>
        <v>1.50</v>
      </c>
      <c r="U416" s="235" t="str">
        <f>IFERROR(__xludf.DUMMYFUNCTION("""COMPUTED_VALUE"""),"stop無:1回目 0.54")</f>
        <v>stop無:1回目 0.54</v>
      </c>
      <c r="V416" s="235">
        <f>IFERROR(__xludf.DUMMYFUNCTION("""COMPUTED_VALUE"""),100.0)</f>
        <v>100</v>
      </c>
      <c r="W416" s="235" t="str">
        <f>IFERROR(__xludf.DUMMYFUNCTION("""COMPUTED_VALUE"""),"4.50")</f>
        <v>4.50</v>
      </c>
      <c r="X416" s="235" t="str">
        <f>IFERROR(__xludf.DUMMYFUNCTION("""COMPUTED_VALUE"""),"stop無:1回目 1.37
stop無:2回目 1.63
stop有:3回目 2.67")</f>
        <v>stop無:1回目 1.37
stop無:2回目 1.63
stop有:3回目 2.67</v>
      </c>
      <c r="Y416" s="235" t="str">
        <f>IFERROR(__xludf.DUMMYFUNCTION("""COMPUTED_VALUE"""),"500ダメージの火傷(5秒間)")</f>
        <v>500ダメージの火傷(5秒間)</v>
      </c>
      <c r="Z416" s="235">
        <f>IFERROR(__xludf.DUMMYFUNCTION("""COMPUTED_VALUE"""),5.0)</f>
        <v>5</v>
      </c>
      <c r="AA416" s="235"/>
      <c r="AB416" s="235"/>
      <c r="AC416" s="235"/>
    </row>
    <row r="417">
      <c r="A417" s="235"/>
      <c r="B417" s="235" t="str">
        <f>IFERROR(__xludf.DUMMYFUNCTION("""COMPUTED_VALUE"""),"chara_aka_00101")</f>
        <v>chara_aka_00101</v>
      </c>
      <c r="C417" s="254" t="str">
        <f>IFERROR(__xludf.DUMMYFUNCTION("""COMPUTED_VALUE"""),"_general_vh")</f>
        <v>_general_vh</v>
      </c>
      <c r="D417" s="254" t="str">
        <f>IFERROR(__xludf.DUMMYFUNCTION("""COMPUTED_VALUE"""),"c_aka_00101_general_vh_Boss_Red")</f>
        <v>c_aka_00101_general_vh_Boss_Red</v>
      </c>
      <c r="E417" s="254" t="str">
        <f>IFERROR(__xludf.DUMMYFUNCTION("""COMPUTED_VALUE"""),"ラーメン赤猫")</f>
        <v>ラーメン赤猫</v>
      </c>
      <c r="F417" s="254" t="str">
        <f>IFERROR(__xludf.DUMMYFUNCTION("""COMPUTED_VALUE"""),"文蔵")</f>
        <v>文蔵</v>
      </c>
      <c r="G417" s="254" t="str">
        <f>IFERROR(__xludf.DUMMYFUNCTION("""COMPUTED_VALUE"""),"文蔵_general_vh")</f>
        <v>文蔵_general_vh</v>
      </c>
      <c r="H417" s="235" t="str">
        <f>IFERROR(__xludf.DUMMYFUNCTION("""COMPUTED_VALUE"""),"Boss")</f>
        <v>Boss</v>
      </c>
      <c r="I417" s="235" t="str">
        <f>IFERROR(__xludf.DUMMYFUNCTION("""COMPUTED_VALUE"""),"Technical")</f>
        <v>Technical</v>
      </c>
      <c r="J417" s="235" t="str">
        <f>IFERROR(__xludf.DUMMYFUNCTION("""COMPUTED_VALUE"""),"Red")</f>
        <v>Red</v>
      </c>
      <c r="K417" s="235">
        <f>IFERROR(__xludf.DUMMYFUNCTION("""COMPUTED_VALUE"""),10000.0)</f>
        <v>10000</v>
      </c>
      <c r="L417" s="235">
        <f>IFERROR(__xludf.DUMMYFUNCTION("""COMPUTED_VALUE"""),1.0)</f>
        <v>1</v>
      </c>
      <c r="M417" s="235">
        <f>IFERROR(__xludf.DUMMYFUNCTION("""COMPUTED_VALUE"""),31.0)</f>
        <v>31</v>
      </c>
      <c r="N417" s="235">
        <f>IFERROR(__xludf.DUMMYFUNCTION("""COMPUTED_VALUE"""),0.2)</f>
        <v>0.2</v>
      </c>
      <c r="O417" s="235">
        <f>IFERROR(__xludf.DUMMYFUNCTION("""COMPUTED_VALUE"""),100.0)</f>
        <v>100</v>
      </c>
      <c r="P417" s="235">
        <f>IFERROR(__xludf.DUMMYFUNCTION("""COMPUTED_VALUE"""),0.0)</f>
        <v>0</v>
      </c>
      <c r="Q417" s="235">
        <f>IFERROR(__xludf.DUMMYFUNCTION("""COMPUTED_VALUE"""),0.21)</f>
        <v>0.21</v>
      </c>
      <c r="R417" s="235">
        <f>IFERROR(__xludf.DUMMYFUNCTION("""COMPUTED_VALUE"""),1.0)</f>
        <v>1</v>
      </c>
      <c r="S417" s="235">
        <f>IFERROR(__xludf.DUMMYFUNCTION("""COMPUTED_VALUE"""),200.0)</f>
        <v>200</v>
      </c>
      <c r="T417" s="244" t="str">
        <f>IFERROR(__xludf.DUMMYFUNCTION("""COMPUTED_VALUE"""),"1.50")</f>
        <v>1.50</v>
      </c>
      <c r="U417" s="235" t="str">
        <f>IFERROR(__xludf.DUMMYFUNCTION("""COMPUTED_VALUE"""),"stop無:1回目 0.54")</f>
        <v>stop無:1回目 0.54</v>
      </c>
      <c r="V417" s="235">
        <f>IFERROR(__xludf.DUMMYFUNCTION("""COMPUTED_VALUE"""),100.0)</f>
        <v>100</v>
      </c>
      <c r="W417" s="235" t="str">
        <f>IFERROR(__xludf.DUMMYFUNCTION("""COMPUTED_VALUE"""),"4.50")</f>
        <v>4.50</v>
      </c>
      <c r="X417" s="235" t="str">
        <f>IFERROR(__xludf.DUMMYFUNCTION("""COMPUTED_VALUE"""),"stop無:1回目 1.37
stop無:2回目 1.63
stop有:3回目 2.67")</f>
        <v>stop無:1回目 1.37
stop無:2回目 1.63
stop有:3回目 2.67</v>
      </c>
      <c r="Y417" s="235" t="str">
        <f>IFERROR(__xludf.DUMMYFUNCTION("""COMPUTED_VALUE"""),"500ダメージの火傷(5秒間)")</f>
        <v>500ダメージの火傷(5秒間)</v>
      </c>
      <c r="Z417" s="235">
        <f>IFERROR(__xludf.DUMMYFUNCTION("""COMPUTED_VALUE"""),5.0)</f>
        <v>5</v>
      </c>
      <c r="AA417" s="235"/>
      <c r="AB417" s="235"/>
      <c r="AC417" s="235"/>
    </row>
    <row r="418">
      <c r="A418" s="235"/>
      <c r="B418" s="235" t="str">
        <f>IFERROR(__xludf.DUMMYFUNCTION("""COMPUTED_VALUE"""),"chara_aka_00001")</f>
        <v>chara_aka_00001</v>
      </c>
      <c r="C418" s="254" t="str">
        <f>IFERROR(__xludf.DUMMYFUNCTION("""COMPUTED_VALUE"""),"_general_vh")</f>
        <v>_general_vh</v>
      </c>
      <c r="D418" s="254" t="str">
        <f>IFERROR(__xludf.DUMMYFUNCTION("""COMPUTED_VALUE"""),"c_aka_00001_general_vh_Normal_Colorless")</f>
        <v>c_aka_00001_general_vh_Normal_Colorless</v>
      </c>
      <c r="E418" s="254" t="str">
        <f>IFERROR(__xludf.DUMMYFUNCTION("""COMPUTED_VALUE"""),"ラーメン赤猫")</f>
        <v>ラーメン赤猫</v>
      </c>
      <c r="F418" s="254" t="str">
        <f>IFERROR(__xludf.DUMMYFUNCTION("""COMPUTED_VALUE"""),"佐々木")</f>
        <v>佐々木</v>
      </c>
      <c r="G418" s="254" t="str">
        <f>IFERROR(__xludf.DUMMYFUNCTION("""COMPUTED_VALUE"""),"佐々木_general_vh")</f>
        <v>佐々木_general_vh</v>
      </c>
      <c r="H418" s="235" t="str">
        <f>IFERROR(__xludf.DUMMYFUNCTION("""COMPUTED_VALUE"""),"Normal")</f>
        <v>Normal</v>
      </c>
      <c r="I418" s="235" t="str">
        <f>IFERROR(__xludf.DUMMYFUNCTION("""COMPUTED_VALUE"""),"Defense")</f>
        <v>Defense</v>
      </c>
      <c r="J418" s="235" t="str">
        <f>IFERROR(__xludf.DUMMYFUNCTION("""COMPUTED_VALUE"""),"Colorless")</f>
        <v>Colorless</v>
      </c>
      <c r="K418" s="235">
        <f>IFERROR(__xludf.DUMMYFUNCTION("""COMPUTED_VALUE"""),10000.0)</f>
        <v>10000</v>
      </c>
      <c r="L418" s="235">
        <f>IFERROR(__xludf.DUMMYFUNCTION("""COMPUTED_VALUE"""),0.0)</f>
        <v>0</v>
      </c>
      <c r="M418" s="235">
        <f>IFERROR(__xludf.DUMMYFUNCTION("""COMPUTED_VALUE"""),25.0)</f>
        <v>25</v>
      </c>
      <c r="N418" s="235">
        <f>IFERROR(__xludf.DUMMYFUNCTION("""COMPUTED_VALUE"""),0.14)</f>
        <v>0.14</v>
      </c>
      <c r="O418" s="235">
        <f>IFERROR(__xludf.DUMMYFUNCTION("""COMPUTED_VALUE"""),100.0)</f>
        <v>100</v>
      </c>
      <c r="P418" s="235">
        <f>IFERROR(__xludf.DUMMYFUNCTION("""COMPUTED_VALUE"""),0.0)</f>
        <v>0</v>
      </c>
      <c r="Q418" s="235">
        <f>IFERROR(__xludf.DUMMYFUNCTION("""COMPUTED_VALUE"""),0.15)</f>
        <v>0.15</v>
      </c>
      <c r="R418" s="235">
        <f>IFERROR(__xludf.DUMMYFUNCTION("""COMPUTED_VALUE"""),1.0)</f>
        <v>1</v>
      </c>
      <c r="S418" s="235">
        <f>IFERROR(__xludf.DUMMYFUNCTION("""COMPUTED_VALUE"""),500.0)</f>
        <v>500</v>
      </c>
      <c r="T418" s="244" t="str">
        <f>IFERROR(__xludf.DUMMYFUNCTION("""COMPUTED_VALUE"""),"1.70")</f>
        <v>1.70</v>
      </c>
      <c r="U418" s="235" t="str">
        <f>IFERROR(__xludf.DUMMYFUNCTION("""COMPUTED_VALUE"""),"0.66")</f>
        <v>0.66</v>
      </c>
      <c r="V418" s="235">
        <f>IFERROR(__xludf.DUMMYFUNCTION("""COMPUTED_VALUE"""),100.0)</f>
        <v>100</v>
      </c>
      <c r="W418" s="235"/>
      <c r="X418" s="235" t="str">
        <f>IFERROR(__xludf.DUMMYFUNCTION("""COMPUTED_VALUE"""),"1.33")</f>
        <v>1.33</v>
      </c>
      <c r="Y418" s="235"/>
      <c r="Z418" s="235" t="str">
        <f>IFERROR(__xludf.DUMMYFUNCTION("""COMPUTED_VALUE"""),"-")</f>
        <v>-</v>
      </c>
      <c r="AA418" s="235"/>
      <c r="AB418" s="235"/>
      <c r="AC418" s="235"/>
    </row>
    <row r="419">
      <c r="A419" s="235"/>
      <c r="B419" s="235" t="str">
        <f>IFERROR(__xludf.DUMMYFUNCTION("""COMPUTED_VALUE"""),"chara_aka_00001")</f>
        <v>chara_aka_00001</v>
      </c>
      <c r="C419" s="254" t="str">
        <f>IFERROR(__xludf.DUMMYFUNCTION("""COMPUTED_VALUE"""),"_general_h")</f>
        <v>_general_h</v>
      </c>
      <c r="D419" s="254" t="str">
        <f>IFERROR(__xludf.DUMMYFUNCTION("""COMPUTED_VALUE"""),"c_aka_00001_general_h_Normal_Red")</f>
        <v>c_aka_00001_general_h_Normal_Red</v>
      </c>
      <c r="E419" s="254" t="str">
        <f>IFERROR(__xludf.DUMMYFUNCTION("""COMPUTED_VALUE"""),"ラーメン赤猫")</f>
        <v>ラーメン赤猫</v>
      </c>
      <c r="F419" s="254" t="str">
        <f>IFERROR(__xludf.DUMMYFUNCTION("""COMPUTED_VALUE"""),"佐々木")</f>
        <v>佐々木</v>
      </c>
      <c r="G419" s="254" t="str">
        <f>IFERROR(__xludf.DUMMYFUNCTION("""COMPUTED_VALUE"""),"佐々木_general_h")</f>
        <v>佐々木_general_h</v>
      </c>
      <c r="H419" s="235" t="str">
        <f>IFERROR(__xludf.DUMMYFUNCTION("""COMPUTED_VALUE"""),"Normal")</f>
        <v>Normal</v>
      </c>
      <c r="I419" s="235" t="str">
        <f>IFERROR(__xludf.DUMMYFUNCTION("""COMPUTED_VALUE"""),"Defense")</f>
        <v>Defense</v>
      </c>
      <c r="J419" s="235" t="str">
        <f>IFERROR(__xludf.DUMMYFUNCTION("""COMPUTED_VALUE"""),"Red")</f>
        <v>Red</v>
      </c>
      <c r="K419" s="235">
        <f>IFERROR(__xludf.DUMMYFUNCTION("""COMPUTED_VALUE"""),10000.0)</f>
        <v>10000</v>
      </c>
      <c r="L419" s="235">
        <f>IFERROR(__xludf.DUMMYFUNCTION("""COMPUTED_VALUE"""),0.0)</f>
        <v>0</v>
      </c>
      <c r="M419" s="235">
        <f>IFERROR(__xludf.DUMMYFUNCTION("""COMPUTED_VALUE"""),25.0)</f>
        <v>25</v>
      </c>
      <c r="N419" s="235">
        <f>IFERROR(__xludf.DUMMYFUNCTION("""COMPUTED_VALUE"""),0.14)</f>
        <v>0.14</v>
      </c>
      <c r="O419" s="235">
        <f>IFERROR(__xludf.DUMMYFUNCTION("""COMPUTED_VALUE"""),100.0)</f>
        <v>100</v>
      </c>
      <c r="P419" s="235">
        <f>IFERROR(__xludf.DUMMYFUNCTION("""COMPUTED_VALUE"""),0.0)</f>
        <v>0</v>
      </c>
      <c r="Q419" s="235">
        <f>IFERROR(__xludf.DUMMYFUNCTION("""COMPUTED_VALUE"""),0.15)</f>
        <v>0.15</v>
      </c>
      <c r="R419" s="235">
        <f>IFERROR(__xludf.DUMMYFUNCTION("""COMPUTED_VALUE"""),1.0)</f>
        <v>1</v>
      </c>
      <c r="S419" s="235">
        <f>IFERROR(__xludf.DUMMYFUNCTION("""COMPUTED_VALUE"""),500.0)</f>
        <v>500</v>
      </c>
      <c r="T419" s="244" t="str">
        <f>IFERROR(__xludf.DUMMYFUNCTION("""COMPUTED_VALUE"""),"1.70")</f>
        <v>1.70</v>
      </c>
      <c r="U419" s="235" t="str">
        <f>IFERROR(__xludf.DUMMYFUNCTION("""COMPUTED_VALUE"""),"0.66")</f>
        <v>0.66</v>
      </c>
      <c r="V419" s="235">
        <f>IFERROR(__xludf.DUMMYFUNCTION("""COMPUTED_VALUE"""),100.0)</f>
        <v>100</v>
      </c>
      <c r="W419" s="235"/>
      <c r="X419" s="235" t="str">
        <f>IFERROR(__xludf.DUMMYFUNCTION("""COMPUTED_VALUE"""),"1.33")</f>
        <v>1.33</v>
      </c>
      <c r="Y419" s="235"/>
      <c r="Z419" s="235">
        <f>IFERROR(__xludf.DUMMYFUNCTION("""COMPUTED_VALUE"""),6.0)</f>
        <v>6</v>
      </c>
      <c r="AA419" s="235"/>
      <c r="AB419" s="235"/>
      <c r="AC419" s="235"/>
    </row>
    <row r="420">
      <c r="A420" s="235"/>
      <c r="B420" s="235" t="str">
        <f>IFERROR(__xludf.DUMMYFUNCTION("""COMPUTED_VALUE"""),"chara_aka_00001")</f>
        <v>chara_aka_00001</v>
      </c>
      <c r="C420" s="254" t="str">
        <f>IFERROR(__xludf.DUMMYFUNCTION("""COMPUTED_VALUE"""),"_general_n")</f>
        <v>_general_n</v>
      </c>
      <c r="D420" s="254" t="str">
        <f>IFERROR(__xludf.DUMMYFUNCTION("""COMPUTED_VALUE"""),"c_aka_00001_general_n_Boss_Colorless")</f>
        <v>c_aka_00001_general_n_Boss_Colorless</v>
      </c>
      <c r="E420" s="254" t="str">
        <f>IFERROR(__xludf.DUMMYFUNCTION("""COMPUTED_VALUE"""),"ラーメン赤猫")</f>
        <v>ラーメン赤猫</v>
      </c>
      <c r="F420" s="254" t="str">
        <f>IFERROR(__xludf.DUMMYFUNCTION("""COMPUTED_VALUE"""),"佐々木")</f>
        <v>佐々木</v>
      </c>
      <c r="G420" s="254" t="str">
        <f>IFERROR(__xludf.DUMMYFUNCTION("""COMPUTED_VALUE"""),"佐々木_general_n")</f>
        <v>佐々木_general_n</v>
      </c>
      <c r="H420" s="235" t="str">
        <f>IFERROR(__xludf.DUMMYFUNCTION("""COMPUTED_VALUE"""),"Boss")</f>
        <v>Boss</v>
      </c>
      <c r="I420" s="235" t="str">
        <f>IFERROR(__xludf.DUMMYFUNCTION("""COMPUTED_VALUE"""),"Defense")</f>
        <v>Defense</v>
      </c>
      <c r="J420" s="235" t="str">
        <f>IFERROR(__xludf.DUMMYFUNCTION("""COMPUTED_VALUE"""),"Colorless")</f>
        <v>Colorless</v>
      </c>
      <c r="K420" s="235">
        <f>IFERROR(__xludf.DUMMYFUNCTION("""COMPUTED_VALUE"""),10000.0)</f>
        <v>10000</v>
      </c>
      <c r="L420" s="235">
        <f>IFERROR(__xludf.DUMMYFUNCTION("""COMPUTED_VALUE"""),0.0)</f>
        <v>0</v>
      </c>
      <c r="M420" s="235">
        <f>IFERROR(__xludf.DUMMYFUNCTION("""COMPUTED_VALUE"""),25.0)</f>
        <v>25</v>
      </c>
      <c r="N420" s="235">
        <f>IFERROR(__xludf.DUMMYFUNCTION("""COMPUTED_VALUE"""),0.14)</f>
        <v>0.14</v>
      </c>
      <c r="O420" s="235">
        <f>IFERROR(__xludf.DUMMYFUNCTION("""COMPUTED_VALUE"""),50.0)</f>
        <v>50</v>
      </c>
      <c r="P420" s="235">
        <f>IFERROR(__xludf.DUMMYFUNCTION("""COMPUTED_VALUE"""),0.0)</f>
        <v>0</v>
      </c>
      <c r="Q420" s="235">
        <f>IFERROR(__xludf.DUMMYFUNCTION("""COMPUTED_VALUE"""),0.15)</f>
        <v>0.15</v>
      </c>
      <c r="R420" s="235">
        <f>IFERROR(__xludf.DUMMYFUNCTION("""COMPUTED_VALUE"""),1.0)</f>
        <v>1</v>
      </c>
      <c r="S420" s="235">
        <f>IFERROR(__xludf.DUMMYFUNCTION("""COMPUTED_VALUE"""),500.0)</f>
        <v>500</v>
      </c>
      <c r="T420" s="244" t="str">
        <f>IFERROR(__xludf.DUMMYFUNCTION("""COMPUTED_VALUE"""),"1.70")</f>
        <v>1.70</v>
      </c>
      <c r="U420" s="235" t="str">
        <f>IFERROR(__xludf.DUMMYFUNCTION("""COMPUTED_VALUE"""),"0.66")</f>
        <v>0.66</v>
      </c>
      <c r="V420" s="235">
        <f>IFERROR(__xludf.DUMMYFUNCTION("""COMPUTED_VALUE"""),100.0)</f>
        <v>100</v>
      </c>
      <c r="W420" s="235"/>
      <c r="X420" s="235" t="str">
        <f>IFERROR(__xludf.DUMMYFUNCTION("""COMPUTED_VALUE"""),"1.33")</f>
        <v>1.33</v>
      </c>
      <c r="Y420" s="235"/>
      <c r="Z420" s="235">
        <f>IFERROR(__xludf.DUMMYFUNCTION("""COMPUTED_VALUE"""),6.0)</f>
        <v>6</v>
      </c>
      <c r="AA420" s="235"/>
      <c r="AB420" s="235"/>
      <c r="AC420" s="235"/>
    </row>
    <row r="421">
      <c r="A421" s="235"/>
      <c r="B421" s="235" t="str">
        <f>IFERROR(__xludf.DUMMYFUNCTION("""COMPUTED_VALUE"""),"chara_aka_00001")</f>
        <v>chara_aka_00001</v>
      </c>
      <c r="C421" s="254" t="str">
        <f>IFERROR(__xludf.DUMMYFUNCTION("""COMPUTED_VALUE"""),"_general_n")</f>
        <v>_general_n</v>
      </c>
      <c r="D421" s="254" t="str">
        <f>IFERROR(__xludf.DUMMYFUNCTION("""COMPUTED_VALUE"""),"c_aka_00001_general_n_Boss_Red")</f>
        <v>c_aka_00001_general_n_Boss_Red</v>
      </c>
      <c r="E421" s="254" t="str">
        <f>IFERROR(__xludf.DUMMYFUNCTION("""COMPUTED_VALUE"""),"ラーメン赤猫")</f>
        <v>ラーメン赤猫</v>
      </c>
      <c r="F421" s="254" t="str">
        <f>IFERROR(__xludf.DUMMYFUNCTION("""COMPUTED_VALUE"""),"佐々木")</f>
        <v>佐々木</v>
      </c>
      <c r="G421" s="254" t="str">
        <f>IFERROR(__xludf.DUMMYFUNCTION("""COMPUTED_VALUE"""),"佐々木_general_n")</f>
        <v>佐々木_general_n</v>
      </c>
      <c r="H421" s="235" t="str">
        <f>IFERROR(__xludf.DUMMYFUNCTION("""COMPUTED_VALUE"""),"Boss")</f>
        <v>Boss</v>
      </c>
      <c r="I421" s="235" t="str">
        <f>IFERROR(__xludf.DUMMYFUNCTION("""COMPUTED_VALUE"""),"Defense")</f>
        <v>Defense</v>
      </c>
      <c r="J421" s="235" t="str">
        <f>IFERROR(__xludf.DUMMYFUNCTION("""COMPUTED_VALUE"""),"Red")</f>
        <v>Red</v>
      </c>
      <c r="K421" s="235">
        <f>IFERROR(__xludf.DUMMYFUNCTION("""COMPUTED_VALUE"""),10000.0)</f>
        <v>10000</v>
      </c>
      <c r="L421" s="235">
        <f>IFERROR(__xludf.DUMMYFUNCTION("""COMPUTED_VALUE"""),0.0)</f>
        <v>0</v>
      </c>
      <c r="M421" s="235">
        <f>IFERROR(__xludf.DUMMYFUNCTION("""COMPUTED_VALUE"""),25.0)</f>
        <v>25</v>
      </c>
      <c r="N421" s="235">
        <f>IFERROR(__xludf.DUMMYFUNCTION("""COMPUTED_VALUE"""),0.14)</f>
        <v>0.14</v>
      </c>
      <c r="O421" s="235">
        <f>IFERROR(__xludf.DUMMYFUNCTION("""COMPUTED_VALUE"""),50.0)</f>
        <v>50</v>
      </c>
      <c r="P421" s="235">
        <f>IFERROR(__xludf.DUMMYFUNCTION("""COMPUTED_VALUE"""),0.0)</f>
        <v>0</v>
      </c>
      <c r="Q421" s="235">
        <f>IFERROR(__xludf.DUMMYFUNCTION("""COMPUTED_VALUE"""),0.15)</f>
        <v>0.15</v>
      </c>
      <c r="R421" s="235">
        <f>IFERROR(__xludf.DUMMYFUNCTION("""COMPUTED_VALUE"""),1.0)</f>
        <v>1</v>
      </c>
      <c r="S421" s="235">
        <f>IFERROR(__xludf.DUMMYFUNCTION("""COMPUTED_VALUE"""),500.0)</f>
        <v>500</v>
      </c>
      <c r="T421" s="244" t="str">
        <f>IFERROR(__xludf.DUMMYFUNCTION("""COMPUTED_VALUE"""),"1.70")</f>
        <v>1.70</v>
      </c>
      <c r="U421" s="235" t="str">
        <f>IFERROR(__xludf.DUMMYFUNCTION("""COMPUTED_VALUE"""),"0.66")</f>
        <v>0.66</v>
      </c>
      <c r="V421" s="235">
        <f>IFERROR(__xludf.DUMMYFUNCTION("""COMPUTED_VALUE"""),100.0)</f>
        <v>100</v>
      </c>
      <c r="W421" s="235"/>
      <c r="X421" s="235" t="str">
        <f>IFERROR(__xludf.DUMMYFUNCTION("""COMPUTED_VALUE"""),"1.33")</f>
        <v>1.33</v>
      </c>
      <c r="Y421" s="235"/>
      <c r="Z421" s="235">
        <f>IFERROR(__xludf.DUMMYFUNCTION("""COMPUTED_VALUE"""),6.0)</f>
        <v>6</v>
      </c>
      <c r="AA421" s="235"/>
      <c r="AB421" s="235"/>
      <c r="AC421" s="235"/>
    </row>
    <row r="422">
      <c r="A422" s="235"/>
      <c r="B422" s="235" t="str">
        <f>IFERROR(__xludf.DUMMYFUNCTION("""COMPUTED_VALUE"""),"chara_aka_00001")</f>
        <v>chara_aka_00001</v>
      </c>
      <c r="C422" s="254" t="str">
        <f>IFERROR(__xludf.DUMMYFUNCTION("""COMPUTED_VALUE"""),"_general_h")</f>
        <v>_general_h</v>
      </c>
      <c r="D422" s="254" t="str">
        <f>IFERROR(__xludf.DUMMYFUNCTION("""COMPUTED_VALUE"""),"c_aka_00001_general_h_Boss_Colorless")</f>
        <v>c_aka_00001_general_h_Boss_Colorless</v>
      </c>
      <c r="E422" s="254" t="str">
        <f>IFERROR(__xludf.DUMMYFUNCTION("""COMPUTED_VALUE"""),"ラーメン赤猫")</f>
        <v>ラーメン赤猫</v>
      </c>
      <c r="F422" s="254" t="str">
        <f>IFERROR(__xludf.DUMMYFUNCTION("""COMPUTED_VALUE"""),"佐々木")</f>
        <v>佐々木</v>
      </c>
      <c r="G422" s="254" t="str">
        <f>IFERROR(__xludf.DUMMYFUNCTION("""COMPUTED_VALUE"""),"佐々木_general_h")</f>
        <v>佐々木_general_h</v>
      </c>
      <c r="H422" s="235" t="str">
        <f>IFERROR(__xludf.DUMMYFUNCTION("""COMPUTED_VALUE"""),"Boss")</f>
        <v>Boss</v>
      </c>
      <c r="I422" s="235" t="str">
        <f>IFERROR(__xludf.DUMMYFUNCTION("""COMPUTED_VALUE"""),"Defense")</f>
        <v>Defense</v>
      </c>
      <c r="J422" s="235" t="str">
        <f>IFERROR(__xludf.DUMMYFUNCTION("""COMPUTED_VALUE"""),"Colorless")</f>
        <v>Colorless</v>
      </c>
      <c r="K422" s="235">
        <f>IFERROR(__xludf.DUMMYFUNCTION("""COMPUTED_VALUE"""),10000.0)</f>
        <v>10000</v>
      </c>
      <c r="L422" s="235">
        <f>IFERROR(__xludf.DUMMYFUNCTION("""COMPUTED_VALUE"""),0.0)</f>
        <v>0</v>
      </c>
      <c r="M422" s="235">
        <f>IFERROR(__xludf.DUMMYFUNCTION("""COMPUTED_VALUE"""),20.0)</f>
        <v>20</v>
      </c>
      <c r="N422" s="235">
        <f>IFERROR(__xludf.DUMMYFUNCTION("""COMPUTED_VALUE"""),0.14)</f>
        <v>0.14</v>
      </c>
      <c r="O422" s="235">
        <f>IFERROR(__xludf.DUMMYFUNCTION("""COMPUTED_VALUE"""),100.0)</f>
        <v>100</v>
      </c>
      <c r="P422" s="235">
        <f>IFERROR(__xludf.DUMMYFUNCTION("""COMPUTED_VALUE"""),0.0)</f>
        <v>0</v>
      </c>
      <c r="Q422" s="235">
        <f>IFERROR(__xludf.DUMMYFUNCTION("""COMPUTED_VALUE"""),0.15)</f>
        <v>0.15</v>
      </c>
      <c r="R422" s="235">
        <f>IFERROR(__xludf.DUMMYFUNCTION("""COMPUTED_VALUE"""),1.0)</f>
        <v>1</v>
      </c>
      <c r="S422" s="235">
        <f>IFERROR(__xludf.DUMMYFUNCTION("""COMPUTED_VALUE"""),500.0)</f>
        <v>500</v>
      </c>
      <c r="T422" s="244" t="str">
        <f>IFERROR(__xludf.DUMMYFUNCTION("""COMPUTED_VALUE"""),"1.70")</f>
        <v>1.70</v>
      </c>
      <c r="U422" s="235" t="str">
        <f>IFERROR(__xludf.DUMMYFUNCTION("""COMPUTED_VALUE"""),"0.66")</f>
        <v>0.66</v>
      </c>
      <c r="V422" s="235">
        <f>IFERROR(__xludf.DUMMYFUNCTION("""COMPUTED_VALUE"""),100.0)</f>
        <v>100</v>
      </c>
      <c r="W422" s="235"/>
      <c r="X422" s="235" t="str">
        <f>IFERROR(__xludf.DUMMYFUNCTION("""COMPUTED_VALUE"""),"1.33")</f>
        <v>1.33</v>
      </c>
      <c r="Y422" s="235"/>
      <c r="Z422" s="235">
        <f>IFERROR(__xludf.DUMMYFUNCTION("""COMPUTED_VALUE"""),3.0)</f>
        <v>3</v>
      </c>
      <c r="AA422" s="235" t="str">
        <f>IFERROR(__xludf.DUMMYFUNCTION("""COMPUTED_VALUE"""),"ノックバック無効")</f>
        <v>ノックバック無効</v>
      </c>
      <c r="AB422" s="235"/>
      <c r="AC422" s="235"/>
    </row>
    <row r="423">
      <c r="A423" s="235"/>
      <c r="B423" s="235" t="str">
        <f>IFERROR(__xludf.DUMMYFUNCTION("""COMPUTED_VALUE"""),"chara_aka_00001")</f>
        <v>chara_aka_00001</v>
      </c>
      <c r="C423" s="254" t="str">
        <f>IFERROR(__xludf.DUMMYFUNCTION("""COMPUTED_VALUE"""),"_general_h")</f>
        <v>_general_h</v>
      </c>
      <c r="D423" s="254" t="str">
        <f>IFERROR(__xludf.DUMMYFUNCTION("""COMPUTED_VALUE"""),"c_aka_00001_general_h_Boss_Red")</f>
        <v>c_aka_00001_general_h_Boss_Red</v>
      </c>
      <c r="E423" s="254" t="str">
        <f>IFERROR(__xludf.DUMMYFUNCTION("""COMPUTED_VALUE"""),"ラーメン赤猫")</f>
        <v>ラーメン赤猫</v>
      </c>
      <c r="F423" s="254" t="str">
        <f>IFERROR(__xludf.DUMMYFUNCTION("""COMPUTED_VALUE"""),"佐々木")</f>
        <v>佐々木</v>
      </c>
      <c r="G423" s="254" t="str">
        <f>IFERROR(__xludf.DUMMYFUNCTION("""COMPUTED_VALUE"""),"佐々木_general_h")</f>
        <v>佐々木_general_h</v>
      </c>
      <c r="H423" s="235" t="str">
        <f>IFERROR(__xludf.DUMMYFUNCTION("""COMPUTED_VALUE"""),"Boss")</f>
        <v>Boss</v>
      </c>
      <c r="I423" s="235" t="str">
        <f>IFERROR(__xludf.DUMMYFUNCTION("""COMPUTED_VALUE"""),"Defense")</f>
        <v>Defense</v>
      </c>
      <c r="J423" s="235" t="str">
        <f>IFERROR(__xludf.DUMMYFUNCTION("""COMPUTED_VALUE"""),"Red")</f>
        <v>Red</v>
      </c>
      <c r="K423" s="235">
        <f>IFERROR(__xludf.DUMMYFUNCTION("""COMPUTED_VALUE"""),10000.0)</f>
        <v>10000</v>
      </c>
      <c r="L423" s="235">
        <f>IFERROR(__xludf.DUMMYFUNCTION("""COMPUTED_VALUE"""),0.0)</f>
        <v>0</v>
      </c>
      <c r="M423" s="235">
        <f>IFERROR(__xludf.DUMMYFUNCTION("""COMPUTED_VALUE"""),20.0)</f>
        <v>20</v>
      </c>
      <c r="N423" s="235">
        <f>IFERROR(__xludf.DUMMYFUNCTION("""COMPUTED_VALUE"""),0.14)</f>
        <v>0.14</v>
      </c>
      <c r="O423" s="235">
        <f>IFERROR(__xludf.DUMMYFUNCTION("""COMPUTED_VALUE"""),100.0)</f>
        <v>100</v>
      </c>
      <c r="P423" s="235">
        <f>IFERROR(__xludf.DUMMYFUNCTION("""COMPUTED_VALUE"""),0.0)</f>
        <v>0</v>
      </c>
      <c r="Q423" s="235">
        <f>IFERROR(__xludf.DUMMYFUNCTION("""COMPUTED_VALUE"""),0.15)</f>
        <v>0.15</v>
      </c>
      <c r="R423" s="235">
        <f>IFERROR(__xludf.DUMMYFUNCTION("""COMPUTED_VALUE"""),1.0)</f>
        <v>1</v>
      </c>
      <c r="S423" s="235">
        <f>IFERROR(__xludf.DUMMYFUNCTION("""COMPUTED_VALUE"""),500.0)</f>
        <v>500</v>
      </c>
      <c r="T423" s="244" t="str">
        <f>IFERROR(__xludf.DUMMYFUNCTION("""COMPUTED_VALUE"""),"1.70")</f>
        <v>1.70</v>
      </c>
      <c r="U423" s="235" t="str">
        <f>IFERROR(__xludf.DUMMYFUNCTION("""COMPUTED_VALUE"""),"0.66")</f>
        <v>0.66</v>
      </c>
      <c r="V423" s="235">
        <f>IFERROR(__xludf.DUMMYFUNCTION("""COMPUTED_VALUE"""),100.0)</f>
        <v>100</v>
      </c>
      <c r="W423" s="235"/>
      <c r="X423" s="235" t="str">
        <f>IFERROR(__xludf.DUMMYFUNCTION("""COMPUTED_VALUE"""),"1.33")</f>
        <v>1.33</v>
      </c>
      <c r="Y423" s="235"/>
      <c r="Z423" s="235">
        <f>IFERROR(__xludf.DUMMYFUNCTION("""COMPUTED_VALUE"""),3.0)</f>
        <v>3</v>
      </c>
      <c r="AA423" s="235" t="str">
        <f>IFERROR(__xludf.DUMMYFUNCTION("""COMPUTED_VALUE"""),"ノックバック無効")</f>
        <v>ノックバック無効</v>
      </c>
      <c r="AB423" s="235"/>
      <c r="AC423" s="235"/>
    </row>
    <row r="424">
      <c r="A424" s="235"/>
      <c r="B424" s="235" t="str">
        <f>IFERROR(__xludf.DUMMYFUNCTION("""COMPUTED_VALUE"""),"chara_aka_00001")</f>
        <v>chara_aka_00001</v>
      </c>
      <c r="C424" s="254" t="str">
        <f>IFERROR(__xludf.DUMMYFUNCTION("""COMPUTED_VALUE"""),"_general_vh")</f>
        <v>_general_vh</v>
      </c>
      <c r="D424" s="254" t="str">
        <f>IFERROR(__xludf.DUMMYFUNCTION("""COMPUTED_VALUE"""),"c_aka_00001_general_vh_Boss_Colorless")</f>
        <v>c_aka_00001_general_vh_Boss_Colorless</v>
      </c>
      <c r="E424" s="254" t="str">
        <f>IFERROR(__xludf.DUMMYFUNCTION("""COMPUTED_VALUE"""),"ラーメン赤猫")</f>
        <v>ラーメン赤猫</v>
      </c>
      <c r="F424" s="254" t="str">
        <f>IFERROR(__xludf.DUMMYFUNCTION("""COMPUTED_VALUE"""),"佐々木")</f>
        <v>佐々木</v>
      </c>
      <c r="G424" s="254" t="str">
        <f>IFERROR(__xludf.DUMMYFUNCTION("""COMPUTED_VALUE"""),"佐々木_general_vh")</f>
        <v>佐々木_general_vh</v>
      </c>
      <c r="H424" s="235" t="str">
        <f>IFERROR(__xludf.DUMMYFUNCTION("""COMPUTED_VALUE"""),"Boss")</f>
        <v>Boss</v>
      </c>
      <c r="I424" s="235" t="str">
        <f>IFERROR(__xludf.DUMMYFUNCTION("""COMPUTED_VALUE"""),"Defense")</f>
        <v>Defense</v>
      </c>
      <c r="J424" s="235" t="str">
        <f>IFERROR(__xludf.DUMMYFUNCTION("""COMPUTED_VALUE"""),"Colorless")</f>
        <v>Colorless</v>
      </c>
      <c r="K424" s="235">
        <f>IFERROR(__xludf.DUMMYFUNCTION("""COMPUTED_VALUE"""),10000.0)</f>
        <v>10000</v>
      </c>
      <c r="L424" s="235">
        <f>IFERROR(__xludf.DUMMYFUNCTION("""COMPUTED_VALUE"""),0.0)</f>
        <v>0</v>
      </c>
      <c r="M424" s="235">
        <f>IFERROR(__xludf.DUMMYFUNCTION("""COMPUTED_VALUE"""),20.0)</f>
        <v>20</v>
      </c>
      <c r="N424" s="235">
        <f>IFERROR(__xludf.DUMMYFUNCTION("""COMPUTED_VALUE"""),0.14)</f>
        <v>0.14</v>
      </c>
      <c r="O424" s="235">
        <f>IFERROR(__xludf.DUMMYFUNCTION("""COMPUTED_VALUE"""),100.0)</f>
        <v>100</v>
      </c>
      <c r="P424" s="235">
        <f>IFERROR(__xludf.DUMMYFUNCTION("""COMPUTED_VALUE"""),0.0)</f>
        <v>0</v>
      </c>
      <c r="Q424" s="235">
        <f>IFERROR(__xludf.DUMMYFUNCTION("""COMPUTED_VALUE"""),0.15)</f>
        <v>0.15</v>
      </c>
      <c r="R424" s="235">
        <f>IFERROR(__xludf.DUMMYFUNCTION("""COMPUTED_VALUE"""),1.0)</f>
        <v>1</v>
      </c>
      <c r="S424" s="235">
        <f>IFERROR(__xludf.DUMMYFUNCTION("""COMPUTED_VALUE"""),500.0)</f>
        <v>500</v>
      </c>
      <c r="T424" s="244" t="str">
        <f>IFERROR(__xludf.DUMMYFUNCTION("""COMPUTED_VALUE"""),"1.70")</f>
        <v>1.70</v>
      </c>
      <c r="U424" s="235" t="str">
        <f>IFERROR(__xludf.DUMMYFUNCTION("""COMPUTED_VALUE"""),"0.66")</f>
        <v>0.66</v>
      </c>
      <c r="V424" s="235">
        <f>IFERROR(__xludf.DUMMYFUNCTION("""COMPUTED_VALUE"""),100.0)</f>
        <v>100</v>
      </c>
      <c r="W424" s="235"/>
      <c r="X424" s="235" t="str">
        <f>IFERROR(__xludf.DUMMYFUNCTION("""COMPUTED_VALUE"""),"1.33")</f>
        <v>1.33</v>
      </c>
      <c r="Y424" s="235"/>
      <c r="Z424" s="235">
        <f>IFERROR(__xludf.DUMMYFUNCTION("""COMPUTED_VALUE"""),3.0)</f>
        <v>3</v>
      </c>
      <c r="AA424" s="235"/>
      <c r="AB424" s="235"/>
      <c r="AC424" s="235"/>
    </row>
    <row r="425">
      <c r="A425" s="235"/>
      <c r="B425" s="235" t="str">
        <f>IFERROR(__xludf.DUMMYFUNCTION("""COMPUTED_VALUE"""),"chara_aka_00001")</f>
        <v>chara_aka_00001</v>
      </c>
      <c r="C425" s="254" t="str">
        <f>IFERROR(__xludf.DUMMYFUNCTION("""COMPUTED_VALUE"""),"_general_vh")</f>
        <v>_general_vh</v>
      </c>
      <c r="D425" s="254" t="str">
        <f>IFERROR(__xludf.DUMMYFUNCTION("""COMPUTED_VALUE"""),"c_aka_00001_general_vh_Boss_Red")</f>
        <v>c_aka_00001_general_vh_Boss_Red</v>
      </c>
      <c r="E425" s="254" t="str">
        <f>IFERROR(__xludf.DUMMYFUNCTION("""COMPUTED_VALUE"""),"ラーメン赤猫")</f>
        <v>ラーメン赤猫</v>
      </c>
      <c r="F425" s="254" t="str">
        <f>IFERROR(__xludf.DUMMYFUNCTION("""COMPUTED_VALUE"""),"佐々木")</f>
        <v>佐々木</v>
      </c>
      <c r="G425" s="254" t="str">
        <f>IFERROR(__xludf.DUMMYFUNCTION("""COMPUTED_VALUE"""),"佐々木_general_vh")</f>
        <v>佐々木_general_vh</v>
      </c>
      <c r="H425" s="235" t="str">
        <f>IFERROR(__xludf.DUMMYFUNCTION("""COMPUTED_VALUE"""),"Boss")</f>
        <v>Boss</v>
      </c>
      <c r="I425" s="235" t="str">
        <f>IFERROR(__xludf.DUMMYFUNCTION("""COMPUTED_VALUE"""),"Defense")</f>
        <v>Defense</v>
      </c>
      <c r="J425" s="235" t="str">
        <f>IFERROR(__xludf.DUMMYFUNCTION("""COMPUTED_VALUE"""),"Red")</f>
        <v>Red</v>
      </c>
      <c r="K425" s="235">
        <f>IFERROR(__xludf.DUMMYFUNCTION("""COMPUTED_VALUE"""),10000.0)</f>
        <v>10000</v>
      </c>
      <c r="L425" s="235">
        <f>IFERROR(__xludf.DUMMYFUNCTION("""COMPUTED_VALUE"""),0.0)</f>
        <v>0</v>
      </c>
      <c r="M425" s="235">
        <f>IFERROR(__xludf.DUMMYFUNCTION("""COMPUTED_VALUE"""),20.0)</f>
        <v>20</v>
      </c>
      <c r="N425" s="235">
        <f>IFERROR(__xludf.DUMMYFUNCTION("""COMPUTED_VALUE"""),0.14)</f>
        <v>0.14</v>
      </c>
      <c r="O425" s="235">
        <f>IFERROR(__xludf.DUMMYFUNCTION("""COMPUTED_VALUE"""),100.0)</f>
        <v>100</v>
      </c>
      <c r="P425" s="235">
        <f>IFERROR(__xludf.DUMMYFUNCTION("""COMPUTED_VALUE"""),0.0)</f>
        <v>0</v>
      </c>
      <c r="Q425" s="235">
        <f>IFERROR(__xludf.DUMMYFUNCTION("""COMPUTED_VALUE"""),0.15)</f>
        <v>0.15</v>
      </c>
      <c r="R425" s="235">
        <f>IFERROR(__xludf.DUMMYFUNCTION("""COMPUTED_VALUE"""),1.0)</f>
        <v>1</v>
      </c>
      <c r="S425" s="235">
        <f>IFERROR(__xludf.DUMMYFUNCTION("""COMPUTED_VALUE"""),500.0)</f>
        <v>500</v>
      </c>
      <c r="T425" s="244" t="str">
        <f>IFERROR(__xludf.DUMMYFUNCTION("""COMPUTED_VALUE"""),"1.70")</f>
        <v>1.70</v>
      </c>
      <c r="U425" s="235" t="str">
        <f>IFERROR(__xludf.DUMMYFUNCTION("""COMPUTED_VALUE"""),"0.66")</f>
        <v>0.66</v>
      </c>
      <c r="V425" s="235">
        <f>IFERROR(__xludf.DUMMYFUNCTION("""COMPUTED_VALUE"""),100.0)</f>
        <v>100</v>
      </c>
      <c r="W425" s="235"/>
      <c r="X425" s="235" t="str">
        <f>IFERROR(__xludf.DUMMYFUNCTION("""COMPUTED_VALUE"""),"1.33")</f>
        <v>1.33</v>
      </c>
      <c r="Y425" s="235"/>
      <c r="Z425" s="235">
        <f>IFERROR(__xludf.DUMMYFUNCTION("""COMPUTED_VALUE"""),3.0)</f>
        <v>3</v>
      </c>
      <c r="AA425" s="235" t="str">
        <f>IFERROR(__xludf.DUMMYFUNCTION("""COMPUTED_VALUE"""),"ノックバック無効")</f>
        <v>ノックバック無効</v>
      </c>
      <c r="AB425" s="235"/>
      <c r="AC425" s="235" t="str">
        <f>IFERROR(__xludf.DUMMYFUNCTION("""COMPUTED_VALUE"""),"通常攻撃時100%の確率で自身のダメージカット90%(30秒)")</f>
        <v>通常攻撃時100%の確率で自身のダメージカット90%(30秒)</v>
      </c>
    </row>
    <row r="426">
      <c r="A426" s="235"/>
      <c r="B426" s="235" t="str">
        <f>IFERROR(__xludf.DUMMYFUNCTION("""COMPUTED_VALUE"""),"chara_aka_00001")</f>
        <v>chara_aka_00001</v>
      </c>
      <c r="C426" s="254" t="str">
        <f>IFERROR(__xludf.DUMMYFUNCTION("""COMPUTED_VALUE"""),"_general_vh")</f>
        <v>_general_vh</v>
      </c>
      <c r="D426" s="254" t="str">
        <f>IFERROR(__xludf.DUMMYFUNCTION("""COMPUTED_VALUE"""),"c_aka_00001_general_vh_Boss_Yellow")</f>
        <v>c_aka_00001_general_vh_Boss_Yellow</v>
      </c>
      <c r="E426" s="254" t="str">
        <f>IFERROR(__xludf.DUMMYFUNCTION("""COMPUTED_VALUE"""),"ラーメン赤猫")</f>
        <v>ラーメン赤猫</v>
      </c>
      <c r="F426" s="254" t="str">
        <f>IFERROR(__xludf.DUMMYFUNCTION("""COMPUTED_VALUE"""),"佐々木")</f>
        <v>佐々木</v>
      </c>
      <c r="G426" s="254" t="str">
        <f>IFERROR(__xludf.DUMMYFUNCTION("""COMPUTED_VALUE"""),"佐々木_general_vh")</f>
        <v>佐々木_general_vh</v>
      </c>
      <c r="H426" s="235" t="str">
        <f>IFERROR(__xludf.DUMMYFUNCTION("""COMPUTED_VALUE"""),"Boss")</f>
        <v>Boss</v>
      </c>
      <c r="I426" s="235" t="str">
        <f>IFERROR(__xludf.DUMMYFUNCTION("""COMPUTED_VALUE"""),"Defense")</f>
        <v>Defense</v>
      </c>
      <c r="J426" s="235" t="str">
        <f>IFERROR(__xludf.DUMMYFUNCTION("""COMPUTED_VALUE"""),"Yellow")</f>
        <v>Yellow</v>
      </c>
      <c r="K426" s="235">
        <f>IFERROR(__xludf.DUMMYFUNCTION("""COMPUTED_VALUE"""),10000.0)</f>
        <v>10000</v>
      </c>
      <c r="L426" s="235">
        <f>IFERROR(__xludf.DUMMYFUNCTION("""COMPUTED_VALUE"""),0.0)</f>
        <v>0</v>
      </c>
      <c r="M426" s="235">
        <f>IFERROR(__xludf.DUMMYFUNCTION("""COMPUTED_VALUE"""),20.0)</f>
        <v>20</v>
      </c>
      <c r="N426" s="235">
        <f>IFERROR(__xludf.DUMMYFUNCTION("""COMPUTED_VALUE"""),0.14)</f>
        <v>0.14</v>
      </c>
      <c r="O426" s="235">
        <f>IFERROR(__xludf.DUMMYFUNCTION("""COMPUTED_VALUE"""),100.0)</f>
        <v>100</v>
      </c>
      <c r="P426" s="235">
        <f>IFERROR(__xludf.DUMMYFUNCTION("""COMPUTED_VALUE"""),0.0)</f>
        <v>0</v>
      </c>
      <c r="Q426" s="235">
        <f>IFERROR(__xludf.DUMMYFUNCTION("""COMPUTED_VALUE"""),0.15)</f>
        <v>0.15</v>
      </c>
      <c r="R426" s="235">
        <f>IFERROR(__xludf.DUMMYFUNCTION("""COMPUTED_VALUE"""),1.0)</f>
        <v>1</v>
      </c>
      <c r="S426" s="235">
        <f>IFERROR(__xludf.DUMMYFUNCTION("""COMPUTED_VALUE"""),500.0)</f>
        <v>500</v>
      </c>
      <c r="T426" s="244" t="str">
        <f>IFERROR(__xludf.DUMMYFUNCTION("""COMPUTED_VALUE"""),"1.70")</f>
        <v>1.70</v>
      </c>
      <c r="U426" s="235" t="str">
        <f>IFERROR(__xludf.DUMMYFUNCTION("""COMPUTED_VALUE"""),"0.66")</f>
        <v>0.66</v>
      </c>
      <c r="V426" s="235">
        <f>IFERROR(__xludf.DUMMYFUNCTION("""COMPUTED_VALUE"""),100.0)</f>
        <v>100</v>
      </c>
      <c r="W426" s="235"/>
      <c r="X426" s="235" t="str">
        <f>IFERROR(__xludf.DUMMYFUNCTION("""COMPUTED_VALUE"""),"1.33")</f>
        <v>1.33</v>
      </c>
      <c r="Y426" s="235"/>
      <c r="Z426" s="235">
        <f>IFERROR(__xludf.DUMMYFUNCTION("""COMPUTED_VALUE"""),3.0)</f>
        <v>3</v>
      </c>
      <c r="AA426" s="235"/>
      <c r="AB426" s="235"/>
      <c r="AC426" s="235" t="str">
        <f>IFERROR(__xludf.DUMMYFUNCTION("""COMPUTED_VALUE"""),"通常攻撃時100%の確率で自身のダメージカット90%(30秒)")</f>
        <v>通常攻撃時100%の確率で自身のダメージカット90%(30秒)</v>
      </c>
    </row>
    <row r="427">
      <c r="A427" s="235"/>
      <c r="B427" s="235" t="str">
        <f>IFERROR(__xludf.DUMMYFUNCTION("""COMPUTED_VALUE"""),"enemy_glo_00001")</f>
        <v>enemy_glo_00001</v>
      </c>
      <c r="C427" s="254" t="str">
        <f>IFERROR(__xludf.DUMMYFUNCTION("""COMPUTED_VALUE"""),"_general_n")</f>
        <v>_general_n</v>
      </c>
      <c r="D427" s="254" t="str">
        <f>IFERROR(__xludf.DUMMYFUNCTION("""COMPUTED_VALUE"""),"e_glo_00001_general_n_Normal_Colorless")</f>
        <v>e_glo_00001_general_n_Normal_Colorless</v>
      </c>
      <c r="E427" s="254" t="str">
        <f>IFERROR(__xludf.DUMMYFUNCTION("""COMPUTED_VALUE"""),"GLOW")</f>
        <v>GLOW</v>
      </c>
      <c r="F427" s="254" t="str">
        <f>IFERROR(__xludf.DUMMYFUNCTION("""COMPUTED_VALUE"""),"ファントム")</f>
        <v>ファントム</v>
      </c>
      <c r="G427" s="254" t="str">
        <f>IFERROR(__xludf.DUMMYFUNCTION("""COMPUTED_VALUE"""),"ファントム_general_n")</f>
        <v>ファントム_general_n</v>
      </c>
      <c r="H427" s="235" t="str">
        <f>IFERROR(__xludf.DUMMYFUNCTION("""COMPUTED_VALUE"""),"Normal")</f>
        <v>Normal</v>
      </c>
      <c r="I427" s="235" t="str">
        <f>IFERROR(__xludf.DUMMYFUNCTION("""COMPUTED_VALUE"""),"Attack")</f>
        <v>Attack</v>
      </c>
      <c r="J427" s="235" t="str">
        <f>IFERROR(__xludf.DUMMYFUNCTION("""COMPUTED_VALUE"""),"Colorless")</f>
        <v>Colorless</v>
      </c>
      <c r="K427" s="235">
        <f>IFERROR(__xludf.DUMMYFUNCTION("""COMPUTED_VALUE"""),1000.0)</f>
        <v>1000</v>
      </c>
      <c r="L427" s="235">
        <f>IFERROR(__xludf.DUMMYFUNCTION("""COMPUTED_VALUE"""),1.0)</f>
        <v>1</v>
      </c>
      <c r="M427" s="235">
        <f>IFERROR(__xludf.DUMMYFUNCTION("""COMPUTED_VALUE"""),40.0)</f>
        <v>40</v>
      </c>
      <c r="N427" s="235">
        <f>IFERROR(__xludf.DUMMYFUNCTION("""COMPUTED_VALUE"""),0.2)</f>
        <v>0.2</v>
      </c>
      <c r="O427" s="235">
        <f>IFERROR(__xludf.DUMMYFUNCTION("""COMPUTED_VALUE"""),50.0)</f>
        <v>50</v>
      </c>
      <c r="P427" s="235">
        <f>IFERROR(__xludf.DUMMYFUNCTION("""COMPUTED_VALUE"""),0.0)</f>
        <v>0</v>
      </c>
      <c r="Q427" s="235">
        <f>IFERROR(__xludf.DUMMYFUNCTION("""COMPUTED_VALUE"""),0.21)</f>
        <v>0.21</v>
      </c>
      <c r="R427" s="235">
        <f>IFERROR(__xludf.DUMMYFUNCTION("""COMPUTED_VALUE"""),1.0)</f>
        <v>1</v>
      </c>
      <c r="S427" s="235">
        <f>IFERROR(__xludf.DUMMYFUNCTION("""COMPUTED_VALUE"""),100.0)</f>
        <v>100</v>
      </c>
      <c r="T427" s="244" t="str">
        <f>IFERROR(__xludf.DUMMYFUNCTION("""COMPUTED_VALUE"""),"1.00")</f>
        <v>1.00</v>
      </c>
      <c r="U427" s="235" t="str">
        <f>IFERROR(__xludf.DUMMYFUNCTION("""COMPUTED_VALUE"""),"0.50")</f>
        <v>0.50</v>
      </c>
      <c r="V427" s="235">
        <f>IFERROR(__xludf.DUMMYFUNCTION("""COMPUTED_VALUE"""),100.0)</f>
        <v>100</v>
      </c>
      <c r="W427" s="235"/>
      <c r="X427" s="235"/>
      <c r="Y427" s="235"/>
      <c r="Z427" s="235" t="str">
        <f>IFERROR(__xludf.DUMMYFUNCTION("""COMPUTED_VALUE"""),"-")</f>
        <v>-</v>
      </c>
      <c r="AA427" s="235"/>
      <c r="AB427" s="235"/>
      <c r="AC427" s="235"/>
    </row>
    <row r="428">
      <c r="A428" s="235"/>
      <c r="B428" s="235" t="str">
        <f>IFERROR(__xludf.DUMMYFUNCTION("""COMPUTED_VALUE"""),"enemy_glo_00001")</f>
        <v>enemy_glo_00001</v>
      </c>
      <c r="C428" s="254" t="str">
        <f>IFERROR(__xludf.DUMMYFUNCTION("""COMPUTED_VALUE"""),"_general_n")</f>
        <v>_general_n</v>
      </c>
      <c r="D428" s="254" t="str">
        <f>IFERROR(__xludf.DUMMYFUNCTION("""COMPUTED_VALUE"""),"e_glo_00001_general_n_Normal_Red")</f>
        <v>e_glo_00001_general_n_Normal_Red</v>
      </c>
      <c r="E428" s="254" t="str">
        <f>IFERROR(__xludf.DUMMYFUNCTION("""COMPUTED_VALUE"""),"GLOW")</f>
        <v>GLOW</v>
      </c>
      <c r="F428" s="254" t="str">
        <f>IFERROR(__xludf.DUMMYFUNCTION("""COMPUTED_VALUE"""),"ファントム")</f>
        <v>ファントム</v>
      </c>
      <c r="G428" s="254" t="str">
        <f>IFERROR(__xludf.DUMMYFUNCTION("""COMPUTED_VALUE"""),"ファントム_general_n")</f>
        <v>ファントム_general_n</v>
      </c>
      <c r="H428" s="235" t="str">
        <f>IFERROR(__xludf.DUMMYFUNCTION("""COMPUTED_VALUE"""),"Normal")</f>
        <v>Normal</v>
      </c>
      <c r="I428" s="235" t="str">
        <f>IFERROR(__xludf.DUMMYFUNCTION("""COMPUTED_VALUE"""),"Attack")</f>
        <v>Attack</v>
      </c>
      <c r="J428" s="235" t="str">
        <f>IFERROR(__xludf.DUMMYFUNCTION("""COMPUTED_VALUE"""),"Red")</f>
        <v>Red</v>
      </c>
      <c r="K428" s="235">
        <f>IFERROR(__xludf.DUMMYFUNCTION("""COMPUTED_VALUE"""),1000.0)</f>
        <v>1000</v>
      </c>
      <c r="L428" s="235">
        <f>IFERROR(__xludf.DUMMYFUNCTION("""COMPUTED_VALUE"""),1.0)</f>
        <v>1</v>
      </c>
      <c r="M428" s="235">
        <f>IFERROR(__xludf.DUMMYFUNCTION("""COMPUTED_VALUE"""),40.0)</f>
        <v>40</v>
      </c>
      <c r="N428" s="235">
        <f>IFERROR(__xludf.DUMMYFUNCTION("""COMPUTED_VALUE"""),0.2)</f>
        <v>0.2</v>
      </c>
      <c r="O428" s="235">
        <f>IFERROR(__xludf.DUMMYFUNCTION("""COMPUTED_VALUE"""),50.0)</f>
        <v>50</v>
      </c>
      <c r="P428" s="235">
        <f>IFERROR(__xludf.DUMMYFUNCTION("""COMPUTED_VALUE"""),0.0)</f>
        <v>0</v>
      </c>
      <c r="Q428" s="235">
        <f>IFERROR(__xludf.DUMMYFUNCTION("""COMPUTED_VALUE"""),0.21)</f>
        <v>0.21</v>
      </c>
      <c r="R428" s="235">
        <f>IFERROR(__xludf.DUMMYFUNCTION("""COMPUTED_VALUE"""),1.0)</f>
        <v>1</v>
      </c>
      <c r="S428" s="235">
        <f>IFERROR(__xludf.DUMMYFUNCTION("""COMPUTED_VALUE"""),100.0)</f>
        <v>100</v>
      </c>
      <c r="T428" s="244" t="str">
        <f>IFERROR(__xludf.DUMMYFUNCTION("""COMPUTED_VALUE"""),"1.00")</f>
        <v>1.00</v>
      </c>
      <c r="U428" s="235" t="str">
        <f>IFERROR(__xludf.DUMMYFUNCTION("""COMPUTED_VALUE"""),"0.50")</f>
        <v>0.50</v>
      </c>
      <c r="V428" s="235">
        <f>IFERROR(__xludf.DUMMYFUNCTION("""COMPUTED_VALUE"""),100.0)</f>
        <v>100</v>
      </c>
      <c r="W428" s="235"/>
      <c r="X428" s="235"/>
      <c r="Y428" s="235"/>
      <c r="Z428" s="235" t="str">
        <f>IFERROR(__xludf.DUMMYFUNCTION("""COMPUTED_VALUE"""),"-")</f>
        <v>-</v>
      </c>
      <c r="AA428" s="235"/>
      <c r="AB428" s="235"/>
      <c r="AC428" s="235"/>
    </row>
    <row r="429">
      <c r="A429" s="235"/>
      <c r="B429" s="235" t="str">
        <f>IFERROR(__xludf.DUMMYFUNCTION("""COMPUTED_VALUE"""),"enemy_glo_00001")</f>
        <v>enemy_glo_00001</v>
      </c>
      <c r="C429" s="254" t="str">
        <f>IFERROR(__xludf.DUMMYFUNCTION("""COMPUTED_VALUE"""),"_general_vh")</f>
        <v>_general_vh</v>
      </c>
      <c r="D429" s="254" t="str">
        <f>IFERROR(__xludf.DUMMYFUNCTION("""COMPUTED_VALUE"""),"e_glo_00001_general_vh_Normal_Red")</f>
        <v>e_glo_00001_general_vh_Normal_Red</v>
      </c>
      <c r="E429" s="254" t="str">
        <f>IFERROR(__xludf.DUMMYFUNCTION("""COMPUTED_VALUE"""),"GLOW")</f>
        <v>GLOW</v>
      </c>
      <c r="F429" s="254" t="str">
        <f>IFERROR(__xludf.DUMMYFUNCTION("""COMPUTED_VALUE"""),"ファントム")</f>
        <v>ファントム</v>
      </c>
      <c r="G429" s="254" t="str">
        <f>IFERROR(__xludf.DUMMYFUNCTION("""COMPUTED_VALUE"""),"ファントム_general_vh")</f>
        <v>ファントム_general_vh</v>
      </c>
      <c r="H429" s="235" t="str">
        <f>IFERROR(__xludf.DUMMYFUNCTION("""COMPUTED_VALUE"""),"Normal")</f>
        <v>Normal</v>
      </c>
      <c r="I429" s="235" t="str">
        <f>IFERROR(__xludf.DUMMYFUNCTION("""COMPUTED_VALUE"""),"Technical")</f>
        <v>Technical</v>
      </c>
      <c r="J429" s="235" t="str">
        <f>IFERROR(__xludf.DUMMYFUNCTION("""COMPUTED_VALUE"""),"Red")</f>
        <v>Red</v>
      </c>
      <c r="K429" s="235">
        <f>IFERROR(__xludf.DUMMYFUNCTION("""COMPUTED_VALUE"""),1000.0)</f>
        <v>1000</v>
      </c>
      <c r="L429" s="235">
        <f>IFERROR(__xludf.DUMMYFUNCTION("""COMPUTED_VALUE"""),1.0)</f>
        <v>1</v>
      </c>
      <c r="M429" s="235">
        <f>IFERROR(__xludf.DUMMYFUNCTION("""COMPUTED_VALUE"""),40.0)</f>
        <v>40</v>
      </c>
      <c r="N429" s="235">
        <f>IFERROR(__xludf.DUMMYFUNCTION("""COMPUTED_VALUE"""),0.2)</f>
        <v>0.2</v>
      </c>
      <c r="O429" s="235">
        <f>IFERROR(__xludf.DUMMYFUNCTION("""COMPUTED_VALUE"""),50.0)</f>
        <v>50</v>
      </c>
      <c r="P429" s="235">
        <f>IFERROR(__xludf.DUMMYFUNCTION("""COMPUTED_VALUE"""),0.0)</f>
        <v>0</v>
      </c>
      <c r="Q429" s="235">
        <f>IFERROR(__xludf.DUMMYFUNCTION("""COMPUTED_VALUE"""),0.21)</f>
        <v>0.21</v>
      </c>
      <c r="R429" s="235">
        <f>IFERROR(__xludf.DUMMYFUNCTION("""COMPUTED_VALUE"""),1.0)</f>
        <v>1</v>
      </c>
      <c r="S429" s="235">
        <f>IFERROR(__xludf.DUMMYFUNCTION("""COMPUTED_VALUE"""),100.0)</f>
        <v>100</v>
      </c>
      <c r="T429" s="244" t="str">
        <f>IFERROR(__xludf.DUMMYFUNCTION("""COMPUTED_VALUE"""),"1.00")</f>
        <v>1.00</v>
      </c>
      <c r="U429" s="235" t="str">
        <f>IFERROR(__xludf.DUMMYFUNCTION("""COMPUTED_VALUE"""),"0.50")</f>
        <v>0.50</v>
      </c>
      <c r="V429" s="235">
        <f>IFERROR(__xludf.DUMMYFUNCTION("""COMPUTED_VALUE"""),100.0)</f>
        <v>100</v>
      </c>
      <c r="W429" s="235"/>
      <c r="X429" s="235"/>
      <c r="Y429" s="235"/>
      <c r="Z429" s="235" t="str">
        <f>IFERROR(__xludf.DUMMYFUNCTION("""COMPUTED_VALUE"""),"-")</f>
        <v>-</v>
      </c>
      <c r="AA429" s="235"/>
      <c r="AB429" s="235"/>
      <c r="AC429" s="235" t="str">
        <f>IFERROR(__xludf.DUMMYFUNCTION("""COMPUTED_VALUE"""),"通常攻撃時50%の確率で小ノックバック")</f>
        <v>通常攻撃時50%の確率で小ノックバック</v>
      </c>
    </row>
    <row r="430">
      <c r="A430" s="235"/>
      <c r="B430" s="235" t="str">
        <f>IFERROR(__xludf.DUMMYFUNCTION("""COMPUTED_VALUE"""),"enemy_glo_00001")</f>
        <v>enemy_glo_00001</v>
      </c>
      <c r="C430" s="254" t="str">
        <f>IFERROR(__xludf.DUMMYFUNCTION("""COMPUTED_VALUE"""),"_glo1_vh")</f>
        <v>_glo1_vh</v>
      </c>
      <c r="D430" s="254" t="str">
        <f>IFERROR(__xludf.DUMMYFUNCTION("""COMPUTED_VALUE"""),"e_glo_00001_glo1_vh_Normal_Blue")</f>
        <v>e_glo_00001_glo1_vh_Normal_Blue</v>
      </c>
      <c r="E430" s="254" t="str">
        <f>IFERROR(__xludf.DUMMYFUNCTION("""COMPUTED_VALUE"""),"GLOW")</f>
        <v>GLOW</v>
      </c>
      <c r="F430" s="254" t="str">
        <f>IFERROR(__xludf.DUMMYFUNCTION("""COMPUTED_VALUE"""),"ファントム")</f>
        <v>ファントム</v>
      </c>
      <c r="G430" s="254" t="str">
        <f>IFERROR(__xludf.DUMMYFUNCTION("""COMPUTED_VALUE"""),"ファントム_glo1_vh")</f>
        <v>ファントム_glo1_vh</v>
      </c>
      <c r="H430" s="235" t="str">
        <f>IFERROR(__xludf.DUMMYFUNCTION("""COMPUTED_VALUE"""),"Normal")</f>
        <v>Normal</v>
      </c>
      <c r="I430" s="235" t="str">
        <f>IFERROR(__xludf.DUMMYFUNCTION("""COMPUTED_VALUE"""),"Technical")</f>
        <v>Technical</v>
      </c>
      <c r="J430" s="235" t="str">
        <f>IFERROR(__xludf.DUMMYFUNCTION("""COMPUTED_VALUE"""),"Blue")</f>
        <v>Blue</v>
      </c>
      <c r="K430" s="235">
        <f>IFERROR(__xludf.DUMMYFUNCTION("""COMPUTED_VALUE"""),10000.0)</f>
        <v>10000</v>
      </c>
      <c r="L430" s="235">
        <f>IFERROR(__xludf.DUMMYFUNCTION("""COMPUTED_VALUE"""),1.0)</f>
        <v>1</v>
      </c>
      <c r="M430" s="235">
        <f>IFERROR(__xludf.DUMMYFUNCTION("""COMPUTED_VALUE"""),40.0)</f>
        <v>40</v>
      </c>
      <c r="N430" s="235">
        <f>IFERROR(__xludf.DUMMYFUNCTION("""COMPUTED_VALUE"""),0.2)</f>
        <v>0.2</v>
      </c>
      <c r="O430" s="235">
        <f>IFERROR(__xludf.DUMMYFUNCTION("""COMPUTED_VALUE"""),100.0)</f>
        <v>100</v>
      </c>
      <c r="P430" s="235">
        <f>IFERROR(__xludf.DUMMYFUNCTION("""COMPUTED_VALUE"""),0.0)</f>
        <v>0</v>
      </c>
      <c r="Q430" s="235">
        <f>IFERROR(__xludf.DUMMYFUNCTION("""COMPUTED_VALUE"""),0.21)</f>
        <v>0.21</v>
      </c>
      <c r="R430" s="235">
        <f>IFERROR(__xludf.DUMMYFUNCTION("""COMPUTED_VALUE"""),1.0)</f>
        <v>1</v>
      </c>
      <c r="S430" s="235">
        <f>IFERROR(__xludf.DUMMYFUNCTION("""COMPUTED_VALUE"""),100.0)</f>
        <v>100</v>
      </c>
      <c r="T430" s="244" t="str">
        <f>IFERROR(__xludf.DUMMYFUNCTION("""COMPUTED_VALUE"""),"1.00")</f>
        <v>1.00</v>
      </c>
      <c r="U430" s="235" t="str">
        <f>IFERROR(__xludf.DUMMYFUNCTION("""COMPUTED_VALUE"""),"0.50")</f>
        <v>0.50</v>
      </c>
      <c r="V430" s="235">
        <f>IFERROR(__xludf.DUMMYFUNCTION("""COMPUTED_VALUE"""),100.0)</f>
        <v>100</v>
      </c>
      <c r="W430" s="235"/>
      <c r="X430" s="235"/>
      <c r="Y430" s="235"/>
      <c r="Z430" s="235" t="str">
        <f>IFERROR(__xludf.DUMMYFUNCTION("""COMPUTED_VALUE"""),"-")</f>
        <v>-</v>
      </c>
      <c r="AA430" s="235"/>
      <c r="AB430" s="235"/>
      <c r="AC430" s="235" t="str">
        <f>IFERROR(__xludf.DUMMYFUNCTION("""COMPUTED_VALUE"""),"70%の確率で50%攻撃ダウン(10秒)")</f>
        <v>70%の確率で50%攻撃ダウン(10秒)</v>
      </c>
    </row>
    <row r="431">
      <c r="A431" s="235"/>
      <c r="B431" s="235" t="str">
        <f>IFERROR(__xludf.DUMMYFUNCTION("""COMPUTED_VALUE"""),"enemy_glo_00001")</f>
        <v>enemy_glo_00001</v>
      </c>
      <c r="C431" s="254" t="str">
        <f>IFERROR(__xludf.DUMMYFUNCTION("""COMPUTED_VALUE"""),"_glo1_vh")</f>
        <v>_glo1_vh</v>
      </c>
      <c r="D431" s="254" t="str">
        <f>IFERROR(__xludf.DUMMYFUNCTION("""COMPUTED_VALUE"""),"e_glo_00001_glo1_vh_Normal_Green")</f>
        <v>e_glo_00001_glo1_vh_Normal_Green</v>
      </c>
      <c r="E431" s="254" t="str">
        <f>IFERROR(__xludf.DUMMYFUNCTION("""COMPUTED_VALUE"""),"GLOW")</f>
        <v>GLOW</v>
      </c>
      <c r="F431" s="254" t="str">
        <f>IFERROR(__xludf.DUMMYFUNCTION("""COMPUTED_VALUE"""),"ファントム")</f>
        <v>ファントム</v>
      </c>
      <c r="G431" s="254" t="str">
        <f>IFERROR(__xludf.DUMMYFUNCTION("""COMPUTED_VALUE"""),"ファントム_glo1_vh")</f>
        <v>ファントム_glo1_vh</v>
      </c>
      <c r="H431" s="235" t="str">
        <f>IFERROR(__xludf.DUMMYFUNCTION("""COMPUTED_VALUE"""),"Normal")</f>
        <v>Normal</v>
      </c>
      <c r="I431" s="235" t="str">
        <f>IFERROR(__xludf.DUMMYFUNCTION("""COMPUTED_VALUE"""),"Defense")</f>
        <v>Defense</v>
      </c>
      <c r="J431" s="235" t="str">
        <f>IFERROR(__xludf.DUMMYFUNCTION("""COMPUTED_VALUE"""),"Green")</f>
        <v>Green</v>
      </c>
      <c r="K431" s="235">
        <f>IFERROR(__xludf.DUMMYFUNCTION("""COMPUTED_VALUE"""),10000.0)</f>
        <v>10000</v>
      </c>
      <c r="L431" s="235">
        <f>IFERROR(__xludf.DUMMYFUNCTION("""COMPUTED_VALUE"""),1.0)</f>
        <v>1</v>
      </c>
      <c r="M431" s="235">
        <f>IFERROR(__xludf.DUMMYFUNCTION("""COMPUTED_VALUE"""),40.0)</f>
        <v>40</v>
      </c>
      <c r="N431" s="235">
        <f>IFERROR(__xludf.DUMMYFUNCTION("""COMPUTED_VALUE"""),0.2)</f>
        <v>0.2</v>
      </c>
      <c r="O431" s="235">
        <f>IFERROR(__xludf.DUMMYFUNCTION("""COMPUTED_VALUE"""),100.0)</f>
        <v>100</v>
      </c>
      <c r="P431" s="235">
        <f>IFERROR(__xludf.DUMMYFUNCTION("""COMPUTED_VALUE"""),0.0)</f>
        <v>0</v>
      </c>
      <c r="Q431" s="235">
        <f>IFERROR(__xludf.DUMMYFUNCTION("""COMPUTED_VALUE"""),0.21)</f>
        <v>0.21</v>
      </c>
      <c r="R431" s="235">
        <f>IFERROR(__xludf.DUMMYFUNCTION("""COMPUTED_VALUE"""),1.0)</f>
        <v>1</v>
      </c>
      <c r="S431" s="235">
        <f>IFERROR(__xludf.DUMMYFUNCTION("""COMPUTED_VALUE"""),100.0)</f>
        <v>100</v>
      </c>
      <c r="T431" s="244" t="str">
        <f>IFERROR(__xludf.DUMMYFUNCTION("""COMPUTED_VALUE"""),"1.00")</f>
        <v>1.00</v>
      </c>
      <c r="U431" s="235" t="str">
        <f>IFERROR(__xludf.DUMMYFUNCTION("""COMPUTED_VALUE"""),"0.50")</f>
        <v>0.50</v>
      </c>
      <c r="V431" s="235">
        <f>IFERROR(__xludf.DUMMYFUNCTION("""COMPUTED_VALUE"""),100.0)</f>
        <v>100</v>
      </c>
      <c r="W431" s="235"/>
      <c r="X431" s="235"/>
      <c r="Y431" s="235"/>
      <c r="Z431" s="235" t="str">
        <f>IFERROR(__xludf.DUMMYFUNCTION("""COMPUTED_VALUE"""),"-")</f>
        <v>-</v>
      </c>
      <c r="AA431" s="235"/>
      <c r="AB431" s="235"/>
      <c r="AC431" s="235"/>
    </row>
    <row r="432">
      <c r="A432" s="235"/>
      <c r="B432" s="235" t="str">
        <f>IFERROR(__xludf.DUMMYFUNCTION("""COMPUTED_VALUE"""),"enemy_glo_00101")</f>
        <v>enemy_glo_00101</v>
      </c>
      <c r="C432" s="254" t="str">
        <f>IFERROR(__xludf.DUMMYFUNCTION("""COMPUTED_VALUE"""),"_general_n")</f>
        <v>_general_n</v>
      </c>
      <c r="D432" s="254" t="str">
        <f>IFERROR(__xludf.DUMMYFUNCTION("""COMPUTED_VALUE"""),"e_glo_00101_general_n_Boss_Colorless")</f>
        <v>e_glo_00101_general_n_Boss_Colorless</v>
      </c>
      <c r="E432" s="254" t="str">
        <f>IFERROR(__xludf.DUMMYFUNCTION("""COMPUTED_VALUE"""),"GLOW")</f>
        <v>GLOW</v>
      </c>
      <c r="F432" s="254" t="str">
        <f>IFERROR(__xludf.DUMMYFUNCTION("""COMPUTED_VALUE"""),"ボスファントム")</f>
        <v>ボスファントム</v>
      </c>
      <c r="G432" s="254" t="str">
        <f>IFERROR(__xludf.DUMMYFUNCTION("""COMPUTED_VALUE"""),"中ボスエネミー_general_n")</f>
        <v>中ボスエネミー_general_n</v>
      </c>
      <c r="H432" s="235" t="str">
        <f>IFERROR(__xludf.DUMMYFUNCTION("""COMPUTED_VALUE"""),"Boss")</f>
        <v>Boss</v>
      </c>
      <c r="I432" s="235" t="str">
        <f>IFERROR(__xludf.DUMMYFUNCTION("""COMPUTED_VALUE"""),"Attack")</f>
        <v>Attack</v>
      </c>
      <c r="J432" s="235" t="str">
        <f>IFERROR(__xludf.DUMMYFUNCTION("""COMPUTED_VALUE"""),"Colorless")</f>
        <v>Colorless</v>
      </c>
      <c r="K432" s="235">
        <f>IFERROR(__xludf.DUMMYFUNCTION("""COMPUTED_VALUE"""),10000.0)</f>
        <v>10000</v>
      </c>
      <c r="L432" s="235">
        <f>IFERROR(__xludf.DUMMYFUNCTION("""COMPUTED_VALUE"""),1.0)</f>
        <v>1</v>
      </c>
      <c r="M432" s="235">
        <f>IFERROR(__xludf.DUMMYFUNCTION("""COMPUTED_VALUE"""),31.0)</f>
        <v>31</v>
      </c>
      <c r="N432" s="235">
        <f>IFERROR(__xludf.DUMMYFUNCTION("""COMPUTED_VALUE"""),0.23)</f>
        <v>0.23</v>
      </c>
      <c r="O432" s="235">
        <f>IFERROR(__xludf.DUMMYFUNCTION("""COMPUTED_VALUE"""),50.0)</f>
        <v>50</v>
      </c>
      <c r="P432" s="235">
        <f>IFERROR(__xludf.DUMMYFUNCTION("""COMPUTED_VALUE"""),0.0)</f>
        <v>0</v>
      </c>
      <c r="Q432" s="235">
        <f>IFERROR(__xludf.DUMMYFUNCTION("""COMPUTED_VALUE"""),0.25)</f>
        <v>0.25</v>
      </c>
      <c r="R432" s="235">
        <f>IFERROR(__xludf.DUMMYFUNCTION("""COMPUTED_VALUE"""),100.0)</f>
        <v>100</v>
      </c>
      <c r="S432" s="235">
        <f>IFERROR(__xludf.DUMMYFUNCTION("""COMPUTED_VALUE"""),500.0)</f>
        <v>500</v>
      </c>
      <c r="T432" s="244" t="str">
        <f>IFERROR(__xludf.DUMMYFUNCTION("""COMPUTED_VALUE"""),"1.17")</f>
        <v>1.17</v>
      </c>
      <c r="U432" s="235" t="str">
        <f>IFERROR(__xludf.DUMMYFUNCTION("""COMPUTED_VALUE"""),"stop有:1回目 0.56")</f>
        <v>stop有:1回目 0.56</v>
      </c>
      <c r="V432" s="235">
        <f>IFERROR(__xludf.DUMMYFUNCTION("""COMPUTED_VALUE"""),100.0)</f>
        <v>100</v>
      </c>
      <c r="W432" s="235" t="str">
        <f>IFERROR(__xludf.DUMMYFUNCTION("""COMPUTED_VALUE"""),"-")</f>
        <v>-</v>
      </c>
      <c r="X432" s="235" t="str">
        <f>IFERROR(__xludf.DUMMYFUNCTION("""COMPUTED_VALUE"""),"-")</f>
        <v>-</v>
      </c>
      <c r="Y432" s="235"/>
      <c r="Z432" s="235" t="str">
        <f>IFERROR(__xludf.DUMMYFUNCTION("""COMPUTED_VALUE"""),"-")</f>
        <v>-</v>
      </c>
      <c r="AA432" s="235"/>
      <c r="AB432" s="235"/>
      <c r="AC432" s="235"/>
    </row>
    <row r="433">
      <c r="A433" s="235"/>
      <c r="B433" s="235" t="str">
        <f>IFERROR(__xludf.DUMMYFUNCTION("""COMPUTED_VALUE"""),"enemy_glo_00101")</f>
        <v>enemy_glo_00101</v>
      </c>
      <c r="C433" s="254" t="str">
        <f>IFERROR(__xludf.DUMMYFUNCTION("""COMPUTED_VALUE"""),"_general_n")</f>
        <v>_general_n</v>
      </c>
      <c r="D433" s="254" t="str">
        <f>IFERROR(__xludf.DUMMYFUNCTION("""COMPUTED_VALUE"""),"e_glo_00101_general_n_Boss_Blue")</f>
        <v>e_glo_00101_general_n_Boss_Blue</v>
      </c>
      <c r="E433" s="254" t="str">
        <f>IFERROR(__xludf.DUMMYFUNCTION("""COMPUTED_VALUE"""),"GLOW")</f>
        <v>GLOW</v>
      </c>
      <c r="F433" s="254" t="str">
        <f>IFERROR(__xludf.DUMMYFUNCTION("""COMPUTED_VALUE"""),"ボスファントム")</f>
        <v>ボスファントム</v>
      </c>
      <c r="G433" s="254" t="str">
        <f>IFERROR(__xludf.DUMMYFUNCTION("""COMPUTED_VALUE"""),"中ボスエネミー_general_n")</f>
        <v>中ボスエネミー_general_n</v>
      </c>
      <c r="H433" s="235" t="str">
        <f>IFERROR(__xludf.DUMMYFUNCTION("""COMPUTED_VALUE"""),"Boss")</f>
        <v>Boss</v>
      </c>
      <c r="I433" s="235" t="str">
        <f>IFERROR(__xludf.DUMMYFUNCTION("""COMPUTED_VALUE"""),"Attack")</f>
        <v>Attack</v>
      </c>
      <c r="J433" s="235" t="str">
        <f>IFERROR(__xludf.DUMMYFUNCTION("""COMPUTED_VALUE"""),"Blue")</f>
        <v>Blue</v>
      </c>
      <c r="K433" s="235">
        <f>IFERROR(__xludf.DUMMYFUNCTION("""COMPUTED_VALUE"""),10000.0)</f>
        <v>10000</v>
      </c>
      <c r="L433" s="235">
        <f>IFERROR(__xludf.DUMMYFUNCTION("""COMPUTED_VALUE"""),1.0)</f>
        <v>1</v>
      </c>
      <c r="M433" s="235">
        <f>IFERROR(__xludf.DUMMYFUNCTION("""COMPUTED_VALUE"""),25.0)</f>
        <v>25</v>
      </c>
      <c r="N433" s="235">
        <f>IFERROR(__xludf.DUMMYFUNCTION("""COMPUTED_VALUE"""),0.23)</f>
        <v>0.23</v>
      </c>
      <c r="O433" s="235">
        <f>IFERROR(__xludf.DUMMYFUNCTION("""COMPUTED_VALUE"""),50.0)</f>
        <v>50</v>
      </c>
      <c r="P433" s="235">
        <f>IFERROR(__xludf.DUMMYFUNCTION("""COMPUTED_VALUE"""),0.0)</f>
        <v>0</v>
      </c>
      <c r="Q433" s="235">
        <f>IFERROR(__xludf.DUMMYFUNCTION("""COMPUTED_VALUE"""),0.25)</f>
        <v>0.25</v>
      </c>
      <c r="R433" s="235">
        <f>IFERROR(__xludf.DUMMYFUNCTION("""COMPUTED_VALUE"""),100.0)</f>
        <v>100</v>
      </c>
      <c r="S433" s="235">
        <f>IFERROR(__xludf.DUMMYFUNCTION("""COMPUTED_VALUE"""),500.0)</f>
        <v>500</v>
      </c>
      <c r="T433" s="244" t="str">
        <f>IFERROR(__xludf.DUMMYFUNCTION("""COMPUTED_VALUE"""),"1.17")</f>
        <v>1.17</v>
      </c>
      <c r="U433" s="235" t="str">
        <f>IFERROR(__xludf.DUMMYFUNCTION("""COMPUTED_VALUE"""),"stop有:1回目 0.56")</f>
        <v>stop有:1回目 0.56</v>
      </c>
      <c r="V433" s="235">
        <f>IFERROR(__xludf.DUMMYFUNCTION("""COMPUTED_VALUE"""),200.0)</f>
        <v>200</v>
      </c>
      <c r="W433" s="235" t="str">
        <f>IFERROR(__xludf.DUMMYFUNCTION("""COMPUTED_VALUE"""),"-")</f>
        <v>-</v>
      </c>
      <c r="X433" s="235" t="str">
        <f>IFERROR(__xludf.DUMMYFUNCTION("""COMPUTED_VALUE"""),"-")</f>
        <v>-</v>
      </c>
      <c r="Y433" s="235"/>
      <c r="Z433" s="235" t="str">
        <f>IFERROR(__xludf.DUMMYFUNCTION("""COMPUTED_VALUE"""),"-")</f>
        <v>-</v>
      </c>
      <c r="AA433" s="235"/>
      <c r="AB433" s="235"/>
      <c r="AC433" s="235"/>
    </row>
    <row r="434">
      <c r="A434" s="235"/>
      <c r="B434" s="235" t="str">
        <f>IFERROR(__xludf.DUMMYFUNCTION("""COMPUTED_VALUE"""),"enemy_glo_00101")</f>
        <v>enemy_glo_00101</v>
      </c>
      <c r="C434" s="254" t="str">
        <f>IFERROR(__xludf.DUMMYFUNCTION("""COMPUTED_VALUE"""),"_general_vh")</f>
        <v>_general_vh</v>
      </c>
      <c r="D434" s="254" t="str">
        <f>IFERROR(__xludf.DUMMYFUNCTION("""COMPUTED_VALUE"""),"e_glo_00101_general_vh_Boss_Blue")</f>
        <v>e_glo_00101_general_vh_Boss_Blue</v>
      </c>
      <c r="E434" s="254" t="str">
        <f>IFERROR(__xludf.DUMMYFUNCTION("""COMPUTED_VALUE"""),"GLOW")</f>
        <v>GLOW</v>
      </c>
      <c r="F434" s="254" t="str">
        <f>IFERROR(__xludf.DUMMYFUNCTION("""COMPUTED_VALUE"""),"ボスファントム")</f>
        <v>ボスファントム</v>
      </c>
      <c r="G434" s="254" t="str">
        <f>IFERROR(__xludf.DUMMYFUNCTION("""COMPUTED_VALUE"""),"中ボスエネミー_general_vh")</f>
        <v>中ボスエネミー_general_vh</v>
      </c>
      <c r="H434" s="235" t="str">
        <f>IFERROR(__xludf.DUMMYFUNCTION("""COMPUTED_VALUE"""),"Boss")</f>
        <v>Boss</v>
      </c>
      <c r="I434" s="235" t="str">
        <f>IFERROR(__xludf.DUMMYFUNCTION("""COMPUTED_VALUE"""),"Attack")</f>
        <v>Attack</v>
      </c>
      <c r="J434" s="235" t="str">
        <f>IFERROR(__xludf.DUMMYFUNCTION("""COMPUTED_VALUE"""),"Blue")</f>
        <v>Blue</v>
      </c>
      <c r="K434" s="235">
        <f>IFERROR(__xludf.DUMMYFUNCTION("""COMPUTED_VALUE"""),10000.0)</f>
        <v>10000</v>
      </c>
      <c r="L434" s="235">
        <f>IFERROR(__xludf.DUMMYFUNCTION("""COMPUTED_VALUE"""),1.0)</f>
        <v>1</v>
      </c>
      <c r="M434" s="235">
        <f>IFERROR(__xludf.DUMMYFUNCTION("""COMPUTED_VALUE"""),25.0)</f>
        <v>25</v>
      </c>
      <c r="N434" s="235">
        <f>IFERROR(__xludf.DUMMYFUNCTION("""COMPUTED_VALUE"""),0.23)</f>
        <v>0.23</v>
      </c>
      <c r="O434" s="235">
        <f>IFERROR(__xludf.DUMMYFUNCTION("""COMPUTED_VALUE"""),100.0)</f>
        <v>100</v>
      </c>
      <c r="P434" s="235">
        <f>IFERROR(__xludf.DUMMYFUNCTION("""COMPUTED_VALUE"""),0.0)</f>
        <v>0</v>
      </c>
      <c r="Q434" s="235">
        <f>IFERROR(__xludf.DUMMYFUNCTION("""COMPUTED_VALUE"""),0.25)</f>
        <v>0.25</v>
      </c>
      <c r="R434" s="235">
        <f>IFERROR(__xludf.DUMMYFUNCTION("""COMPUTED_VALUE"""),100.0)</f>
        <v>100</v>
      </c>
      <c r="S434" s="235">
        <f>IFERROR(__xludf.DUMMYFUNCTION("""COMPUTED_VALUE"""),500.0)</f>
        <v>500</v>
      </c>
      <c r="T434" s="244" t="str">
        <f>IFERROR(__xludf.DUMMYFUNCTION("""COMPUTED_VALUE"""),"1.17")</f>
        <v>1.17</v>
      </c>
      <c r="U434" s="235" t="str">
        <f>IFERROR(__xludf.DUMMYFUNCTION("""COMPUTED_VALUE"""),"stop有:1回目 0.56")</f>
        <v>stop有:1回目 0.56</v>
      </c>
      <c r="V434" s="235">
        <f>IFERROR(__xludf.DUMMYFUNCTION("""COMPUTED_VALUE"""),450.0)</f>
        <v>450</v>
      </c>
      <c r="W434" s="235" t="str">
        <f>IFERROR(__xludf.DUMMYFUNCTION("""COMPUTED_VALUE"""),"-")</f>
        <v>-</v>
      </c>
      <c r="X434" s="235" t="str">
        <f>IFERROR(__xludf.DUMMYFUNCTION("""COMPUTED_VALUE"""),"-")</f>
        <v>-</v>
      </c>
      <c r="Y434" s="235"/>
      <c r="Z434" s="235" t="str">
        <f>IFERROR(__xludf.DUMMYFUNCTION("""COMPUTED_VALUE"""),"-")</f>
        <v>-</v>
      </c>
      <c r="AA434" s="235"/>
      <c r="AB434" s="235"/>
      <c r="AC434" s="235" t="str">
        <f>IFERROR(__xludf.DUMMYFUNCTION("""COMPUTED_VALUE"""),"通常攻撃時100%の確率で中ノックバック
100%の確率で氷結(3秒間)")</f>
        <v>通常攻撃時100%の確率で中ノックバック
100%の確率で氷結(3秒間)</v>
      </c>
    </row>
    <row r="435">
      <c r="A435" s="235"/>
      <c r="B435" s="235"/>
      <c r="C435" s="254"/>
      <c r="D435" s="254" t="str">
        <f>IFERROR(__xludf.DUMMYFUNCTION("""COMPUTED_VALUE"""),"___")</f>
        <v>___</v>
      </c>
      <c r="E435" s="254" t="str">
        <f>IFERROR(__xludf.DUMMYFUNCTION("""COMPUTED_VALUE"""),"none")</f>
        <v>none</v>
      </c>
      <c r="F435" s="254" t="str">
        <f>IFERROR(__xludf.DUMMYFUNCTION("""COMPUTED_VALUE"""),"none")</f>
        <v>none</v>
      </c>
      <c r="G435" s="254" t="str">
        <f>IFERROR(__xludf.DUMMYFUNCTION("""COMPUTED_VALUE"""),"none")</f>
        <v>none</v>
      </c>
      <c r="H435" s="235"/>
      <c r="I435" s="235" t="str">
        <f>IFERROR(__xludf.DUMMYFUNCTION("""COMPUTED_VALUE"""),"none")</f>
        <v>none</v>
      </c>
      <c r="J435" s="235"/>
      <c r="K435" s="235"/>
      <c r="L435" s="235"/>
      <c r="M435" s="235"/>
      <c r="N435" s="235"/>
      <c r="O435" s="235"/>
      <c r="P435" s="235"/>
      <c r="Q435" s="235"/>
      <c r="R435" s="235"/>
      <c r="S435" s="235"/>
      <c r="T435" s="244" t="str">
        <f>IFERROR(__xludf.DUMMYFUNCTION("""COMPUTED_VALUE"""),"none")</f>
        <v>none</v>
      </c>
      <c r="U435" s="235" t="str">
        <f>IFERROR(__xludf.DUMMYFUNCTION("""COMPUTED_VALUE"""),"none")</f>
        <v>none</v>
      </c>
      <c r="V435" s="235"/>
      <c r="W435" s="235" t="str">
        <f>IFERROR(__xludf.DUMMYFUNCTION("""COMPUTED_VALUE"""),"none")</f>
        <v>none</v>
      </c>
      <c r="X435" s="235" t="str">
        <f>IFERROR(__xludf.DUMMYFUNCTION("""COMPUTED_VALUE"""),"none")</f>
        <v>none</v>
      </c>
      <c r="Y435" s="235"/>
      <c r="Z435" s="235" t="str">
        <f>IFERROR(__xludf.DUMMYFUNCTION("""COMPUTED_VALUE"""),"-")</f>
        <v>-</v>
      </c>
      <c r="AA435" s="235"/>
      <c r="AB435" s="235"/>
      <c r="AC435" s="235"/>
    </row>
    <row r="436">
      <c r="A436" s="235"/>
      <c r="B436" s="235" t="str">
        <f>IFERROR(__xludf.DUMMYFUNCTION("""COMPUTED_VALUE"""),"enemy_dan_00001")</f>
        <v>enemy_dan_00001</v>
      </c>
      <c r="C436" s="254" t="str">
        <f>IFERROR(__xludf.DUMMYFUNCTION("""COMPUTED_VALUE"""),"_general_n_trans")</f>
        <v>_general_n_trans</v>
      </c>
      <c r="D436" s="254" t="str">
        <f>IFERROR(__xludf.DUMMYFUNCTION("""COMPUTED_VALUE"""),"e_dan_00001_general_n_trans_Normal_Colorless")</f>
        <v>e_dan_00001_general_n_trans_Normal_Colorless</v>
      </c>
      <c r="E436" s="254" t="str">
        <f>IFERROR(__xludf.DUMMYFUNCTION("""COMPUTED_VALUE"""),"ダンダダン")</f>
        <v>ダンダダン</v>
      </c>
      <c r="F436" s="254" t="str">
        <f>IFERROR(__xludf.DUMMYFUNCTION("""COMPUTED_VALUE"""),"セルポ星人")</f>
        <v>セルポ星人</v>
      </c>
      <c r="G436" s="254" t="str">
        <f>IFERROR(__xludf.DUMMYFUNCTION("""COMPUTED_VALUE"""),"セルポ星人_general_n_trans")</f>
        <v>セルポ星人_general_n_trans</v>
      </c>
      <c r="H436" s="235" t="str">
        <f>IFERROR(__xludf.DUMMYFUNCTION("""COMPUTED_VALUE"""),"Normal")</f>
        <v>Normal</v>
      </c>
      <c r="I436" s="235" t="str">
        <f>IFERROR(__xludf.DUMMYFUNCTION("""COMPUTED_VALUE"""),"Attack")</f>
        <v>Attack</v>
      </c>
      <c r="J436" s="235" t="str">
        <f>IFERROR(__xludf.DUMMYFUNCTION("""COMPUTED_VALUE"""),"Colorless")</f>
        <v>Colorless</v>
      </c>
      <c r="K436" s="235">
        <f>IFERROR(__xludf.DUMMYFUNCTION("""COMPUTED_VALUE"""),1000.0)</f>
        <v>1000</v>
      </c>
      <c r="L436" s="235">
        <f>IFERROR(__xludf.DUMMYFUNCTION("""COMPUTED_VALUE"""),1.0)</f>
        <v>1</v>
      </c>
      <c r="M436" s="235">
        <f>IFERROR(__xludf.DUMMYFUNCTION("""COMPUTED_VALUE"""),34.0)</f>
        <v>34</v>
      </c>
      <c r="N436" s="235">
        <f>IFERROR(__xludf.DUMMYFUNCTION("""COMPUTED_VALUE"""),0.24)</f>
        <v>0.24</v>
      </c>
      <c r="O436" s="235">
        <f>IFERROR(__xludf.DUMMYFUNCTION("""COMPUTED_VALUE"""),50.0)</f>
        <v>50</v>
      </c>
      <c r="P436" s="235">
        <f>IFERROR(__xludf.DUMMYFUNCTION("""COMPUTED_VALUE"""),0.0)</f>
        <v>0</v>
      </c>
      <c r="Q436" s="235">
        <f>IFERROR(__xludf.DUMMYFUNCTION("""COMPUTED_VALUE"""),0.25)</f>
        <v>0.25</v>
      </c>
      <c r="R436" s="235">
        <f>IFERROR(__xludf.DUMMYFUNCTION("""COMPUTED_VALUE"""),1.0)</f>
        <v>1</v>
      </c>
      <c r="S436" s="235">
        <f>IFERROR(__xludf.DUMMYFUNCTION("""COMPUTED_VALUE"""),100.0)</f>
        <v>100</v>
      </c>
      <c r="T436" s="244" t="str">
        <f>IFERROR(__xludf.DUMMYFUNCTION("""COMPUTED_VALUE"""),"1.16")</f>
        <v>1.16</v>
      </c>
      <c r="U436" s="235" t="str">
        <f>IFERROR(__xludf.DUMMYFUNCTION("""COMPUTED_VALUE"""),"0.50")</f>
        <v>0.50</v>
      </c>
      <c r="V436" s="235">
        <f>IFERROR(__xludf.DUMMYFUNCTION("""COMPUTED_VALUE"""),100.0)</f>
        <v>100</v>
      </c>
      <c r="W436" s="235" t="str">
        <f>IFERROR(__xludf.DUMMYFUNCTION("""COMPUTED_VALUE"""),"-")</f>
        <v>-</v>
      </c>
      <c r="X436" s="235" t="str">
        <f>IFERROR(__xludf.DUMMYFUNCTION("""COMPUTED_VALUE"""),"-")</f>
        <v>-</v>
      </c>
      <c r="Y436" s="235"/>
      <c r="Z436" s="235" t="str">
        <f>IFERROR(__xludf.DUMMYFUNCTION("""COMPUTED_VALUE"""),"-")</f>
        <v>-</v>
      </c>
      <c r="AA436" s="235"/>
      <c r="AB436" s="235"/>
      <c r="AC436" s="235" t="str">
        <f>IFERROR(__xludf.DUMMYFUNCTION("""COMPUTED_VALUE"""),"残HP50%以下になると変身する(変身先：e_dan_00101_general_n_Normal_Colorless)")</f>
        <v>残HP50%以下になると変身する(変身先：e_dan_00101_general_n_Normal_Colorless)</v>
      </c>
    </row>
    <row r="437">
      <c r="A437" s="235"/>
      <c r="B437" s="235" t="str">
        <f>IFERROR(__xludf.DUMMYFUNCTION("""COMPUTED_VALUE"""),"enemy_dan_00001")</f>
        <v>enemy_dan_00001</v>
      </c>
      <c r="C437" s="254" t="str">
        <f>IFERROR(__xludf.DUMMYFUNCTION("""COMPUTED_VALUE"""),"_general_n_trans")</f>
        <v>_general_n_trans</v>
      </c>
      <c r="D437" s="254" t="str">
        <f>IFERROR(__xludf.DUMMYFUNCTION("""COMPUTED_VALUE"""),"e_dan_00001_general_n_trans_Normal_Red")</f>
        <v>e_dan_00001_general_n_trans_Normal_Red</v>
      </c>
      <c r="E437" s="254" t="str">
        <f>IFERROR(__xludf.DUMMYFUNCTION("""COMPUTED_VALUE"""),"ダンダダン")</f>
        <v>ダンダダン</v>
      </c>
      <c r="F437" s="254" t="str">
        <f>IFERROR(__xludf.DUMMYFUNCTION("""COMPUTED_VALUE"""),"セルポ星人")</f>
        <v>セルポ星人</v>
      </c>
      <c r="G437" s="254" t="str">
        <f>IFERROR(__xludf.DUMMYFUNCTION("""COMPUTED_VALUE"""),"セルポ星人_general_n_trans")</f>
        <v>セルポ星人_general_n_trans</v>
      </c>
      <c r="H437" s="235" t="str">
        <f>IFERROR(__xludf.DUMMYFUNCTION("""COMPUTED_VALUE"""),"Normal")</f>
        <v>Normal</v>
      </c>
      <c r="I437" s="235" t="str">
        <f>IFERROR(__xludf.DUMMYFUNCTION("""COMPUTED_VALUE"""),"Attack")</f>
        <v>Attack</v>
      </c>
      <c r="J437" s="235" t="str">
        <f>IFERROR(__xludf.DUMMYFUNCTION("""COMPUTED_VALUE"""),"Red")</f>
        <v>Red</v>
      </c>
      <c r="K437" s="235">
        <f>IFERROR(__xludf.DUMMYFUNCTION("""COMPUTED_VALUE"""),1000.0)</f>
        <v>1000</v>
      </c>
      <c r="L437" s="235">
        <f>IFERROR(__xludf.DUMMYFUNCTION("""COMPUTED_VALUE"""),1.0)</f>
        <v>1</v>
      </c>
      <c r="M437" s="235">
        <f>IFERROR(__xludf.DUMMYFUNCTION("""COMPUTED_VALUE"""),34.0)</f>
        <v>34</v>
      </c>
      <c r="N437" s="235">
        <f>IFERROR(__xludf.DUMMYFUNCTION("""COMPUTED_VALUE"""),0.24)</f>
        <v>0.24</v>
      </c>
      <c r="O437" s="235">
        <f>IFERROR(__xludf.DUMMYFUNCTION("""COMPUTED_VALUE"""),50.0)</f>
        <v>50</v>
      </c>
      <c r="P437" s="235">
        <f>IFERROR(__xludf.DUMMYFUNCTION("""COMPUTED_VALUE"""),0.0)</f>
        <v>0</v>
      </c>
      <c r="Q437" s="235">
        <f>IFERROR(__xludf.DUMMYFUNCTION("""COMPUTED_VALUE"""),0.25)</f>
        <v>0.25</v>
      </c>
      <c r="R437" s="235">
        <f>IFERROR(__xludf.DUMMYFUNCTION("""COMPUTED_VALUE"""),1.0)</f>
        <v>1</v>
      </c>
      <c r="S437" s="235">
        <f>IFERROR(__xludf.DUMMYFUNCTION("""COMPUTED_VALUE"""),100.0)</f>
        <v>100</v>
      </c>
      <c r="T437" s="244" t="str">
        <f>IFERROR(__xludf.DUMMYFUNCTION("""COMPUTED_VALUE"""),"1.16")</f>
        <v>1.16</v>
      </c>
      <c r="U437" s="235" t="str">
        <f>IFERROR(__xludf.DUMMYFUNCTION("""COMPUTED_VALUE"""),"0.50")</f>
        <v>0.50</v>
      </c>
      <c r="V437" s="235">
        <f>IFERROR(__xludf.DUMMYFUNCTION("""COMPUTED_VALUE"""),100.0)</f>
        <v>100</v>
      </c>
      <c r="W437" s="235" t="str">
        <f>IFERROR(__xludf.DUMMYFUNCTION("""COMPUTED_VALUE"""),"-")</f>
        <v>-</v>
      </c>
      <c r="X437" s="235" t="str">
        <f>IFERROR(__xludf.DUMMYFUNCTION("""COMPUTED_VALUE"""),"-")</f>
        <v>-</v>
      </c>
      <c r="Y437" s="235"/>
      <c r="Z437" s="235" t="str">
        <f>IFERROR(__xludf.DUMMYFUNCTION("""COMPUTED_VALUE"""),"-")</f>
        <v>-</v>
      </c>
      <c r="AA437" s="235"/>
      <c r="AB437" s="235"/>
      <c r="AC437" s="235" t="str">
        <f>IFERROR(__xludf.DUMMYFUNCTION("""COMPUTED_VALUE"""),"残HP50%以下になると変身する(変身先：e_dan_00101_general_n_Normal_Red)")</f>
        <v>残HP50%以下になると変身する(変身先：e_dan_00101_general_n_Normal_Red)</v>
      </c>
    </row>
    <row r="438">
      <c r="A438" s="235"/>
      <c r="B438" s="235" t="str">
        <f>IFERROR(__xludf.DUMMYFUNCTION("""COMPUTED_VALUE"""),"enemy_dan_00001")</f>
        <v>enemy_dan_00001</v>
      </c>
      <c r="C438" s="254" t="str">
        <f>IFERROR(__xludf.DUMMYFUNCTION("""COMPUTED_VALUE"""),"_general_n")</f>
        <v>_general_n</v>
      </c>
      <c r="D438" s="254" t="str">
        <f>IFERROR(__xludf.DUMMYFUNCTION("""COMPUTED_VALUE"""),"e_dan_00001_general_n_Normal_Red")</f>
        <v>e_dan_00001_general_n_Normal_Red</v>
      </c>
      <c r="E438" s="254" t="str">
        <f>IFERROR(__xludf.DUMMYFUNCTION("""COMPUTED_VALUE"""),"ダンダダン")</f>
        <v>ダンダダン</v>
      </c>
      <c r="F438" s="254" t="str">
        <f>IFERROR(__xludf.DUMMYFUNCTION("""COMPUTED_VALUE"""),"セルポ星人")</f>
        <v>セルポ星人</v>
      </c>
      <c r="G438" s="254" t="str">
        <f>IFERROR(__xludf.DUMMYFUNCTION("""COMPUTED_VALUE"""),"セルポ星人_general_n")</f>
        <v>セルポ星人_general_n</v>
      </c>
      <c r="H438" s="235" t="str">
        <f>IFERROR(__xludf.DUMMYFUNCTION("""COMPUTED_VALUE"""),"Normal")</f>
        <v>Normal</v>
      </c>
      <c r="I438" s="235" t="str">
        <f>IFERROR(__xludf.DUMMYFUNCTION("""COMPUTED_VALUE"""),"Defense")</f>
        <v>Defense</v>
      </c>
      <c r="J438" s="235" t="str">
        <f>IFERROR(__xludf.DUMMYFUNCTION("""COMPUTED_VALUE"""),"Red")</f>
        <v>Red</v>
      </c>
      <c r="K438" s="235">
        <f>IFERROR(__xludf.DUMMYFUNCTION("""COMPUTED_VALUE"""),10000.0)</f>
        <v>10000</v>
      </c>
      <c r="L438" s="235">
        <f>IFERROR(__xludf.DUMMYFUNCTION("""COMPUTED_VALUE"""),0.0)</f>
        <v>0</v>
      </c>
      <c r="M438" s="235">
        <f>IFERROR(__xludf.DUMMYFUNCTION("""COMPUTED_VALUE"""),34.0)</f>
        <v>34</v>
      </c>
      <c r="N438" s="235">
        <f>IFERROR(__xludf.DUMMYFUNCTION("""COMPUTED_VALUE"""),0.24)</f>
        <v>0.24</v>
      </c>
      <c r="O438" s="235">
        <f>IFERROR(__xludf.DUMMYFUNCTION("""COMPUTED_VALUE"""),50.0)</f>
        <v>50</v>
      </c>
      <c r="P438" s="235">
        <f>IFERROR(__xludf.DUMMYFUNCTION("""COMPUTED_VALUE"""),0.0)</f>
        <v>0</v>
      </c>
      <c r="Q438" s="235">
        <f>IFERROR(__xludf.DUMMYFUNCTION("""COMPUTED_VALUE"""),0.25)</f>
        <v>0.25</v>
      </c>
      <c r="R438" s="235">
        <f>IFERROR(__xludf.DUMMYFUNCTION("""COMPUTED_VALUE"""),1.0)</f>
        <v>1</v>
      </c>
      <c r="S438" s="235">
        <f>IFERROR(__xludf.DUMMYFUNCTION("""COMPUTED_VALUE"""),100.0)</f>
        <v>100</v>
      </c>
      <c r="T438" s="244" t="str">
        <f>IFERROR(__xludf.DUMMYFUNCTION("""COMPUTED_VALUE"""),"1.16")</f>
        <v>1.16</v>
      </c>
      <c r="U438" s="235" t="str">
        <f>IFERROR(__xludf.DUMMYFUNCTION("""COMPUTED_VALUE"""),"0.50")</f>
        <v>0.50</v>
      </c>
      <c r="V438" s="235">
        <f>IFERROR(__xludf.DUMMYFUNCTION("""COMPUTED_VALUE"""),100.0)</f>
        <v>100</v>
      </c>
      <c r="W438" s="235" t="str">
        <f>IFERROR(__xludf.DUMMYFUNCTION("""COMPUTED_VALUE"""),"-")</f>
        <v>-</v>
      </c>
      <c r="X438" s="235" t="str">
        <f>IFERROR(__xludf.DUMMYFUNCTION("""COMPUTED_VALUE"""),"-")</f>
        <v>-</v>
      </c>
      <c r="Y438" s="235"/>
      <c r="Z438" s="235" t="str">
        <f>IFERROR(__xludf.DUMMYFUNCTION("""COMPUTED_VALUE"""),"-")</f>
        <v>-</v>
      </c>
      <c r="AA438" s="235"/>
      <c r="AB438" s="235"/>
      <c r="AC438" s="235"/>
    </row>
    <row r="439">
      <c r="A439" s="235"/>
      <c r="B439" s="235" t="str">
        <f>IFERROR(__xludf.DUMMYFUNCTION("""COMPUTED_VALUE"""),"enemy_dan_00001")</f>
        <v>enemy_dan_00001</v>
      </c>
      <c r="C439" s="254" t="str">
        <f>IFERROR(__xludf.DUMMYFUNCTION("""COMPUTED_VALUE"""),"_general_h_trans")</f>
        <v>_general_h_trans</v>
      </c>
      <c r="D439" s="254" t="str">
        <f>IFERROR(__xludf.DUMMYFUNCTION("""COMPUTED_VALUE"""),"e_dan_00001_general_h_trans_Normal_Colorless")</f>
        <v>e_dan_00001_general_h_trans_Normal_Colorless</v>
      </c>
      <c r="E439" s="254" t="str">
        <f>IFERROR(__xludf.DUMMYFUNCTION("""COMPUTED_VALUE"""),"ダンダダン")</f>
        <v>ダンダダン</v>
      </c>
      <c r="F439" s="254" t="str">
        <f>IFERROR(__xludf.DUMMYFUNCTION("""COMPUTED_VALUE"""),"セルポ星人")</f>
        <v>セルポ星人</v>
      </c>
      <c r="G439" s="254" t="str">
        <f>IFERROR(__xludf.DUMMYFUNCTION("""COMPUTED_VALUE"""),"セルポ星人_general_h_trans")</f>
        <v>セルポ星人_general_h_trans</v>
      </c>
      <c r="H439" s="235" t="str">
        <f>IFERROR(__xludf.DUMMYFUNCTION("""COMPUTED_VALUE"""),"Normal")</f>
        <v>Normal</v>
      </c>
      <c r="I439" s="235" t="str">
        <f>IFERROR(__xludf.DUMMYFUNCTION("""COMPUTED_VALUE"""),"Attack")</f>
        <v>Attack</v>
      </c>
      <c r="J439" s="235" t="str">
        <f>IFERROR(__xludf.DUMMYFUNCTION("""COMPUTED_VALUE"""),"Colorless")</f>
        <v>Colorless</v>
      </c>
      <c r="K439" s="235">
        <f>IFERROR(__xludf.DUMMYFUNCTION("""COMPUTED_VALUE"""),10000.0)</f>
        <v>10000</v>
      </c>
      <c r="L439" s="235">
        <f>IFERROR(__xludf.DUMMYFUNCTION("""COMPUTED_VALUE"""),1.0)</f>
        <v>1</v>
      </c>
      <c r="M439" s="235">
        <f>IFERROR(__xludf.DUMMYFUNCTION("""COMPUTED_VALUE"""),34.0)</f>
        <v>34</v>
      </c>
      <c r="N439" s="235">
        <f>IFERROR(__xludf.DUMMYFUNCTION("""COMPUTED_VALUE"""),0.24)</f>
        <v>0.24</v>
      </c>
      <c r="O439" s="235">
        <f>IFERROR(__xludf.DUMMYFUNCTION("""COMPUTED_VALUE"""),100.0)</f>
        <v>100</v>
      </c>
      <c r="P439" s="235">
        <f>IFERROR(__xludf.DUMMYFUNCTION("""COMPUTED_VALUE"""),0.0)</f>
        <v>0</v>
      </c>
      <c r="Q439" s="235">
        <f>IFERROR(__xludf.DUMMYFUNCTION("""COMPUTED_VALUE"""),0.25)</f>
        <v>0.25</v>
      </c>
      <c r="R439" s="235">
        <f>IFERROR(__xludf.DUMMYFUNCTION("""COMPUTED_VALUE"""),1.0)</f>
        <v>1</v>
      </c>
      <c r="S439" s="235">
        <f>IFERROR(__xludf.DUMMYFUNCTION("""COMPUTED_VALUE"""),100.0)</f>
        <v>100</v>
      </c>
      <c r="T439" s="244" t="str">
        <f>IFERROR(__xludf.DUMMYFUNCTION("""COMPUTED_VALUE"""),"1.16")</f>
        <v>1.16</v>
      </c>
      <c r="U439" s="235" t="str">
        <f>IFERROR(__xludf.DUMMYFUNCTION("""COMPUTED_VALUE"""),"0.50")</f>
        <v>0.50</v>
      </c>
      <c r="V439" s="235">
        <f>IFERROR(__xludf.DUMMYFUNCTION("""COMPUTED_VALUE"""),100.0)</f>
        <v>100</v>
      </c>
      <c r="W439" s="235" t="str">
        <f>IFERROR(__xludf.DUMMYFUNCTION("""COMPUTED_VALUE"""),"-")</f>
        <v>-</v>
      </c>
      <c r="X439" s="235" t="str">
        <f>IFERROR(__xludf.DUMMYFUNCTION("""COMPUTED_VALUE"""),"-")</f>
        <v>-</v>
      </c>
      <c r="Y439" s="235"/>
      <c r="Z439" s="235" t="str">
        <f>IFERROR(__xludf.DUMMYFUNCTION("""COMPUTED_VALUE"""),"-")</f>
        <v>-</v>
      </c>
      <c r="AA439" s="235"/>
      <c r="AB439" s="235"/>
      <c r="AC439" s="235" t="str">
        <f>IFERROR(__xludf.DUMMYFUNCTION("""COMPUTED_VALUE"""),"残HP50%以下になると変身する(変身先：e_dan_00101_general_h_Normal_Colorless)")</f>
        <v>残HP50%以下になると変身する(変身先：e_dan_00101_general_h_Normal_Colorless)</v>
      </c>
    </row>
    <row r="440">
      <c r="A440" s="235"/>
      <c r="B440" s="235" t="str">
        <f>IFERROR(__xludf.DUMMYFUNCTION("""COMPUTED_VALUE"""),"enemy_dan_00001")</f>
        <v>enemy_dan_00001</v>
      </c>
      <c r="C440" s="254" t="str">
        <f>IFERROR(__xludf.DUMMYFUNCTION("""COMPUTED_VALUE"""),"_general_h_trans")</f>
        <v>_general_h_trans</v>
      </c>
      <c r="D440" s="254" t="str">
        <f>IFERROR(__xludf.DUMMYFUNCTION("""COMPUTED_VALUE"""),"e_dan_00001_general_h_trans_Normal_Red")</f>
        <v>e_dan_00001_general_h_trans_Normal_Red</v>
      </c>
      <c r="E440" s="254" t="str">
        <f>IFERROR(__xludf.DUMMYFUNCTION("""COMPUTED_VALUE"""),"ダンダダン")</f>
        <v>ダンダダン</v>
      </c>
      <c r="F440" s="254" t="str">
        <f>IFERROR(__xludf.DUMMYFUNCTION("""COMPUTED_VALUE"""),"セルポ星人")</f>
        <v>セルポ星人</v>
      </c>
      <c r="G440" s="254" t="str">
        <f>IFERROR(__xludf.DUMMYFUNCTION("""COMPUTED_VALUE"""),"セルポ星人_general_h_trans")</f>
        <v>セルポ星人_general_h_trans</v>
      </c>
      <c r="H440" s="235" t="str">
        <f>IFERROR(__xludf.DUMMYFUNCTION("""COMPUTED_VALUE"""),"Normal")</f>
        <v>Normal</v>
      </c>
      <c r="I440" s="235" t="str">
        <f>IFERROR(__xludf.DUMMYFUNCTION("""COMPUTED_VALUE"""),"Attack")</f>
        <v>Attack</v>
      </c>
      <c r="J440" s="235" t="str">
        <f>IFERROR(__xludf.DUMMYFUNCTION("""COMPUTED_VALUE"""),"Red")</f>
        <v>Red</v>
      </c>
      <c r="K440" s="235">
        <f>IFERROR(__xludf.DUMMYFUNCTION("""COMPUTED_VALUE"""),10000.0)</f>
        <v>10000</v>
      </c>
      <c r="L440" s="235">
        <f>IFERROR(__xludf.DUMMYFUNCTION("""COMPUTED_VALUE"""),1.0)</f>
        <v>1</v>
      </c>
      <c r="M440" s="235">
        <f>IFERROR(__xludf.DUMMYFUNCTION("""COMPUTED_VALUE"""),34.0)</f>
        <v>34</v>
      </c>
      <c r="N440" s="235">
        <f>IFERROR(__xludf.DUMMYFUNCTION("""COMPUTED_VALUE"""),0.24)</f>
        <v>0.24</v>
      </c>
      <c r="O440" s="235">
        <f>IFERROR(__xludf.DUMMYFUNCTION("""COMPUTED_VALUE"""),100.0)</f>
        <v>100</v>
      </c>
      <c r="P440" s="235">
        <f>IFERROR(__xludf.DUMMYFUNCTION("""COMPUTED_VALUE"""),0.0)</f>
        <v>0</v>
      </c>
      <c r="Q440" s="235">
        <f>IFERROR(__xludf.DUMMYFUNCTION("""COMPUTED_VALUE"""),0.25)</f>
        <v>0.25</v>
      </c>
      <c r="R440" s="235">
        <f>IFERROR(__xludf.DUMMYFUNCTION("""COMPUTED_VALUE"""),1.0)</f>
        <v>1</v>
      </c>
      <c r="S440" s="235">
        <f>IFERROR(__xludf.DUMMYFUNCTION("""COMPUTED_VALUE"""),100.0)</f>
        <v>100</v>
      </c>
      <c r="T440" s="244" t="str">
        <f>IFERROR(__xludf.DUMMYFUNCTION("""COMPUTED_VALUE"""),"1.16")</f>
        <v>1.16</v>
      </c>
      <c r="U440" s="235" t="str">
        <f>IFERROR(__xludf.DUMMYFUNCTION("""COMPUTED_VALUE"""),"0.50")</f>
        <v>0.50</v>
      </c>
      <c r="V440" s="235">
        <f>IFERROR(__xludf.DUMMYFUNCTION("""COMPUTED_VALUE"""),100.0)</f>
        <v>100</v>
      </c>
      <c r="W440" s="235" t="str">
        <f>IFERROR(__xludf.DUMMYFUNCTION("""COMPUTED_VALUE"""),"-")</f>
        <v>-</v>
      </c>
      <c r="X440" s="235" t="str">
        <f>IFERROR(__xludf.DUMMYFUNCTION("""COMPUTED_VALUE"""),"-")</f>
        <v>-</v>
      </c>
      <c r="Y440" s="235"/>
      <c r="Z440" s="235" t="str">
        <f>IFERROR(__xludf.DUMMYFUNCTION("""COMPUTED_VALUE"""),"-")</f>
        <v>-</v>
      </c>
      <c r="AA440" s="235"/>
      <c r="AB440" s="235"/>
      <c r="AC440" s="235" t="str">
        <f>IFERROR(__xludf.DUMMYFUNCTION("""COMPUTED_VALUE"""),"残HP50%以下になると変身する(変身先：e_dan_00101_general_h_Normal_Red)")</f>
        <v>残HP50%以下になると変身する(変身先：e_dan_00101_general_h_Normal_Red)</v>
      </c>
    </row>
    <row r="441">
      <c r="A441" s="235"/>
      <c r="B441" s="235" t="str">
        <f>IFERROR(__xludf.DUMMYFUNCTION("""COMPUTED_VALUE"""),"enemy_dan_00001")</f>
        <v>enemy_dan_00001</v>
      </c>
      <c r="C441" s="254" t="str">
        <f>IFERROR(__xludf.DUMMYFUNCTION("""COMPUTED_VALUE"""),"_general_h")</f>
        <v>_general_h</v>
      </c>
      <c r="D441" s="254" t="str">
        <f>IFERROR(__xludf.DUMMYFUNCTION("""COMPUTED_VALUE"""),"e_dan_00001_general_h_Normal_Colorless")</f>
        <v>e_dan_00001_general_h_Normal_Colorless</v>
      </c>
      <c r="E441" s="254" t="str">
        <f>IFERROR(__xludf.DUMMYFUNCTION("""COMPUTED_VALUE"""),"ダンダダン")</f>
        <v>ダンダダン</v>
      </c>
      <c r="F441" s="254" t="str">
        <f>IFERROR(__xludf.DUMMYFUNCTION("""COMPUTED_VALUE"""),"セルポ星人")</f>
        <v>セルポ星人</v>
      </c>
      <c r="G441" s="254" t="str">
        <f>IFERROR(__xludf.DUMMYFUNCTION("""COMPUTED_VALUE"""),"セルポ星人_general_h")</f>
        <v>セルポ星人_general_h</v>
      </c>
      <c r="H441" s="235" t="str">
        <f>IFERROR(__xludf.DUMMYFUNCTION("""COMPUTED_VALUE"""),"Normal")</f>
        <v>Normal</v>
      </c>
      <c r="I441" s="235" t="str">
        <f>IFERROR(__xludf.DUMMYFUNCTION("""COMPUTED_VALUE"""),"Defense")</f>
        <v>Defense</v>
      </c>
      <c r="J441" s="235" t="str">
        <f>IFERROR(__xludf.DUMMYFUNCTION("""COMPUTED_VALUE"""),"Colorless")</f>
        <v>Colorless</v>
      </c>
      <c r="K441" s="235">
        <f>IFERROR(__xludf.DUMMYFUNCTION("""COMPUTED_VALUE"""),10000.0)</f>
        <v>10000</v>
      </c>
      <c r="L441" s="235">
        <f>IFERROR(__xludf.DUMMYFUNCTION("""COMPUTED_VALUE"""),0.0)</f>
        <v>0</v>
      </c>
      <c r="M441" s="235">
        <f>IFERROR(__xludf.DUMMYFUNCTION("""COMPUTED_VALUE"""),34.0)</f>
        <v>34</v>
      </c>
      <c r="N441" s="235">
        <f>IFERROR(__xludf.DUMMYFUNCTION("""COMPUTED_VALUE"""),0.24)</f>
        <v>0.24</v>
      </c>
      <c r="O441" s="235">
        <f>IFERROR(__xludf.DUMMYFUNCTION("""COMPUTED_VALUE"""),100.0)</f>
        <v>100</v>
      </c>
      <c r="P441" s="235">
        <f>IFERROR(__xludf.DUMMYFUNCTION("""COMPUTED_VALUE"""),0.0)</f>
        <v>0</v>
      </c>
      <c r="Q441" s="235">
        <f>IFERROR(__xludf.DUMMYFUNCTION("""COMPUTED_VALUE"""),0.25)</f>
        <v>0.25</v>
      </c>
      <c r="R441" s="235">
        <f>IFERROR(__xludf.DUMMYFUNCTION("""COMPUTED_VALUE"""),1.0)</f>
        <v>1</v>
      </c>
      <c r="S441" s="235">
        <f>IFERROR(__xludf.DUMMYFUNCTION("""COMPUTED_VALUE"""),100.0)</f>
        <v>100</v>
      </c>
      <c r="T441" s="244" t="str">
        <f>IFERROR(__xludf.DUMMYFUNCTION("""COMPUTED_VALUE"""),"1.16")</f>
        <v>1.16</v>
      </c>
      <c r="U441" s="235" t="str">
        <f>IFERROR(__xludf.DUMMYFUNCTION("""COMPUTED_VALUE"""),"0.50")</f>
        <v>0.50</v>
      </c>
      <c r="V441" s="235">
        <f>IFERROR(__xludf.DUMMYFUNCTION("""COMPUTED_VALUE"""),100.0)</f>
        <v>100</v>
      </c>
      <c r="W441" s="235" t="str">
        <f>IFERROR(__xludf.DUMMYFUNCTION("""COMPUTED_VALUE"""),"-")</f>
        <v>-</v>
      </c>
      <c r="X441" s="235" t="str">
        <f>IFERROR(__xludf.DUMMYFUNCTION("""COMPUTED_VALUE"""),"-")</f>
        <v>-</v>
      </c>
      <c r="Y441" s="235"/>
      <c r="Z441" s="235" t="str">
        <f>IFERROR(__xludf.DUMMYFUNCTION("""COMPUTED_VALUE"""),"-")</f>
        <v>-</v>
      </c>
      <c r="AA441" s="235"/>
      <c r="AB441" s="235"/>
      <c r="AC441" s="235"/>
    </row>
    <row r="442">
      <c r="A442" s="235"/>
      <c r="B442" s="235" t="str">
        <f>IFERROR(__xludf.DUMMYFUNCTION("""COMPUTED_VALUE"""),"enemy_dan_00001")</f>
        <v>enemy_dan_00001</v>
      </c>
      <c r="C442" s="254" t="str">
        <f>IFERROR(__xludf.DUMMYFUNCTION("""COMPUTED_VALUE"""),"_general_h")</f>
        <v>_general_h</v>
      </c>
      <c r="D442" s="254" t="str">
        <f>IFERROR(__xludf.DUMMYFUNCTION("""COMPUTED_VALUE"""),"e_dan_00001_general_h_Normal_Red")</f>
        <v>e_dan_00001_general_h_Normal_Red</v>
      </c>
      <c r="E442" s="254" t="str">
        <f>IFERROR(__xludf.DUMMYFUNCTION("""COMPUTED_VALUE"""),"ダンダダン")</f>
        <v>ダンダダン</v>
      </c>
      <c r="F442" s="254" t="str">
        <f>IFERROR(__xludf.DUMMYFUNCTION("""COMPUTED_VALUE"""),"セルポ星人")</f>
        <v>セルポ星人</v>
      </c>
      <c r="G442" s="254" t="str">
        <f>IFERROR(__xludf.DUMMYFUNCTION("""COMPUTED_VALUE"""),"セルポ星人_general_h")</f>
        <v>セルポ星人_general_h</v>
      </c>
      <c r="H442" s="235" t="str">
        <f>IFERROR(__xludf.DUMMYFUNCTION("""COMPUTED_VALUE"""),"Normal")</f>
        <v>Normal</v>
      </c>
      <c r="I442" s="235" t="str">
        <f>IFERROR(__xludf.DUMMYFUNCTION("""COMPUTED_VALUE"""),"Defense")</f>
        <v>Defense</v>
      </c>
      <c r="J442" s="235" t="str">
        <f>IFERROR(__xludf.DUMMYFUNCTION("""COMPUTED_VALUE"""),"Red")</f>
        <v>Red</v>
      </c>
      <c r="K442" s="235">
        <f>IFERROR(__xludf.DUMMYFUNCTION("""COMPUTED_VALUE"""),10000.0)</f>
        <v>10000</v>
      </c>
      <c r="L442" s="235">
        <f>IFERROR(__xludf.DUMMYFUNCTION("""COMPUTED_VALUE"""),0.0)</f>
        <v>0</v>
      </c>
      <c r="M442" s="235">
        <f>IFERROR(__xludf.DUMMYFUNCTION("""COMPUTED_VALUE"""),34.0)</f>
        <v>34</v>
      </c>
      <c r="N442" s="235">
        <f>IFERROR(__xludf.DUMMYFUNCTION("""COMPUTED_VALUE"""),0.24)</f>
        <v>0.24</v>
      </c>
      <c r="O442" s="235">
        <f>IFERROR(__xludf.DUMMYFUNCTION("""COMPUTED_VALUE"""),100.0)</f>
        <v>100</v>
      </c>
      <c r="P442" s="235">
        <f>IFERROR(__xludf.DUMMYFUNCTION("""COMPUTED_VALUE"""),0.0)</f>
        <v>0</v>
      </c>
      <c r="Q442" s="235">
        <f>IFERROR(__xludf.DUMMYFUNCTION("""COMPUTED_VALUE"""),0.25)</f>
        <v>0.25</v>
      </c>
      <c r="R442" s="235">
        <f>IFERROR(__xludf.DUMMYFUNCTION("""COMPUTED_VALUE"""),1.0)</f>
        <v>1</v>
      </c>
      <c r="S442" s="235">
        <f>IFERROR(__xludf.DUMMYFUNCTION("""COMPUTED_VALUE"""),100.0)</f>
        <v>100</v>
      </c>
      <c r="T442" s="244" t="str">
        <f>IFERROR(__xludf.DUMMYFUNCTION("""COMPUTED_VALUE"""),"1.16")</f>
        <v>1.16</v>
      </c>
      <c r="U442" s="235" t="str">
        <f>IFERROR(__xludf.DUMMYFUNCTION("""COMPUTED_VALUE"""),"0.50")</f>
        <v>0.50</v>
      </c>
      <c r="V442" s="235">
        <f>IFERROR(__xludf.DUMMYFUNCTION("""COMPUTED_VALUE"""),100.0)</f>
        <v>100</v>
      </c>
      <c r="W442" s="235" t="str">
        <f>IFERROR(__xludf.DUMMYFUNCTION("""COMPUTED_VALUE"""),"-")</f>
        <v>-</v>
      </c>
      <c r="X442" s="235" t="str">
        <f>IFERROR(__xludf.DUMMYFUNCTION("""COMPUTED_VALUE"""),"-")</f>
        <v>-</v>
      </c>
      <c r="Y442" s="235"/>
      <c r="Z442" s="235" t="str">
        <f>IFERROR(__xludf.DUMMYFUNCTION("""COMPUTED_VALUE"""),"-")</f>
        <v>-</v>
      </c>
      <c r="AA442" s="235"/>
      <c r="AB442" s="235"/>
      <c r="AC442" s="235"/>
    </row>
    <row r="443">
      <c r="A443" s="235"/>
      <c r="B443" s="235" t="str">
        <f>IFERROR(__xludf.DUMMYFUNCTION("""COMPUTED_VALUE"""),"enemy_dan_00001")</f>
        <v>enemy_dan_00001</v>
      </c>
      <c r="C443" s="254" t="str">
        <f>IFERROR(__xludf.DUMMYFUNCTION("""COMPUTED_VALUE"""),"_general_vh_trans")</f>
        <v>_general_vh_trans</v>
      </c>
      <c r="D443" s="254" t="str">
        <f>IFERROR(__xludf.DUMMYFUNCTION("""COMPUTED_VALUE"""),"e_dan_00001_general_vh_trans_Normal_Blue")</f>
        <v>e_dan_00001_general_vh_trans_Normal_Blue</v>
      </c>
      <c r="E443" s="254" t="str">
        <f>IFERROR(__xludf.DUMMYFUNCTION("""COMPUTED_VALUE"""),"ダンダダン")</f>
        <v>ダンダダン</v>
      </c>
      <c r="F443" s="254" t="str">
        <f>IFERROR(__xludf.DUMMYFUNCTION("""COMPUTED_VALUE"""),"セルポ星人")</f>
        <v>セルポ星人</v>
      </c>
      <c r="G443" s="254" t="str">
        <f>IFERROR(__xludf.DUMMYFUNCTION("""COMPUTED_VALUE"""),"セルポ星人_general_vh_trans")</f>
        <v>セルポ星人_general_vh_trans</v>
      </c>
      <c r="H443" s="235" t="str">
        <f>IFERROR(__xludf.DUMMYFUNCTION("""COMPUTED_VALUE"""),"Normal")</f>
        <v>Normal</v>
      </c>
      <c r="I443" s="235" t="str">
        <f>IFERROR(__xludf.DUMMYFUNCTION("""COMPUTED_VALUE"""),"Technical")</f>
        <v>Technical</v>
      </c>
      <c r="J443" s="235" t="str">
        <f>IFERROR(__xludf.DUMMYFUNCTION("""COMPUTED_VALUE"""),"Blue")</f>
        <v>Blue</v>
      </c>
      <c r="K443" s="235">
        <f>IFERROR(__xludf.DUMMYFUNCTION("""COMPUTED_VALUE"""),10000.0)</f>
        <v>10000</v>
      </c>
      <c r="L443" s="235">
        <f>IFERROR(__xludf.DUMMYFUNCTION("""COMPUTED_VALUE"""),0.0)</f>
        <v>0</v>
      </c>
      <c r="M443" s="235">
        <f>IFERROR(__xludf.DUMMYFUNCTION("""COMPUTED_VALUE"""),34.0)</f>
        <v>34</v>
      </c>
      <c r="N443" s="235">
        <f>IFERROR(__xludf.DUMMYFUNCTION("""COMPUTED_VALUE"""),0.24)</f>
        <v>0.24</v>
      </c>
      <c r="O443" s="235">
        <f>IFERROR(__xludf.DUMMYFUNCTION("""COMPUTED_VALUE"""),100.0)</f>
        <v>100</v>
      </c>
      <c r="P443" s="235">
        <f>IFERROR(__xludf.DUMMYFUNCTION("""COMPUTED_VALUE"""),0.0)</f>
        <v>0</v>
      </c>
      <c r="Q443" s="235">
        <f>IFERROR(__xludf.DUMMYFUNCTION("""COMPUTED_VALUE"""),0.25)</f>
        <v>0.25</v>
      </c>
      <c r="R443" s="235">
        <f>IFERROR(__xludf.DUMMYFUNCTION("""COMPUTED_VALUE"""),1.0)</f>
        <v>1</v>
      </c>
      <c r="S443" s="235">
        <f>IFERROR(__xludf.DUMMYFUNCTION("""COMPUTED_VALUE"""),100.0)</f>
        <v>100</v>
      </c>
      <c r="T443" s="244" t="str">
        <f>IFERROR(__xludf.DUMMYFUNCTION("""COMPUTED_VALUE"""),"1.16")</f>
        <v>1.16</v>
      </c>
      <c r="U443" s="235" t="str">
        <f>IFERROR(__xludf.DUMMYFUNCTION("""COMPUTED_VALUE"""),"0.50")</f>
        <v>0.50</v>
      </c>
      <c r="V443" s="235">
        <f>IFERROR(__xludf.DUMMYFUNCTION("""COMPUTED_VALUE"""),100.0)</f>
        <v>100</v>
      </c>
      <c r="W443" s="235" t="str">
        <f>IFERROR(__xludf.DUMMYFUNCTION("""COMPUTED_VALUE"""),"-")</f>
        <v>-</v>
      </c>
      <c r="X443" s="235" t="str">
        <f>IFERROR(__xludf.DUMMYFUNCTION("""COMPUTED_VALUE"""),"-")</f>
        <v>-</v>
      </c>
      <c r="Y443" s="235"/>
      <c r="Z443" s="235" t="str">
        <f>IFERROR(__xludf.DUMMYFUNCTION("""COMPUTED_VALUE"""),"-")</f>
        <v>-</v>
      </c>
      <c r="AA443" s="235"/>
      <c r="AB443" s="235"/>
      <c r="AC443" s="235" t="str">
        <f>IFERROR(__xludf.DUMMYFUNCTION("""COMPUTED_VALUE"""),"残HP1%以下になると変身する(変身先：e_dan_00101_general_vh_Normal_Blue)")</f>
        <v>残HP1%以下になると変身する(変身先：e_dan_00101_general_vh_Normal_Blue)</v>
      </c>
    </row>
    <row r="444">
      <c r="A444" s="235"/>
      <c r="B444" s="235" t="str">
        <f>IFERROR(__xludf.DUMMYFUNCTION("""COMPUTED_VALUE"""),"enemy_dan_00001")</f>
        <v>enemy_dan_00001</v>
      </c>
      <c r="C444" s="254" t="str">
        <f>IFERROR(__xludf.DUMMYFUNCTION("""COMPUTED_VALUE"""),"_general_vh_trans")</f>
        <v>_general_vh_trans</v>
      </c>
      <c r="D444" s="254" t="str">
        <f>IFERROR(__xludf.DUMMYFUNCTION("""COMPUTED_VALUE"""),"e_dan_00001_general_vh_trans_Normal_Green")</f>
        <v>e_dan_00001_general_vh_trans_Normal_Green</v>
      </c>
      <c r="E444" s="254" t="str">
        <f>IFERROR(__xludf.DUMMYFUNCTION("""COMPUTED_VALUE"""),"ダンダダン")</f>
        <v>ダンダダン</v>
      </c>
      <c r="F444" s="254" t="str">
        <f>IFERROR(__xludf.DUMMYFUNCTION("""COMPUTED_VALUE"""),"セルポ星人")</f>
        <v>セルポ星人</v>
      </c>
      <c r="G444" s="254" t="str">
        <f>IFERROR(__xludf.DUMMYFUNCTION("""COMPUTED_VALUE"""),"セルポ星人_general_vh_trans")</f>
        <v>セルポ星人_general_vh_trans</v>
      </c>
      <c r="H444" s="235" t="str">
        <f>IFERROR(__xludf.DUMMYFUNCTION("""COMPUTED_VALUE"""),"Normal")</f>
        <v>Normal</v>
      </c>
      <c r="I444" s="235" t="str">
        <f>IFERROR(__xludf.DUMMYFUNCTION("""COMPUTED_VALUE"""),"Technical")</f>
        <v>Technical</v>
      </c>
      <c r="J444" s="235" t="str">
        <f>IFERROR(__xludf.DUMMYFUNCTION("""COMPUTED_VALUE"""),"Green")</f>
        <v>Green</v>
      </c>
      <c r="K444" s="235">
        <f>IFERROR(__xludf.DUMMYFUNCTION("""COMPUTED_VALUE"""),10000.0)</f>
        <v>10000</v>
      </c>
      <c r="L444" s="235">
        <f>IFERROR(__xludf.DUMMYFUNCTION("""COMPUTED_VALUE"""),0.0)</f>
        <v>0</v>
      </c>
      <c r="M444" s="235">
        <f>IFERROR(__xludf.DUMMYFUNCTION("""COMPUTED_VALUE"""),34.0)</f>
        <v>34</v>
      </c>
      <c r="N444" s="235">
        <f>IFERROR(__xludf.DUMMYFUNCTION("""COMPUTED_VALUE"""),0.24)</f>
        <v>0.24</v>
      </c>
      <c r="O444" s="235">
        <f>IFERROR(__xludf.DUMMYFUNCTION("""COMPUTED_VALUE"""),100.0)</f>
        <v>100</v>
      </c>
      <c r="P444" s="235">
        <f>IFERROR(__xludf.DUMMYFUNCTION("""COMPUTED_VALUE"""),0.0)</f>
        <v>0</v>
      </c>
      <c r="Q444" s="235">
        <f>IFERROR(__xludf.DUMMYFUNCTION("""COMPUTED_VALUE"""),0.25)</f>
        <v>0.25</v>
      </c>
      <c r="R444" s="235">
        <f>IFERROR(__xludf.DUMMYFUNCTION("""COMPUTED_VALUE"""),1.0)</f>
        <v>1</v>
      </c>
      <c r="S444" s="235">
        <f>IFERROR(__xludf.DUMMYFUNCTION("""COMPUTED_VALUE"""),100.0)</f>
        <v>100</v>
      </c>
      <c r="T444" s="244" t="str">
        <f>IFERROR(__xludf.DUMMYFUNCTION("""COMPUTED_VALUE"""),"1.16")</f>
        <v>1.16</v>
      </c>
      <c r="U444" s="235" t="str">
        <f>IFERROR(__xludf.DUMMYFUNCTION("""COMPUTED_VALUE"""),"0.50")</f>
        <v>0.50</v>
      </c>
      <c r="V444" s="235">
        <f>IFERROR(__xludf.DUMMYFUNCTION("""COMPUTED_VALUE"""),100.0)</f>
        <v>100</v>
      </c>
      <c r="W444" s="235" t="str">
        <f>IFERROR(__xludf.DUMMYFUNCTION("""COMPUTED_VALUE"""),"-")</f>
        <v>-</v>
      </c>
      <c r="X444" s="235" t="str">
        <f>IFERROR(__xludf.DUMMYFUNCTION("""COMPUTED_VALUE"""),"-")</f>
        <v>-</v>
      </c>
      <c r="Y444" s="235"/>
      <c r="Z444" s="235" t="str">
        <f>IFERROR(__xludf.DUMMYFUNCTION("""COMPUTED_VALUE"""),"-")</f>
        <v>-</v>
      </c>
      <c r="AA444" s="235"/>
      <c r="AB444" s="235"/>
      <c r="AC444" s="235" t="str">
        <f>IFERROR(__xludf.DUMMYFUNCTION("""COMPUTED_VALUE"""),"残HP1%以下になると変身する(変身先：e_dan_00101_general_vh_Normal_Green)
25%の確率でノックバック")</f>
        <v>残HP1%以下になると変身する(変身先：e_dan_00101_general_vh_Normal_Green)
25%の確率でノックバック</v>
      </c>
    </row>
    <row r="445">
      <c r="A445" s="235"/>
      <c r="B445" s="235" t="str">
        <f>IFERROR(__xludf.DUMMYFUNCTION("""COMPUTED_VALUE"""),"enemy_dan_00001")</f>
        <v>enemy_dan_00001</v>
      </c>
      <c r="C445" s="254" t="str">
        <f>IFERROR(__xludf.DUMMYFUNCTION("""COMPUTED_VALUE"""),"_general_vh")</f>
        <v>_general_vh</v>
      </c>
      <c r="D445" s="254" t="str">
        <f>IFERROR(__xludf.DUMMYFUNCTION("""COMPUTED_VALUE"""),"e_dan_00001_general_vh_Normal_Colorless")</f>
        <v>e_dan_00001_general_vh_Normal_Colorless</v>
      </c>
      <c r="E445" s="254" t="str">
        <f>IFERROR(__xludf.DUMMYFUNCTION("""COMPUTED_VALUE"""),"ダンダダン")</f>
        <v>ダンダダン</v>
      </c>
      <c r="F445" s="254" t="str">
        <f>IFERROR(__xludf.DUMMYFUNCTION("""COMPUTED_VALUE"""),"セルポ星人")</f>
        <v>セルポ星人</v>
      </c>
      <c r="G445" s="254" t="str">
        <f>IFERROR(__xludf.DUMMYFUNCTION("""COMPUTED_VALUE"""),"セルポ星人_general_vh")</f>
        <v>セルポ星人_general_vh</v>
      </c>
      <c r="H445" s="235" t="str">
        <f>IFERROR(__xludf.DUMMYFUNCTION("""COMPUTED_VALUE"""),"Normal")</f>
        <v>Normal</v>
      </c>
      <c r="I445" s="235" t="str">
        <f>IFERROR(__xludf.DUMMYFUNCTION("""COMPUTED_VALUE"""),"Attack")</f>
        <v>Attack</v>
      </c>
      <c r="J445" s="235" t="str">
        <f>IFERROR(__xludf.DUMMYFUNCTION("""COMPUTED_VALUE"""),"Colorless")</f>
        <v>Colorless</v>
      </c>
      <c r="K445" s="235">
        <f>IFERROR(__xludf.DUMMYFUNCTION("""COMPUTED_VALUE"""),10000.0)</f>
        <v>10000</v>
      </c>
      <c r="L445" s="235">
        <f>IFERROR(__xludf.DUMMYFUNCTION("""COMPUTED_VALUE"""),0.0)</f>
        <v>0</v>
      </c>
      <c r="M445" s="235">
        <f>IFERROR(__xludf.DUMMYFUNCTION("""COMPUTED_VALUE"""),34.0)</f>
        <v>34</v>
      </c>
      <c r="N445" s="235">
        <f>IFERROR(__xludf.DUMMYFUNCTION("""COMPUTED_VALUE"""),0.24)</f>
        <v>0.24</v>
      </c>
      <c r="O445" s="235">
        <f>IFERROR(__xludf.DUMMYFUNCTION("""COMPUTED_VALUE"""),100.0)</f>
        <v>100</v>
      </c>
      <c r="P445" s="235">
        <f>IFERROR(__xludf.DUMMYFUNCTION("""COMPUTED_VALUE"""),0.0)</f>
        <v>0</v>
      </c>
      <c r="Q445" s="235">
        <f>IFERROR(__xludf.DUMMYFUNCTION("""COMPUTED_VALUE"""),0.25)</f>
        <v>0.25</v>
      </c>
      <c r="R445" s="235">
        <f>IFERROR(__xludf.DUMMYFUNCTION("""COMPUTED_VALUE"""),1.0)</f>
        <v>1</v>
      </c>
      <c r="S445" s="235">
        <f>IFERROR(__xludf.DUMMYFUNCTION("""COMPUTED_VALUE"""),100.0)</f>
        <v>100</v>
      </c>
      <c r="T445" s="244" t="str">
        <f>IFERROR(__xludf.DUMMYFUNCTION("""COMPUTED_VALUE"""),"1.16")</f>
        <v>1.16</v>
      </c>
      <c r="U445" s="235" t="str">
        <f>IFERROR(__xludf.DUMMYFUNCTION("""COMPUTED_VALUE"""),"0.50")</f>
        <v>0.50</v>
      </c>
      <c r="V445" s="235">
        <f>IFERROR(__xludf.DUMMYFUNCTION("""COMPUTED_VALUE"""),100.0)</f>
        <v>100</v>
      </c>
      <c r="W445" s="235" t="str">
        <f>IFERROR(__xludf.DUMMYFUNCTION("""COMPUTED_VALUE"""),"-")</f>
        <v>-</v>
      </c>
      <c r="X445" s="235" t="str">
        <f>IFERROR(__xludf.DUMMYFUNCTION("""COMPUTED_VALUE"""),"-")</f>
        <v>-</v>
      </c>
      <c r="Y445" s="235"/>
      <c r="Z445" s="235" t="str">
        <f>IFERROR(__xludf.DUMMYFUNCTION("""COMPUTED_VALUE"""),"-")</f>
        <v>-</v>
      </c>
      <c r="AA445" s="235"/>
      <c r="AB445" s="235"/>
      <c r="AC445" s="235"/>
    </row>
    <row r="446">
      <c r="A446" s="235"/>
      <c r="B446" s="235" t="str">
        <f>IFERROR(__xludf.DUMMYFUNCTION("""COMPUTED_VALUE"""),"enemy_dan_00001")</f>
        <v>enemy_dan_00001</v>
      </c>
      <c r="C446" s="254" t="str">
        <f>IFERROR(__xludf.DUMMYFUNCTION("""COMPUTED_VALUE"""),"_general_vh")</f>
        <v>_general_vh</v>
      </c>
      <c r="D446" s="254" t="str">
        <f>IFERROR(__xludf.DUMMYFUNCTION("""COMPUTED_VALUE"""),"e_dan_00001_general_vh_Normal_Green")</f>
        <v>e_dan_00001_general_vh_Normal_Green</v>
      </c>
      <c r="E446" s="254" t="str">
        <f>IFERROR(__xludf.DUMMYFUNCTION("""COMPUTED_VALUE"""),"ダンダダン")</f>
        <v>ダンダダン</v>
      </c>
      <c r="F446" s="254" t="str">
        <f>IFERROR(__xludf.DUMMYFUNCTION("""COMPUTED_VALUE"""),"セルポ星人")</f>
        <v>セルポ星人</v>
      </c>
      <c r="G446" s="254" t="str">
        <f>IFERROR(__xludf.DUMMYFUNCTION("""COMPUTED_VALUE"""),"セルポ星人_general_vh")</f>
        <v>セルポ星人_general_vh</v>
      </c>
      <c r="H446" s="235" t="str">
        <f>IFERROR(__xludf.DUMMYFUNCTION("""COMPUTED_VALUE"""),"Normal")</f>
        <v>Normal</v>
      </c>
      <c r="I446" s="235" t="str">
        <f>IFERROR(__xludf.DUMMYFUNCTION("""COMPUTED_VALUE"""),"Attack")</f>
        <v>Attack</v>
      </c>
      <c r="J446" s="235" t="str">
        <f>IFERROR(__xludf.DUMMYFUNCTION("""COMPUTED_VALUE"""),"Green")</f>
        <v>Green</v>
      </c>
      <c r="K446" s="235">
        <f>IFERROR(__xludf.DUMMYFUNCTION("""COMPUTED_VALUE"""),10000.0)</f>
        <v>10000</v>
      </c>
      <c r="L446" s="235">
        <f>IFERROR(__xludf.DUMMYFUNCTION("""COMPUTED_VALUE"""),0.0)</f>
        <v>0</v>
      </c>
      <c r="M446" s="235">
        <f>IFERROR(__xludf.DUMMYFUNCTION("""COMPUTED_VALUE"""),34.0)</f>
        <v>34</v>
      </c>
      <c r="N446" s="235">
        <f>IFERROR(__xludf.DUMMYFUNCTION("""COMPUTED_VALUE"""),0.24)</f>
        <v>0.24</v>
      </c>
      <c r="O446" s="235">
        <f>IFERROR(__xludf.DUMMYFUNCTION("""COMPUTED_VALUE"""),100.0)</f>
        <v>100</v>
      </c>
      <c r="P446" s="235">
        <f>IFERROR(__xludf.DUMMYFUNCTION("""COMPUTED_VALUE"""),0.0)</f>
        <v>0</v>
      </c>
      <c r="Q446" s="235">
        <f>IFERROR(__xludf.DUMMYFUNCTION("""COMPUTED_VALUE"""),0.25)</f>
        <v>0.25</v>
      </c>
      <c r="R446" s="235">
        <f>IFERROR(__xludf.DUMMYFUNCTION("""COMPUTED_VALUE"""),1.0)</f>
        <v>1</v>
      </c>
      <c r="S446" s="235">
        <f>IFERROR(__xludf.DUMMYFUNCTION("""COMPUTED_VALUE"""),100.0)</f>
        <v>100</v>
      </c>
      <c r="T446" s="244" t="str">
        <f>IFERROR(__xludf.DUMMYFUNCTION("""COMPUTED_VALUE"""),"1.16")</f>
        <v>1.16</v>
      </c>
      <c r="U446" s="235" t="str">
        <f>IFERROR(__xludf.DUMMYFUNCTION("""COMPUTED_VALUE"""),"0.50")</f>
        <v>0.50</v>
      </c>
      <c r="V446" s="235">
        <f>IFERROR(__xludf.DUMMYFUNCTION("""COMPUTED_VALUE"""),100.0)</f>
        <v>100</v>
      </c>
      <c r="W446" s="235" t="str">
        <f>IFERROR(__xludf.DUMMYFUNCTION("""COMPUTED_VALUE"""),"-")</f>
        <v>-</v>
      </c>
      <c r="X446" s="235" t="str">
        <f>IFERROR(__xludf.DUMMYFUNCTION("""COMPUTED_VALUE"""),"-")</f>
        <v>-</v>
      </c>
      <c r="Y446" s="235"/>
      <c r="Z446" s="235" t="str">
        <f>IFERROR(__xludf.DUMMYFUNCTION("""COMPUTED_VALUE"""),"-")</f>
        <v>-</v>
      </c>
      <c r="AA446" s="235"/>
      <c r="AB446" s="235"/>
      <c r="AC446" s="235" t="str">
        <f>IFERROR(__xludf.DUMMYFUNCTION("""COMPUTED_VALUE"""),"通常攻撃時25%の確率でノックバック")</f>
        <v>通常攻撃時25%の確率でノックバック</v>
      </c>
    </row>
    <row r="447">
      <c r="A447" s="235"/>
      <c r="B447" s="235" t="str">
        <f>IFERROR(__xludf.DUMMYFUNCTION("""COMPUTED_VALUE"""),"enemy_dan_00001")</f>
        <v>enemy_dan_00001</v>
      </c>
      <c r="C447" s="254" t="str">
        <f>IFERROR(__xludf.DUMMYFUNCTION("""COMPUTED_VALUE"""),"_general_vh_trans")</f>
        <v>_general_vh_trans</v>
      </c>
      <c r="D447" s="254" t="str">
        <f>IFERROR(__xludf.DUMMYFUNCTION("""COMPUTED_VALUE"""),"e_dan_00001_general_vh_trans_Boss_Blue")</f>
        <v>e_dan_00001_general_vh_trans_Boss_Blue</v>
      </c>
      <c r="E447" s="254" t="str">
        <f>IFERROR(__xludf.DUMMYFUNCTION("""COMPUTED_VALUE"""),"ダンダダン")</f>
        <v>ダンダダン</v>
      </c>
      <c r="F447" s="254" t="str">
        <f>IFERROR(__xludf.DUMMYFUNCTION("""COMPUTED_VALUE"""),"セルポ星人")</f>
        <v>セルポ星人</v>
      </c>
      <c r="G447" s="254" t="str">
        <f>IFERROR(__xludf.DUMMYFUNCTION("""COMPUTED_VALUE"""),"セルポ星人_general_vh_trans")</f>
        <v>セルポ星人_general_vh_trans</v>
      </c>
      <c r="H447" s="235" t="str">
        <f>IFERROR(__xludf.DUMMYFUNCTION("""COMPUTED_VALUE"""),"Boss")</f>
        <v>Boss</v>
      </c>
      <c r="I447" s="235" t="str">
        <f>IFERROR(__xludf.DUMMYFUNCTION("""COMPUTED_VALUE"""),"Technical")</f>
        <v>Technical</v>
      </c>
      <c r="J447" s="235" t="str">
        <f>IFERROR(__xludf.DUMMYFUNCTION("""COMPUTED_VALUE"""),"Blue")</f>
        <v>Blue</v>
      </c>
      <c r="K447" s="235">
        <f>IFERROR(__xludf.DUMMYFUNCTION("""COMPUTED_VALUE"""),10000.0)</f>
        <v>10000</v>
      </c>
      <c r="L447" s="235">
        <f>IFERROR(__xludf.DUMMYFUNCTION("""COMPUTED_VALUE"""),10.0)</f>
        <v>10</v>
      </c>
      <c r="M447" s="235">
        <f>IFERROR(__xludf.DUMMYFUNCTION("""COMPUTED_VALUE"""),25.0)</f>
        <v>25</v>
      </c>
      <c r="N447" s="235">
        <f>IFERROR(__xludf.DUMMYFUNCTION("""COMPUTED_VALUE"""),0.24)</f>
        <v>0.24</v>
      </c>
      <c r="O447" s="235">
        <f>IFERROR(__xludf.DUMMYFUNCTION("""COMPUTED_VALUE"""),100.0)</f>
        <v>100</v>
      </c>
      <c r="P447" s="235">
        <f>IFERROR(__xludf.DUMMYFUNCTION("""COMPUTED_VALUE"""),0.0)</f>
        <v>0</v>
      </c>
      <c r="Q447" s="235">
        <f>IFERROR(__xludf.DUMMYFUNCTION("""COMPUTED_VALUE"""),0.25)</f>
        <v>0.25</v>
      </c>
      <c r="R447" s="235">
        <f>IFERROR(__xludf.DUMMYFUNCTION("""COMPUTED_VALUE"""),1.0)</f>
        <v>1</v>
      </c>
      <c r="S447" s="235">
        <f>IFERROR(__xludf.DUMMYFUNCTION("""COMPUTED_VALUE"""),100.0)</f>
        <v>100</v>
      </c>
      <c r="T447" s="244" t="str">
        <f>IFERROR(__xludf.DUMMYFUNCTION("""COMPUTED_VALUE"""),"1.16")</f>
        <v>1.16</v>
      </c>
      <c r="U447" s="235" t="str">
        <f>IFERROR(__xludf.DUMMYFUNCTION("""COMPUTED_VALUE"""),"0.50")</f>
        <v>0.50</v>
      </c>
      <c r="V447" s="235">
        <f>IFERROR(__xludf.DUMMYFUNCTION("""COMPUTED_VALUE"""),100.0)</f>
        <v>100</v>
      </c>
      <c r="W447" s="235" t="str">
        <f>IFERROR(__xludf.DUMMYFUNCTION("""COMPUTED_VALUE"""),"-")</f>
        <v>-</v>
      </c>
      <c r="X447" s="235" t="str">
        <f>IFERROR(__xludf.DUMMYFUNCTION("""COMPUTED_VALUE"""),"-")</f>
        <v>-</v>
      </c>
      <c r="Y447" s="235"/>
      <c r="Z447" s="235" t="str">
        <f>IFERROR(__xludf.DUMMYFUNCTION("""COMPUTED_VALUE"""),"-")</f>
        <v>-</v>
      </c>
      <c r="AA447" s="235"/>
      <c r="AB447" s="235"/>
      <c r="AC447" s="235" t="str">
        <f>IFERROR(__xludf.DUMMYFUNCTION("""COMPUTED_VALUE"""),"残HP1%以下になると変身する(変身先：e_dan_00101_general_vh_Boss_Blue)
10%の確率で小ノックバック")</f>
        <v>残HP1%以下になると変身する(変身先：e_dan_00101_general_vh_Boss_Blue)
10%の確率で小ノックバック</v>
      </c>
    </row>
    <row r="448">
      <c r="A448" s="235"/>
      <c r="B448" s="235" t="str">
        <f>IFERROR(__xludf.DUMMYFUNCTION("""COMPUTED_VALUE"""),"enemy_dan_00001")</f>
        <v>enemy_dan_00001</v>
      </c>
      <c r="C448" s="254" t="str">
        <f>IFERROR(__xludf.DUMMYFUNCTION("""COMPUTED_VALUE"""),"_general_vh")</f>
        <v>_general_vh</v>
      </c>
      <c r="D448" s="254" t="str">
        <f>IFERROR(__xludf.DUMMYFUNCTION("""COMPUTED_VALUE"""),"e_dan_00001_general_vh_Boss_Red")</f>
        <v>e_dan_00001_general_vh_Boss_Red</v>
      </c>
      <c r="E448" s="254" t="str">
        <f>IFERROR(__xludf.DUMMYFUNCTION("""COMPUTED_VALUE"""),"ダンダダン")</f>
        <v>ダンダダン</v>
      </c>
      <c r="F448" s="254" t="str">
        <f>IFERROR(__xludf.DUMMYFUNCTION("""COMPUTED_VALUE"""),"セルポ星人")</f>
        <v>セルポ星人</v>
      </c>
      <c r="G448" s="254" t="str">
        <f>IFERROR(__xludf.DUMMYFUNCTION("""COMPUTED_VALUE"""),"セルポ星人_general_vh")</f>
        <v>セルポ星人_general_vh</v>
      </c>
      <c r="H448" s="235" t="str">
        <f>IFERROR(__xludf.DUMMYFUNCTION("""COMPUTED_VALUE"""),"Boss")</f>
        <v>Boss</v>
      </c>
      <c r="I448" s="235" t="str">
        <f>IFERROR(__xludf.DUMMYFUNCTION("""COMPUTED_VALUE"""),"Defense")</f>
        <v>Defense</v>
      </c>
      <c r="J448" s="235" t="str">
        <f>IFERROR(__xludf.DUMMYFUNCTION("""COMPUTED_VALUE"""),"Red")</f>
        <v>Red</v>
      </c>
      <c r="K448" s="235">
        <f>IFERROR(__xludf.DUMMYFUNCTION("""COMPUTED_VALUE"""),10000.0)</f>
        <v>10000</v>
      </c>
      <c r="L448" s="235">
        <f>IFERROR(__xludf.DUMMYFUNCTION("""COMPUTED_VALUE"""),0.0)</f>
        <v>0</v>
      </c>
      <c r="M448" s="235">
        <f>IFERROR(__xludf.DUMMYFUNCTION("""COMPUTED_VALUE"""),34.0)</f>
        <v>34</v>
      </c>
      <c r="N448" s="235">
        <f>IFERROR(__xludf.DUMMYFUNCTION("""COMPUTED_VALUE"""),0.24)</f>
        <v>0.24</v>
      </c>
      <c r="O448" s="235">
        <f>IFERROR(__xludf.DUMMYFUNCTION("""COMPUTED_VALUE"""),100.0)</f>
        <v>100</v>
      </c>
      <c r="P448" s="235">
        <f>IFERROR(__xludf.DUMMYFUNCTION("""COMPUTED_VALUE"""),0.0)</f>
        <v>0</v>
      </c>
      <c r="Q448" s="235">
        <f>IFERROR(__xludf.DUMMYFUNCTION("""COMPUTED_VALUE"""),0.25)</f>
        <v>0.25</v>
      </c>
      <c r="R448" s="235">
        <f>IFERROR(__xludf.DUMMYFUNCTION("""COMPUTED_VALUE"""),1.0)</f>
        <v>1</v>
      </c>
      <c r="S448" s="235">
        <f>IFERROR(__xludf.DUMMYFUNCTION("""COMPUTED_VALUE"""),100.0)</f>
        <v>100</v>
      </c>
      <c r="T448" s="244" t="str">
        <f>IFERROR(__xludf.DUMMYFUNCTION("""COMPUTED_VALUE"""),"1.16")</f>
        <v>1.16</v>
      </c>
      <c r="U448" s="235" t="str">
        <f>IFERROR(__xludf.DUMMYFUNCTION("""COMPUTED_VALUE"""),"0.50")</f>
        <v>0.50</v>
      </c>
      <c r="V448" s="235">
        <f>IFERROR(__xludf.DUMMYFUNCTION("""COMPUTED_VALUE"""),100.0)</f>
        <v>100</v>
      </c>
      <c r="W448" s="235" t="str">
        <f>IFERROR(__xludf.DUMMYFUNCTION("""COMPUTED_VALUE"""),"-")</f>
        <v>-</v>
      </c>
      <c r="X448" s="235" t="str">
        <f>IFERROR(__xludf.DUMMYFUNCTION("""COMPUTED_VALUE"""),"-")</f>
        <v>-</v>
      </c>
      <c r="Y448" s="235"/>
      <c r="Z448" s="235" t="str">
        <f>IFERROR(__xludf.DUMMYFUNCTION("""COMPUTED_VALUE"""),"-")</f>
        <v>-</v>
      </c>
      <c r="AA448" s="235"/>
      <c r="AB448" s="235"/>
      <c r="AC448" s="235"/>
    </row>
    <row r="449">
      <c r="A449" s="235"/>
      <c r="B449" s="235" t="str">
        <f>IFERROR(__xludf.DUMMYFUNCTION("""COMPUTED_VALUE"""),"enemy_dan_00001")</f>
        <v>enemy_dan_00001</v>
      </c>
      <c r="C449" s="254" t="str">
        <f>IFERROR(__xludf.DUMMYFUNCTION("""COMPUTED_VALUE"""),"_general_vh")</f>
        <v>_general_vh</v>
      </c>
      <c r="D449" s="254" t="str">
        <f>IFERROR(__xludf.DUMMYFUNCTION("""COMPUTED_VALUE"""),"e_dan_00001_general_vh_Boss_Colorless")</f>
        <v>e_dan_00001_general_vh_Boss_Colorless</v>
      </c>
      <c r="E449" s="254" t="str">
        <f>IFERROR(__xludf.DUMMYFUNCTION("""COMPUTED_VALUE"""),"ダンダダン")</f>
        <v>ダンダダン</v>
      </c>
      <c r="F449" s="254" t="str">
        <f>IFERROR(__xludf.DUMMYFUNCTION("""COMPUTED_VALUE"""),"セルポ星人")</f>
        <v>セルポ星人</v>
      </c>
      <c r="G449" s="254" t="str">
        <f>IFERROR(__xludf.DUMMYFUNCTION("""COMPUTED_VALUE"""),"セルポ星人_general_vh")</f>
        <v>セルポ星人_general_vh</v>
      </c>
      <c r="H449" s="235" t="str">
        <f>IFERROR(__xludf.DUMMYFUNCTION("""COMPUTED_VALUE"""),"Boss")</f>
        <v>Boss</v>
      </c>
      <c r="I449" s="235" t="str">
        <f>IFERROR(__xludf.DUMMYFUNCTION("""COMPUTED_VALUE"""),"Attack")</f>
        <v>Attack</v>
      </c>
      <c r="J449" s="235" t="str">
        <f>IFERROR(__xludf.DUMMYFUNCTION("""COMPUTED_VALUE"""),"Colorless")</f>
        <v>Colorless</v>
      </c>
      <c r="K449" s="235">
        <f>IFERROR(__xludf.DUMMYFUNCTION("""COMPUTED_VALUE"""),10000.0)</f>
        <v>10000</v>
      </c>
      <c r="L449" s="235">
        <f>IFERROR(__xludf.DUMMYFUNCTION("""COMPUTED_VALUE"""),1.0)</f>
        <v>1</v>
      </c>
      <c r="M449" s="235">
        <f>IFERROR(__xludf.DUMMYFUNCTION("""COMPUTED_VALUE"""),34.0)</f>
        <v>34</v>
      </c>
      <c r="N449" s="235">
        <f>IFERROR(__xludf.DUMMYFUNCTION("""COMPUTED_VALUE"""),0.24)</f>
        <v>0.24</v>
      </c>
      <c r="O449" s="235">
        <f>IFERROR(__xludf.DUMMYFUNCTION("""COMPUTED_VALUE"""),100.0)</f>
        <v>100</v>
      </c>
      <c r="P449" s="235">
        <f>IFERROR(__xludf.DUMMYFUNCTION("""COMPUTED_VALUE"""),0.0)</f>
        <v>0</v>
      </c>
      <c r="Q449" s="235">
        <f>IFERROR(__xludf.DUMMYFUNCTION("""COMPUTED_VALUE"""),0.25)</f>
        <v>0.25</v>
      </c>
      <c r="R449" s="235">
        <f>IFERROR(__xludf.DUMMYFUNCTION("""COMPUTED_VALUE"""),1.0)</f>
        <v>1</v>
      </c>
      <c r="S449" s="235">
        <f>IFERROR(__xludf.DUMMYFUNCTION("""COMPUTED_VALUE"""),100.0)</f>
        <v>100</v>
      </c>
      <c r="T449" s="244" t="str">
        <f>IFERROR(__xludf.DUMMYFUNCTION("""COMPUTED_VALUE"""),"1.16")</f>
        <v>1.16</v>
      </c>
      <c r="U449" s="235" t="str">
        <f>IFERROR(__xludf.DUMMYFUNCTION("""COMPUTED_VALUE"""),"0.50")</f>
        <v>0.50</v>
      </c>
      <c r="V449" s="235">
        <f>IFERROR(__xludf.DUMMYFUNCTION("""COMPUTED_VALUE"""),75.0)</f>
        <v>75</v>
      </c>
      <c r="W449" s="235" t="str">
        <f>IFERROR(__xludf.DUMMYFUNCTION("""COMPUTED_VALUE"""),"-")</f>
        <v>-</v>
      </c>
      <c r="X449" s="235" t="str">
        <f>IFERROR(__xludf.DUMMYFUNCTION("""COMPUTED_VALUE"""),"-")</f>
        <v>-</v>
      </c>
      <c r="Y449" s="235"/>
      <c r="Z449" s="235" t="str">
        <f>IFERROR(__xludf.DUMMYFUNCTION("""COMPUTED_VALUE"""),"-")</f>
        <v>-</v>
      </c>
      <c r="AA449" s="235"/>
      <c r="AB449" s="235"/>
      <c r="AC449" s="235"/>
    </row>
    <row r="450">
      <c r="A450" s="235"/>
      <c r="B450" s="235" t="str">
        <f>IFERROR(__xludf.DUMMYFUNCTION("""COMPUTED_VALUE"""),"enemy_dan_00101")</f>
        <v>enemy_dan_00101</v>
      </c>
      <c r="C450" s="254" t="str">
        <f>IFERROR(__xludf.DUMMYFUNCTION("""COMPUTED_VALUE"""),"_general_n")</f>
        <v>_general_n</v>
      </c>
      <c r="D450" s="254" t="str">
        <f>IFERROR(__xludf.DUMMYFUNCTION("""COMPUTED_VALUE"""),"e_dan_00101_general_n_Normal_Colorless")</f>
        <v>e_dan_00101_general_n_Normal_Colorless</v>
      </c>
      <c r="E450" s="254" t="str">
        <f>IFERROR(__xludf.DUMMYFUNCTION("""COMPUTED_VALUE"""),"ダンダダン")</f>
        <v>ダンダダン</v>
      </c>
      <c r="F450" s="254" t="str">
        <f>IFERROR(__xludf.DUMMYFUNCTION("""COMPUTED_VALUE"""),"セルポ星人(変身)")</f>
        <v>セルポ星人(変身)</v>
      </c>
      <c r="G450" s="254" t="str">
        <f>IFERROR(__xludf.DUMMYFUNCTION("""COMPUTED_VALUE"""),"セルポ星人（変身）_general_n")</f>
        <v>セルポ星人（変身）_general_n</v>
      </c>
      <c r="H450" s="235" t="str">
        <f>IFERROR(__xludf.DUMMYFUNCTION("""COMPUTED_VALUE"""),"Normal")</f>
        <v>Normal</v>
      </c>
      <c r="I450" s="235" t="str">
        <f>IFERROR(__xludf.DUMMYFUNCTION("""COMPUTED_VALUE"""),"Attack")</f>
        <v>Attack</v>
      </c>
      <c r="J450" s="235" t="str">
        <f>IFERROR(__xludf.DUMMYFUNCTION("""COMPUTED_VALUE"""),"Colorless")</f>
        <v>Colorless</v>
      </c>
      <c r="K450" s="235">
        <f>IFERROR(__xludf.DUMMYFUNCTION("""COMPUTED_VALUE"""),10000.0)</f>
        <v>10000</v>
      </c>
      <c r="L450" s="235">
        <f>IFERROR(__xludf.DUMMYFUNCTION("""COMPUTED_VALUE"""),0.0)</f>
        <v>0</v>
      </c>
      <c r="M450" s="235">
        <f>IFERROR(__xludf.DUMMYFUNCTION("""COMPUTED_VALUE"""),47.0)</f>
        <v>47</v>
      </c>
      <c r="N450" s="235">
        <f>IFERROR(__xludf.DUMMYFUNCTION("""COMPUTED_VALUE"""),0.24)</f>
        <v>0.24</v>
      </c>
      <c r="O450" s="235">
        <f>IFERROR(__xludf.DUMMYFUNCTION("""COMPUTED_VALUE"""),50.0)</f>
        <v>50</v>
      </c>
      <c r="P450" s="235">
        <f>IFERROR(__xludf.DUMMYFUNCTION("""COMPUTED_VALUE"""),0.0)</f>
        <v>0</v>
      </c>
      <c r="Q450" s="235">
        <f>IFERROR(__xludf.DUMMYFUNCTION("""COMPUTED_VALUE"""),0.25)</f>
        <v>0.25</v>
      </c>
      <c r="R450" s="235">
        <f>IFERROR(__xludf.DUMMYFUNCTION("""COMPUTED_VALUE"""),1.0)</f>
        <v>1</v>
      </c>
      <c r="S450" s="235">
        <f>IFERROR(__xludf.DUMMYFUNCTION("""COMPUTED_VALUE"""),120.0)</f>
        <v>120</v>
      </c>
      <c r="T450" s="244" t="str">
        <f>IFERROR(__xludf.DUMMYFUNCTION("""COMPUTED_VALUE"""),"1.40")</f>
        <v>1.40</v>
      </c>
      <c r="U450" s="235" t="str">
        <f>IFERROR(__xludf.DUMMYFUNCTION("""COMPUTED_VALUE"""),"0.70")</f>
        <v>0.70</v>
      </c>
      <c r="V450" s="235">
        <f>IFERROR(__xludf.DUMMYFUNCTION("""COMPUTED_VALUE"""),50.0)</f>
        <v>50</v>
      </c>
      <c r="W450" s="235" t="str">
        <f>IFERROR(__xludf.DUMMYFUNCTION("""COMPUTED_VALUE"""),"-")</f>
        <v>-</v>
      </c>
      <c r="X450" s="235" t="str">
        <f>IFERROR(__xludf.DUMMYFUNCTION("""COMPUTED_VALUE"""),"-")</f>
        <v>-</v>
      </c>
      <c r="Y450" s="235"/>
      <c r="Z450" s="235" t="str">
        <f>IFERROR(__xludf.DUMMYFUNCTION("""COMPUTED_VALUE"""),"-")</f>
        <v>-</v>
      </c>
      <c r="AA450" s="235"/>
      <c r="AB450" s="235"/>
      <c r="AC450" s="235"/>
    </row>
    <row r="451">
      <c r="A451" s="235"/>
      <c r="B451" s="235" t="str">
        <f>IFERROR(__xludf.DUMMYFUNCTION("""COMPUTED_VALUE"""),"enemy_dan_00101")</f>
        <v>enemy_dan_00101</v>
      </c>
      <c r="C451" s="254" t="str">
        <f>IFERROR(__xludf.DUMMYFUNCTION("""COMPUTED_VALUE"""),"_general_n")</f>
        <v>_general_n</v>
      </c>
      <c r="D451" s="254" t="str">
        <f>IFERROR(__xludf.DUMMYFUNCTION("""COMPUTED_VALUE"""),"e_dan_00101_general_n_Normal_Red")</f>
        <v>e_dan_00101_general_n_Normal_Red</v>
      </c>
      <c r="E451" s="254" t="str">
        <f>IFERROR(__xludf.DUMMYFUNCTION("""COMPUTED_VALUE"""),"ダンダダン")</f>
        <v>ダンダダン</v>
      </c>
      <c r="F451" s="254" t="str">
        <f>IFERROR(__xludf.DUMMYFUNCTION("""COMPUTED_VALUE"""),"セルポ星人(変身)")</f>
        <v>セルポ星人(変身)</v>
      </c>
      <c r="G451" s="254" t="str">
        <f>IFERROR(__xludf.DUMMYFUNCTION("""COMPUTED_VALUE"""),"セルポ星人（変身）_general_n")</f>
        <v>セルポ星人（変身）_general_n</v>
      </c>
      <c r="H451" s="235" t="str">
        <f>IFERROR(__xludf.DUMMYFUNCTION("""COMPUTED_VALUE"""),"Normal")</f>
        <v>Normal</v>
      </c>
      <c r="I451" s="235" t="str">
        <f>IFERROR(__xludf.DUMMYFUNCTION("""COMPUTED_VALUE"""),"Attack")</f>
        <v>Attack</v>
      </c>
      <c r="J451" s="235" t="str">
        <f>IFERROR(__xludf.DUMMYFUNCTION("""COMPUTED_VALUE"""),"Red")</f>
        <v>Red</v>
      </c>
      <c r="K451" s="235">
        <f>IFERROR(__xludf.DUMMYFUNCTION("""COMPUTED_VALUE"""),10000.0)</f>
        <v>10000</v>
      </c>
      <c r="L451" s="235">
        <f>IFERROR(__xludf.DUMMYFUNCTION("""COMPUTED_VALUE"""),0.0)</f>
        <v>0</v>
      </c>
      <c r="M451" s="235">
        <f>IFERROR(__xludf.DUMMYFUNCTION("""COMPUTED_VALUE"""),47.0)</f>
        <v>47</v>
      </c>
      <c r="N451" s="235">
        <f>IFERROR(__xludf.DUMMYFUNCTION("""COMPUTED_VALUE"""),0.24)</f>
        <v>0.24</v>
      </c>
      <c r="O451" s="235">
        <f>IFERROR(__xludf.DUMMYFUNCTION("""COMPUTED_VALUE"""),50.0)</f>
        <v>50</v>
      </c>
      <c r="P451" s="235">
        <f>IFERROR(__xludf.DUMMYFUNCTION("""COMPUTED_VALUE"""),0.0)</f>
        <v>0</v>
      </c>
      <c r="Q451" s="235">
        <f>IFERROR(__xludf.DUMMYFUNCTION("""COMPUTED_VALUE"""),0.25)</f>
        <v>0.25</v>
      </c>
      <c r="R451" s="235">
        <f>IFERROR(__xludf.DUMMYFUNCTION("""COMPUTED_VALUE"""),1.0)</f>
        <v>1</v>
      </c>
      <c r="S451" s="235">
        <f>IFERROR(__xludf.DUMMYFUNCTION("""COMPUTED_VALUE"""),120.0)</f>
        <v>120</v>
      </c>
      <c r="T451" s="244" t="str">
        <f>IFERROR(__xludf.DUMMYFUNCTION("""COMPUTED_VALUE"""),"1.40")</f>
        <v>1.40</v>
      </c>
      <c r="U451" s="235" t="str">
        <f>IFERROR(__xludf.DUMMYFUNCTION("""COMPUTED_VALUE"""),"0.70")</f>
        <v>0.70</v>
      </c>
      <c r="V451" s="235">
        <f>IFERROR(__xludf.DUMMYFUNCTION("""COMPUTED_VALUE"""),50.0)</f>
        <v>50</v>
      </c>
      <c r="W451" s="235" t="str">
        <f>IFERROR(__xludf.DUMMYFUNCTION("""COMPUTED_VALUE"""),"-")</f>
        <v>-</v>
      </c>
      <c r="X451" s="235" t="str">
        <f>IFERROR(__xludf.DUMMYFUNCTION("""COMPUTED_VALUE"""),"-")</f>
        <v>-</v>
      </c>
      <c r="Y451" s="235"/>
      <c r="Z451" s="235" t="str">
        <f>IFERROR(__xludf.DUMMYFUNCTION("""COMPUTED_VALUE"""),"-")</f>
        <v>-</v>
      </c>
      <c r="AA451" s="235"/>
      <c r="AB451" s="235"/>
      <c r="AC451" s="235"/>
    </row>
    <row r="452">
      <c r="A452" s="235"/>
      <c r="B452" s="235" t="str">
        <f>IFERROR(__xludf.DUMMYFUNCTION("""COMPUTED_VALUE"""),"enemy_dan_00101")</f>
        <v>enemy_dan_00101</v>
      </c>
      <c r="C452" s="254" t="str">
        <f>IFERROR(__xludf.DUMMYFUNCTION("""COMPUTED_VALUE"""),"_general_h")</f>
        <v>_general_h</v>
      </c>
      <c r="D452" s="254" t="str">
        <f>IFERROR(__xludf.DUMMYFUNCTION("""COMPUTED_VALUE"""),"e_dan_00101_general_h_Normal_Colorless")</f>
        <v>e_dan_00101_general_h_Normal_Colorless</v>
      </c>
      <c r="E452" s="254" t="str">
        <f>IFERROR(__xludf.DUMMYFUNCTION("""COMPUTED_VALUE"""),"ダンダダン")</f>
        <v>ダンダダン</v>
      </c>
      <c r="F452" s="254" t="str">
        <f>IFERROR(__xludf.DUMMYFUNCTION("""COMPUTED_VALUE"""),"セルポ星人(変身)")</f>
        <v>セルポ星人(変身)</v>
      </c>
      <c r="G452" s="254" t="str">
        <f>IFERROR(__xludf.DUMMYFUNCTION("""COMPUTED_VALUE"""),"セルポ星人（変身）_general_h")</f>
        <v>セルポ星人（変身）_general_h</v>
      </c>
      <c r="H452" s="235" t="str">
        <f>IFERROR(__xludf.DUMMYFUNCTION("""COMPUTED_VALUE"""),"Normal")</f>
        <v>Normal</v>
      </c>
      <c r="I452" s="235" t="str">
        <f>IFERROR(__xludf.DUMMYFUNCTION("""COMPUTED_VALUE"""),"Attack")</f>
        <v>Attack</v>
      </c>
      <c r="J452" s="235" t="str">
        <f>IFERROR(__xludf.DUMMYFUNCTION("""COMPUTED_VALUE"""),"Colorless")</f>
        <v>Colorless</v>
      </c>
      <c r="K452" s="235">
        <f>IFERROR(__xludf.DUMMYFUNCTION("""COMPUTED_VALUE"""),10000.0)</f>
        <v>10000</v>
      </c>
      <c r="L452" s="235">
        <f>IFERROR(__xludf.DUMMYFUNCTION("""COMPUTED_VALUE"""),0.0)</f>
        <v>0</v>
      </c>
      <c r="M452" s="235">
        <f>IFERROR(__xludf.DUMMYFUNCTION("""COMPUTED_VALUE"""),47.0)</f>
        <v>47</v>
      </c>
      <c r="N452" s="235">
        <f>IFERROR(__xludf.DUMMYFUNCTION("""COMPUTED_VALUE"""),0.24)</f>
        <v>0.24</v>
      </c>
      <c r="O452" s="235">
        <f>IFERROR(__xludf.DUMMYFUNCTION("""COMPUTED_VALUE"""),100.0)</f>
        <v>100</v>
      </c>
      <c r="P452" s="235">
        <f>IFERROR(__xludf.DUMMYFUNCTION("""COMPUTED_VALUE"""),0.0)</f>
        <v>0</v>
      </c>
      <c r="Q452" s="235">
        <f>IFERROR(__xludf.DUMMYFUNCTION("""COMPUTED_VALUE"""),0.25)</f>
        <v>0.25</v>
      </c>
      <c r="R452" s="235">
        <f>IFERROR(__xludf.DUMMYFUNCTION("""COMPUTED_VALUE"""),1.0)</f>
        <v>1</v>
      </c>
      <c r="S452" s="235">
        <f>IFERROR(__xludf.DUMMYFUNCTION("""COMPUTED_VALUE"""),120.0)</f>
        <v>120</v>
      </c>
      <c r="T452" s="244" t="str">
        <f>IFERROR(__xludf.DUMMYFUNCTION("""COMPUTED_VALUE"""),"1.40")</f>
        <v>1.40</v>
      </c>
      <c r="U452" s="235" t="str">
        <f>IFERROR(__xludf.DUMMYFUNCTION("""COMPUTED_VALUE"""),"0.70")</f>
        <v>0.70</v>
      </c>
      <c r="V452" s="235">
        <f>IFERROR(__xludf.DUMMYFUNCTION("""COMPUTED_VALUE"""),50.0)</f>
        <v>50</v>
      </c>
      <c r="W452" s="235" t="str">
        <f>IFERROR(__xludf.DUMMYFUNCTION("""COMPUTED_VALUE"""),"-")</f>
        <v>-</v>
      </c>
      <c r="X452" s="235" t="str">
        <f>IFERROR(__xludf.DUMMYFUNCTION("""COMPUTED_VALUE"""),"-")</f>
        <v>-</v>
      </c>
      <c r="Y452" s="235"/>
      <c r="Z452" s="235" t="str">
        <f>IFERROR(__xludf.DUMMYFUNCTION("""COMPUTED_VALUE"""),"-")</f>
        <v>-</v>
      </c>
      <c r="AA452" s="235"/>
      <c r="AB452" s="235"/>
      <c r="AC452" s="235"/>
    </row>
    <row r="453">
      <c r="A453" s="235"/>
      <c r="B453" s="235" t="str">
        <f>IFERROR(__xludf.DUMMYFUNCTION("""COMPUTED_VALUE"""),"enemy_dan_00101")</f>
        <v>enemy_dan_00101</v>
      </c>
      <c r="C453" s="254" t="str">
        <f>IFERROR(__xludf.DUMMYFUNCTION("""COMPUTED_VALUE"""),"_general_h")</f>
        <v>_general_h</v>
      </c>
      <c r="D453" s="254" t="str">
        <f>IFERROR(__xludf.DUMMYFUNCTION("""COMPUTED_VALUE"""),"e_dan_00101_general_h_Normal_Red")</f>
        <v>e_dan_00101_general_h_Normal_Red</v>
      </c>
      <c r="E453" s="254" t="str">
        <f>IFERROR(__xludf.DUMMYFUNCTION("""COMPUTED_VALUE"""),"ダンダダン")</f>
        <v>ダンダダン</v>
      </c>
      <c r="F453" s="254" t="str">
        <f>IFERROR(__xludf.DUMMYFUNCTION("""COMPUTED_VALUE"""),"セルポ星人(変身)")</f>
        <v>セルポ星人(変身)</v>
      </c>
      <c r="G453" s="254" t="str">
        <f>IFERROR(__xludf.DUMMYFUNCTION("""COMPUTED_VALUE"""),"セルポ星人（変身）_general_h")</f>
        <v>セルポ星人（変身）_general_h</v>
      </c>
      <c r="H453" s="235" t="str">
        <f>IFERROR(__xludf.DUMMYFUNCTION("""COMPUTED_VALUE"""),"Normal")</f>
        <v>Normal</v>
      </c>
      <c r="I453" s="235" t="str">
        <f>IFERROR(__xludf.DUMMYFUNCTION("""COMPUTED_VALUE"""),"Attack")</f>
        <v>Attack</v>
      </c>
      <c r="J453" s="235" t="str">
        <f>IFERROR(__xludf.DUMMYFUNCTION("""COMPUTED_VALUE"""),"Red")</f>
        <v>Red</v>
      </c>
      <c r="K453" s="235">
        <f>IFERROR(__xludf.DUMMYFUNCTION("""COMPUTED_VALUE"""),10000.0)</f>
        <v>10000</v>
      </c>
      <c r="L453" s="235">
        <f>IFERROR(__xludf.DUMMYFUNCTION("""COMPUTED_VALUE"""),0.0)</f>
        <v>0</v>
      </c>
      <c r="M453" s="235">
        <f>IFERROR(__xludf.DUMMYFUNCTION("""COMPUTED_VALUE"""),47.0)</f>
        <v>47</v>
      </c>
      <c r="N453" s="235">
        <f>IFERROR(__xludf.DUMMYFUNCTION("""COMPUTED_VALUE"""),0.24)</f>
        <v>0.24</v>
      </c>
      <c r="O453" s="235">
        <f>IFERROR(__xludf.DUMMYFUNCTION("""COMPUTED_VALUE"""),100.0)</f>
        <v>100</v>
      </c>
      <c r="P453" s="235">
        <f>IFERROR(__xludf.DUMMYFUNCTION("""COMPUTED_VALUE"""),0.0)</f>
        <v>0</v>
      </c>
      <c r="Q453" s="235">
        <f>IFERROR(__xludf.DUMMYFUNCTION("""COMPUTED_VALUE"""),0.25)</f>
        <v>0.25</v>
      </c>
      <c r="R453" s="235">
        <f>IFERROR(__xludf.DUMMYFUNCTION("""COMPUTED_VALUE"""),1.0)</f>
        <v>1</v>
      </c>
      <c r="S453" s="235">
        <f>IFERROR(__xludf.DUMMYFUNCTION("""COMPUTED_VALUE"""),120.0)</f>
        <v>120</v>
      </c>
      <c r="T453" s="244" t="str">
        <f>IFERROR(__xludf.DUMMYFUNCTION("""COMPUTED_VALUE"""),"1.40")</f>
        <v>1.40</v>
      </c>
      <c r="U453" s="235" t="str">
        <f>IFERROR(__xludf.DUMMYFUNCTION("""COMPUTED_VALUE"""),"0.70")</f>
        <v>0.70</v>
      </c>
      <c r="V453" s="235">
        <f>IFERROR(__xludf.DUMMYFUNCTION("""COMPUTED_VALUE"""),50.0)</f>
        <v>50</v>
      </c>
      <c r="W453" s="235" t="str">
        <f>IFERROR(__xludf.DUMMYFUNCTION("""COMPUTED_VALUE"""),"-")</f>
        <v>-</v>
      </c>
      <c r="X453" s="235" t="str">
        <f>IFERROR(__xludf.DUMMYFUNCTION("""COMPUTED_VALUE"""),"-")</f>
        <v>-</v>
      </c>
      <c r="Y453" s="235"/>
      <c r="Z453" s="235" t="str">
        <f>IFERROR(__xludf.DUMMYFUNCTION("""COMPUTED_VALUE"""),"-")</f>
        <v>-</v>
      </c>
      <c r="AA453" s="235"/>
      <c r="AB453" s="235"/>
      <c r="AC453" s="235"/>
    </row>
    <row r="454">
      <c r="A454" s="235"/>
      <c r="B454" s="235" t="str">
        <f>IFERROR(__xludf.DUMMYFUNCTION("""COMPUTED_VALUE"""),"enemy_dan_00101")</f>
        <v>enemy_dan_00101</v>
      </c>
      <c r="C454" s="254" t="str">
        <f>IFERROR(__xludf.DUMMYFUNCTION("""COMPUTED_VALUE"""),"_general_vh")</f>
        <v>_general_vh</v>
      </c>
      <c r="D454" s="254" t="str">
        <f>IFERROR(__xludf.DUMMYFUNCTION("""COMPUTED_VALUE"""),"e_dan_00101_general_vh_Normal_Blue")</f>
        <v>e_dan_00101_general_vh_Normal_Blue</v>
      </c>
      <c r="E454" s="254" t="str">
        <f>IFERROR(__xludf.DUMMYFUNCTION("""COMPUTED_VALUE"""),"ダンダダン")</f>
        <v>ダンダダン</v>
      </c>
      <c r="F454" s="254" t="str">
        <f>IFERROR(__xludf.DUMMYFUNCTION("""COMPUTED_VALUE"""),"セルポ星人(変身)")</f>
        <v>セルポ星人(変身)</v>
      </c>
      <c r="G454" s="254" t="str">
        <f>IFERROR(__xludf.DUMMYFUNCTION("""COMPUTED_VALUE"""),"セルポ星人（変身）_general_vh")</f>
        <v>セルポ星人（変身）_general_vh</v>
      </c>
      <c r="H454" s="235" t="str">
        <f>IFERROR(__xludf.DUMMYFUNCTION("""COMPUTED_VALUE"""),"Normal")</f>
        <v>Normal</v>
      </c>
      <c r="I454" s="235" t="str">
        <f>IFERROR(__xludf.DUMMYFUNCTION("""COMPUTED_VALUE"""),"Attack")</f>
        <v>Attack</v>
      </c>
      <c r="J454" s="235" t="str">
        <f>IFERROR(__xludf.DUMMYFUNCTION("""COMPUTED_VALUE"""),"Blue")</f>
        <v>Blue</v>
      </c>
      <c r="K454" s="235">
        <f>IFERROR(__xludf.DUMMYFUNCTION("""COMPUTED_VALUE"""),10000.0)</f>
        <v>10000</v>
      </c>
      <c r="L454" s="235">
        <f>IFERROR(__xludf.DUMMYFUNCTION("""COMPUTED_VALUE"""),1.0)</f>
        <v>1</v>
      </c>
      <c r="M454" s="235">
        <f>IFERROR(__xludf.DUMMYFUNCTION("""COMPUTED_VALUE"""),47.0)</f>
        <v>47</v>
      </c>
      <c r="N454" s="235">
        <f>IFERROR(__xludf.DUMMYFUNCTION("""COMPUTED_VALUE"""),0.24)</f>
        <v>0.24</v>
      </c>
      <c r="O454" s="235">
        <f>IFERROR(__xludf.DUMMYFUNCTION("""COMPUTED_VALUE"""),100.0)</f>
        <v>100</v>
      </c>
      <c r="P454" s="235">
        <f>IFERROR(__xludf.DUMMYFUNCTION("""COMPUTED_VALUE"""),0.0)</f>
        <v>0</v>
      </c>
      <c r="Q454" s="235">
        <f>IFERROR(__xludf.DUMMYFUNCTION("""COMPUTED_VALUE"""),0.25)</f>
        <v>0.25</v>
      </c>
      <c r="R454" s="235">
        <f>IFERROR(__xludf.DUMMYFUNCTION("""COMPUTED_VALUE"""),1.0)</f>
        <v>1</v>
      </c>
      <c r="S454" s="235">
        <f>IFERROR(__xludf.DUMMYFUNCTION("""COMPUTED_VALUE"""),120.0)</f>
        <v>120</v>
      </c>
      <c r="T454" s="244" t="str">
        <f>IFERROR(__xludf.DUMMYFUNCTION("""COMPUTED_VALUE"""),"1.40")</f>
        <v>1.40</v>
      </c>
      <c r="U454" s="235" t="str">
        <f>IFERROR(__xludf.DUMMYFUNCTION("""COMPUTED_VALUE"""),"0.70")</f>
        <v>0.70</v>
      </c>
      <c r="V454" s="235">
        <f>IFERROR(__xludf.DUMMYFUNCTION("""COMPUTED_VALUE"""),50.0)</f>
        <v>50</v>
      </c>
      <c r="W454" s="235" t="str">
        <f>IFERROR(__xludf.DUMMYFUNCTION("""COMPUTED_VALUE"""),"-")</f>
        <v>-</v>
      </c>
      <c r="X454" s="235" t="str">
        <f>IFERROR(__xludf.DUMMYFUNCTION("""COMPUTED_VALUE"""),"-")</f>
        <v>-</v>
      </c>
      <c r="Y454" s="235"/>
      <c r="Z454" s="235" t="str">
        <f>IFERROR(__xludf.DUMMYFUNCTION("""COMPUTED_VALUE"""),"-")</f>
        <v>-</v>
      </c>
      <c r="AA454" s="235"/>
      <c r="AB454" s="235"/>
      <c r="AC454" s="235" t="str">
        <f>IFERROR(__xludf.DUMMYFUNCTION("""COMPUTED_VALUE"""),"10%の確率で敵の攻撃20%UP(5秒間)")</f>
        <v>10%の確率で敵の攻撃20%UP(5秒間)</v>
      </c>
    </row>
    <row r="455">
      <c r="A455" s="235"/>
      <c r="B455" s="235" t="str">
        <f>IFERROR(__xludf.DUMMYFUNCTION("""COMPUTED_VALUE"""),"enemy_dan_00101")</f>
        <v>enemy_dan_00101</v>
      </c>
      <c r="C455" s="254" t="str">
        <f>IFERROR(__xludf.DUMMYFUNCTION("""COMPUTED_VALUE"""),"_general_vh")</f>
        <v>_general_vh</v>
      </c>
      <c r="D455" s="254" t="str">
        <f>IFERROR(__xludf.DUMMYFUNCTION("""COMPUTED_VALUE"""),"e_dan_00101_general_vh_Normal_Green")</f>
        <v>e_dan_00101_general_vh_Normal_Green</v>
      </c>
      <c r="E455" s="254" t="str">
        <f>IFERROR(__xludf.DUMMYFUNCTION("""COMPUTED_VALUE"""),"ダンダダン")</f>
        <v>ダンダダン</v>
      </c>
      <c r="F455" s="254" t="str">
        <f>IFERROR(__xludf.DUMMYFUNCTION("""COMPUTED_VALUE"""),"セルポ星人(変身)")</f>
        <v>セルポ星人(変身)</v>
      </c>
      <c r="G455" s="254" t="str">
        <f>IFERROR(__xludf.DUMMYFUNCTION("""COMPUTED_VALUE"""),"セルポ星人（変身）_general_vh")</f>
        <v>セルポ星人（変身）_general_vh</v>
      </c>
      <c r="H455" s="235" t="str">
        <f>IFERROR(__xludf.DUMMYFUNCTION("""COMPUTED_VALUE"""),"Normal")</f>
        <v>Normal</v>
      </c>
      <c r="I455" s="235" t="str">
        <f>IFERROR(__xludf.DUMMYFUNCTION("""COMPUTED_VALUE"""),"Attack")</f>
        <v>Attack</v>
      </c>
      <c r="J455" s="235" t="str">
        <f>IFERROR(__xludf.DUMMYFUNCTION("""COMPUTED_VALUE"""),"Green")</f>
        <v>Green</v>
      </c>
      <c r="K455" s="235">
        <f>IFERROR(__xludf.DUMMYFUNCTION("""COMPUTED_VALUE"""),10000.0)</f>
        <v>10000</v>
      </c>
      <c r="L455" s="235">
        <f>IFERROR(__xludf.DUMMYFUNCTION("""COMPUTED_VALUE"""),1.0)</f>
        <v>1</v>
      </c>
      <c r="M455" s="235">
        <f>IFERROR(__xludf.DUMMYFUNCTION("""COMPUTED_VALUE"""),47.0)</f>
        <v>47</v>
      </c>
      <c r="N455" s="235">
        <f>IFERROR(__xludf.DUMMYFUNCTION("""COMPUTED_VALUE"""),0.24)</f>
        <v>0.24</v>
      </c>
      <c r="O455" s="235">
        <f>IFERROR(__xludf.DUMMYFUNCTION("""COMPUTED_VALUE"""),100.0)</f>
        <v>100</v>
      </c>
      <c r="P455" s="235">
        <f>IFERROR(__xludf.DUMMYFUNCTION("""COMPUTED_VALUE"""),0.0)</f>
        <v>0</v>
      </c>
      <c r="Q455" s="235">
        <f>IFERROR(__xludf.DUMMYFUNCTION("""COMPUTED_VALUE"""),0.25)</f>
        <v>0.25</v>
      </c>
      <c r="R455" s="235">
        <f>IFERROR(__xludf.DUMMYFUNCTION("""COMPUTED_VALUE"""),1.0)</f>
        <v>1</v>
      </c>
      <c r="S455" s="235">
        <f>IFERROR(__xludf.DUMMYFUNCTION("""COMPUTED_VALUE"""),120.0)</f>
        <v>120</v>
      </c>
      <c r="T455" s="244" t="str">
        <f>IFERROR(__xludf.DUMMYFUNCTION("""COMPUTED_VALUE"""),"1.40")</f>
        <v>1.40</v>
      </c>
      <c r="U455" s="235" t="str">
        <f>IFERROR(__xludf.DUMMYFUNCTION("""COMPUTED_VALUE"""),"0.70")</f>
        <v>0.70</v>
      </c>
      <c r="V455" s="235">
        <f>IFERROR(__xludf.DUMMYFUNCTION("""COMPUTED_VALUE"""),50.0)</f>
        <v>50</v>
      </c>
      <c r="W455" s="235" t="str">
        <f>IFERROR(__xludf.DUMMYFUNCTION("""COMPUTED_VALUE"""),"-")</f>
        <v>-</v>
      </c>
      <c r="X455" s="235" t="str">
        <f>IFERROR(__xludf.DUMMYFUNCTION("""COMPUTED_VALUE"""),"-")</f>
        <v>-</v>
      </c>
      <c r="Y455" s="235"/>
      <c r="Z455" s="235" t="str">
        <f>IFERROR(__xludf.DUMMYFUNCTION("""COMPUTED_VALUE"""),"-")</f>
        <v>-</v>
      </c>
      <c r="AA455" s="235"/>
      <c r="AB455" s="235"/>
      <c r="AC455" s="235" t="str">
        <f>IFERROR(__xludf.DUMMYFUNCTION("""COMPUTED_VALUE"""),"20%の確率でノックバック")</f>
        <v>20%の確率でノックバック</v>
      </c>
    </row>
    <row r="456">
      <c r="A456" s="235"/>
      <c r="B456" s="235" t="str">
        <f>IFERROR(__xludf.DUMMYFUNCTION("""COMPUTED_VALUE"""),"enemy_dan_00101")</f>
        <v>enemy_dan_00101</v>
      </c>
      <c r="C456" s="254" t="str">
        <f>IFERROR(__xludf.DUMMYFUNCTION("""COMPUTED_VALUE"""),"_general_vh")</f>
        <v>_general_vh</v>
      </c>
      <c r="D456" s="254" t="str">
        <f>IFERROR(__xludf.DUMMYFUNCTION("""COMPUTED_VALUE"""),"e_dan_00101_general_vh_Boss_Blue")</f>
        <v>e_dan_00101_general_vh_Boss_Blue</v>
      </c>
      <c r="E456" s="254" t="str">
        <f>IFERROR(__xludf.DUMMYFUNCTION("""COMPUTED_VALUE"""),"ダンダダン")</f>
        <v>ダンダダン</v>
      </c>
      <c r="F456" s="254" t="str">
        <f>IFERROR(__xludf.DUMMYFUNCTION("""COMPUTED_VALUE"""),"セルポ星人(変身)")</f>
        <v>セルポ星人(変身)</v>
      </c>
      <c r="G456" s="254" t="str">
        <f>IFERROR(__xludf.DUMMYFUNCTION("""COMPUTED_VALUE"""),"セルポ星人（変身）_general_vh")</f>
        <v>セルポ星人（変身）_general_vh</v>
      </c>
      <c r="H456" s="235" t="str">
        <f>IFERROR(__xludf.DUMMYFUNCTION("""COMPUTED_VALUE"""),"Boss")</f>
        <v>Boss</v>
      </c>
      <c r="I456" s="235" t="str">
        <f>IFERROR(__xludf.DUMMYFUNCTION("""COMPUTED_VALUE"""),"Attack")</f>
        <v>Attack</v>
      </c>
      <c r="J456" s="235" t="str">
        <f>IFERROR(__xludf.DUMMYFUNCTION("""COMPUTED_VALUE"""),"Blue")</f>
        <v>Blue</v>
      </c>
      <c r="K456" s="235">
        <f>IFERROR(__xludf.DUMMYFUNCTION("""COMPUTED_VALUE"""),10000.0)</f>
        <v>10000</v>
      </c>
      <c r="L456" s="235">
        <f>IFERROR(__xludf.DUMMYFUNCTION("""COMPUTED_VALUE"""),1.0)</f>
        <v>1</v>
      </c>
      <c r="M456" s="235">
        <f>IFERROR(__xludf.DUMMYFUNCTION("""COMPUTED_VALUE"""),47.0)</f>
        <v>47</v>
      </c>
      <c r="N456" s="235">
        <f>IFERROR(__xludf.DUMMYFUNCTION("""COMPUTED_VALUE"""),0.24)</f>
        <v>0.24</v>
      </c>
      <c r="O456" s="235">
        <f>IFERROR(__xludf.DUMMYFUNCTION("""COMPUTED_VALUE"""),100.0)</f>
        <v>100</v>
      </c>
      <c r="P456" s="235">
        <f>IFERROR(__xludf.DUMMYFUNCTION("""COMPUTED_VALUE"""),0.0)</f>
        <v>0</v>
      </c>
      <c r="Q456" s="235">
        <f>IFERROR(__xludf.DUMMYFUNCTION("""COMPUTED_VALUE"""),0.25)</f>
        <v>0.25</v>
      </c>
      <c r="R456" s="235">
        <f>IFERROR(__xludf.DUMMYFUNCTION("""COMPUTED_VALUE"""),1.0)</f>
        <v>1</v>
      </c>
      <c r="S456" s="235">
        <f>IFERROR(__xludf.DUMMYFUNCTION("""COMPUTED_VALUE"""),120.0)</f>
        <v>120</v>
      </c>
      <c r="T456" s="244" t="str">
        <f>IFERROR(__xludf.DUMMYFUNCTION("""COMPUTED_VALUE"""),"1.40")</f>
        <v>1.40</v>
      </c>
      <c r="U456" s="235" t="str">
        <f>IFERROR(__xludf.DUMMYFUNCTION("""COMPUTED_VALUE"""),"0.70")</f>
        <v>0.70</v>
      </c>
      <c r="V456" s="235">
        <f>IFERROR(__xludf.DUMMYFUNCTION("""COMPUTED_VALUE"""),50.0)</f>
        <v>50</v>
      </c>
      <c r="W456" s="235" t="str">
        <f>IFERROR(__xludf.DUMMYFUNCTION("""COMPUTED_VALUE"""),"-")</f>
        <v>-</v>
      </c>
      <c r="X456" s="235" t="str">
        <f>IFERROR(__xludf.DUMMYFUNCTION("""COMPUTED_VALUE"""),"-")</f>
        <v>-</v>
      </c>
      <c r="Y456" s="235"/>
      <c r="Z456" s="235" t="str">
        <f>IFERROR(__xludf.DUMMYFUNCTION("""COMPUTED_VALUE"""),"-")</f>
        <v>-</v>
      </c>
      <c r="AA456" s="235"/>
      <c r="AB456" s="235"/>
      <c r="AC456" s="235" t="str">
        <f>IFERROR(__xludf.DUMMYFUNCTION("""COMPUTED_VALUE"""),"10%の確率で敵の攻撃20%UP(5秒間)")</f>
        <v>10%の確率で敵の攻撃20%UP(5秒間)</v>
      </c>
    </row>
    <row r="457">
      <c r="A457" s="235"/>
      <c r="B457" s="235" t="str">
        <f>IFERROR(__xludf.DUMMYFUNCTION("""COMPUTED_VALUE"""),"enemy_dan_00201")</f>
        <v>enemy_dan_00201</v>
      </c>
      <c r="C457" s="254" t="str">
        <f>IFERROR(__xludf.DUMMYFUNCTION("""COMPUTED_VALUE"""),"_general_vn")</f>
        <v>_general_vn</v>
      </c>
      <c r="D457" s="254" t="str">
        <f>IFERROR(__xludf.DUMMYFUNCTION("""COMPUTED_VALUE"""),"e_dan_00201_general_vn_Normal_Colorless")</f>
        <v>e_dan_00201_general_vn_Normal_Colorless</v>
      </c>
      <c r="E457" s="254" t="str">
        <f>IFERROR(__xludf.DUMMYFUNCTION("""COMPUTED_VALUE"""),"ダンダダン")</f>
        <v>ダンダダン</v>
      </c>
      <c r="F457" s="254" t="str">
        <f>IFERROR(__xludf.DUMMYFUNCTION("""COMPUTED_VALUE"""),"ターボババア")</f>
        <v>ターボババア</v>
      </c>
      <c r="G457" s="254" t="str">
        <f>IFERROR(__xludf.DUMMYFUNCTION("""COMPUTED_VALUE"""),"ターボババア_general_vn")</f>
        <v>ターボババア_general_vn</v>
      </c>
      <c r="H457" s="235" t="str">
        <f>IFERROR(__xludf.DUMMYFUNCTION("""COMPUTED_VALUE"""),"Normal")</f>
        <v>Normal</v>
      </c>
      <c r="I457" s="235" t="str">
        <f>IFERROR(__xludf.DUMMYFUNCTION("""COMPUTED_VALUE"""),"Attack")</f>
        <v>Attack</v>
      </c>
      <c r="J457" s="235" t="str">
        <f>IFERROR(__xludf.DUMMYFUNCTION("""COMPUTED_VALUE"""),"Colorless")</f>
        <v>Colorless</v>
      </c>
      <c r="K457" s="235">
        <f>IFERROR(__xludf.DUMMYFUNCTION("""COMPUTED_VALUE"""),10000.0)</f>
        <v>10000</v>
      </c>
      <c r="L457" s="235">
        <f>IFERROR(__xludf.DUMMYFUNCTION("""COMPUTED_VALUE"""),0.0)</f>
        <v>0</v>
      </c>
      <c r="M457" s="235">
        <f>IFERROR(__xludf.DUMMYFUNCTION("""COMPUTED_VALUE"""),75.0)</f>
        <v>75</v>
      </c>
      <c r="N457" s="235">
        <f>IFERROR(__xludf.DUMMYFUNCTION("""COMPUTED_VALUE"""),0.24)</f>
        <v>0.24</v>
      </c>
      <c r="O457" s="235">
        <f>IFERROR(__xludf.DUMMYFUNCTION("""COMPUTED_VALUE"""),100.0)</f>
        <v>100</v>
      </c>
      <c r="P457" s="235">
        <f>IFERROR(__xludf.DUMMYFUNCTION("""COMPUTED_VALUE"""),0.0)</f>
        <v>0</v>
      </c>
      <c r="Q457" s="235">
        <f>IFERROR(__xludf.DUMMYFUNCTION("""COMPUTED_VALUE"""),0.25)</f>
        <v>0.25</v>
      </c>
      <c r="R457" s="235">
        <f>IFERROR(__xludf.DUMMYFUNCTION("""COMPUTED_VALUE"""),1.0)</f>
        <v>1</v>
      </c>
      <c r="S457" s="235">
        <f>IFERROR(__xludf.DUMMYFUNCTION("""COMPUTED_VALUE"""),500.0)</f>
        <v>500</v>
      </c>
      <c r="T457" s="244" t="str">
        <f>IFERROR(__xludf.DUMMYFUNCTION("""COMPUTED_VALUE"""),"1.50")</f>
        <v>1.50</v>
      </c>
      <c r="U457" s="235" t="str">
        <f>IFERROR(__xludf.DUMMYFUNCTION("""COMPUTED_VALUE"""),"0.40")</f>
        <v>0.40</v>
      </c>
      <c r="V457" s="235">
        <f>IFERROR(__xludf.DUMMYFUNCTION("""COMPUTED_VALUE"""),50.0)</f>
        <v>50</v>
      </c>
      <c r="W457" s="235" t="str">
        <f>IFERROR(__xludf.DUMMYFUNCTION("""COMPUTED_VALUE"""),"-")</f>
        <v>-</v>
      </c>
      <c r="X457" s="235" t="str">
        <f>IFERROR(__xludf.DUMMYFUNCTION("""COMPUTED_VALUE"""),"-")</f>
        <v>-</v>
      </c>
      <c r="Y457" s="235"/>
      <c r="Z457" s="235" t="str">
        <f>IFERROR(__xludf.DUMMYFUNCTION("""COMPUTED_VALUE"""),"-")</f>
        <v>-</v>
      </c>
      <c r="AA457" s="235"/>
      <c r="AB457" s="235"/>
      <c r="AC457" s="235"/>
    </row>
    <row r="458">
      <c r="A458" s="235"/>
      <c r="B458" s="235" t="str">
        <f>IFERROR(__xludf.DUMMYFUNCTION("""COMPUTED_VALUE"""),"enemy_dan_00201")</f>
        <v>enemy_dan_00201</v>
      </c>
      <c r="C458" s="254" t="str">
        <f>IFERROR(__xludf.DUMMYFUNCTION("""COMPUTED_VALUE"""),"_general_n")</f>
        <v>_general_n</v>
      </c>
      <c r="D458" s="254" t="str">
        <f>IFERROR(__xludf.DUMMYFUNCTION("""COMPUTED_VALUE"""),"e_dan_00201_general_n_Boss_Colorless")</f>
        <v>e_dan_00201_general_n_Boss_Colorless</v>
      </c>
      <c r="E458" s="254" t="str">
        <f>IFERROR(__xludf.DUMMYFUNCTION("""COMPUTED_VALUE"""),"ダンダダン")</f>
        <v>ダンダダン</v>
      </c>
      <c r="F458" s="254" t="str">
        <f>IFERROR(__xludf.DUMMYFUNCTION("""COMPUTED_VALUE"""),"ターボババア")</f>
        <v>ターボババア</v>
      </c>
      <c r="G458" s="254" t="str">
        <f>IFERROR(__xludf.DUMMYFUNCTION("""COMPUTED_VALUE"""),"ターボババア_general_n")</f>
        <v>ターボババア_general_n</v>
      </c>
      <c r="H458" s="235" t="str">
        <f>IFERROR(__xludf.DUMMYFUNCTION("""COMPUTED_VALUE"""),"Boss")</f>
        <v>Boss</v>
      </c>
      <c r="I458" s="235" t="str">
        <f>IFERROR(__xludf.DUMMYFUNCTION("""COMPUTED_VALUE"""),"Attack")</f>
        <v>Attack</v>
      </c>
      <c r="J458" s="235" t="str">
        <f>IFERROR(__xludf.DUMMYFUNCTION("""COMPUTED_VALUE"""),"Colorless")</f>
        <v>Colorless</v>
      </c>
      <c r="K458" s="235">
        <f>IFERROR(__xludf.DUMMYFUNCTION("""COMPUTED_VALUE"""),100000.0)</f>
        <v>100000</v>
      </c>
      <c r="L458" s="235">
        <f>IFERROR(__xludf.DUMMYFUNCTION("""COMPUTED_VALUE"""),0.0)</f>
        <v>0</v>
      </c>
      <c r="M458" s="235">
        <f>IFERROR(__xludf.DUMMYFUNCTION("""COMPUTED_VALUE"""),75.0)</f>
        <v>75</v>
      </c>
      <c r="N458" s="235">
        <f>IFERROR(__xludf.DUMMYFUNCTION("""COMPUTED_VALUE"""),0.24)</f>
        <v>0.24</v>
      </c>
      <c r="O458" s="235">
        <f>IFERROR(__xludf.DUMMYFUNCTION("""COMPUTED_VALUE"""),1000.0)</f>
        <v>1000</v>
      </c>
      <c r="P458" s="235">
        <f>IFERROR(__xludf.DUMMYFUNCTION("""COMPUTED_VALUE"""),0.0)</f>
        <v>0</v>
      </c>
      <c r="Q458" s="235">
        <f>IFERROR(__xludf.DUMMYFUNCTION("""COMPUTED_VALUE"""),0.25)</f>
        <v>0.25</v>
      </c>
      <c r="R458" s="235">
        <f>IFERROR(__xludf.DUMMYFUNCTION("""COMPUTED_VALUE"""),1.0)</f>
        <v>1</v>
      </c>
      <c r="S458" s="235">
        <f>IFERROR(__xludf.DUMMYFUNCTION("""COMPUTED_VALUE"""),500.0)</f>
        <v>500</v>
      </c>
      <c r="T458" s="244" t="str">
        <f>IFERROR(__xludf.DUMMYFUNCTION("""COMPUTED_VALUE"""),"1.50")</f>
        <v>1.50</v>
      </c>
      <c r="U458" s="235" t="str">
        <f>IFERROR(__xludf.DUMMYFUNCTION("""COMPUTED_VALUE"""),"0.40")</f>
        <v>0.40</v>
      </c>
      <c r="V458" s="235">
        <f>IFERROR(__xludf.DUMMYFUNCTION("""COMPUTED_VALUE"""),50.0)</f>
        <v>50</v>
      </c>
      <c r="W458" s="235" t="str">
        <f>IFERROR(__xludf.DUMMYFUNCTION("""COMPUTED_VALUE"""),"-")</f>
        <v>-</v>
      </c>
      <c r="X458" s="235" t="str">
        <f>IFERROR(__xludf.DUMMYFUNCTION("""COMPUTED_VALUE"""),"-")</f>
        <v>-</v>
      </c>
      <c r="Y458" s="235"/>
      <c r="Z458" s="235" t="str">
        <f>IFERROR(__xludf.DUMMYFUNCTION("""COMPUTED_VALUE"""),"-")</f>
        <v>-</v>
      </c>
      <c r="AA458" s="235"/>
      <c r="AB458" s="235"/>
      <c r="AC458" s="235"/>
    </row>
    <row r="459">
      <c r="A459" s="235"/>
      <c r="B459" s="235" t="str">
        <f>IFERROR(__xludf.DUMMYFUNCTION("""COMPUTED_VALUE"""),"enemy_dan_00201")</f>
        <v>enemy_dan_00201</v>
      </c>
      <c r="C459" s="254" t="str">
        <f>IFERROR(__xludf.DUMMYFUNCTION("""COMPUTED_VALUE"""),"_main5_n")</f>
        <v>_main5_n</v>
      </c>
      <c r="D459" s="254" t="str">
        <f>IFERROR(__xludf.DUMMYFUNCTION("""COMPUTED_VALUE"""),"e_dan_00201_main5_n_Boss_Colorless")</f>
        <v>e_dan_00201_main5_n_Boss_Colorless</v>
      </c>
      <c r="E459" s="254" t="str">
        <f>IFERROR(__xludf.DUMMYFUNCTION("""COMPUTED_VALUE"""),"ダンダダン")</f>
        <v>ダンダダン</v>
      </c>
      <c r="F459" s="254" t="str">
        <f>IFERROR(__xludf.DUMMYFUNCTION("""COMPUTED_VALUE"""),"ターボババア")</f>
        <v>ターボババア</v>
      </c>
      <c r="G459" s="254" t="str">
        <f>IFERROR(__xludf.DUMMYFUNCTION("""COMPUTED_VALUE"""),"ターボババア_main5_n")</f>
        <v>ターボババア_main5_n</v>
      </c>
      <c r="H459" s="235" t="str">
        <f>IFERROR(__xludf.DUMMYFUNCTION("""COMPUTED_VALUE"""),"Boss")</f>
        <v>Boss</v>
      </c>
      <c r="I459" s="235" t="str">
        <f>IFERROR(__xludf.DUMMYFUNCTION("""COMPUTED_VALUE"""),"Attack")</f>
        <v>Attack</v>
      </c>
      <c r="J459" s="235" t="str">
        <f>IFERROR(__xludf.DUMMYFUNCTION("""COMPUTED_VALUE"""),"Colorless")</f>
        <v>Colorless</v>
      </c>
      <c r="K459" s="235">
        <f>IFERROR(__xludf.DUMMYFUNCTION("""COMPUTED_VALUE"""),100000.0)</f>
        <v>100000</v>
      </c>
      <c r="L459" s="235">
        <f>IFERROR(__xludf.DUMMYFUNCTION("""COMPUTED_VALUE"""),0.0)</f>
        <v>0</v>
      </c>
      <c r="M459" s="235">
        <f>IFERROR(__xludf.DUMMYFUNCTION("""COMPUTED_VALUE"""),75.0)</f>
        <v>75</v>
      </c>
      <c r="N459" s="235">
        <f>IFERROR(__xludf.DUMMYFUNCTION("""COMPUTED_VALUE"""),0.24)</f>
        <v>0.24</v>
      </c>
      <c r="O459" s="235">
        <f>IFERROR(__xludf.DUMMYFUNCTION("""COMPUTED_VALUE"""),1000.0)</f>
        <v>1000</v>
      </c>
      <c r="P459" s="235">
        <f>IFERROR(__xludf.DUMMYFUNCTION("""COMPUTED_VALUE"""),0.0)</f>
        <v>0</v>
      </c>
      <c r="Q459" s="235">
        <f>IFERROR(__xludf.DUMMYFUNCTION("""COMPUTED_VALUE"""),0.25)</f>
        <v>0.25</v>
      </c>
      <c r="R459" s="235">
        <f>IFERROR(__xludf.DUMMYFUNCTION("""COMPUTED_VALUE"""),1.0)</f>
        <v>1</v>
      </c>
      <c r="S459" s="235">
        <f>IFERROR(__xludf.DUMMYFUNCTION("""COMPUTED_VALUE"""),500.0)</f>
        <v>500</v>
      </c>
      <c r="T459" s="244" t="str">
        <f>IFERROR(__xludf.DUMMYFUNCTION("""COMPUTED_VALUE"""),"1.50")</f>
        <v>1.50</v>
      </c>
      <c r="U459" s="235" t="str">
        <f>IFERROR(__xludf.DUMMYFUNCTION("""COMPUTED_VALUE"""),"0.40")</f>
        <v>0.40</v>
      </c>
      <c r="V459" s="235">
        <f>IFERROR(__xludf.DUMMYFUNCTION("""COMPUTED_VALUE"""),50.0)</f>
        <v>50</v>
      </c>
      <c r="W459" s="235" t="str">
        <f>IFERROR(__xludf.DUMMYFUNCTION("""COMPUTED_VALUE"""),"-")</f>
        <v>-</v>
      </c>
      <c r="X459" s="235" t="str">
        <f>IFERROR(__xludf.DUMMYFUNCTION("""COMPUTED_VALUE"""),"-")</f>
        <v>-</v>
      </c>
      <c r="Y459" s="235"/>
      <c r="Z459" s="235" t="str">
        <f>IFERROR(__xludf.DUMMYFUNCTION("""COMPUTED_VALUE"""),"-")</f>
        <v>-</v>
      </c>
      <c r="AA459" s="235"/>
      <c r="AB459" s="235"/>
      <c r="AC459" s="235"/>
    </row>
    <row r="460">
      <c r="A460" s="235"/>
      <c r="B460" s="235" t="str">
        <f>IFERROR(__xludf.DUMMYFUNCTION("""COMPUTED_VALUE"""),"enemy_dan_00201")</f>
        <v>enemy_dan_00201</v>
      </c>
      <c r="C460" s="254" t="str">
        <f>IFERROR(__xludf.DUMMYFUNCTION("""COMPUTED_VALUE"""),"_general_n")</f>
        <v>_general_n</v>
      </c>
      <c r="D460" s="254" t="str">
        <f>IFERROR(__xludf.DUMMYFUNCTION("""COMPUTED_VALUE"""),"e_dan_00201_general_n_Boss_Red")</f>
        <v>e_dan_00201_general_n_Boss_Red</v>
      </c>
      <c r="E460" s="254" t="str">
        <f>IFERROR(__xludf.DUMMYFUNCTION("""COMPUTED_VALUE"""),"ダンダダン")</f>
        <v>ダンダダン</v>
      </c>
      <c r="F460" s="254" t="str">
        <f>IFERROR(__xludf.DUMMYFUNCTION("""COMPUTED_VALUE"""),"ターボババア")</f>
        <v>ターボババア</v>
      </c>
      <c r="G460" s="254" t="str">
        <f>IFERROR(__xludf.DUMMYFUNCTION("""COMPUTED_VALUE"""),"ターボババア_general_n")</f>
        <v>ターボババア_general_n</v>
      </c>
      <c r="H460" s="235" t="str">
        <f>IFERROR(__xludf.DUMMYFUNCTION("""COMPUTED_VALUE"""),"Boss")</f>
        <v>Boss</v>
      </c>
      <c r="I460" s="235" t="str">
        <f>IFERROR(__xludf.DUMMYFUNCTION("""COMPUTED_VALUE"""),"Attack")</f>
        <v>Attack</v>
      </c>
      <c r="J460" s="235" t="str">
        <f>IFERROR(__xludf.DUMMYFUNCTION("""COMPUTED_VALUE"""),"Red")</f>
        <v>Red</v>
      </c>
      <c r="K460" s="235">
        <f>IFERROR(__xludf.DUMMYFUNCTION("""COMPUTED_VALUE"""),10000.0)</f>
        <v>10000</v>
      </c>
      <c r="L460" s="235">
        <f>IFERROR(__xludf.DUMMYFUNCTION("""COMPUTED_VALUE"""),1.0)</f>
        <v>1</v>
      </c>
      <c r="M460" s="235">
        <f>IFERROR(__xludf.DUMMYFUNCTION("""COMPUTED_VALUE"""),65.0)</f>
        <v>65</v>
      </c>
      <c r="N460" s="235">
        <f>IFERROR(__xludf.DUMMYFUNCTION("""COMPUTED_VALUE"""),0.24)</f>
        <v>0.24</v>
      </c>
      <c r="O460" s="235">
        <f>IFERROR(__xludf.DUMMYFUNCTION("""COMPUTED_VALUE"""),50.0)</f>
        <v>50</v>
      </c>
      <c r="P460" s="235">
        <f>IFERROR(__xludf.DUMMYFUNCTION("""COMPUTED_VALUE"""),0.0)</f>
        <v>0</v>
      </c>
      <c r="Q460" s="235">
        <f>IFERROR(__xludf.DUMMYFUNCTION("""COMPUTED_VALUE"""),0.25)</f>
        <v>0.25</v>
      </c>
      <c r="R460" s="235">
        <f>IFERROR(__xludf.DUMMYFUNCTION("""COMPUTED_VALUE"""),1.0)</f>
        <v>1</v>
      </c>
      <c r="S460" s="235">
        <f>IFERROR(__xludf.DUMMYFUNCTION("""COMPUTED_VALUE"""),500.0)</f>
        <v>500</v>
      </c>
      <c r="T460" s="244" t="str">
        <f>IFERROR(__xludf.DUMMYFUNCTION("""COMPUTED_VALUE"""),"1.50")</f>
        <v>1.50</v>
      </c>
      <c r="U460" s="235" t="str">
        <f>IFERROR(__xludf.DUMMYFUNCTION("""COMPUTED_VALUE"""),"0.40")</f>
        <v>0.40</v>
      </c>
      <c r="V460" s="235">
        <f>IFERROR(__xludf.DUMMYFUNCTION("""COMPUTED_VALUE"""),100.0)</f>
        <v>100</v>
      </c>
      <c r="W460" s="235" t="str">
        <f>IFERROR(__xludf.DUMMYFUNCTION("""COMPUTED_VALUE"""),"-")</f>
        <v>-</v>
      </c>
      <c r="X460" s="235" t="str">
        <f>IFERROR(__xludf.DUMMYFUNCTION("""COMPUTED_VALUE"""),"-")</f>
        <v>-</v>
      </c>
      <c r="Y460" s="235"/>
      <c r="Z460" s="235" t="str">
        <f>IFERROR(__xludf.DUMMYFUNCTION("""COMPUTED_VALUE"""),"-")</f>
        <v>-</v>
      </c>
      <c r="AA460" s="235"/>
      <c r="AB460" s="235"/>
      <c r="AC460" s="235"/>
    </row>
    <row r="461">
      <c r="A461" s="235"/>
      <c r="B461" s="235" t="str">
        <f>IFERROR(__xludf.DUMMYFUNCTION("""COMPUTED_VALUE"""),"chara_dan_00001")</f>
        <v>chara_dan_00001</v>
      </c>
      <c r="C461" s="254" t="str">
        <f>IFERROR(__xludf.DUMMYFUNCTION("""COMPUTED_VALUE"""),"_general_n")</f>
        <v>_general_n</v>
      </c>
      <c r="D461" s="254" t="str">
        <f>IFERROR(__xludf.DUMMYFUNCTION("""COMPUTED_VALUE"""),"c_dan_00001_general_n_Normal_Red")</f>
        <v>c_dan_00001_general_n_Normal_Red</v>
      </c>
      <c r="E461" s="254" t="str">
        <f>IFERROR(__xludf.DUMMYFUNCTION("""COMPUTED_VALUE"""),"ダンダダン")</f>
        <v>ダンダダン</v>
      </c>
      <c r="F461" s="254" t="str">
        <f>IFERROR(__xludf.DUMMYFUNCTION("""COMPUTED_VALUE"""),"オカルン")</f>
        <v>オカルン</v>
      </c>
      <c r="G461" s="254" t="str">
        <f>IFERROR(__xludf.DUMMYFUNCTION("""COMPUTED_VALUE"""),"オカルン_general_n")</f>
        <v>オカルン_general_n</v>
      </c>
      <c r="H461" s="235" t="str">
        <f>IFERROR(__xludf.DUMMYFUNCTION("""COMPUTED_VALUE"""),"Normal")</f>
        <v>Normal</v>
      </c>
      <c r="I461" s="235" t="str">
        <f>IFERROR(__xludf.DUMMYFUNCTION("""COMPUTED_VALUE"""),"Defense")</f>
        <v>Defense</v>
      </c>
      <c r="J461" s="235" t="str">
        <f>IFERROR(__xludf.DUMMYFUNCTION("""COMPUTED_VALUE"""),"Red")</f>
        <v>Red</v>
      </c>
      <c r="K461" s="235">
        <f>IFERROR(__xludf.DUMMYFUNCTION("""COMPUTED_VALUE"""),10000.0)</f>
        <v>10000</v>
      </c>
      <c r="L461" s="235">
        <f>IFERROR(__xludf.DUMMYFUNCTION("""COMPUTED_VALUE"""),0.0)</f>
        <v>0</v>
      </c>
      <c r="M461" s="235">
        <f>IFERROR(__xludf.DUMMYFUNCTION("""COMPUTED_VALUE"""),31.0)</f>
        <v>31</v>
      </c>
      <c r="N461" s="235">
        <f>IFERROR(__xludf.DUMMYFUNCTION("""COMPUTED_VALUE"""),0.2)</f>
        <v>0.2</v>
      </c>
      <c r="O461" s="235">
        <f>IFERROR(__xludf.DUMMYFUNCTION("""COMPUTED_VALUE"""),50.0)</f>
        <v>50</v>
      </c>
      <c r="P461" s="235">
        <f>IFERROR(__xludf.DUMMYFUNCTION("""COMPUTED_VALUE"""),0.0)</f>
        <v>0</v>
      </c>
      <c r="Q461" s="235">
        <f>IFERROR(__xludf.DUMMYFUNCTION("""COMPUTED_VALUE"""),0.21)</f>
        <v>0.21</v>
      </c>
      <c r="R461" s="235">
        <f>IFERROR(__xludf.DUMMYFUNCTION("""COMPUTED_VALUE"""),1.0)</f>
        <v>1</v>
      </c>
      <c r="S461" s="235">
        <f>IFERROR(__xludf.DUMMYFUNCTION("""COMPUTED_VALUE"""),100.0)</f>
        <v>100</v>
      </c>
      <c r="T461" s="244" t="str">
        <f>IFERROR(__xludf.DUMMYFUNCTION("""COMPUTED_VALUE"""),"1.43")</f>
        <v>1.43</v>
      </c>
      <c r="U461" s="235" t="str">
        <f>IFERROR(__xludf.DUMMYFUNCTION("""COMPUTED_VALUE"""),"0.53")</f>
        <v>0.53</v>
      </c>
      <c r="V461" s="235">
        <f>IFERROR(__xludf.DUMMYFUNCTION("""COMPUTED_VALUE"""),100.0)</f>
        <v>100</v>
      </c>
      <c r="W461" s="235" t="str">
        <f>IFERROR(__xludf.DUMMYFUNCTION("""COMPUTED_VALUE"""),"4.00")</f>
        <v>4.00</v>
      </c>
      <c r="X461" s="235" t="str">
        <f>IFERROR(__xludf.DUMMYFUNCTION("""COMPUTED_VALUE"""),"1.66")</f>
        <v>1.66</v>
      </c>
      <c r="Y461" s="235"/>
      <c r="Z461" s="235" t="str">
        <f>IFERROR(__xludf.DUMMYFUNCTION("""COMPUTED_VALUE"""),"-")</f>
        <v>-</v>
      </c>
      <c r="AA461" s="235"/>
      <c r="AB461" s="235"/>
      <c r="AC461" s="235"/>
    </row>
    <row r="462">
      <c r="A462" s="235"/>
      <c r="B462" s="235" t="str">
        <f>IFERROR(__xludf.DUMMYFUNCTION("""COMPUTED_VALUE"""),"chara_dan_00001")</f>
        <v>chara_dan_00001</v>
      </c>
      <c r="C462" s="254" t="str">
        <f>IFERROR(__xludf.DUMMYFUNCTION("""COMPUTED_VALUE"""),"_general_h")</f>
        <v>_general_h</v>
      </c>
      <c r="D462" s="254" t="str">
        <f>IFERROR(__xludf.DUMMYFUNCTION("""COMPUTED_VALUE"""),"c_dan_00001_general_h_Normal_Red")</f>
        <v>c_dan_00001_general_h_Normal_Red</v>
      </c>
      <c r="E462" s="254" t="str">
        <f>IFERROR(__xludf.DUMMYFUNCTION("""COMPUTED_VALUE"""),"ダンダダン")</f>
        <v>ダンダダン</v>
      </c>
      <c r="F462" s="254" t="str">
        <f>IFERROR(__xludf.DUMMYFUNCTION("""COMPUTED_VALUE"""),"オカルン")</f>
        <v>オカルン</v>
      </c>
      <c r="G462" s="254" t="str">
        <f>IFERROR(__xludf.DUMMYFUNCTION("""COMPUTED_VALUE"""),"オカルン_general_h")</f>
        <v>オカルン_general_h</v>
      </c>
      <c r="H462" s="235" t="str">
        <f>IFERROR(__xludf.DUMMYFUNCTION("""COMPUTED_VALUE"""),"Normal")</f>
        <v>Normal</v>
      </c>
      <c r="I462" s="235" t="str">
        <f>IFERROR(__xludf.DUMMYFUNCTION("""COMPUTED_VALUE"""),"Defense")</f>
        <v>Defense</v>
      </c>
      <c r="J462" s="235" t="str">
        <f>IFERROR(__xludf.DUMMYFUNCTION("""COMPUTED_VALUE"""),"Red")</f>
        <v>Red</v>
      </c>
      <c r="K462" s="235">
        <f>IFERROR(__xludf.DUMMYFUNCTION("""COMPUTED_VALUE"""),10000.0)</f>
        <v>10000</v>
      </c>
      <c r="L462" s="235">
        <f>IFERROR(__xludf.DUMMYFUNCTION("""COMPUTED_VALUE"""),0.0)</f>
        <v>0</v>
      </c>
      <c r="M462" s="235">
        <f>IFERROR(__xludf.DUMMYFUNCTION("""COMPUTED_VALUE"""),31.0)</f>
        <v>31</v>
      </c>
      <c r="N462" s="235">
        <f>IFERROR(__xludf.DUMMYFUNCTION("""COMPUTED_VALUE"""),0.2)</f>
        <v>0.2</v>
      </c>
      <c r="O462" s="235">
        <f>IFERROR(__xludf.DUMMYFUNCTION("""COMPUTED_VALUE"""),100.0)</f>
        <v>100</v>
      </c>
      <c r="P462" s="235">
        <f>IFERROR(__xludf.DUMMYFUNCTION("""COMPUTED_VALUE"""),0.0)</f>
        <v>0</v>
      </c>
      <c r="Q462" s="235">
        <f>IFERROR(__xludf.DUMMYFUNCTION("""COMPUTED_VALUE"""),0.21)</f>
        <v>0.21</v>
      </c>
      <c r="R462" s="235">
        <f>IFERROR(__xludf.DUMMYFUNCTION("""COMPUTED_VALUE"""),1.0)</f>
        <v>1</v>
      </c>
      <c r="S462" s="235">
        <f>IFERROR(__xludf.DUMMYFUNCTION("""COMPUTED_VALUE"""),100.0)</f>
        <v>100</v>
      </c>
      <c r="T462" s="244" t="str">
        <f>IFERROR(__xludf.DUMMYFUNCTION("""COMPUTED_VALUE"""),"1.43")</f>
        <v>1.43</v>
      </c>
      <c r="U462" s="235" t="str">
        <f>IFERROR(__xludf.DUMMYFUNCTION("""COMPUTED_VALUE"""),"0.53")</f>
        <v>0.53</v>
      </c>
      <c r="V462" s="235">
        <f>IFERROR(__xludf.DUMMYFUNCTION("""COMPUTED_VALUE"""),100.0)</f>
        <v>100</v>
      </c>
      <c r="W462" s="235" t="str">
        <f>IFERROR(__xludf.DUMMYFUNCTION("""COMPUTED_VALUE"""),"4.00")</f>
        <v>4.00</v>
      </c>
      <c r="X462" s="235" t="str">
        <f>IFERROR(__xludf.DUMMYFUNCTION("""COMPUTED_VALUE"""),"1.66")</f>
        <v>1.66</v>
      </c>
      <c r="Y462" s="235"/>
      <c r="Z462" s="235" t="str">
        <f>IFERROR(__xludf.DUMMYFUNCTION("""COMPUTED_VALUE"""),"-")</f>
        <v>-</v>
      </c>
      <c r="AA462" s="235"/>
      <c r="AB462" s="235"/>
      <c r="AC462" s="235"/>
    </row>
    <row r="463">
      <c r="A463" s="235"/>
      <c r="B463" s="235" t="str">
        <f>IFERROR(__xludf.DUMMYFUNCTION("""COMPUTED_VALUE"""),"chara_dan_00001")</f>
        <v>chara_dan_00001</v>
      </c>
      <c r="C463" s="254" t="str">
        <f>IFERROR(__xludf.DUMMYFUNCTION("""COMPUTED_VALUE"""),"_general_h")</f>
        <v>_general_h</v>
      </c>
      <c r="D463" s="254" t="str">
        <f>IFERROR(__xludf.DUMMYFUNCTION("""COMPUTED_VALUE"""),"c_dan_00001_general_h_Boss_Colorless")</f>
        <v>c_dan_00001_general_h_Boss_Colorless</v>
      </c>
      <c r="E463" s="254" t="str">
        <f>IFERROR(__xludf.DUMMYFUNCTION("""COMPUTED_VALUE"""),"ダンダダン")</f>
        <v>ダンダダン</v>
      </c>
      <c r="F463" s="254" t="str">
        <f>IFERROR(__xludf.DUMMYFUNCTION("""COMPUTED_VALUE"""),"オカルン")</f>
        <v>オカルン</v>
      </c>
      <c r="G463" s="254" t="str">
        <f>IFERROR(__xludf.DUMMYFUNCTION("""COMPUTED_VALUE"""),"オカルン_general_h")</f>
        <v>オカルン_general_h</v>
      </c>
      <c r="H463" s="235" t="str">
        <f>IFERROR(__xludf.DUMMYFUNCTION("""COMPUTED_VALUE"""),"Boss")</f>
        <v>Boss</v>
      </c>
      <c r="I463" s="235" t="str">
        <f>IFERROR(__xludf.DUMMYFUNCTION("""COMPUTED_VALUE"""),"Defense")</f>
        <v>Defense</v>
      </c>
      <c r="J463" s="235" t="str">
        <f>IFERROR(__xludf.DUMMYFUNCTION("""COMPUTED_VALUE"""),"Colorless")</f>
        <v>Colorless</v>
      </c>
      <c r="K463" s="235">
        <f>IFERROR(__xludf.DUMMYFUNCTION("""COMPUTED_VALUE"""),10000.0)</f>
        <v>10000</v>
      </c>
      <c r="L463" s="235">
        <f>IFERROR(__xludf.DUMMYFUNCTION("""COMPUTED_VALUE"""),0.0)</f>
        <v>0</v>
      </c>
      <c r="M463" s="235">
        <f>IFERROR(__xludf.DUMMYFUNCTION("""COMPUTED_VALUE"""),31.0)</f>
        <v>31</v>
      </c>
      <c r="N463" s="235">
        <f>IFERROR(__xludf.DUMMYFUNCTION("""COMPUTED_VALUE"""),0.2)</f>
        <v>0.2</v>
      </c>
      <c r="O463" s="235">
        <f>IFERROR(__xludf.DUMMYFUNCTION("""COMPUTED_VALUE"""),100.0)</f>
        <v>100</v>
      </c>
      <c r="P463" s="235">
        <f>IFERROR(__xludf.DUMMYFUNCTION("""COMPUTED_VALUE"""),0.0)</f>
        <v>0</v>
      </c>
      <c r="Q463" s="235">
        <f>IFERROR(__xludf.DUMMYFUNCTION("""COMPUTED_VALUE"""),0.21)</f>
        <v>0.21</v>
      </c>
      <c r="R463" s="235">
        <f>IFERROR(__xludf.DUMMYFUNCTION("""COMPUTED_VALUE"""),1.0)</f>
        <v>1</v>
      </c>
      <c r="S463" s="235">
        <f>IFERROR(__xludf.DUMMYFUNCTION("""COMPUTED_VALUE"""),200.0)</f>
        <v>200</v>
      </c>
      <c r="T463" s="244" t="str">
        <f>IFERROR(__xludf.DUMMYFUNCTION("""COMPUTED_VALUE"""),"1.43")</f>
        <v>1.43</v>
      </c>
      <c r="U463" s="235" t="str">
        <f>IFERROR(__xludf.DUMMYFUNCTION("""COMPUTED_VALUE"""),"0.53")</f>
        <v>0.53</v>
      </c>
      <c r="V463" s="235">
        <f>IFERROR(__xludf.DUMMYFUNCTION("""COMPUTED_VALUE"""),100.0)</f>
        <v>100</v>
      </c>
      <c r="W463" s="235" t="str">
        <f>IFERROR(__xludf.DUMMYFUNCTION("""COMPUTED_VALUE"""),"4.00")</f>
        <v>4.00</v>
      </c>
      <c r="X463" s="235" t="str">
        <f>IFERROR(__xludf.DUMMYFUNCTION("""COMPUTED_VALUE"""),"1.66")</f>
        <v>1.66</v>
      </c>
      <c r="Y463" s="235" t="str">
        <f>IFERROR(__xludf.DUMMYFUNCTION("""COMPUTED_VALUE"""),"自己バフ(ダメージ軽減)10%軽減/30秒")</f>
        <v>自己バフ(ダメージ軽減)10%軽減/30秒</v>
      </c>
      <c r="Z463" s="235">
        <f>IFERROR(__xludf.DUMMYFUNCTION("""COMPUTED_VALUE"""),5.0)</f>
        <v>5</v>
      </c>
      <c r="AA463" s="235"/>
      <c r="AB463" s="235"/>
      <c r="AC463" s="235"/>
    </row>
    <row r="464">
      <c r="A464" s="235"/>
      <c r="B464" s="235" t="str">
        <f>IFERROR(__xludf.DUMMYFUNCTION("""COMPUTED_VALUE"""),"chara_dan_00001")</f>
        <v>chara_dan_00001</v>
      </c>
      <c r="C464" s="254" t="str">
        <f>IFERROR(__xludf.DUMMYFUNCTION("""COMPUTED_VALUE"""),"_general_vh")</f>
        <v>_general_vh</v>
      </c>
      <c r="D464" s="254" t="str">
        <f>IFERROR(__xludf.DUMMYFUNCTION("""COMPUTED_VALUE"""),"c_dan_00001_general_vh_Normal_Green")</f>
        <v>c_dan_00001_general_vh_Normal_Green</v>
      </c>
      <c r="E464" s="254" t="str">
        <f>IFERROR(__xludf.DUMMYFUNCTION("""COMPUTED_VALUE"""),"ダンダダン")</f>
        <v>ダンダダン</v>
      </c>
      <c r="F464" s="254" t="str">
        <f>IFERROR(__xludf.DUMMYFUNCTION("""COMPUTED_VALUE"""),"オカルン")</f>
        <v>オカルン</v>
      </c>
      <c r="G464" s="254" t="str">
        <f>IFERROR(__xludf.DUMMYFUNCTION("""COMPUTED_VALUE"""),"オカルン_general_vh")</f>
        <v>オカルン_general_vh</v>
      </c>
      <c r="H464" s="235" t="str">
        <f>IFERROR(__xludf.DUMMYFUNCTION("""COMPUTED_VALUE"""),"Normal")</f>
        <v>Normal</v>
      </c>
      <c r="I464" s="235" t="str">
        <f>IFERROR(__xludf.DUMMYFUNCTION("""COMPUTED_VALUE"""),"Defense")</f>
        <v>Defense</v>
      </c>
      <c r="J464" s="235" t="str">
        <f>IFERROR(__xludf.DUMMYFUNCTION("""COMPUTED_VALUE"""),"Green")</f>
        <v>Green</v>
      </c>
      <c r="K464" s="235">
        <f>IFERROR(__xludf.DUMMYFUNCTION("""COMPUTED_VALUE"""),10000.0)</f>
        <v>10000</v>
      </c>
      <c r="L464" s="235">
        <f>IFERROR(__xludf.DUMMYFUNCTION("""COMPUTED_VALUE"""),0.0)</f>
        <v>0</v>
      </c>
      <c r="M464" s="235">
        <f>IFERROR(__xludf.DUMMYFUNCTION("""COMPUTED_VALUE"""),31.0)</f>
        <v>31</v>
      </c>
      <c r="N464" s="235">
        <f>IFERROR(__xludf.DUMMYFUNCTION("""COMPUTED_VALUE"""),0.2)</f>
        <v>0.2</v>
      </c>
      <c r="O464" s="235">
        <f>IFERROR(__xludf.DUMMYFUNCTION("""COMPUTED_VALUE"""),100.0)</f>
        <v>100</v>
      </c>
      <c r="P464" s="235">
        <f>IFERROR(__xludf.DUMMYFUNCTION("""COMPUTED_VALUE"""),0.0)</f>
        <v>0</v>
      </c>
      <c r="Q464" s="235">
        <f>IFERROR(__xludf.DUMMYFUNCTION("""COMPUTED_VALUE"""),0.21)</f>
        <v>0.21</v>
      </c>
      <c r="R464" s="235">
        <f>IFERROR(__xludf.DUMMYFUNCTION("""COMPUTED_VALUE"""),1.0)</f>
        <v>1</v>
      </c>
      <c r="S464" s="235">
        <f>IFERROR(__xludf.DUMMYFUNCTION("""COMPUTED_VALUE"""),100.0)</f>
        <v>100</v>
      </c>
      <c r="T464" s="244" t="str">
        <f>IFERROR(__xludf.DUMMYFUNCTION("""COMPUTED_VALUE"""),"1.43")</f>
        <v>1.43</v>
      </c>
      <c r="U464" s="235" t="str">
        <f>IFERROR(__xludf.DUMMYFUNCTION("""COMPUTED_VALUE"""),"0.53")</f>
        <v>0.53</v>
      </c>
      <c r="V464" s="235">
        <f>IFERROR(__xludf.DUMMYFUNCTION("""COMPUTED_VALUE"""),100.0)</f>
        <v>100</v>
      </c>
      <c r="W464" s="235" t="str">
        <f>IFERROR(__xludf.DUMMYFUNCTION("""COMPUTED_VALUE"""),"4.00")</f>
        <v>4.00</v>
      </c>
      <c r="X464" s="235" t="str">
        <f>IFERROR(__xludf.DUMMYFUNCTION("""COMPUTED_VALUE"""),"1.66")</f>
        <v>1.66</v>
      </c>
      <c r="Y464" s="235"/>
      <c r="Z464" s="235" t="str">
        <f>IFERROR(__xludf.DUMMYFUNCTION("""COMPUTED_VALUE"""),"-")</f>
        <v>-</v>
      </c>
      <c r="AA464" s="235"/>
      <c r="AB464" s="235"/>
      <c r="AC464" s="235"/>
    </row>
    <row r="465">
      <c r="A465" s="235"/>
      <c r="B465" s="235" t="str">
        <f>IFERROR(__xludf.DUMMYFUNCTION("""COMPUTED_VALUE"""),"chara_dan_00001")</f>
        <v>chara_dan_00001</v>
      </c>
      <c r="C465" s="254" t="str">
        <f>IFERROR(__xludf.DUMMYFUNCTION("""COMPUTED_VALUE"""),"_general_vh")</f>
        <v>_general_vh</v>
      </c>
      <c r="D465" s="254" t="str">
        <f>IFERROR(__xludf.DUMMYFUNCTION("""COMPUTED_VALUE"""),"c_dan_00001_general_vh_Boss_Red")</f>
        <v>c_dan_00001_general_vh_Boss_Red</v>
      </c>
      <c r="E465" s="254" t="str">
        <f>IFERROR(__xludf.DUMMYFUNCTION("""COMPUTED_VALUE"""),"ダンダダン")</f>
        <v>ダンダダン</v>
      </c>
      <c r="F465" s="254" t="str">
        <f>IFERROR(__xludf.DUMMYFUNCTION("""COMPUTED_VALUE"""),"オカルン")</f>
        <v>オカルン</v>
      </c>
      <c r="G465" s="254" t="str">
        <f>IFERROR(__xludf.DUMMYFUNCTION("""COMPUTED_VALUE"""),"オカルン_general_vh")</f>
        <v>オカルン_general_vh</v>
      </c>
      <c r="H465" s="235" t="str">
        <f>IFERROR(__xludf.DUMMYFUNCTION("""COMPUTED_VALUE"""),"Boss")</f>
        <v>Boss</v>
      </c>
      <c r="I465" s="235" t="str">
        <f>IFERROR(__xludf.DUMMYFUNCTION("""COMPUTED_VALUE"""),"Defense")</f>
        <v>Defense</v>
      </c>
      <c r="J465" s="235" t="str">
        <f>IFERROR(__xludf.DUMMYFUNCTION("""COMPUTED_VALUE"""),"Red")</f>
        <v>Red</v>
      </c>
      <c r="K465" s="235">
        <f>IFERROR(__xludf.DUMMYFUNCTION("""COMPUTED_VALUE"""),10000.0)</f>
        <v>10000</v>
      </c>
      <c r="L465" s="235">
        <f>IFERROR(__xludf.DUMMYFUNCTION("""COMPUTED_VALUE"""),0.0)</f>
        <v>0</v>
      </c>
      <c r="M465" s="235">
        <f>IFERROR(__xludf.DUMMYFUNCTION("""COMPUTED_VALUE"""),31.0)</f>
        <v>31</v>
      </c>
      <c r="N465" s="235">
        <f>IFERROR(__xludf.DUMMYFUNCTION("""COMPUTED_VALUE"""),0.2)</f>
        <v>0.2</v>
      </c>
      <c r="O465" s="235">
        <f>IFERROR(__xludf.DUMMYFUNCTION("""COMPUTED_VALUE"""),100.0)</f>
        <v>100</v>
      </c>
      <c r="P465" s="235">
        <f>IFERROR(__xludf.DUMMYFUNCTION("""COMPUTED_VALUE"""),0.0)</f>
        <v>0</v>
      </c>
      <c r="Q465" s="235">
        <f>IFERROR(__xludf.DUMMYFUNCTION("""COMPUTED_VALUE"""),0.21)</f>
        <v>0.21</v>
      </c>
      <c r="R465" s="235">
        <f>IFERROR(__xludf.DUMMYFUNCTION("""COMPUTED_VALUE"""),1.0)</f>
        <v>1</v>
      </c>
      <c r="S465" s="235">
        <f>IFERROR(__xludf.DUMMYFUNCTION("""COMPUTED_VALUE"""),200.0)</f>
        <v>200</v>
      </c>
      <c r="T465" s="244" t="str">
        <f>IFERROR(__xludf.DUMMYFUNCTION("""COMPUTED_VALUE"""),"1.43")</f>
        <v>1.43</v>
      </c>
      <c r="U465" s="235" t="str">
        <f>IFERROR(__xludf.DUMMYFUNCTION("""COMPUTED_VALUE"""),"0.53")</f>
        <v>0.53</v>
      </c>
      <c r="V465" s="235">
        <f>IFERROR(__xludf.DUMMYFUNCTION("""COMPUTED_VALUE"""),100.0)</f>
        <v>100</v>
      </c>
      <c r="W465" s="235" t="str">
        <f>IFERROR(__xludf.DUMMYFUNCTION("""COMPUTED_VALUE"""),"4.00")</f>
        <v>4.00</v>
      </c>
      <c r="X465" s="235" t="str">
        <f>IFERROR(__xludf.DUMMYFUNCTION("""COMPUTED_VALUE"""),"1.66")</f>
        <v>1.66</v>
      </c>
      <c r="Y465" s="235" t="str">
        <f>IFERROR(__xludf.DUMMYFUNCTION("""COMPUTED_VALUE"""),"自己バフ(ダメージ軽減)50%軽減/15秒")</f>
        <v>自己バフ(ダメージ軽減)50%軽減/15秒</v>
      </c>
      <c r="Z465" s="235">
        <f>IFERROR(__xludf.DUMMYFUNCTION("""COMPUTED_VALUE"""),5.0)</f>
        <v>5</v>
      </c>
      <c r="AA465" s="235"/>
      <c r="AB465" s="235"/>
      <c r="AC465" s="235"/>
    </row>
    <row r="466">
      <c r="A466" s="235"/>
      <c r="B466" s="235" t="str">
        <f>IFERROR(__xludf.DUMMYFUNCTION("""COMPUTED_VALUE"""),"chara_dan_00001")</f>
        <v>chara_dan_00001</v>
      </c>
      <c r="C466" s="254" t="str">
        <f>IFERROR(__xludf.DUMMYFUNCTION("""COMPUTED_VALUE"""),"_general_vh")</f>
        <v>_general_vh</v>
      </c>
      <c r="D466" s="254" t="str">
        <f>IFERROR(__xludf.DUMMYFUNCTION("""COMPUTED_VALUE"""),"c_dan_00001_general_vh_Boss_Green")</f>
        <v>c_dan_00001_general_vh_Boss_Green</v>
      </c>
      <c r="E466" s="254" t="str">
        <f>IFERROR(__xludf.DUMMYFUNCTION("""COMPUTED_VALUE"""),"ダンダダン")</f>
        <v>ダンダダン</v>
      </c>
      <c r="F466" s="254" t="str">
        <f>IFERROR(__xludf.DUMMYFUNCTION("""COMPUTED_VALUE"""),"オカルン")</f>
        <v>オカルン</v>
      </c>
      <c r="G466" s="254" t="str">
        <f>IFERROR(__xludf.DUMMYFUNCTION("""COMPUTED_VALUE"""),"オカルン_general_vh")</f>
        <v>オカルン_general_vh</v>
      </c>
      <c r="H466" s="235" t="str">
        <f>IFERROR(__xludf.DUMMYFUNCTION("""COMPUTED_VALUE"""),"Boss")</f>
        <v>Boss</v>
      </c>
      <c r="I466" s="235" t="str">
        <f>IFERROR(__xludf.DUMMYFUNCTION("""COMPUTED_VALUE"""),"Defense")</f>
        <v>Defense</v>
      </c>
      <c r="J466" s="235" t="str">
        <f>IFERROR(__xludf.DUMMYFUNCTION("""COMPUTED_VALUE"""),"Green")</f>
        <v>Green</v>
      </c>
      <c r="K466" s="235">
        <f>IFERROR(__xludf.DUMMYFUNCTION("""COMPUTED_VALUE"""),10000.0)</f>
        <v>10000</v>
      </c>
      <c r="L466" s="235">
        <f>IFERROR(__xludf.DUMMYFUNCTION("""COMPUTED_VALUE"""),0.0)</f>
        <v>0</v>
      </c>
      <c r="M466" s="235">
        <f>IFERROR(__xludf.DUMMYFUNCTION("""COMPUTED_VALUE"""),31.0)</f>
        <v>31</v>
      </c>
      <c r="N466" s="235">
        <f>IFERROR(__xludf.DUMMYFUNCTION("""COMPUTED_VALUE"""),0.2)</f>
        <v>0.2</v>
      </c>
      <c r="O466" s="235">
        <f>IFERROR(__xludf.DUMMYFUNCTION("""COMPUTED_VALUE"""),100.0)</f>
        <v>100</v>
      </c>
      <c r="P466" s="235">
        <f>IFERROR(__xludf.DUMMYFUNCTION("""COMPUTED_VALUE"""),0.0)</f>
        <v>0</v>
      </c>
      <c r="Q466" s="235">
        <f>IFERROR(__xludf.DUMMYFUNCTION("""COMPUTED_VALUE"""),0.21)</f>
        <v>0.21</v>
      </c>
      <c r="R466" s="235">
        <f>IFERROR(__xludf.DUMMYFUNCTION("""COMPUTED_VALUE"""),1.0)</f>
        <v>1</v>
      </c>
      <c r="S466" s="235">
        <f>IFERROR(__xludf.DUMMYFUNCTION("""COMPUTED_VALUE"""),200.0)</f>
        <v>200</v>
      </c>
      <c r="T466" s="244" t="str">
        <f>IFERROR(__xludf.DUMMYFUNCTION("""COMPUTED_VALUE"""),"1.43")</f>
        <v>1.43</v>
      </c>
      <c r="U466" s="235" t="str">
        <f>IFERROR(__xludf.DUMMYFUNCTION("""COMPUTED_VALUE"""),"0.53")</f>
        <v>0.53</v>
      </c>
      <c r="V466" s="235">
        <f>IFERROR(__xludf.DUMMYFUNCTION("""COMPUTED_VALUE"""),100.0)</f>
        <v>100</v>
      </c>
      <c r="W466" s="235" t="str">
        <f>IFERROR(__xludf.DUMMYFUNCTION("""COMPUTED_VALUE"""),"4.00")</f>
        <v>4.00</v>
      </c>
      <c r="X466" s="235" t="str">
        <f>IFERROR(__xludf.DUMMYFUNCTION("""COMPUTED_VALUE"""),"1.66")</f>
        <v>1.66</v>
      </c>
      <c r="Y466" s="235" t="str">
        <f>IFERROR(__xludf.DUMMYFUNCTION("""COMPUTED_VALUE"""),"自己バフ(ダメージ軽減)50%軽減/15秒")</f>
        <v>自己バフ(ダメージ軽減)50%軽減/15秒</v>
      </c>
      <c r="Z466" s="235">
        <f>IFERROR(__xludf.DUMMYFUNCTION("""COMPUTED_VALUE"""),5.0)</f>
        <v>5</v>
      </c>
      <c r="AA466" s="235"/>
      <c r="AB466" s="235"/>
      <c r="AC466" s="235"/>
    </row>
    <row r="467">
      <c r="A467" s="235"/>
      <c r="B467" s="235" t="str">
        <f>IFERROR(__xludf.DUMMYFUNCTION("""COMPUTED_VALUE"""),"chara_dan_00002")</f>
        <v>chara_dan_00002</v>
      </c>
      <c r="C467" s="254" t="str">
        <f>IFERROR(__xludf.DUMMYFUNCTION("""COMPUTED_VALUE"""),"_general_n")</f>
        <v>_general_n</v>
      </c>
      <c r="D467" s="254" t="str">
        <f>IFERROR(__xludf.DUMMYFUNCTION("""COMPUTED_VALUE"""),"c_dan_00002_general_n_Boss_Red")</f>
        <v>c_dan_00002_general_n_Boss_Red</v>
      </c>
      <c r="E467" s="254" t="str">
        <f>IFERROR(__xludf.DUMMYFUNCTION("""COMPUTED_VALUE"""),"ダンダダン")</f>
        <v>ダンダダン</v>
      </c>
      <c r="F467" s="254" t="str">
        <f>IFERROR(__xludf.DUMMYFUNCTION("""COMPUTED_VALUE"""),"ターボババアの霊力 オカルン")</f>
        <v>ターボババアの霊力 オカルン</v>
      </c>
      <c r="G467" s="254" t="str">
        <f>IFERROR(__xludf.DUMMYFUNCTION("""COMPUTED_VALUE"""),"ターボババアの霊力 オカルン_general_n")</f>
        <v>ターボババアの霊力 オカルン_general_n</v>
      </c>
      <c r="H467" s="235" t="str">
        <f>IFERROR(__xludf.DUMMYFUNCTION("""COMPUTED_VALUE"""),"Boss")</f>
        <v>Boss</v>
      </c>
      <c r="I467" s="235" t="str">
        <f>IFERROR(__xludf.DUMMYFUNCTION("""COMPUTED_VALUE"""),"Attack")</f>
        <v>Attack</v>
      </c>
      <c r="J467" s="235" t="str">
        <f>IFERROR(__xludf.DUMMYFUNCTION("""COMPUTED_VALUE"""),"Red")</f>
        <v>Red</v>
      </c>
      <c r="K467" s="235">
        <f>IFERROR(__xludf.DUMMYFUNCTION("""COMPUTED_VALUE"""),10000.0)</f>
        <v>10000</v>
      </c>
      <c r="L467" s="235">
        <f>IFERROR(__xludf.DUMMYFUNCTION("""COMPUTED_VALUE"""),1.0)</f>
        <v>1</v>
      </c>
      <c r="M467" s="235">
        <f>IFERROR(__xludf.DUMMYFUNCTION("""COMPUTED_VALUE"""),65.0)</f>
        <v>65</v>
      </c>
      <c r="N467" s="235">
        <f>IFERROR(__xludf.DUMMYFUNCTION("""COMPUTED_VALUE"""),0.32)</f>
        <v>0.32</v>
      </c>
      <c r="O467" s="235">
        <f>IFERROR(__xludf.DUMMYFUNCTION("""COMPUTED_VALUE"""),50.0)</f>
        <v>50</v>
      </c>
      <c r="P467" s="235">
        <f>IFERROR(__xludf.DUMMYFUNCTION("""COMPUTED_VALUE"""),0.0)</f>
        <v>0</v>
      </c>
      <c r="Q467" s="235">
        <f>IFERROR(__xludf.DUMMYFUNCTION("""COMPUTED_VALUE"""),0.33)</f>
        <v>0.33</v>
      </c>
      <c r="R467" s="235">
        <f>IFERROR(__xludf.DUMMYFUNCTION("""COMPUTED_VALUE"""),100.0)</f>
        <v>100</v>
      </c>
      <c r="S467" s="235">
        <f>IFERROR(__xludf.DUMMYFUNCTION("""COMPUTED_VALUE"""),500.0)</f>
        <v>500</v>
      </c>
      <c r="T467" s="244" t="str">
        <f>IFERROR(__xludf.DUMMYFUNCTION("""COMPUTED_VALUE"""),"1.84")</f>
        <v>1.84</v>
      </c>
      <c r="U467" s="235" t="str">
        <f>IFERROR(__xludf.DUMMYFUNCTION("""COMPUTED_VALUE"""),"stop有:1回目 0.66
stop有:2回目 1.27")</f>
        <v>stop有:1回目 0.66
stop有:2回目 1.27</v>
      </c>
      <c r="V467" s="235">
        <f>IFERROR(__xludf.DUMMYFUNCTION("""COMPUTED_VALUE"""),150.0)</f>
        <v>150</v>
      </c>
      <c r="W467" s="235" t="str">
        <f>IFERROR(__xludf.DUMMYFUNCTION("""COMPUTED_VALUE"""),"5.21")</f>
        <v>5.21</v>
      </c>
      <c r="X467" s="23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467" s="235"/>
      <c r="Z467" s="235">
        <f>IFERROR(__xludf.DUMMYFUNCTION("""COMPUTED_VALUE"""),6.0)</f>
        <v>6</v>
      </c>
      <c r="AA467" s="235"/>
      <c r="AB467" s="235"/>
      <c r="AC467" s="235"/>
    </row>
    <row r="468">
      <c r="A468" s="235"/>
      <c r="B468" s="235" t="str">
        <f>IFERROR(__xludf.DUMMYFUNCTION("""COMPUTED_VALUE"""),"chara_dan_00002")</f>
        <v>chara_dan_00002</v>
      </c>
      <c r="C468" s="254" t="str">
        <f>IFERROR(__xludf.DUMMYFUNCTION("""COMPUTED_VALUE"""),"_general_h")</f>
        <v>_general_h</v>
      </c>
      <c r="D468" s="254" t="str">
        <f>IFERROR(__xludf.DUMMYFUNCTION("""COMPUTED_VALUE"""),"c_dan_00002_general_h_Boss_Red")</f>
        <v>c_dan_00002_general_h_Boss_Red</v>
      </c>
      <c r="E468" s="254" t="str">
        <f>IFERROR(__xludf.DUMMYFUNCTION("""COMPUTED_VALUE"""),"ダンダダン")</f>
        <v>ダンダダン</v>
      </c>
      <c r="F468" s="254" t="str">
        <f>IFERROR(__xludf.DUMMYFUNCTION("""COMPUTED_VALUE"""),"ターボババアの霊力 オカルン")</f>
        <v>ターボババアの霊力 オカルン</v>
      </c>
      <c r="G468" s="254" t="str">
        <f>IFERROR(__xludf.DUMMYFUNCTION("""COMPUTED_VALUE"""),"ターボババアの霊力 オカルン_general_h")</f>
        <v>ターボババアの霊力 オカルン_general_h</v>
      </c>
      <c r="H468" s="235" t="str">
        <f>IFERROR(__xludf.DUMMYFUNCTION("""COMPUTED_VALUE"""),"Boss")</f>
        <v>Boss</v>
      </c>
      <c r="I468" s="235" t="str">
        <f>IFERROR(__xludf.DUMMYFUNCTION("""COMPUTED_VALUE"""),"Attack")</f>
        <v>Attack</v>
      </c>
      <c r="J468" s="235" t="str">
        <f>IFERROR(__xludf.DUMMYFUNCTION("""COMPUTED_VALUE"""),"Red")</f>
        <v>Red</v>
      </c>
      <c r="K468" s="235">
        <f>IFERROR(__xludf.DUMMYFUNCTION("""COMPUTED_VALUE"""),10000.0)</f>
        <v>10000</v>
      </c>
      <c r="L468" s="235">
        <f>IFERROR(__xludf.DUMMYFUNCTION("""COMPUTED_VALUE"""),1.0)</f>
        <v>1</v>
      </c>
      <c r="M468" s="235">
        <f>IFERROR(__xludf.DUMMYFUNCTION("""COMPUTED_VALUE"""),65.0)</f>
        <v>65</v>
      </c>
      <c r="N468" s="235">
        <f>IFERROR(__xludf.DUMMYFUNCTION("""COMPUTED_VALUE"""),0.32)</f>
        <v>0.32</v>
      </c>
      <c r="O468" s="235">
        <f>IFERROR(__xludf.DUMMYFUNCTION("""COMPUTED_VALUE"""),100.0)</f>
        <v>100</v>
      </c>
      <c r="P468" s="235">
        <f>IFERROR(__xludf.DUMMYFUNCTION("""COMPUTED_VALUE"""),0.0)</f>
        <v>0</v>
      </c>
      <c r="Q468" s="235">
        <f>IFERROR(__xludf.DUMMYFUNCTION("""COMPUTED_VALUE"""),0.33)</f>
        <v>0.33</v>
      </c>
      <c r="R468" s="235">
        <f>IFERROR(__xludf.DUMMYFUNCTION("""COMPUTED_VALUE"""),100.0)</f>
        <v>100</v>
      </c>
      <c r="S468" s="235">
        <f>IFERROR(__xludf.DUMMYFUNCTION("""COMPUTED_VALUE"""),200.0)</f>
        <v>200</v>
      </c>
      <c r="T468" s="244" t="str">
        <f>IFERROR(__xludf.DUMMYFUNCTION("""COMPUTED_VALUE"""),"1.84")</f>
        <v>1.84</v>
      </c>
      <c r="U468" s="235" t="str">
        <f>IFERROR(__xludf.DUMMYFUNCTION("""COMPUTED_VALUE"""),"stop有:1回目 0.66
stop有:2回目 1.27")</f>
        <v>stop有:1回目 0.66
stop有:2回目 1.27</v>
      </c>
      <c r="V468" s="235">
        <f>IFERROR(__xludf.DUMMYFUNCTION("""COMPUTED_VALUE"""),150.0)</f>
        <v>150</v>
      </c>
      <c r="W468" s="235" t="str">
        <f>IFERROR(__xludf.DUMMYFUNCTION("""COMPUTED_VALUE"""),"5.21")</f>
        <v>5.21</v>
      </c>
      <c r="X468" s="23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468" s="235"/>
      <c r="Z468" s="235">
        <f>IFERROR(__xludf.DUMMYFUNCTION("""COMPUTED_VALUE"""),5.0)</f>
        <v>5</v>
      </c>
      <c r="AA468" s="235"/>
      <c r="AB468" s="235"/>
      <c r="AC468" s="235"/>
    </row>
    <row r="469">
      <c r="A469" s="235"/>
      <c r="B469" s="235" t="str">
        <f>IFERROR(__xludf.DUMMYFUNCTION("""COMPUTED_VALUE"""),"chara_dan_00101")</f>
        <v>chara_dan_00101</v>
      </c>
      <c r="C469" s="254" t="str">
        <f>IFERROR(__xludf.DUMMYFUNCTION("""COMPUTED_VALUE"""),"_general_n")</f>
        <v>_general_n</v>
      </c>
      <c r="D469" s="254" t="str">
        <f>IFERROR(__xludf.DUMMYFUNCTION("""COMPUTED_VALUE"""),"c_dan_00101_general_n_Boss_Red")</f>
        <v>c_dan_00101_general_n_Boss_Red</v>
      </c>
      <c r="E469" s="254" t="str">
        <f>IFERROR(__xludf.DUMMYFUNCTION("""COMPUTED_VALUE"""),"ダンダダン")</f>
        <v>ダンダダン</v>
      </c>
      <c r="F469" s="254" t="str">
        <f>IFERROR(__xludf.DUMMYFUNCTION("""COMPUTED_VALUE"""),"モモ")</f>
        <v>モモ</v>
      </c>
      <c r="G469" s="254" t="str">
        <f>IFERROR(__xludf.DUMMYFUNCTION("""COMPUTED_VALUE"""),"モモ_general_n")</f>
        <v>モモ_general_n</v>
      </c>
      <c r="H469" s="235" t="str">
        <f>IFERROR(__xludf.DUMMYFUNCTION("""COMPUTED_VALUE"""),"Boss")</f>
        <v>Boss</v>
      </c>
      <c r="I469" s="235" t="str">
        <f>IFERROR(__xludf.DUMMYFUNCTION("""COMPUTED_VALUE"""),"Attack")</f>
        <v>Attack</v>
      </c>
      <c r="J469" s="235" t="str">
        <f>IFERROR(__xludf.DUMMYFUNCTION("""COMPUTED_VALUE"""),"Red")</f>
        <v>Red</v>
      </c>
      <c r="K469" s="235">
        <f>IFERROR(__xludf.DUMMYFUNCTION("""COMPUTED_VALUE"""),10000.0)</f>
        <v>10000</v>
      </c>
      <c r="L469" s="235">
        <f>IFERROR(__xludf.DUMMYFUNCTION("""COMPUTED_VALUE"""),2.0)</f>
        <v>2</v>
      </c>
      <c r="M469" s="235">
        <f>IFERROR(__xludf.DUMMYFUNCTION("""COMPUTED_VALUE"""),40.0)</f>
        <v>40</v>
      </c>
      <c r="N469" s="235">
        <f>IFERROR(__xludf.DUMMYFUNCTION("""COMPUTED_VALUE"""),0.39)</f>
        <v>0.39</v>
      </c>
      <c r="O469" s="235">
        <f>IFERROR(__xludf.DUMMYFUNCTION("""COMPUTED_VALUE"""),50.0)</f>
        <v>50</v>
      </c>
      <c r="P469" s="235">
        <f>IFERROR(__xludf.DUMMYFUNCTION("""COMPUTED_VALUE"""),0.0)</f>
        <v>0</v>
      </c>
      <c r="Q469" s="235">
        <f>IFERROR(__xludf.DUMMYFUNCTION("""COMPUTED_VALUE"""),0.42)</f>
        <v>0.42</v>
      </c>
      <c r="R469" s="235">
        <f>IFERROR(__xludf.DUMMYFUNCTION("""COMPUTED_VALUE"""),1.0)</f>
        <v>1</v>
      </c>
      <c r="S469" s="235">
        <f>IFERROR(__xludf.DUMMYFUNCTION("""COMPUTED_VALUE"""),500.0)</f>
        <v>500</v>
      </c>
      <c r="T469" s="244" t="str">
        <f>IFERROR(__xludf.DUMMYFUNCTION("""COMPUTED_VALUE"""),"1.00")</f>
        <v>1.00</v>
      </c>
      <c r="U469" s="235" t="str">
        <f>IFERROR(__xludf.DUMMYFUNCTION("""COMPUTED_VALUE"""),"0.50")</f>
        <v>0.50</v>
      </c>
      <c r="V469" s="235">
        <f>IFERROR(__xludf.DUMMYFUNCTION("""COMPUTED_VALUE"""),100.0)</f>
        <v>100</v>
      </c>
      <c r="W469" s="235" t="str">
        <f>IFERROR(__xludf.DUMMYFUNCTION("""COMPUTED_VALUE"""),"2.00")</f>
        <v>2.00</v>
      </c>
      <c r="X469" s="235" t="str">
        <f>IFERROR(__xludf.DUMMYFUNCTION("""COMPUTED_VALUE"""),"1.00")</f>
        <v>1.00</v>
      </c>
      <c r="Y469" s="235"/>
      <c r="Z469" s="235">
        <f>IFERROR(__xludf.DUMMYFUNCTION("""COMPUTED_VALUE"""),6.0)</f>
        <v>6</v>
      </c>
      <c r="AA469" s="235"/>
      <c r="AB469" s="235"/>
      <c r="AC469" s="235"/>
    </row>
    <row r="470">
      <c r="A470" s="235"/>
      <c r="B470" s="235" t="str">
        <f>IFERROR(__xludf.DUMMYFUNCTION("""COMPUTED_VALUE"""),"chara_dan_00101")</f>
        <v>chara_dan_00101</v>
      </c>
      <c r="C470" s="254" t="str">
        <f>IFERROR(__xludf.DUMMYFUNCTION("""COMPUTED_VALUE"""),"_general_h")</f>
        <v>_general_h</v>
      </c>
      <c r="D470" s="254" t="str">
        <f>IFERROR(__xludf.DUMMYFUNCTION("""COMPUTED_VALUE"""),"c_dan_00101_general_h_Boss_Red")</f>
        <v>c_dan_00101_general_h_Boss_Red</v>
      </c>
      <c r="E470" s="254" t="str">
        <f>IFERROR(__xludf.DUMMYFUNCTION("""COMPUTED_VALUE"""),"ダンダダン")</f>
        <v>ダンダダン</v>
      </c>
      <c r="F470" s="254" t="str">
        <f>IFERROR(__xludf.DUMMYFUNCTION("""COMPUTED_VALUE"""),"モモ")</f>
        <v>モモ</v>
      </c>
      <c r="G470" s="254" t="str">
        <f>IFERROR(__xludf.DUMMYFUNCTION("""COMPUTED_VALUE"""),"モモ_general_h")</f>
        <v>モモ_general_h</v>
      </c>
      <c r="H470" s="235" t="str">
        <f>IFERROR(__xludf.DUMMYFUNCTION("""COMPUTED_VALUE"""),"Boss")</f>
        <v>Boss</v>
      </c>
      <c r="I470" s="235" t="str">
        <f>IFERROR(__xludf.DUMMYFUNCTION("""COMPUTED_VALUE"""),"Attack")</f>
        <v>Attack</v>
      </c>
      <c r="J470" s="235" t="str">
        <f>IFERROR(__xludf.DUMMYFUNCTION("""COMPUTED_VALUE"""),"Red")</f>
        <v>Red</v>
      </c>
      <c r="K470" s="235">
        <f>IFERROR(__xludf.DUMMYFUNCTION("""COMPUTED_VALUE"""),10000.0)</f>
        <v>10000</v>
      </c>
      <c r="L470" s="235">
        <f>IFERROR(__xludf.DUMMYFUNCTION("""COMPUTED_VALUE"""),2.0)</f>
        <v>2</v>
      </c>
      <c r="M470" s="235">
        <f>IFERROR(__xludf.DUMMYFUNCTION("""COMPUTED_VALUE"""),40.0)</f>
        <v>40</v>
      </c>
      <c r="N470" s="235">
        <f>IFERROR(__xludf.DUMMYFUNCTION("""COMPUTED_VALUE"""),0.39)</f>
        <v>0.39</v>
      </c>
      <c r="O470" s="235">
        <f>IFERROR(__xludf.DUMMYFUNCTION("""COMPUTED_VALUE"""),100.0)</f>
        <v>100</v>
      </c>
      <c r="P470" s="235">
        <f>IFERROR(__xludf.DUMMYFUNCTION("""COMPUTED_VALUE"""),0.0)</f>
        <v>0</v>
      </c>
      <c r="Q470" s="235">
        <f>IFERROR(__xludf.DUMMYFUNCTION("""COMPUTED_VALUE"""),0.42)</f>
        <v>0.42</v>
      </c>
      <c r="R470" s="235">
        <f>IFERROR(__xludf.DUMMYFUNCTION("""COMPUTED_VALUE"""),1.0)</f>
        <v>1</v>
      </c>
      <c r="S470" s="235">
        <f>IFERROR(__xludf.DUMMYFUNCTION("""COMPUTED_VALUE"""),200.0)</f>
        <v>200</v>
      </c>
      <c r="T470" s="244" t="str">
        <f>IFERROR(__xludf.DUMMYFUNCTION("""COMPUTED_VALUE"""),"1.00")</f>
        <v>1.00</v>
      </c>
      <c r="U470" s="235" t="str">
        <f>IFERROR(__xludf.DUMMYFUNCTION("""COMPUTED_VALUE"""),"0.50")</f>
        <v>0.50</v>
      </c>
      <c r="V470" s="235">
        <f>IFERROR(__xludf.DUMMYFUNCTION("""COMPUTED_VALUE"""),100.0)</f>
        <v>100</v>
      </c>
      <c r="W470" s="235" t="str">
        <f>IFERROR(__xludf.DUMMYFUNCTION("""COMPUTED_VALUE"""),"2.00")</f>
        <v>2.00</v>
      </c>
      <c r="X470" s="235" t="str">
        <f>IFERROR(__xludf.DUMMYFUNCTION("""COMPUTED_VALUE"""),"1.00")</f>
        <v>1.00</v>
      </c>
      <c r="Y470" s="235" t="str">
        <f>IFERROR(__xludf.DUMMYFUNCTION("""COMPUTED_VALUE"""),"中範囲攻撃+小ノックバック")</f>
        <v>中範囲攻撃+小ノックバック</v>
      </c>
      <c r="Z470" s="235">
        <f>IFERROR(__xludf.DUMMYFUNCTION("""COMPUTED_VALUE"""),5.0)</f>
        <v>5</v>
      </c>
      <c r="AA470" s="235"/>
      <c r="AB470" s="235"/>
      <c r="AC470" s="235"/>
    </row>
    <row r="471">
      <c r="A471" s="235"/>
      <c r="B471" s="235" t="str">
        <f>IFERROR(__xludf.DUMMYFUNCTION("""COMPUTED_VALUE"""),"enemy_glo_00001")</f>
        <v>enemy_glo_00001</v>
      </c>
      <c r="C471" s="254" t="str">
        <f>IFERROR(__xludf.DUMMYFUNCTION("""COMPUTED_VALUE"""),"_general_vh")</f>
        <v>_general_vh</v>
      </c>
      <c r="D471" s="254" t="str">
        <f>IFERROR(__xludf.DUMMYFUNCTION("""COMPUTED_VALUE"""),"e_glo_00001_general_vh_Boss_Red")</f>
        <v>e_glo_00001_general_vh_Boss_Red</v>
      </c>
      <c r="E471" s="254" t="str">
        <f>IFERROR(__xludf.DUMMYFUNCTION("""COMPUTED_VALUE"""),"GLOW")</f>
        <v>GLOW</v>
      </c>
      <c r="F471" s="254" t="str">
        <f>IFERROR(__xludf.DUMMYFUNCTION("""COMPUTED_VALUE"""),"ファントム")</f>
        <v>ファントム</v>
      </c>
      <c r="G471" s="254" t="str">
        <f>IFERROR(__xludf.DUMMYFUNCTION("""COMPUTED_VALUE"""),"ファントム_general_vh")</f>
        <v>ファントム_general_vh</v>
      </c>
      <c r="H471" s="235" t="str">
        <f>IFERROR(__xludf.DUMMYFUNCTION("""COMPUTED_VALUE"""),"Boss")</f>
        <v>Boss</v>
      </c>
      <c r="I471" s="235" t="str">
        <f>IFERROR(__xludf.DUMMYFUNCTION("""COMPUTED_VALUE"""),"Technical")</f>
        <v>Technical</v>
      </c>
      <c r="J471" s="235" t="str">
        <f>IFERROR(__xludf.DUMMYFUNCTION("""COMPUTED_VALUE"""),"Red")</f>
        <v>Red</v>
      </c>
      <c r="K471" s="235">
        <f>IFERROR(__xludf.DUMMYFUNCTION("""COMPUTED_VALUE"""),10000.0)</f>
        <v>10000</v>
      </c>
      <c r="L471" s="235">
        <f>IFERROR(__xludf.DUMMYFUNCTION("""COMPUTED_VALUE"""),1.0)</f>
        <v>1</v>
      </c>
      <c r="M471" s="235">
        <f>IFERROR(__xludf.DUMMYFUNCTION("""COMPUTED_VALUE"""),40.0)</f>
        <v>40</v>
      </c>
      <c r="N471" s="235">
        <f>IFERROR(__xludf.DUMMYFUNCTION("""COMPUTED_VALUE"""),0.2)</f>
        <v>0.2</v>
      </c>
      <c r="O471" s="235">
        <f>IFERROR(__xludf.DUMMYFUNCTION("""COMPUTED_VALUE"""),100.0)</f>
        <v>100</v>
      </c>
      <c r="P471" s="235">
        <f>IFERROR(__xludf.DUMMYFUNCTION("""COMPUTED_VALUE"""),0.0)</f>
        <v>0</v>
      </c>
      <c r="Q471" s="235">
        <f>IFERROR(__xludf.DUMMYFUNCTION("""COMPUTED_VALUE"""),0.21)</f>
        <v>0.21</v>
      </c>
      <c r="R471" s="235">
        <f>IFERROR(__xludf.DUMMYFUNCTION("""COMPUTED_VALUE"""),1.0)</f>
        <v>1</v>
      </c>
      <c r="S471" s="235">
        <f>IFERROR(__xludf.DUMMYFUNCTION("""COMPUTED_VALUE"""),100.0)</f>
        <v>100</v>
      </c>
      <c r="T471" s="244" t="str">
        <f>IFERROR(__xludf.DUMMYFUNCTION("""COMPUTED_VALUE"""),"1.00")</f>
        <v>1.00</v>
      </c>
      <c r="U471" s="235" t="str">
        <f>IFERROR(__xludf.DUMMYFUNCTION("""COMPUTED_VALUE"""),"0.50")</f>
        <v>0.50</v>
      </c>
      <c r="V471" s="235">
        <f>IFERROR(__xludf.DUMMYFUNCTION("""COMPUTED_VALUE"""),100.0)</f>
        <v>100</v>
      </c>
      <c r="W471" s="235"/>
      <c r="X471" s="235"/>
      <c r="Y471" s="235"/>
      <c r="Z471" s="235" t="str">
        <f>IFERROR(__xludf.DUMMYFUNCTION("""COMPUTED_VALUE"""),"-")</f>
        <v>-</v>
      </c>
      <c r="AA471" s="235"/>
      <c r="AB471" s="235"/>
      <c r="AC471" s="235" t="str">
        <f>IFERROR(__xludf.DUMMYFUNCTION("""COMPUTED_VALUE"""),"通常攻撃時20%の確率で火傷")</f>
        <v>通常攻撃時20%の確率で火傷</v>
      </c>
    </row>
    <row r="472">
      <c r="A472" s="235"/>
      <c r="B472" s="235"/>
      <c r="C472" s="254"/>
      <c r="D472" s="254" t="str">
        <f>IFERROR(__xludf.DUMMYFUNCTION("""COMPUTED_VALUE"""),"___")</f>
        <v>___</v>
      </c>
      <c r="E472" s="254" t="str">
        <f>IFERROR(__xludf.DUMMYFUNCTION("""COMPUTED_VALUE"""),"none")</f>
        <v>none</v>
      </c>
      <c r="F472" s="254" t="str">
        <f>IFERROR(__xludf.DUMMYFUNCTION("""COMPUTED_VALUE"""),"none")</f>
        <v>none</v>
      </c>
      <c r="G472" s="254" t="str">
        <f>IFERROR(__xludf.DUMMYFUNCTION("""COMPUTED_VALUE"""),"none")</f>
        <v>none</v>
      </c>
      <c r="H472" s="235"/>
      <c r="I472" s="235" t="str">
        <f>IFERROR(__xludf.DUMMYFUNCTION("""COMPUTED_VALUE"""),"none")</f>
        <v>none</v>
      </c>
      <c r="J472" s="235"/>
      <c r="K472" s="235"/>
      <c r="L472" s="235"/>
      <c r="M472" s="235"/>
      <c r="N472" s="235"/>
      <c r="O472" s="235"/>
      <c r="P472" s="235"/>
      <c r="Q472" s="235"/>
      <c r="R472" s="235"/>
      <c r="S472" s="235"/>
      <c r="T472" s="244" t="str">
        <f>IFERROR(__xludf.DUMMYFUNCTION("""COMPUTED_VALUE"""),"none")</f>
        <v>none</v>
      </c>
      <c r="U472" s="235" t="str">
        <f>IFERROR(__xludf.DUMMYFUNCTION("""COMPUTED_VALUE"""),"none")</f>
        <v>none</v>
      </c>
      <c r="V472" s="235"/>
      <c r="W472" s="235" t="str">
        <f>IFERROR(__xludf.DUMMYFUNCTION("""COMPUTED_VALUE"""),"none")</f>
        <v>none</v>
      </c>
      <c r="X472" s="235" t="str">
        <f>IFERROR(__xludf.DUMMYFUNCTION("""COMPUTED_VALUE"""),"none")</f>
        <v>none</v>
      </c>
      <c r="Y472" s="235"/>
      <c r="Z472" s="235" t="str">
        <f>IFERROR(__xludf.DUMMYFUNCTION("""COMPUTED_VALUE"""),"-")</f>
        <v>-</v>
      </c>
      <c r="AA472" s="235"/>
      <c r="AB472" s="235"/>
      <c r="AC472" s="235"/>
    </row>
    <row r="473">
      <c r="A473" s="235"/>
      <c r="B473" s="235" t="str">
        <f>IFERROR(__xludf.DUMMYFUNCTION("""COMPUTED_VALUE"""),"chara_jig_00001")</f>
        <v>chara_jig_00001</v>
      </c>
      <c r="C473" s="254" t="str">
        <f>IFERROR(__xludf.DUMMYFUNCTION("""COMPUTED_VALUE"""),"_mainquest")</f>
        <v>_mainquest</v>
      </c>
      <c r="D473" s="254" t="str">
        <f>IFERROR(__xludf.DUMMYFUNCTION("""COMPUTED_VALUE"""),"c_jig_00001_mainquest_Boss_Red")</f>
        <v>c_jig_00001_mainquest_Boss_Red</v>
      </c>
      <c r="E473" s="254" t="str">
        <f>IFERROR(__xludf.DUMMYFUNCTION("""COMPUTED_VALUE"""),"地獄楽")</f>
        <v>地獄楽</v>
      </c>
      <c r="F473" s="254" t="str">
        <f>IFERROR(__xludf.DUMMYFUNCTION("""COMPUTED_VALUE"""),"がらんの画眉丸")</f>
        <v>がらんの画眉丸</v>
      </c>
      <c r="G473" s="254" t="str">
        <f>IFERROR(__xludf.DUMMYFUNCTION("""COMPUTED_VALUE"""),"がらんの画眉丸_mainquest")</f>
        <v>がらんの画眉丸_mainquest</v>
      </c>
      <c r="H473" s="235" t="str">
        <f>IFERROR(__xludf.DUMMYFUNCTION("""COMPUTED_VALUE"""),"Boss")</f>
        <v>Boss</v>
      </c>
      <c r="I473" s="235" t="str">
        <f>IFERROR(__xludf.DUMMYFUNCTION("""COMPUTED_VALUE"""),"Technical")</f>
        <v>Technical</v>
      </c>
      <c r="J473" s="235" t="str">
        <f>IFERROR(__xludf.DUMMYFUNCTION("""COMPUTED_VALUE"""),"Red")</f>
        <v>Red</v>
      </c>
      <c r="K473" s="235">
        <f>IFERROR(__xludf.DUMMYFUNCTION("""COMPUTED_VALUE"""),5000.0)</f>
        <v>5000</v>
      </c>
      <c r="L473" s="235">
        <f>IFERROR(__xludf.DUMMYFUNCTION("""COMPUTED_VALUE"""),2.0)</f>
        <v>2</v>
      </c>
      <c r="M473" s="235">
        <f>IFERROR(__xludf.DUMMYFUNCTION("""COMPUTED_VALUE"""),41.0)</f>
        <v>41</v>
      </c>
      <c r="N473" s="235">
        <f>IFERROR(__xludf.DUMMYFUNCTION("""COMPUTED_VALUE"""),0.24)</f>
        <v>0.24</v>
      </c>
      <c r="O473" s="235">
        <f>IFERROR(__xludf.DUMMYFUNCTION("""COMPUTED_VALUE"""),100.0)</f>
        <v>100</v>
      </c>
      <c r="P473" s="235">
        <f>IFERROR(__xludf.DUMMYFUNCTION("""COMPUTED_VALUE"""),0.0)</f>
        <v>0</v>
      </c>
      <c r="Q473" s="235">
        <f>IFERROR(__xludf.DUMMYFUNCTION("""COMPUTED_VALUE"""),0.25)</f>
        <v>0.25</v>
      </c>
      <c r="R473" s="235">
        <f>IFERROR(__xludf.DUMMYFUNCTION("""COMPUTED_VALUE"""),1.0)</f>
        <v>1</v>
      </c>
      <c r="S473" s="235">
        <f>IFERROR(__xludf.DUMMYFUNCTION("""COMPUTED_VALUE"""),400.0)</f>
        <v>400</v>
      </c>
      <c r="T473" s="244" t="str">
        <f>IFERROR(__xludf.DUMMYFUNCTION("""COMPUTED_VALUE"""),"1.17")</f>
        <v>1.17</v>
      </c>
      <c r="U473" s="235" t="str">
        <f>IFERROR(__xludf.DUMMYFUNCTION("""COMPUTED_VALUE"""),"stop有:1回目0.20")</f>
        <v>stop有:1回目0.20</v>
      </c>
      <c r="V473" s="235">
        <f>IFERROR(__xludf.DUMMYFUNCTION("""COMPUTED_VALUE"""),80.0)</f>
        <v>80</v>
      </c>
      <c r="W473" s="235" t="str">
        <f>IFERROR(__xludf.DUMMYFUNCTION("""COMPUTED_VALUE"""),"2.30")</f>
        <v>2.30</v>
      </c>
      <c r="X473" s="235" t="str">
        <f>IFERROR(__xludf.DUMMYFUNCTION("""COMPUTED_VALUE"""),"stop有:1回目 0.08
stop有:2回目 0.90
stop有:3回目 1.50")</f>
        <v>stop有:1回目 0.08
stop有:2回目 0.90
stop有:3回目 1.50</v>
      </c>
      <c r="Y473" s="235" t="str">
        <f>IFERROR(__xludf.DUMMYFUNCTION("""COMPUTED_VALUE"""),"小範囲に火傷")</f>
        <v>小範囲に火傷</v>
      </c>
      <c r="Z473" s="235">
        <f>IFERROR(__xludf.DUMMYFUNCTION("""COMPUTED_VALUE"""),5.0)</f>
        <v>5</v>
      </c>
      <c r="AA473" s="235"/>
      <c r="AB473" s="235" t="str">
        <f>IFERROR(__xludf.DUMMYFUNCTION("""COMPUTED_VALUE"""),"dageki_1")</f>
        <v>dageki_1</v>
      </c>
      <c r="AC473" s="235"/>
    </row>
    <row r="474">
      <c r="A474" s="235"/>
      <c r="B474" s="235" t="str">
        <f>IFERROR(__xludf.DUMMYFUNCTION("""COMPUTED_VALUE"""),"chara_jig_00101")</f>
        <v>chara_jig_00101</v>
      </c>
      <c r="C474" s="254" t="str">
        <f>IFERROR(__xludf.DUMMYFUNCTION("""COMPUTED_VALUE"""),"_mainquest")</f>
        <v>_mainquest</v>
      </c>
      <c r="D474" s="254" t="str">
        <f>IFERROR(__xludf.DUMMYFUNCTION("""COMPUTED_VALUE"""),"c_jig_00101_mainquest_Boss_Green")</f>
        <v>c_jig_00101_mainquest_Boss_Green</v>
      </c>
      <c r="E474" s="254" t="str">
        <f>IFERROR(__xludf.DUMMYFUNCTION("""COMPUTED_VALUE"""),"地獄楽")</f>
        <v>地獄楽</v>
      </c>
      <c r="F474" s="254" t="str">
        <f>IFERROR(__xludf.DUMMYFUNCTION("""COMPUTED_VALUE"""),"山田浅ェ門 佐切")</f>
        <v>山田浅ェ門 佐切</v>
      </c>
      <c r="G474" s="254" t="str">
        <f>IFERROR(__xludf.DUMMYFUNCTION("""COMPUTED_VALUE"""),"山田浅ェ門 佐切_mainquest")</f>
        <v>山田浅ェ門 佐切_mainquest</v>
      </c>
      <c r="H474" s="235" t="str">
        <f>IFERROR(__xludf.DUMMYFUNCTION("""COMPUTED_VALUE"""),"Boss")</f>
        <v>Boss</v>
      </c>
      <c r="I474" s="235" t="str">
        <f>IFERROR(__xludf.DUMMYFUNCTION("""COMPUTED_VALUE"""),"Attack")</f>
        <v>Attack</v>
      </c>
      <c r="J474" s="235" t="str">
        <f>IFERROR(__xludf.DUMMYFUNCTION("""COMPUTED_VALUE"""),"Green")</f>
        <v>Green</v>
      </c>
      <c r="K474" s="235">
        <f>IFERROR(__xludf.DUMMYFUNCTION("""COMPUTED_VALUE"""),5000.0)</f>
        <v>5000</v>
      </c>
      <c r="L474" s="235">
        <f>IFERROR(__xludf.DUMMYFUNCTION("""COMPUTED_VALUE"""),3.0)</f>
        <v>3</v>
      </c>
      <c r="M474" s="235">
        <f>IFERROR(__xludf.DUMMYFUNCTION("""COMPUTED_VALUE"""),34.0)</f>
        <v>34</v>
      </c>
      <c r="N474" s="235">
        <f>IFERROR(__xludf.DUMMYFUNCTION("""COMPUTED_VALUE"""),0.22)</f>
        <v>0.22</v>
      </c>
      <c r="O474" s="235">
        <f>IFERROR(__xludf.DUMMYFUNCTION("""COMPUTED_VALUE"""),200.0)</f>
        <v>200</v>
      </c>
      <c r="P474" s="235">
        <f>IFERROR(__xludf.DUMMYFUNCTION("""COMPUTED_VALUE"""),0.0)</f>
        <v>0</v>
      </c>
      <c r="Q474" s="235">
        <f>IFERROR(__xludf.DUMMYFUNCTION("""COMPUTED_VALUE"""),0.23)</f>
        <v>0.23</v>
      </c>
      <c r="R474" s="235">
        <f>IFERROR(__xludf.DUMMYFUNCTION("""COMPUTED_VALUE"""),1.0)</f>
        <v>1</v>
      </c>
      <c r="S474" s="235">
        <f>IFERROR(__xludf.DUMMYFUNCTION("""COMPUTED_VALUE"""),300.0)</f>
        <v>300</v>
      </c>
      <c r="T474" s="244" t="str">
        <f>IFERROR(__xludf.DUMMYFUNCTION("""COMPUTED_VALUE"""),"1.5")</f>
        <v>1.5</v>
      </c>
      <c r="U474" s="235" t="str">
        <f>IFERROR(__xludf.DUMMYFUNCTION("""COMPUTED_VALUE"""),"0.50")</f>
        <v>0.50</v>
      </c>
      <c r="V474" s="235">
        <f>IFERROR(__xludf.DUMMYFUNCTION("""COMPUTED_VALUE"""),75.0)</f>
        <v>75</v>
      </c>
      <c r="W474" s="235" t="str">
        <f>IFERROR(__xludf.DUMMYFUNCTION("""COMPUTED_VALUE"""),"2.50")</f>
        <v>2.50</v>
      </c>
      <c r="X474" s="235" t="str">
        <f>IFERROR(__xludf.DUMMYFUNCTION("""COMPUTED_VALUE"""),"1.20")</f>
        <v>1.20</v>
      </c>
      <c r="Y474" s="235" t="str">
        <f>IFERROR(__xludf.DUMMYFUNCTION("""COMPUTED_VALUE"""),"中範囲攻撃")</f>
        <v>中範囲攻撃</v>
      </c>
      <c r="Z474" s="235">
        <f>IFERROR(__xludf.DUMMYFUNCTION("""COMPUTED_VALUE"""),6.0)</f>
        <v>6</v>
      </c>
      <c r="AA474" s="235"/>
      <c r="AB474" s="235" t="str">
        <f>IFERROR(__xludf.DUMMYFUNCTION("""COMPUTED_VALUE"""),"zangeki_1")</f>
        <v>zangeki_1</v>
      </c>
      <c r="AC474" s="235"/>
    </row>
    <row r="475">
      <c r="A475" s="235"/>
      <c r="B475" s="235" t="str">
        <f>IFERROR(__xludf.DUMMYFUNCTION("""COMPUTED_VALUE"""),"chara_jig_00101")</f>
        <v>chara_jig_00101</v>
      </c>
      <c r="C475" s="254" t="str">
        <f>IFERROR(__xludf.DUMMYFUNCTION("""COMPUTED_VALUE"""),"_mainquest")</f>
        <v>_mainquest</v>
      </c>
      <c r="D475" s="254" t="str">
        <f>IFERROR(__xludf.DUMMYFUNCTION("""COMPUTED_VALUE"""),"c_jig_00101_mainquest_Normal_Green")</f>
        <v>c_jig_00101_mainquest_Normal_Green</v>
      </c>
      <c r="E475" s="254" t="str">
        <f>IFERROR(__xludf.DUMMYFUNCTION("""COMPUTED_VALUE"""),"地獄楽")</f>
        <v>地獄楽</v>
      </c>
      <c r="F475" s="254" t="str">
        <f>IFERROR(__xludf.DUMMYFUNCTION("""COMPUTED_VALUE"""),"山田浅ェ門 佐切")</f>
        <v>山田浅ェ門 佐切</v>
      </c>
      <c r="G475" s="254" t="str">
        <f>IFERROR(__xludf.DUMMYFUNCTION("""COMPUTED_VALUE"""),"山田浅ェ門 佐切_mainquest")</f>
        <v>山田浅ェ門 佐切_mainquest</v>
      </c>
      <c r="H475" s="235" t="str">
        <f>IFERROR(__xludf.DUMMYFUNCTION("""COMPUTED_VALUE"""),"Normal")</f>
        <v>Normal</v>
      </c>
      <c r="I475" s="235" t="str">
        <f>IFERROR(__xludf.DUMMYFUNCTION("""COMPUTED_VALUE"""),"Attack")</f>
        <v>Attack</v>
      </c>
      <c r="J475" s="235" t="str">
        <f>IFERROR(__xludf.DUMMYFUNCTION("""COMPUTED_VALUE"""),"Green")</f>
        <v>Green</v>
      </c>
      <c r="K475" s="235">
        <f>IFERROR(__xludf.DUMMYFUNCTION("""COMPUTED_VALUE"""),5000.0)</f>
        <v>5000</v>
      </c>
      <c r="L475" s="235">
        <f>IFERROR(__xludf.DUMMYFUNCTION("""COMPUTED_VALUE"""),3.0)</f>
        <v>3</v>
      </c>
      <c r="M475" s="235">
        <f>IFERROR(__xludf.DUMMYFUNCTION("""COMPUTED_VALUE"""),34.0)</f>
        <v>34</v>
      </c>
      <c r="N475" s="235">
        <f>IFERROR(__xludf.DUMMYFUNCTION("""COMPUTED_VALUE"""),0.22)</f>
        <v>0.22</v>
      </c>
      <c r="O475" s="235">
        <f>IFERROR(__xludf.DUMMYFUNCTION("""COMPUTED_VALUE"""),200.0)</f>
        <v>200</v>
      </c>
      <c r="P475" s="235">
        <f>IFERROR(__xludf.DUMMYFUNCTION("""COMPUTED_VALUE"""),0.0)</f>
        <v>0</v>
      </c>
      <c r="Q475" s="235">
        <f>IFERROR(__xludf.DUMMYFUNCTION("""COMPUTED_VALUE"""),0.23)</f>
        <v>0.23</v>
      </c>
      <c r="R475" s="235">
        <f>IFERROR(__xludf.DUMMYFUNCTION("""COMPUTED_VALUE"""),1.0)</f>
        <v>1</v>
      </c>
      <c r="S475" s="235">
        <f>IFERROR(__xludf.DUMMYFUNCTION("""COMPUTED_VALUE"""),500.0)</f>
        <v>500</v>
      </c>
      <c r="T475" s="244" t="str">
        <f>IFERROR(__xludf.DUMMYFUNCTION("""COMPUTED_VALUE"""),"1.5")</f>
        <v>1.5</v>
      </c>
      <c r="U475" s="235" t="str">
        <f>IFERROR(__xludf.DUMMYFUNCTION("""COMPUTED_VALUE"""),"0.50")</f>
        <v>0.50</v>
      </c>
      <c r="V475" s="235">
        <f>IFERROR(__xludf.DUMMYFUNCTION("""COMPUTED_VALUE"""),75.0)</f>
        <v>75</v>
      </c>
      <c r="W475" s="235" t="str">
        <f>IFERROR(__xludf.DUMMYFUNCTION("""COMPUTED_VALUE"""),"2.50")</f>
        <v>2.50</v>
      </c>
      <c r="X475" s="235" t="str">
        <f>IFERROR(__xludf.DUMMYFUNCTION("""COMPUTED_VALUE"""),"1.20")</f>
        <v>1.20</v>
      </c>
      <c r="Y475" s="235" t="str">
        <f>IFERROR(__xludf.DUMMYFUNCTION("""COMPUTED_VALUE"""),"中範囲攻撃")</f>
        <v>中範囲攻撃</v>
      </c>
      <c r="Z475" s="235">
        <f>IFERROR(__xludf.DUMMYFUNCTION("""COMPUTED_VALUE"""),6.0)</f>
        <v>6</v>
      </c>
      <c r="AA475" s="235"/>
      <c r="AB475" s="235" t="str">
        <f>IFERROR(__xludf.DUMMYFUNCTION("""COMPUTED_VALUE"""),"zangeki_1")</f>
        <v>zangeki_1</v>
      </c>
      <c r="AC475" s="235"/>
    </row>
    <row r="476">
      <c r="A476" s="235"/>
      <c r="B476" s="235" t="str">
        <f>IFERROR(__xludf.DUMMYFUNCTION("""COMPUTED_VALUE"""),"chara_jig_00301")</f>
        <v>chara_jig_00301</v>
      </c>
      <c r="C476" s="254" t="str">
        <f>IFERROR(__xludf.DUMMYFUNCTION("""COMPUTED_VALUE"""),"_mainquest")</f>
        <v>_mainquest</v>
      </c>
      <c r="D476" s="254" t="str">
        <f>IFERROR(__xludf.DUMMYFUNCTION("""COMPUTED_VALUE"""),"c_jig_00301_mainquest_Normal_Green")</f>
        <v>c_jig_00301_mainquest_Normal_Green</v>
      </c>
      <c r="E476" s="254" t="str">
        <f>IFERROR(__xludf.DUMMYFUNCTION("""COMPUTED_VALUE"""),"地獄楽")</f>
        <v>地獄楽</v>
      </c>
      <c r="F476" s="254" t="str">
        <f>IFERROR(__xludf.DUMMYFUNCTION("""COMPUTED_VALUE"""),"山田浅ェ門 仙汰")</f>
        <v>山田浅ェ門 仙汰</v>
      </c>
      <c r="G476" s="254" t="str">
        <f>IFERROR(__xludf.DUMMYFUNCTION("""COMPUTED_VALUE"""),"山田浅ェ門 仙汰_mainquest")</f>
        <v>山田浅ェ門 仙汰_mainquest</v>
      </c>
      <c r="H476" s="235" t="str">
        <f>IFERROR(__xludf.DUMMYFUNCTION("""COMPUTED_VALUE"""),"Normal")</f>
        <v>Normal</v>
      </c>
      <c r="I476" s="235" t="str">
        <f>IFERROR(__xludf.DUMMYFUNCTION("""COMPUTED_VALUE"""),"Defense")</f>
        <v>Defense</v>
      </c>
      <c r="J476" s="235" t="str">
        <f>IFERROR(__xludf.DUMMYFUNCTION("""COMPUTED_VALUE"""),"Green")</f>
        <v>Green</v>
      </c>
      <c r="K476" s="235">
        <f>IFERROR(__xludf.DUMMYFUNCTION("""COMPUTED_VALUE"""),5000.0)</f>
        <v>5000</v>
      </c>
      <c r="L476" s="235">
        <f>IFERROR(__xludf.DUMMYFUNCTION("""COMPUTED_VALUE"""),1.0)</f>
        <v>1</v>
      </c>
      <c r="M476" s="235">
        <f>IFERROR(__xludf.DUMMYFUNCTION("""COMPUTED_VALUE"""),21.0)</f>
        <v>21</v>
      </c>
      <c r="N476" s="235">
        <f>IFERROR(__xludf.DUMMYFUNCTION("""COMPUTED_VALUE"""),0.18)</f>
        <v>0.18</v>
      </c>
      <c r="O476" s="235">
        <f>IFERROR(__xludf.DUMMYFUNCTION("""COMPUTED_VALUE"""),200.0)</f>
        <v>200</v>
      </c>
      <c r="P476" s="235">
        <f>IFERROR(__xludf.DUMMYFUNCTION("""COMPUTED_VALUE"""),0.0)</f>
        <v>0</v>
      </c>
      <c r="Q476" s="235">
        <f>IFERROR(__xludf.DUMMYFUNCTION("""COMPUTED_VALUE"""),0.19)</f>
        <v>0.19</v>
      </c>
      <c r="R476" s="235">
        <f>IFERROR(__xludf.DUMMYFUNCTION("""COMPUTED_VALUE"""),1.0)</f>
        <v>1</v>
      </c>
      <c r="S476" s="235">
        <f>IFERROR(__xludf.DUMMYFUNCTION("""COMPUTED_VALUE"""),100.0)</f>
        <v>100</v>
      </c>
      <c r="T476" s="244" t="str">
        <f>IFERROR(__xludf.DUMMYFUNCTION("""COMPUTED_VALUE"""),"1.80")</f>
        <v>1.80</v>
      </c>
      <c r="U476" s="235" t="str">
        <f>IFERROR(__xludf.DUMMYFUNCTION("""COMPUTED_VALUE"""),"stop有0.50")</f>
        <v>stop有0.50</v>
      </c>
      <c r="V476" s="235">
        <f>IFERROR(__xludf.DUMMYFUNCTION("""COMPUTED_VALUE"""),100.0)</f>
        <v>100</v>
      </c>
      <c r="W476" s="235" t="str">
        <f>IFERROR(__xludf.DUMMYFUNCTION("""COMPUTED_VALUE"""),"2.34")</f>
        <v>2.34</v>
      </c>
      <c r="X476" s="235" t="str">
        <f>IFERROR(__xludf.DUMMYFUNCTION("""COMPUTED_VALUE"""),"stop無:1回目：0.35
stop無:2回目：0.50
stop無:3回目 0.62
stop無:4回目 0.78
stop有:5回目 1.00")</f>
        <v>stop無:1回目：0.35
stop無:2回目：0.50
stop無:3回目 0.62
stop無:4回目 0.78
stop有:5回目 1.00</v>
      </c>
      <c r="Y476" s="235" t="str">
        <f>IFERROR(__xludf.DUMMYFUNCTION("""COMPUTED_VALUE"""),"中範囲攻撃+小ノックバック")</f>
        <v>中範囲攻撃+小ノックバック</v>
      </c>
      <c r="Z476" s="235">
        <f>IFERROR(__xludf.DUMMYFUNCTION("""COMPUTED_VALUE"""),5.0)</f>
        <v>5</v>
      </c>
      <c r="AA476" s="235"/>
      <c r="AB476" s="235" t="str">
        <f>IFERROR(__xludf.DUMMYFUNCTION("""COMPUTED_VALUE"""),"zangeki_1")</f>
        <v>zangeki_1</v>
      </c>
      <c r="AC476" s="235"/>
    </row>
    <row r="477">
      <c r="A477" s="235"/>
      <c r="B477" s="235" t="str">
        <f>IFERROR(__xludf.DUMMYFUNCTION("""COMPUTED_VALUE"""),"enemy_jig_00001")</f>
        <v>enemy_jig_00001</v>
      </c>
      <c r="C477" s="254" t="str">
        <f>IFERROR(__xludf.DUMMYFUNCTION("""COMPUTED_VALUE"""),"_mainquest")</f>
        <v>_mainquest</v>
      </c>
      <c r="D477" s="254" t="str">
        <f>IFERROR(__xludf.DUMMYFUNCTION("""COMPUTED_VALUE"""),"e_jig_00001_mainquest_Normal_Colorless")</f>
        <v>e_jig_00001_mainquest_Normal_Colorless</v>
      </c>
      <c r="E477" s="254" t="str">
        <f>IFERROR(__xludf.DUMMYFUNCTION("""COMPUTED_VALUE"""),"地獄楽")</f>
        <v>地獄楽</v>
      </c>
      <c r="F477" s="254" t="str">
        <f>IFERROR(__xludf.DUMMYFUNCTION("""COMPUTED_VALUE"""),"門神")</f>
        <v>門神</v>
      </c>
      <c r="G477" s="254" t="str">
        <f>IFERROR(__xludf.DUMMYFUNCTION("""COMPUTED_VALUE"""),"門神_mainquest")</f>
        <v>門神_mainquest</v>
      </c>
      <c r="H477" s="235" t="str">
        <f>IFERROR(__xludf.DUMMYFUNCTION("""COMPUTED_VALUE"""),"Normal")</f>
        <v>Normal</v>
      </c>
      <c r="I477" s="235" t="str">
        <f>IFERROR(__xludf.DUMMYFUNCTION("""COMPUTED_VALUE"""),"Defense")</f>
        <v>Defense</v>
      </c>
      <c r="J477" s="235" t="str">
        <f>IFERROR(__xludf.DUMMYFUNCTION("""COMPUTED_VALUE"""),"Colorless")</f>
        <v>Colorless</v>
      </c>
      <c r="K477" s="235">
        <f>IFERROR(__xludf.DUMMYFUNCTION("""COMPUTED_VALUE"""),3500.0)</f>
        <v>3500</v>
      </c>
      <c r="L477" s="235">
        <f>IFERROR(__xludf.DUMMYFUNCTION("""COMPUTED_VALUE"""),2.0)</f>
        <v>2</v>
      </c>
      <c r="M477" s="235">
        <f>IFERROR(__xludf.DUMMYFUNCTION("""COMPUTED_VALUE"""),31.0)</f>
        <v>31</v>
      </c>
      <c r="N477" s="235">
        <f>IFERROR(__xludf.DUMMYFUNCTION("""COMPUTED_VALUE"""),0.21)</f>
        <v>0.21</v>
      </c>
      <c r="O477" s="235">
        <f>IFERROR(__xludf.DUMMYFUNCTION("""COMPUTED_VALUE"""),50.0)</f>
        <v>50</v>
      </c>
      <c r="P477" s="235">
        <f>IFERROR(__xludf.DUMMYFUNCTION("""COMPUTED_VALUE"""),0.0)</f>
        <v>0</v>
      </c>
      <c r="Q477" s="235">
        <f>IFERROR(__xludf.DUMMYFUNCTION("""COMPUTED_VALUE"""),0.26)</f>
        <v>0.26</v>
      </c>
      <c r="R477" s="235">
        <f>IFERROR(__xludf.DUMMYFUNCTION("""COMPUTED_VALUE"""),100.0)</f>
        <v>100</v>
      </c>
      <c r="S477" s="235">
        <f>IFERROR(__xludf.DUMMYFUNCTION("""COMPUTED_VALUE"""),150.0)</f>
        <v>150</v>
      </c>
      <c r="T477" s="244" t="str">
        <f>IFERROR(__xludf.DUMMYFUNCTION("""COMPUTED_VALUE"""),"1.83")</f>
        <v>1.83</v>
      </c>
      <c r="U477" s="235" t="str">
        <f>IFERROR(__xludf.DUMMYFUNCTION("""COMPUTED_VALUE"""),"0.83")</f>
        <v>0.83</v>
      </c>
      <c r="V477" s="235">
        <f>IFERROR(__xludf.DUMMYFUNCTION("""COMPUTED_VALUE"""),100.0)</f>
        <v>100</v>
      </c>
      <c r="W477" s="235" t="str">
        <f>IFERROR(__xludf.DUMMYFUNCTION("""COMPUTED_VALUE"""),"-")</f>
        <v>-</v>
      </c>
      <c r="X477" s="235" t="str">
        <f>IFERROR(__xludf.DUMMYFUNCTION("""COMPUTED_VALUE"""),"-")</f>
        <v>-</v>
      </c>
      <c r="Y477" s="235"/>
      <c r="Z477" s="235" t="str">
        <f>IFERROR(__xludf.DUMMYFUNCTION("""COMPUTED_VALUE"""),"-")</f>
        <v>-</v>
      </c>
      <c r="AA477" s="235"/>
      <c r="AB477" s="235" t="str">
        <f>IFERROR(__xludf.DUMMYFUNCTION("""COMPUTED_VALUE"""),"dageki_1")</f>
        <v>dageki_1</v>
      </c>
      <c r="AC477" s="235"/>
    </row>
    <row r="478">
      <c r="A478" s="235"/>
      <c r="B478" s="235" t="str">
        <f>IFERROR(__xludf.DUMMYFUNCTION("""COMPUTED_VALUE"""),"enemy_jig_00001")</f>
        <v>enemy_jig_00001</v>
      </c>
      <c r="C478" s="254" t="str">
        <f>IFERROR(__xludf.DUMMYFUNCTION("""COMPUTED_VALUE"""),"_mainquest")</f>
        <v>_mainquest</v>
      </c>
      <c r="D478" s="254" t="str">
        <f>IFERROR(__xludf.DUMMYFUNCTION("""COMPUTED_VALUE"""),"e_jig_00001_mainquest_Normal_Green")</f>
        <v>e_jig_00001_mainquest_Normal_Green</v>
      </c>
      <c r="E478" s="254" t="str">
        <f>IFERROR(__xludf.DUMMYFUNCTION("""COMPUTED_VALUE"""),"地獄楽")</f>
        <v>地獄楽</v>
      </c>
      <c r="F478" s="254" t="str">
        <f>IFERROR(__xludf.DUMMYFUNCTION("""COMPUTED_VALUE"""),"門神")</f>
        <v>門神</v>
      </c>
      <c r="G478" s="254" t="str">
        <f>IFERROR(__xludf.DUMMYFUNCTION("""COMPUTED_VALUE"""),"門神_mainquest")</f>
        <v>門神_mainquest</v>
      </c>
      <c r="H478" s="235" t="str">
        <f>IFERROR(__xludf.DUMMYFUNCTION("""COMPUTED_VALUE"""),"Normal")</f>
        <v>Normal</v>
      </c>
      <c r="I478" s="235" t="str">
        <f>IFERROR(__xludf.DUMMYFUNCTION("""COMPUTED_VALUE"""),"Defense")</f>
        <v>Defense</v>
      </c>
      <c r="J478" s="235" t="str">
        <f>IFERROR(__xludf.DUMMYFUNCTION("""COMPUTED_VALUE"""),"Green")</f>
        <v>Green</v>
      </c>
      <c r="K478" s="235">
        <f>IFERROR(__xludf.DUMMYFUNCTION("""COMPUTED_VALUE"""),10000.0)</f>
        <v>10000</v>
      </c>
      <c r="L478" s="235">
        <f>IFERROR(__xludf.DUMMYFUNCTION("""COMPUTED_VALUE"""),2.0)</f>
        <v>2</v>
      </c>
      <c r="M478" s="235">
        <f>IFERROR(__xludf.DUMMYFUNCTION("""COMPUTED_VALUE"""),27.0)</f>
        <v>27</v>
      </c>
      <c r="N478" s="235">
        <f>IFERROR(__xludf.DUMMYFUNCTION("""COMPUTED_VALUE"""),0.22)</f>
        <v>0.22</v>
      </c>
      <c r="O478" s="235">
        <f>IFERROR(__xludf.DUMMYFUNCTION("""COMPUTED_VALUE"""),50.0)</f>
        <v>50</v>
      </c>
      <c r="P478" s="235">
        <f>IFERROR(__xludf.DUMMYFUNCTION("""COMPUTED_VALUE"""),0.0)</f>
        <v>0</v>
      </c>
      <c r="Q478" s="235">
        <f>IFERROR(__xludf.DUMMYFUNCTION("""COMPUTED_VALUE"""),0.27)</f>
        <v>0.27</v>
      </c>
      <c r="R478" s="235">
        <f>IFERROR(__xludf.DUMMYFUNCTION("""COMPUTED_VALUE"""),100.0)</f>
        <v>100</v>
      </c>
      <c r="S478" s="235">
        <f>IFERROR(__xludf.DUMMYFUNCTION("""COMPUTED_VALUE"""),150.0)</f>
        <v>150</v>
      </c>
      <c r="T478" s="244" t="str">
        <f>IFERROR(__xludf.DUMMYFUNCTION("""COMPUTED_VALUE"""),"1.83")</f>
        <v>1.83</v>
      </c>
      <c r="U478" s="235" t="str">
        <f>IFERROR(__xludf.DUMMYFUNCTION("""COMPUTED_VALUE"""),"0.83")</f>
        <v>0.83</v>
      </c>
      <c r="V478" s="235">
        <f>IFERROR(__xludf.DUMMYFUNCTION("""COMPUTED_VALUE"""),100.0)</f>
        <v>100</v>
      </c>
      <c r="W478" s="235" t="str">
        <f>IFERROR(__xludf.DUMMYFUNCTION("""COMPUTED_VALUE"""),"-")</f>
        <v>-</v>
      </c>
      <c r="X478" s="235" t="str">
        <f>IFERROR(__xludf.DUMMYFUNCTION("""COMPUTED_VALUE"""),"-")</f>
        <v>-</v>
      </c>
      <c r="Y478" s="235"/>
      <c r="Z478" s="235" t="str">
        <f>IFERROR(__xludf.DUMMYFUNCTION("""COMPUTED_VALUE"""),"-")</f>
        <v>-</v>
      </c>
      <c r="AA478" s="235"/>
      <c r="AB478" s="235" t="str">
        <f>IFERROR(__xludf.DUMMYFUNCTION("""COMPUTED_VALUE"""),"dageki_1")</f>
        <v>dageki_1</v>
      </c>
      <c r="AC478" s="235"/>
    </row>
    <row r="479">
      <c r="A479" s="235"/>
      <c r="B479" s="235" t="str">
        <f>IFERROR(__xludf.DUMMYFUNCTION("""COMPUTED_VALUE"""),"enemy_jig_00201")</f>
        <v>enemy_jig_00201</v>
      </c>
      <c r="C479" s="254" t="str">
        <f>IFERROR(__xludf.DUMMYFUNCTION("""COMPUTED_VALUE"""),"_mainquest")</f>
        <v>_mainquest</v>
      </c>
      <c r="D479" s="254" t="str">
        <f>IFERROR(__xludf.DUMMYFUNCTION("""COMPUTED_VALUE"""),"e_jig_00201_mainquest_Boss_Green")</f>
        <v>e_jig_00201_mainquest_Boss_Green</v>
      </c>
      <c r="E479" s="254" t="str">
        <f>IFERROR(__xludf.DUMMYFUNCTION("""COMPUTED_VALUE"""),"地獄楽")</f>
        <v>地獄楽</v>
      </c>
      <c r="F479" s="254" t="str">
        <f>IFERROR(__xludf.DUMMYFUNCTION("""COMPUTED_VALUE"""),"門神 (大)")</f>
        <v>門神 (大)</v>
      </c>
      <c r="G479" s="254" t="str">
        <f>IFERROR(__xludf.DUMMYFUNCTION("""COMPUTED_VALUE"""),"門神 （大）_mainquest")</f>
        <v>門神 （大）_mainquest</v>
      </c>
      <c r="H479" s="235" t="str">
        <f>IFERROR(__xludf.DUMMYFUNCTION("""COMPUTED_VALUE"""),"Boss")</f>
        <v>Boss</v>
      </c>
      <c r="I479" s="235" t="str">
        <f>IFERROR(__xludf.DUMMYFUNCTION("""COMPUTED_VALUE"""),"Defense")</f>
        <v>Defense</v>
      </c>
      <c r="J479" s="235" t="str">
        <f>IFERROR(__xludf.DUMMYFUNCTION("""COMPUTED_VALUE"""),"Green")</f>
        <v>Green</v>
      </c>
      <c r="K479" s="235">
        <f>IFERROR(__xludf.DUMMYFUNCTION("""COMPUTED_VALUE"""),10000.0)</f>
        <v>10000</v>
      </c>
      <c r="L479" s="235">
        <f>IFERROR(__xludf.DUMMYFUNCTION("""COMPUTED_VALUE"""),1.0)</f>
        <v>1</v>
      </c>
      <c r="M479" s="235">
        <f>IFERROR(__xludf.DUMMYFUNCTION("""COMPUTED_VALUE"""),20.0)</f>
        <v>20</v>
      </c>
      <c r="N479" s="235">
        <f>IFERROR(__xludf.DUMMYFUNCTION("""COMPUTED_VALUE"""),0.3)</f>
        <v>0.3</v>
      </c>
      <c r="O479" s="235">
        <f>IFERROR(__xludf.DUMMYFUNCTION("""COMPUTED_VALUE"""),50.0)</f>
        <v>50</v>
      </c>
      <c r="P479" s="235">
        <f>IFERROR(__xludf.DUMMYFUNCTION("""COMPUTED_VALUE"""),0.0)</f>
        <v>0</v>
      </c>
      <c r="Q479" s="235">
        <f>IFERROR(__xludf.DUMMYFUNCTION("""COMPUTED_VALUE"""),0.4)</f>
        <v>0.4</v>
      </c>
      <c r="R479" s="235">
        <f>IFERROR(__xludf.DUMMYFUNCTION("""COMPUTED_VALUE"""),100.0)</f>
        <v>100</v>
      </c>
      <c r="S479" s="235">
        <f>IFERROR(__xludf.DUMMYFUNCTION("""COMPUTED_VALUE"""),300.0)</f>
        <v>300</v>
      </c>
      <c r="T479" s="244" t="str">
        <f>IFERROR(__xludf.DUMMYFUNCTION("""COMPUTED_VALUE"""),"1.83")</f>
        <v>1.83</v>
      </c>
      <c r="U479" s="235" t="str">
        <f>IFERROR(__xludf.DUMMYFUNCTION("""COMPUTED_VALUE"""),"0.83")</f>
        <v>0.83</v>
      </c>
      <c r="V479" s="235">
        <f>IFERROR(__xludf.DUMMYFUNCTION("""COMPUTED_VALUE"""),250.0)</f>
        <v>250</v>
      </c>
      <c r="W479" s="235" t="str">
        <f>IFERROR(__xludf.DUMMYFUNCTION("""COMPUTED_VALUE"""),"-")</f>
        <v>-</v>
      </c>
      <c r="X479" s="235" t="str">
        <f>IFERROR(__xludf.DUMMYFUNCTION("""COMPUTED_VALUE"""),"-")</f>
        <v>-</v>
      </c>
      <c r="Y479" s="235"/>
      <c r="Z479" s="235" t="str">
        <f>IFERROR(__xludf.DUMMYFUNCTION("""COMPUTED_VALUE"""),"-")</f>
        <v>-</v>
      </c>
      <c r="AA479" s="235"/>
      <c r="AB479" s="235" t="str">
        <f>IFERROR(__xludf.DUMMYFUNCTION("""COMPUTED_VALUE"""),"dageki_1")</f>
        <v>dageki_1</v>
      </c>
      <c r="AC479" s="235"/>
    </row>
    <row r="480">
      <c r="A480" s="235"/>
      <c r="B480" s="235" t="str">
        <f>IFERROR(__xludf.DUMMYFUNCTION("""COMPUTED_VALUE"""),"enemy_jig_00201")</f>
        <v>enemy_jig_00201</v>
      </c>
      <c r="C480" s="254" t="str">
        <f>IFERROR(__xludf.DUMMYFUNCTION("""COMPUTED_VALUE"""),"_mainquest2")</f>
        <v>_mainquest2</v>
      </c>
      <c r="D480" s="254" t="str">
        <f>IFERROR(__xludf.DUMMYFUNCTION("""COMPUTED_VALUE"""),"e_jig_00201_mainquest2_Boss_Green")</f>
        <v>e_jig_00201_mainquest2_Boss_Green</v>
      </c>
      <c r="E480" s="254" t="str">
        <f>IFERROR(__xludf.DUMMYFUNCTION("""COMPUTED_VALUE"""),"地獄楽")</f>
        <v>地獄楽</v>
      </c>
      <c r="F480" s="254" t="str">
        <f>IFERROR(__xludf.DUMMYFUNCTION("""COMPUTED_VALUE"""),"門神 (大)")</f>
        <v>門神 (大)</v>
      </c>
      <c r="G480" s="254" t="str">
        <f>IFERROR(__xludf.DUMMYFUNCTION("""COMPUTED_VALUE"""),"門神 （大）_mainquest2")</f>
        <v>門神 （大）_mainquest2</v>
      </c>
      <c r="H480" s="235" t="str">
        <f>IFERROR(__xludf.DUMMYFUNCTION("""COMPUTED_VALUE"""),"Boss")</f>
        <v>Boss</v>
      </c>
      <c r="I480" s="235" t="str">
        <f>IFERROR(__xludf.DUMMYFUNCTION("""COMPUTED_VALUE"""),"Defense")</f>
        <v>Defense</v>
      </c>
      <c r="J480" s="235" t="str">
        <f>IFERROR(__xludf.DUMMYFUNCTION("""COMPUTED_VALUE"""),"Green")</f>
        <v>Green</v>
      </c>
      <c r="K480" s="235">
        <f>IFERROR(__xludf.DUMMYFUNCTION("""COMPUTED_VALUE"""),10000.0)</f>
        <v>10000</v>
      </c>
      <c r="L480" s="235">
        <f>IFERROR(__xludf.DUMMYFUNCTION("""COMPUTED_VALUE"""),1.0)</f>
        <v>1</v>
      </c>
      <c r="M480" s="235">
        <f>IFERROR(__xludf.DUMMYFUNCTION("""COMPUTED_VALUE"""),20.0)</f>
        <v>20</v>
      </c>
      <c r="N480" s="235">
        <f>IFERROR(__xludf.DUMMYFUNCTION("""COMPUTED_VALUE"""),0.3)</f>
        <v>0.3</v>
      </c>
      <c r="O480" s="235">
        <f>IFERROR(__xludf.DUMMYFUNCTION("""COMPUTED_VALUE"""),50.0)</f>
        <v>50</v>
      </c>
      <c r="P480" s="235">
        <f>IFERROR(__xludf.DUMMYFUNCTION("""COMPUTED_VALUE"""),0.0)</f>
        <v>0</v>
      </c>
      <c r="Q480" s="235">
        <f>IFERROR(__xludf.DUMMYFUNCTION("""COMPUTED_VALUE"""),0.4)</f>
        <v>0.4</v>
      </c>
      <c r="R480" s="235">
        <f>IFERROR(__xludf.DUMMYFUNCTION("""COMPUTED_VALUE"""),100.0)</f>
        <v>100</v>
      </c>
      <c r="S480" s="235">
        <f>IFERROR(__xludf.DUMMYFUNCTION("""COMPUTED_VALUE"""),300.0)</f>
        <v>300</v>
      </c>
      <c r="T480" s="244" t="str">
        <f>IFERROR(__xludf.DUMMYFUNCTION("""COMPUTED_VALUE"""),"1.83")</f>
        <v>1.83</v>
      </c>
      <c r="U480" s="235" t="str">
        <f>IFERROR(__xludf.DUMMYFUNCTION("""COMPUTED_VALUE"""),"0.83")</f>
        <v>0.83</v>
      </c>
      <c r="V480" s="235">
        <f>IFERROR(__xludf.DUMMYFUNCTION("""COMPUTED_VALUE"""),250.0)</f>
        <v>250</v>
      </c>
      <c r="W480" s="235" t="str">
        <f>IFERROR(__xludf.DUMMYFUNCTION("""COMPUTED_VALUE"""),"-")</f>
        <v>-</v>
      </c>
      <c r="X480" s="235" t="str">
        <f>IFERROR(__xludf.DUMMYFUNCTION("""COMPUTED_VALUE"""),"-")</f>
        <v>-</v>
      </c>
      <c r="Y480" s="235"/>
      <c r="Z480" s="235" t="str">
        <f>IFERROR(__xludf.DUMMYFUNCTION("""COMPUTED_VALUE"""),"-")</f>
        <v>-</v>
      </c>
      <c r="AA480" s="235"/>
      <c r="AB480" s="235" t="str">
        <f>IFERROR(__xludf.DUMMYFUNCTION("""COMPUTED_VALUE"""),"dageki_1")</f>
        <v>dageki_1</v>
      </c>
      <c r="AC480" s="235"/>
    </row>
    <row r="481">
      <c r="A481" s="235"/>
      <c r="B481" s="235" t="str">
        <f>IFERROR(__xludf.DUMMYFUNCTION("""COMPUTED_VALUE"""),"enemy_jig_00201")</f>
        <v>enemy_jig_00201</v>
      </c>
      <c r="C481" s="254" t="str">
        <f>IFERROR(__xludf.DUMMYFUNCTION("""COMPUTED_VALUE"""),"_mainquest")</f>
        <v>_mainquest</v>
      </c>
      <c r="D481" s="254" t="str">
        <f>IFERROR(__xludf.DUMMYFUNCTION("""COMPUTED_VALUE"""),"e_jig_00201_mainquest_Normal_Green")</f>
        <v>e_jig_00201_mainquest_Normal_Green</v>
      </c>
      <c r="E481" s="254" t="str">
        <f>IFERROR(__xludf.DUMMYFUNCTION("""COMPUTED_VALUE"""),"地獄楽")</f>
        <v>地獄楽</v>
      </c>
      <c r="F481" s="254" t="str">
        <f>IFERROR(__xludf.DUMMYFUNCTION("""COMPUTED_VALUE"""),"門神 (大)")</f>
        <v>門神 (大)</v>
      </c>
      <c r="G481" s="254" t="str">
        <f>IFERROR(__xludf.DUMMYFUNCTION("""COMPUTED_VALUE"""),"門神 （大）_mainquest")</f>
        <v>門神 （大）_mainquest</v>
      </c>
      <c r="H481" s="235" t="str">
        <f>IFERROR(__xludf.DUMMYFUNCTION("""COMPUTED_VALUE"""),"Normal")</f>
        <v>Normal</v>
      </c>
      <c r="I481" s="235" t="str">
        <f>IFERROR(__xludf.DUMMYFUNCTION("""COMPUTED_VALUE"""),"Defense")</f>
        <v>Defense</v>
      </c>
      <c r="J481" s="235" t="str">
        <f>IFERROR(__xludf.DUMMYFUNCTION("""COMPUTED_VALUE"""),"Green")</f>
        <v>Green</v>
      </c>
      <c r="K481" s="235">
        <f>IFERROR(__xludf.DUMMYFUNCTION("""COMPUTED_VALUE"""),10000.0)</f>
        <v>10000</v>
      </c>
      <c r="L481" s="235">
        <f>IFERROR(__xludf.DUMMYFUNCTION("""COMPUTED_VALUE"""),1.0)</f>
        <v>1</v>
      </c>
      <c r="M481" s="235">
        <f>IFERROR(__xludf.DUMMYFUNCTION("""COMPUTED_VALUE"""),20.0)</f>
        <v>20</v>
      </c>
      <c r="N481" s="235">
        <f>IFERROR(__xludf.DUMMYFUNCTION("""COMPUTED_VALUE"""),0.3)</f>
        <v>0.3</v>
      </c>
      <c r="O481" s="235">
        <f>IFERROR(__xludf.DUMMYFUNCTION("""COMPUTED_VALUE"""),50.0)</f>
        <v>50</v>
      </c>
      <c r="P481" s="235">
        <f>IFERROR(__xludf.DUMMYFUNCTION("""COMPUTED_VALUE"""),0.0)</f>
        <v>0</v>
      </c>
      <c r="Q481" s="235">
        <f>IFERROR(__xludf.DUMMYFUNCTION("""COMPUTED_VALUE"""),0.4)</f>
        <v>0.4</v>
      </c>
      <c r="R481" s="235">
        <f>IFERROR(__xludf.DUMMYFUNCTION("""COMPUTED_VALUE"""),100.0)</f>
        <v>100</v>
      </c>
      <c r="S481" s="235">
        <f>IFERROR(__xludf.DUMMYFUNCTION("""COMPUTED_VALUE"""),300.0)</f>
        <v>300</v>
      </c>
      <c r="T481" s="244" t="str">
        <f>IFERROR(__xludf.DUMMYFUNCTION("""COMPUTED_VALUE"""),"1.83")</f>
        <v>1.83</v>
      </c>
      <c r="U481" s="235" t="str">
        <f>IFERROR(__xludf.DUMMYFUNCTION("""COMPUTED_VALUE"""),"0.83")</f>
        <v>0.83</v>
      </c>
      <c r="V481" s="235">
        <f>IFERROR(__xludf.DUMMYFUNCTION("""COMPUTED_VALUE"""),250.0)</f>
        <v>250</v>
      </c>
      <c r="W481" s="235" t="str">
        <f>IFERROR(__xludf.DUMMYFUNCTION("""COMPUTED_VALUE"""),"-")</f>
        <v>-</v>
      </c>
      <c r="X481" s="235" t="str">
        <f>IFERROR(__xludf.DUMMYFUNCTION("""COMPUTED_VALUE"""),"-")</f>
        <v>-</v>
      </c>
      <c r="Y481" s="235"/>
      <c r="Z481" s="235" t="str">
        <f>IFERROR(__xludf.DUMMYFUNCTION("""COMPUTED_VALUE"""),"-")</f>
        <v>-</v>
      </c>
      <c r="AA481" s="235"/>
      <c r="AB481" s="235" t="str">
        <f>IFERROR(__xludf.DUMMYFUNCTION("""COMPUTED_VALUE"""),"dageki_1")</f>
        <v>dageki_1</v>
      </c>
      <c r="AC481" s="235"/>
    </row>
    <row r="482">
      <c r="A482" s="235"/>
      <c r="B482" s="235" t="str">
        <f>IFERROR(__xludf.DUMMYFUNCTION("""COMPUTED_VALUE"""),"enemy_jig_00401")</f>
        <v>enemy_jig_00401</v>
      </c>
      <c r="C482" s="254" t="str">
        <f>IFERROR(__xludf.DUMMYFUNCTION("""COMPUTED_VALUE"""),"_mainquest")</f>
        <v>_mainquest</v>
      </c>
      <c r="D482" s="254" t="str">
        <f>IFERROR(__xludf.DUMMYFUNCTION("""COMPUTED_VALUE"""),"e_jig_00401_mainquest_Normal_Colorless")</f>
        <v>e_jig_00401_mainquest_Normal_Colorless</v>
      </c>
      <c r="E482" s="254" t="str">
        <f>IFERROR(__xludf.DUMMYFUNCTION("""COMPUTED_VALUE"""),"地獄楽")</f>
        <v>地獄楽</v>
      </c>
      <c r="F482" s="254" t="str">
        <f>IFERROR(__xludf.DUMMYFUNCTION("""COMPUTED_VALUE"""),"極楽蝶")</f>
        <v>極楽蝶</v>
      </c>
      <c r="G482" s="254" t="str">
        <f>IFERROR(__xludf.DUMMYFUNCTION("""COMPUTED_VALUE"""),"極楽蝶_mainquest")</f>
        <v>極楽蝶_mainquest</v>
      </c>
      <c r="H482" s="235" t="str">
        <f>IFERROR(__xludf.DUMMYFUNCTION("""COMPUTED_VALUE"""),"Normal")</f>
        <v>Normal</v>
      </c>
      <c r="I482" s="235" t="str">
        <f>IFERROR(__xludf.DUMMYFUNCTION("""COMPUTED_VALUE"""),"Attack")</f>
        <v>Attack</v>
      </c>
      <c r="J482" s="235" t="str">
        <f>IFERROR(__xludf.DUMMYFUNCTION("""COMPUTED_VALUE"""),"Colorless")</f>
        <v>Colorless</v>
      </c>
      <c r="K482" s="235">
        <f>IFERROR(__xludf.DUMMYFUNCTION("""COMPUTED_VALUE"""),3000.0)</f>
        <v>3000</v>
      </c>
      <c r="L482" s="235">
        <f>IFERROR(__xludf.DUMMYFUNCTION("""COMPUTED_VALUE"""),4.0)</f>
        <v>4</v>
      </c>
      <c r="M482" s="235">
        <f>IFERROR(__xludf.DUMMYFUNCTION("""COMPUTED_VALUE"""),32.0)</f>
        <v>32</v>
      </c>
      <c r="N482" s="235">
        <f>IFERROR(__xludf.DUMMYFUNCTION("""COMPUTED_VALUE"""),0.24)</f>
        <v>0.24</v>
      </c>
      <c r="O482" s="235">
        <f>IFERROR(__xludf.DUMMYFUNCTION("""COMPUTED_VALUE"""),100.0)</f>
        <v>100</v>
      </c>
      <c r="P482" s="235">
        <f>IFERROR(__xludf.DUMMYFUNCTION("""COMPUTED_VALUE"""),0.0)</f>
        <v>0</v>
      </c>
      <c r="Q482" s="235">
        <f>IFERROR(__xludf.DUMMYFUNCTION("""COMPUTED_VALUE"""),0.25)</f>
        <v>0.25</v>
      </c>
      <c r="R482" s="235">
        <f>IFERROR(__xludf.DUMMYFUNCTION("""COMPUTED_VALUE"""),1.0)</f>
        <v>1</v>
      </c>
      <c r="S482" s="235">
        <f>IFERROR(__xludf.DUMMYFUNCTION("""COMPUTED_VALUE"""),100.0)</f>
        <v>100</v>
      </c>
      <c r="T482" s="244" t="str">
        <f>IFERROR(__xludf.DUMMYFUNCTION("""COMPUTED_VALUE"""),"1.30")</f>
        <v>1.30</v>
      </c>
      <c r="U482" s="235" t="str">
        <f>IFERROR(__xludf.DUMMYFUNCTION("""COMPUTED_VALUE"""),"0.66")</f>
        <v>0.66</v>
      </c>
      <c r="V482" s="235">
        <f>IFERROR(__xludf.DUMMYFUNCTION("""COMPUTED_VALUE"""),125.0)</f>
        <v>125</v>
      </c>
      <c r="W482" s="235" t="str">
        <f>IFERROR(__xludf.DUMMYFUNCTION("""COMPUTED_VALUE"""),"-")</f>
        <v>-</v>
      </c>
      <c r="X482" s="235" t="str">
        <f>IFERROR(__xludf.DUMMYFUNCTION("""COMPUTED_VALUE"""),"-")</f>
        <v>-</v>
      </c>
      <c r="Y482" s="235"/>
      <c r="Z482" s="235" t="str">
        <f>IFERROR(__xludf.DUMMYFUNCTION("""COMPUTED_VALUE"""),"-")</f>
        <v>-</v>
      </c>
      <c r="AA482" s="235"/>
      <c r="AB482" s="235" t="str">
        <f>IFERROR(__xludf.DUMMYFUNCTION("""COMPUTED_VALUE"""),"dageki_2")</f>
        <v>dageki_2</v>
      </c>
      <c r="AC482" s="235"/>
    </row>
    <row r="483">
      <c r="A483" s="235"/>
      <c r="B483" s="235" t="str">
        <f>IFERROR(__xludf.DUMMYFUNCTION("""COMPUTED_VALUE"""),"enemy_jig_00401")</f>
        <v>enemy_jig_00401</v>
      </c>
      <c r="C483" s="254" t="str">
        <f>IFERROR(__xludf.DUMMYFUNCTION("""COMPUTED_VALUE"""),"_mainquest")</f>
        <v>_mainquest</v>
      </c>
      <c r="D483" s="254" t="str">
        <f>IFERROR(__xludf.DUMMYFUNCTION("""COMPUTED_VALUE"""),"e_jig_00401_mainquest_Normal_Green")</f>
        <v>e_jig_00401_mainquest_Normal_Green</v>
      </c>
      <c r="E483" s="254" t="str">
        <f>IFERROR(__xludf.DUMMYFUNCTION("""COMPUTED_VALUE"""),"地獄楽")</f>
        <v>地獄楽</v>
      </c>
      <c r="F483" s="254" t="str">
        <f>IFERROR(__xludf.DUMMYFUNCTION("""COMPUTED_VALUE"""),"極楽蝶")</f>
        <v>極楽蝶</v>
      </c>
      <c r="G483" s="254" t="str">
        <f>IFERROR(__xludf.DUMMYFUNCTION("""COMPUTED_VALUE"""),"極楽蝶_mainquest")</f>
        <v>極楽蝶_mainquest</v>
      </c>
      <c r="H483" s="235" t="str">
        <f>IFERROR(__xludf.DUMMYFUNCTION("""COMPUTED_VALUE"""),"Normal")</f>
        <v>Normal</v>
      </c>
      <c r="I483" s="235" t="str">
        <f>IFERROR(__xludf.DUMMYFUNCTION("""COMPUTED_VALUE"""),"Technical")</f>
        <v>Technical</v>
      </c>
      <c r="J483" s="235" t="str">
        <f>IFERROR(__xludf.DUMMYFUNCTION("""COMPUTED_VALUE"""),"Green")</f>
        <v>Green</v>
      </c>
      <c r="K483" s="235">
        <f>IFERROR(__xludf.DUMMYFUNCTION("""COMPUTED_VALUE"""),3000.0)</f>
        <v>3000</v>
      </c>
      <c r="L483" s="235">
        <f>IFERROR(__xludf.DUMMYFUNCTION("""COMPUTED_VALUE"""),4.0)</f>
        <v>4</v>
      </c>
      <c r="M483" s="235">
        <f>IFERROR(__xludf.DUMMYFUNCTION("""COMPUTED_VALUE"""),25.0)</f>
        <v>25</v>
      </c>
      <c r="N483" s="235">
        <f>IFERROR(__xludf.DUMMYFUNCTION("""COMPUTED_VALUE"""),0.22)</f>
        <v>0.22</v>
      </c>
      <c r="O483" s="235">
        <f>IFERROR(__xludf.DUMMYFUNCTION("""COMPUTED_VALUE"""),100.0)</f>
        <v>100</v>
      </c>
      <c r="P483" s="235">
        <f>IFERROR(__xludf.DUMMYFUNCTION("""COMPUTED_VALUE"""),0.0)</f>
        <v>0</v>
      </c>
      <c r="Q483" s="235">
        <f>IFERROR(__xludf.DUMMYFUNCTION("""COMPUTED_VALUE"""),0.23)</f>
        <v>0.23</v>
      </c>
      <c r="R483" s="235">
        <f>IFERROR(__xludf.DUMMYFUNCTION("""COMPUTED_VALUE"""),100.0)</f>
        <v>100</v>
      </c>
      <c r="S483" s="235">
        <f>IFERROR(__xludf.DUMMYFUNCTION("""COMPUTED_VALUE"""),150.0)</f>
        <v>150</v>
      </c>
      <c r="T483" s="244" t="str">
        <f>IFERROR(__xludf.DUMMYFUNCTION("""COMPUTED_VALUE"""),"1.30")</f>
        <v>1.30</v>
      </c>
      <c r="U483" s="235" t="str">
        <f>IFERROR(__xludf.DUMMYFUNCTION("""COMPUTED_VALUE"""),"0.66")</f>
        <v>0.66</v>
      </c>
      <c r="V483" s="235">
        <f>IFERROR(__xludf.DUMMYFUNCTION("""COMPUTED_VALUE"""),200.0)</f>
        <v>200</v>
      </c>
      <c r="W483" s="235" t="str">
        <f>IFERROR(__xludf.DUMMYFUNCTION("""COMPUTED_VALUE"""),"-")</f>
        <v>-</v>
      </c>
      <c r="X483" s="235" t="str">
        <f>IFERROR(__xludf.DUMMYFUNCTION("""COMPUTED_VALUE"""),"-")</f>
        <v>-</v>
      </c>
      <c r="Y483" s="235"/>
      <c r="Z483" s="235" t="str">
        <f>IFERROR(__xludf.DUMMYFUNCTION("""COMPUTED_VALUE"""),"-")</f>
        <v>-</v>
      </c>
      <c r="AA483" s="235"/>
      <c r="AB483" s="235" t="str">
        <f>IFERROR(__xludf.DUMMYFUNCTION("""COMPUTED_VALUE"""),"dageki_2")</f>
        <v>dageki_2</v>
      </c>
      <c r="AC483" s="235"/>
    </row>
    <row r="484">
      <c r="A484" s="235"/>
      <c r="B484" s="235" t="str">
        <f>IFERROR(__xludf.DUMMYFUNCTION("""COMPUTED_VALUE"""),"enemy_jig_00402")</f>
        <v>enemy_jig_00402</v>
      </c>
      <c r="C484" s="254" t="str">
        <f>IFERROR(__xludf.DUMMYFUNCTION("""COMPUTED_VALUE"""),"_mainquest")</f>
        <v>_mainquest</v>
      </c>
      <c r="D484" s="254" t="str">
        <f>IFERROR(__xludf.DUMMYFUNCTION("""COMPUTED_VALUE"""),"e_jig_00402_mainquest_Normal_Colorless")</f>
        <v>e_jig_00402_mainquest_Normal_Colorless</v>
      </c>
      <c r="E484" s="254" t="str">
        <f>IFERROR(__xludf.DUMMYFUNCTION("""COMPUTED_VALUE"""),"地獄楽")</f>
        <v>地獄楽</v>
      </c>
      <c r="F484" s="254" t="str">
        <f>IFERROR(__xludf.DUMMYFUNCTION("""COMPUTED_VALUE"""),"極楽蝶")</f>
        <v>極楽蝶</v>
      </c>
      <c r="G484" s="254" t="str">
        <f>IFERROR(__xludf.DUMMYFUNCTION("""COMPUTED_VALUE"""),"極楽蝶_mainquest")</f>
        <v>極楽蝶_mainquest</v>
      </c>
      <c r="H484" s="235" t="str">
        <f>IFERROR(__xludf.DUMMYFUNCTION("""COMPUTED_VALUE"""),"Normal")</f>
        <v>Normal</v>
      </c>
      <c r="I484" s="235" t="str">
        <f>IFERROR(__xludf.DUMMYFUNCTION("""COMPUTED_VALUE"""),"Attack")</f>
        <v>Attack</v>
      </c>
      <c r="J484" s="235" t="str">
        <f>IFERROR(__xludf.DUMMYFUNCTION("""COMPUTED_VALUE"""),"Colorless")</f>
        <v>Colorless</v>
      </c>
      <c r="K484" s="235">
        <f>IFERROR(__xludf.DUMMYFUNCTION("""COMPUTED_VALUE"""),3000.0)</f>
        <v>3000</v>
      </c>
      <c r="L484" s="235">
        <f>IFERROR(__xludf.DUMMYFUNCTION("""COMPUTED_VALUE"""),3.0)</f>
        <v>3</v>
      </c>
      <c r="M484" s="235">
        <f>IFERROR(__xludf.DUMMYFUNCTION("""COMPUTED_VALUE"""),33.0)</f>
        <v>33</v>
      </c>
      <c r="N484" s="235">
        <f>IFERROR(__xludf.DUMMYFUNCTION("""COMPUTED_VALUE"""),0.34)</f>
        <v>0.34</v>
      </c>
      <c r="O484" s="235">
        <f>IFERROR(__xludf.DUMMYFUNCTION("""COMPUTED_VALUE"""),100.0)</f>
        <v>100</v>
      </c>
      <c r="P484" s="235">
        <f>IFERROR(__xludf.DUMMYFUNCTION("""COMPUTED_VALUE"""),0.0)</f>
        <v>0</v>
      </c>
      <c r="Q484" s="235">
        <f>IFERROR(__xludf.DUMMYFUNCTION("""COMPUTED_VALUE"""),0.39)</f>
        <v>0.39</v>
      </c>
      <c r="R484" s="235">
        <f>IFERROR(__xludf.DUMMYFUNCTION("""COMPUTED_VALUE"""),100.0)</f>
        <v>100</v>
      </c>
      <c r="S484" s="235">
        <f>IFERROR(__xludf.DUMMYFUNCTION("""COMPUTED_VALUE"""),150.0)</f>
        <v>150</v>
      </c>
      <c r="T484" s="244" t="str">
        <f>IFERROR(__xludf.DUMMYFUNCTION("""COMPUTED_VALUE"""),"2.10")</f>
        <v>2.10</v>
      </c>
      <c r="U484" s="235" t="str">
        <f>IFERROR(__xludf.DUMMYFUNCTION("""COMPUTED_VALUE"""),"0.60")</f>
        <v>0.60</v>
      </c>
      <c r="V484" s="235">
        <f>IFERROR(__xludf.DUMMYFUNCTION("""COMPUTED_VALUE"""),100.0)</f>
        <v>100</v>
      </c>
      <c r="W484" s="235" t="str">
        <f>IFERROR(__xludf.DUMMYFUNCTION("""COMPUTED_VALUE"""),"-")</f>
        <v>-</v>
      </c>
      <c r="X484" s="235" t="str">
        <f>IFERROR(__xludf.DUMMYFUNCTION("""COMPUTED_VALUE"""),"-")</f>
        <v>-</v>
      </c>
      <c r="Y484" s="235"/>
      <c r="Z484" s="235" t="str">
        <f>IFERROR(__xludf.DUMMYFUNCTION("""COMPUTED_VALUE"""),"-")</f>
        <v>-</v>
      </c>
      <c r="AA484" s="235"/>
      <c r="AB484" s="235" t="str">
        <f>IFERROR(__xludf.DUMMYFUNCTION("""COMPUTED_VALUE"""),"dageki_2")</f>
        <v>dageki_2</v>
      </c>
      <c r="AC484" s="235"/>
    </row>
    <row r="485">
      <c r="A485" s="235"/>
      <c r="B485" s="235" t="str">
        <f>IFERROR(__xludf.DUMMYFUNCTION("""COMPUTED_VALUE"""),"enemy_jig_00301")</f>
        <v>enemy_jig_00301</v>
      </c>
      <c r="C485" s="254" t="str">
        <f>IFERROR(__xludf.DUMMYFUNCTION("""COMPUTED_VALUE"""),"_mainquest")</f>
        <v>_mainquest</v>
      </c>
      <c r="D485" s="254" t="str">
        <f>IFERROR(__xludf.DUMMYFUNCTION("""COMPUTED_VALUE"""),"e_jig_00301_mainquest_Normal_Colorless")</f>
        <v>e_jig_00301_mainquest_Normal_Colorless</v>
      </c>
      <c r="E485" s="254" t="str">
        <f>IFERROR(__xludf.DUMMYFUNCTION("""COMPUTED_VALUE"""),"地獄楽")</f>
        <v>地獄楽</v>
      </c>
      <c r="F485" s="254" t="str">
        <f>IFERROR(__xludf.DUMMYFUNCTION("""COMPUTED_VALUE"""),"竈神 魚")</f>
        <v>竈神 魚</v>
      </c>
      <c r="G485" s="254" t="str">
        <f>IFERROR(__xludf.DUMMYFUNCTION("""COMPUTED_VALUE"""),"竈神 魚_mainquest")</f>
        <v>竈神 魚_mainquest</v>
      </c>
      <c r="H485" s="235" t="str">
        <f>IFERROR(__xludf.DUMMYFUNCTION("""COMPUTED_VALUE"""),"Normal")</f>
        <v>Normal</v>
      </c>
      <c r="I485" s="235" t="str">
        <f>IFERROR(__xludf.DUMMYFUNCTION("""COMPUTED_VALUE"""),"Attack")</f>
        <v>Attack</v>
      </c>
      <c r="J485" s="235" t="str">
        <f>IFERROR(__xludf.DUMMYFUNCTION("""COMPUTED_VALUE"""),"Colorless")</f>
        <v>Colorless</v>
      </c>
      <c r="K485" s="235">
        <f>IFERROR(__xludf.DUMMYFUNCTION("""COMPUTED_VALUE"""),5000.0)</f>
        <v>5000</v>
      </c>
      <c r="L485" s="235">
        <f>IFERROR(__xludf.DUMMYFUNCTION("""COMPUTED_VALUE"""),3.0)</f>
        <v>3</v>
      </c>
      <c r="M485" s="235">
        <f>IFERROR(__xludf.DUMMYFUNCTION("""COMPUTED_VALUE"""),30.0)</f>
        <v>30</v>
      </c>
      <c r="N485" s="235">
        <f>IFERROR(__xludf.DUMMYFUNCTION("""COMPUTED_VALUE"""),0.18)</f>
        <v>0.18</v>
      </c>
      <c r="O485" s="235">
        <f>IFERROR(__xludf.DUMMYFUNCTION("""COMPUTED_VALUE"""),100.0)</f>
        <v>100</v>
      </c>
      <c r="P485" s="235">
        <f>IFERROR(__xludf.DUMMYFUNCTION("""COMPUTED_VALUE"""),0.0)</f>
        <v>0</v>
      </c>
      <c r="Q485" s="235">
        <f>IFERROR(__xludf.DUMMYFUNCTION("""COMPUTED_VALUE"""),0.19)</f>
        <v>0.19</v>
      </c>
      <c r="R485" s="235">
        <f>IFERROR(__xludf.DUMMYFUNCTION("""COMPUTED_VALUE"""),1.0)</f>
        <v>1</v>
      </c>
      <c r="S485" s="235">
        <f>IFERROR(__xludf.DUMMYFUNCTION("""COMPUTED_VALUE"""),400.0)</f>
        <v>400</v>
      </c>
      <c r="T485" s="244" t="str">
        <f>IFERROR(__xludf.DUMMYFUNCTION("""COMPUTED_VALUE"""),"1.50")</f>
        <v>1.50</v>
      </c>
      <c r="U485" s="235" t="str">
        <f>IFERROR(__xludf.DUMMYFUNCTION("""COMPUTED_VALUE"""),"0.66")</f>
        <v>0.66</v>
      </c>
      <c r="V485" s="235">
        <f>IFERROR(__xludf.DUMMYFUNCTION("""COMPUTED_VALUE"""),100.0)</f>
        <v>100</v>
      </c>
      <c r="W485" s="235" t="str">
        <f>IFERROR(__xludf.DUMMYFUNCTION("""COMPUTED_VALUE"""),"-")</f>
        <v>-</v>
      </c>
      <c r="X485" s="235" t="str">
        <f>IFERROR(__xludf.DUMMYFUNCTION("""COMPUTED_VALUE"""),"-")</f>
        <v>-</v>
      </c>
      <c r="Y485" s="235"/>
      <c r="Z485" s="235" t="str">
        <f>IFERROR(__xludf.DUMMYFUNCTION("""COMPUTED_VALUE"""),"-")</f>
        <v>-</v>
      </c>
      <c r="AA485" s="235"/>
      <c r="AB485" s="235" t="str">
        <f>IFERROR(__xludf.DUMMYFUNCTION("""COMPUTED_VALUE"""),"dageki_1")</f>
        <v>dageki_1</v>
      </c>
      <c r="AC485" s="235"/>
    </row>
    <row r="486">
      <c r="A486" s="235"/>
      <c r="B486" s="235" t="str">
        <f>IFERROR(__xludf.DUMMYFUNCTION("""COMPUTED_VALUE"""),"enemy_jig_00301")</f>
        <v>enemy_jig_00301</v>
      </c>
      <c r="C486" s="254" t="str">
        <f>IFERROR(__xludf.DUMMYFUNCTION("""COMPUTED_VALUE"""),"_mainquest")</f>
        <v>_mainquest</v>
      </c>
      <c r="D486" s="254" t="str">
        <f>IFERROR(__xludf.DUMMYFUNCTION("""COMPUTED_VALUE"""),"e_jig_00301_mainquest_Boss_Colorless")</f>
        <v>e_jig_00301_mainquest_Boss_Colorless</v>
      </c>
      <c r="E486" s="254" t="str">
        <f>IFERROR(__xludf.DUMMYFUNCTION("""COMPUTED_VALUE"""),"地獄楽")</f>
        <v>地獄楽</v>
      </c>
      <c r="F486" s="254" t="str">
        <f>IFERROR(__xludf.DUMMYFUNCTION("""COMPUTED_VALUE"""),"竈神 魚")</f>
        <v>竈神 魚</v>
      </c>
      <c r="G486" s="254" t="str">
        <f>IFERROR(__xludf.DUMMYFUNCTION("""COMPUTED_VALUE"""),"竈神 魚_mainquest")</f>
        <v>竈神 魚_mainquest</v>
      </c>
      <c r="H486" s="235" t="str">
        <f>IFERROR(__xludf.DUMMYFUNCTION("""COMPUTED_VALUE"""),"Boss")</f>
        <v>Boss</v>
      </c>
      <c r="I486" s="235" t="str">
        <f>IFERROR(__xludf.DUMMYFUNCTION("""COMPUTED_VALUE"""),"Attack")</f>
        <v>Attack</v>
      </c>
      <c r="J486" s="235" t="str">
        <f>IFERROR(__xludf.DUMMYFUNCTION("""COMPUTED_VALUE"""),"Colorless")</f>
        <v>Colorless</v>
      </c>
      <c r="K486" s="235">
        <f>IFERROR(__xludf.DUMMYFUNCTION("""COMPUTED_VALUE"""),5000.0)</f>
        <v>5000</v>
      </c>
      <c r="L486" s="235">
        <f>IFERROR(__xludf.DUMMYFUNCTION("""COMPUTED_VALUE"""),3.0)</f>
        <v>3</v>
      </c>
      <c r="M486" s="235">
        <f>IFERROR(__xludf.DUMMYFUNCTION("""COMPUTED_VALUE"""),30.0)</f>
        <v>30</v>
      </c>
      <c r="N486" s="235">
        <f>IFERROR(__xludf.DUMMYFUNCTION("""COMPUTED_VALUE"""),0.2)</f>
        <v>0.2</v>
      </c>
      <c r="O486" s="235">
        <f>IFERROR(__xludf.DUMMYFUNCTION("""COMPUTED_VALUE"""),100.0)</f>
        <v>100</v>
      </c>
      <c r="P486" s="235">
        <f>IFERROR(__xludf.DUMMYFUNCTION("""COMPUTED_VALUE"""),0.0)</f>
        <v>0</v>
      </c>
      <c r="Q486" s="235">
        <f>IFERROR(__xludf.DUMMYFUNCTION("""COMPUTED_VALUE"""),0.21)</f>
        <v>0.21</v>
      </c>
      <c r="R486" s="235">
        <f>IFERROR(__xludf.DUMMYFUNCTION("""COMPUTED_VALUE"""),1.0)</f>
        <v>1</v>
      </c>
      <c r="S486" s="235">
        <f>IFERROR(__xludf.DUMMYFUNCTION("""COMPUTED_VALUE"""),400.0)</f>
        <v>400</v>
      </c>
      <c r="T486" s="244" t="str">
        <f>IFERROR(__xludf.DUMMYFUNCTION("""COMPUTED_VALUE"""),"1.50")</f>
        <v>1.50</v>
      </c>
      <c r="U486" s="235" t="str">
        <f>IFERROR(__xludf.DUMMYFUNCTION("""COMPUTED_VALUE"""),"0.66")</f>
        <v>0.66</v>
      </c>
      <c r="V486" s="235">
        <f>IFERROR(__xludf.DUMMYFUNCTION("""COMPUTED_VALUE"""),180.0)</f>
        <v>180</v>
      </c>
      <c r="W486" s="235" t="str">
        <f>IFERROR(__xludf.DUMMYFUNCTION("""COMPUTED_VALUE"""),"-")</f>
        <v>-</v>
      </c>
      <c r="X486" s="235" t="str">
        <f>IFERROR(__xludf.DUMMYFUNCTION("""COMPUTED_VALUE"""),"-")</f>
        <v>-</v>
      </c>
      <c r="Y486" s="235"/>
      <c r="Z486" s="235" t="str">
        <f>IFERROR(__xludf.DUMMYFUNCTION("""COMPUTED_VALUE"""),"-")</f>
        <v>-</v>
      </c>
      <c r="AA486" s="235"/>
      <c r="AB486" s="235" t="str">
        <f>IFERROR(__xludf.DUMMYFUNCTION("""COMPUTED_VALUE"""),"dageki_1")</f>
        <v>dageki_1</v>
      </c>
      <c r="AC486" s="235"/>
    </row>
    <row r="487">
      <c r="A487" s="235"/>
      <c r="B487" s="235" t="str">
        <f>IFERROR(__xludf.DUMMYFUNCTION("""COMPUTED_VALUE"""),"enemy_jig_00301")</f>
        <v>enemy_jig_00301</v>
      </c>
      <c r="C487" s="254" t="str">
        <f>IFERROR(__xludf.DUMMYFUNCTION("""COMPUTED_VALUE"""),"_mainquest")</f>
        <v>_mainquest</v>
      </c>
      <c r="D487" s="254" t="str">
        <f>IFERROR(__xludf.DUMMYFUNCTION("""COMPUTED_VALUE"""),"e_jig_00301_mainquest_Normal_Green")</f>
        <v>e_jig_00301_mainquest_Normal_Green</v>
      </c>
      <c r="E487" s="254" t="str">
        <f>IFERROR(__xludf.DUMMYFUNCTION("""COMPUTED_VALUE"""),"地獄楽")</f>
        <v>地獄楽</v>
      </c>
      <c r="F487" s="254" t="str">
        <f>IFERROR(__xludf.DUMMYFUNCTION("""COMPUTED_VALUE"""),"竈神 魚")</f>
        <v>竈神 魚</v>
      </c>
      <c r="G487" s="254" t="str">
        <f>IFERROR(__xludf.DUMMYFUNCTION("""COMPUTED_VALUE"""),"竈神 魚_mainquest")</f>
        <v>竈神 魚_mainquest</v>
      </c>
      <c r="H487" s="235" t="str">
        <f>IFERROR(__xludf.DUMMYFUNCTION("""COMPUTED_VALUE"""),"Normal")</f>
        <v>Normal</v>
      </c>
      <c r="I487" s="235" t="str">
        <f>IFERROR(__xludf.DUMMYFUNCTION("""COMPUTED_VALUE"""),"Attack")</f>
        <v>Attack</v>
      </c>
      <c r="J487" s="235" t="str">
        <f>IFERROR(__xludf.DUMMYFUNCTION("""COMPUTED_VALUE"""),"Green")</f>
        <v>Green</v>
      </c>
      <c r="K487" s="235">
        <f>IFERROR(__xludf.DUMMYFUNCTION("""COMPUTED_VALUE"""),5000.0)</f>
        <v>5000</v>
      </c>
      <c r="L487" s="235">
        <f>IFERROR(__xludf.DUMMYFUNCTION("""COMPUTED_VALUE"""),3.0)</f>
        <v>3</v>
      </c>
      <c r="M487" s="235">
        <f>IFERROR(__xludf.DUMMYFUNCTION("""COMPUTED_VALUE"""),35.0)</f>
        <v>35</v>
      </c>
      <c r="N487" s="235">
        <f>IFERROR(__xludf.DUMMYFUNCTION("""COMPUTED_VALUE"""),0.2)</f>
        <v>0.2</v>
      </c>
      <c r="O487" s="235">
        <f>IFERROR(__xludf.DUMMYFUNCTION("""COMPUTED_VALUE"""),100.0)</f>
        <v>100</v>
      </c>
      <c r="P487" s="235">
        <f>IFERROR(__xludf.DUMMYFUNCTION("""COMPUTED_VALUE"""),0.0)</f>
        <v>0</v>
      </c>
      <c r="Q487" s="235">
        <f>IFERROR(__xludf.DUMMYFUNCTION("""COMPUTED_VALUE"""),0.23)</f>
        <v>0.23</v>
      </c>
      <c r="R487" s="235">
        <f>IFERROR(__xludf.DUMMYFUNCTION("""COMPUTED_VALUE"""),1.0)</f>
        <v>1</v>
      </c>
      <c r="S487" s="235">
        <f>IFERROR(__xludf.DUMMYFUNCTION("""COMPUTED_VALUE"""),200.0)</f>
        <v>200</v>
      </c>
      <c r="T487" s="244" t="str">
        <f>IFERROR(__xludf.DUMMYFUNCTION("""COMPUTED_VALUE"""),"1.50")</f>
        <v>1.50</v>
      </c>
      <c r="U487" s="235" t="str">
        <f>IFERROR(__xludf.DUMMYFUNCTION("""COMPUTED_VALUE"""),"0.66")</f>
        <v>0.66</v>
      </c>
      <c r="V487" s="235">
        <f>IFERROR(__xludf.DUMMYFUNCTION("""COMPUTED_VALUE"""),10.0)</f>
        <v>10</v>
      </c>
      <c r="W487" s="235" t="str">
        <f>IFERROR(__xludf.DUMMYFUNCTION("""COMPUTED_VALUE"""),"-")</f>
        <v>-</v>
      </c>
      <c r="X487" s="235" t="str">
        <f>IFERROR(__xludf.DUMMYFUNCTION("""COMPUTED_VALUE"""),"-")</f>
        <v>-</v>
      </c>
      <c r="Y487" s="235"/>
      <c r="Z487" s="235" t="str">
        <f>IFERROR(__xludf.DUMMYFUNCTION("""COMPUTED_VALUE"""),"-")</f>
        <v>-</v>
      </c>
      <c r="AA487" s="235"/>
      <c r="AB487" s="235" t="str">
        <f>IFERROR(__xludf.DUMMYFUNCTION("""COMPUTED_VALUE"""),"dageki_1")</f>
        <v>dageki_1</v>
      </c>
      <c r="AC487" s="235"/>
    </row>
    <row r="488">
      <c r="A488" s="235"/>
      <c r="B488" s="235" t="str">
        <f>IFERROR(__xludf.DUMMYFUNCTION("""COMPUTED_VALUE"""),"enemy_jig_00301")</f>
        <v>enemy_jig_00301</v>
      </c>
      <c r="C488" s="254" t="str">
        <f>IFERROR(__xludf.DUMMYFUNCTION("""COMPUTED_VALUE"""),"_mainquest")</f>
        <v>_mainquest</v>
      </c>
      <c r="D488" s="254" t="str">
        <f>IFERROR(__xludf.DUMMYFUNCTION("""COMPUTED_VALUE"""),"e_jig_00301_mainquest_Boss_Green")</f>
        <v>e_jig_00301_mainquest_Boss_Green</v>
      </c>
      <c r="E488" s="254" t="str">
        <f>IFERROR(__xludf.DUMMYFUNCTION("""COMPUTED_VALUE"""),"地獄楽")</f>
        <v>地獄楽</v>
      </c>
      <c r="F488" s="254" t="str">
        <f>IFERROR(__xludf.DUMMYFUNCTION("""COMPUTED_VALUE"""),"竈神 魚")</f>
        <v>竈神 魚</v>
      </c>
      <c r="G488" s="254" t="str">
        <f>IFERROR(__xludf.DUMMYFUNCTION("""COMPUTED_VALUE"""),"竈神 魚_mainquest")</f>
        <v>竈神 魚_mainquest</v>
      </c>
      <c r="H488" s="235" t="str">
        <f>IFERROR(__xludf.DUMMYFUNCTION("""COMPUTED_VALUE"""),"Boss")</f>
        <v>Boss</v>
      </c>
      <c r="I488" s="235" t="str">
        <f>IFERROR(__xludf.DUMMYFUNCTION("""COMPUTED_VALUE"""),"Attack")</f>
        <v>Attack</v>
      </c>
      <c r="J488" s="235" t="str">
        <f>IFERROR(__xludf.DUMMYFUNCTION("""COMPUTED_VALUE"""),"Green")</f>
        <v>Green</v>
      </c>
      <c r="K488" s="235">
        <f>IFERROR(__xludf.DUMMYFUNCTION("""COMPUTED_VALUE"""),5000.0)</f>
        <v>5000</v>
      </c>
      <c r="L488" s="235">
        <f>IFERROR(__xludf.DUMMYFUNCTION("""COMPUTED_VALUE"""),3.0)</f>
        <v>3</v>
      </c>
      <c r="M488" s="235">
        <f>IFERROR(__xludf.DUMMYFUNCTION("""COMPUTED_VALUE"""),37.0)</f>
        <v>37</v>
      </c>
      <c r="N488" s="235">
        <f>IFERROR(__xludf.DUMMYFUNCTION("""COMPUTED_VALUE"""),0.22)</f>
        <v>0.22</v>
      </c>
      <c r="O488" s="235">
        <f>IFERROR(__xludf.DUMMYFUNCTION("""COMPUTED_VALUE"""),100.0)</f>
        <v>100</v>
      </c>
      <c r="P488" s="235">
        <f>IFERROR(__xludf.DUMMYFUNCTION("""COMPUTED_VALUE"""),0.0)</f>
        <v>0</v>
      </c>
      <c r="Q488" s="235">
        <f>IFERROR(__xludf.DUMMYFUNCTION("""COMPUTED_VALUE"""),0.23)</f>
        <v>0.23</v>
      </c>
      <c r="R488" s="235">
        <f>IFERROR(__xludf.DUMMYFUNCTION("""COMPUTED_VALUE"""),1.0)</f>
        <v>1</v>
      </c>
      <c r="S488" s="235">
        <f>IFERROR(__xludf.DUMMYFUNCTION("""COMPUTED_VALUE"""),500.0)</f>
        <v>500</v>
      </c>
      <c r="T488" s="244" t="str">
        <f>IFERROR(__xludf.DUMMYFUNCTION("""COMPUTED_VALUE"""),"1.50")</f>
        <v>1.50</v>
      </c>
      <c r="U488" s="235" t="str">
        <f>IFERROR(__xludf.DUMMYFUNCTION("""COMPUTED_VALUE"""),"0.66")</f>
        <v>0.66</v>
      </c>
      <c r="V488" s="235">
        <f>IFERROR(__xludf.DUMMYFUNCTION("""COMPUTED_VALUE"""),10.0)</f>
        <v>10</v>
      </c>
      <c r="W488" s="235" t="str">
        <f>IFERROR(__xludf.DUMMYFUNCTION("""COMPUTED_VALUE"""),"-")</f>
        <v>-</v>
      </c>
      <c r="X488" s="235" t="str">
        <f>IFERROR(__xludf.DUMMYFUNCTION("""COMPUTED_VALUE"""),"-")</f>
        <v>-</v>
      </c>
      <c r="Y488" s="235"/>
      <c r="Z488" s="235" t="str">
        <f>IFERROR(__xludf.DUMMYFUNCTION("""COMPUTED_VALUE"""),"-")</f>
        <v>-</v>
      </c>
      <c r="AA488" s="235"/>
      <c r="AB488" s="235" t="str">
        <f>IFERROR(__xludf.DUMMYFUNCTION("""COMPUTED_VALUE"""),"dageki_1")</f>
        <v>dageki_1</v>
      </c>
      <c r="AC488" s="235"/>
    </row>
    <row r="489">
      <c r="A489" s="235"/>
      <c r="B489" s="235"/>
      <c r="C489" s="254"/>
      <c r="D489" s="254" t="str">
        <f>IFERROR(__xludf.DUMMYFUNCTION("""COMPUTED_VALUE"""),"___")</f>
        <v>___</v>
      </c>
      <c r="E489" s="254" t="str">
        <f>IFERROR(__xludf.DUMMYFUNCTION("""COMPUTED_VALUE"""),"none")</f>
        <v>none</v>
      </c>
      <c r="F489" s="254" t="str">
        <f>IFERROR(__xludf.DUMMYFUNCTION("""COMPUTED_VALUE"""),"none")</f>
        <v>none</v>
      </c>
      <c r="G489" s="254" t="str">
        <f>IFERROR(__xludf.DUMMYFUNCTION("""COMPUTED_VALUE"""),"none")</f>
        <v>none</v>
      </c>
      <c r="H489" s="235"/>
      <c r="I489" s="235" t="str">
        <f>IFERROR(__xludf.DUMMYFUNCTION("""COMPUTED_VALUE"""),"none")</f>
        <v>none</v>
      </c>
      <c r="J489" s="235"/>
      <c r="K489" s="235"/>
      <c r="L489" s="235"/>
      <c r="M489" s="235"/>
      <c r="N489" s="235"/>
      <c r="O489" s="235"/>
      <c r="P489" s="235"/>
      <c r="Q489" s="235"/>
      <c r="R489" s="235"/>
      <c r="S489" s="235"/>
      <c r="T489" s="244" t="str">
        <f>IFERROR(__xludf.DUMMYFUNCTION("""COMPUTED_VALUE"""),"none")</f>
        <v>none</v>
      </c>
      <c r="U489" s="235" t="str">
        <f>IFERROR(__xludf.DUMMYFUNCTION("""COMPUTED_VALUE"""),"none")</f>
        <v>none</v>
      </c>
      <c r="V489" s="235"/>
      <c r="W489" s="235" t="str">
        <f>IFERROR(__xludf.DUMMYFUNCTION("""COMPUTED_VALUE"""),"none")</f>
        <v>none</v>
      </c>
      <c r="X489" s="235" t="str">
        <f>IFERROR(__xludf.DUMMYFUNCTION("""COMPUTED_VALUE"""),"none")</f>
        <v>none</v>
      </c>
      <c r="Y489" s="235"/>
      <c r="Z489" s="235" t="str">
        <f>IFERROR(__xludf.DUMMYFUNCTION("""COMPUTED_VALUE"""),"-")</f>
        <v>-</v>
      </c>
      <c r="AA489" s="235"/>
      <c r="AB489" s="235" t="str">
        <f>IFERROR(__xludf.DUMMYFUNCTION("""COMPUTED_VALUE"""),"none")</f>
        <v>none</v>
      </c>
      <c r="AC489" s="235"/>
    </row>
    <row r="490">
      <c r="A490" s="235"/>
      <c r="B490" s="235" t="str">
        <f>IFERROR(__xludf.DUMMYFUNCTION("""COMPUTED_VALUE"""),"chara_tak_00001")</f>
        <v>chara_tak_00001</v>
      </c>
      <c r="C490" s="254" t="str">
        <f>IFERROR(__xludf.DUMMYFUNCTION("""COMPUTED_VALUE"""),"_mainquest")</f>
        <v>_mainquest</v>
      </c>
      <c r="D490" s="254" t="str">
        <f>IFERROR(__xludf.DUMMYFUNCTION("""COMPUTED_VALUE"""),"c_tak_00001_mainquest_Boss_Yellow")</f>
        <v>c_tak_00001_mainquest_Boss_Yellow</v>
      </c>
      <c r="E490" s="254" t="str">
        <f>IFERROR(__xludf.DUMMYFUNCTION("""COMPUTED_VALUE"""),"タコピーの原罪")</f>
        <v>タコピーの原罪</v>
      </c>
      <c r="F490" s="254" t="str">
        <f>IFERROR(__xludf.DUMMYFUNCTION("""COMPUTED_VALUE"""),"ハッピー星からの使者 タコピー")</f>
        <v>ハッピー星からの使者 タコピー</v>
      </c>
      <c r="G490" s="254" t="str">
        <f>IFERROR(__xludf.DUMMYFUNCTION("""COMPUTED_VALUE"""),"ハッピー星からの使者 タコピー_mainquest")</f>
        <v>ハッピー星からの使者 タコピー_mainquest</v>
      </c>
      <c r="H490" s="235" t="str">
        <f>IFERROR(__xludf.DUMMYFUNCTION("""COMPUTED_VALUE"""),"Boss")</f>
        <v>Boss</v>
      </c>
      <c r="I490" s="235" t="str">
        <f>IFERROR(__xludf.DUMMYFUNCTION("""COMPUTED_VALUE"""),"Defense")</f>
        <v>Defense</v>
      </c>
      <c r="J490" s="235" t="str">
        <f>IFERROR(__xludf.DUMMYFUNCTION("""COMPUTED_VALUE"""),"Yellow")</f>
        <v>Yellow</v>
      </c>
      <c r="K490" s="235">
        <f>IFERROR(__xludf.DUMMYFUNCTION("""COMPUTED_VALUE"""),10000.0)</f>
        <v>10000</v>
      </c>
      <c r="L490" s="235">
        <f>IFERROR(__xludf.DUMMYFUNCTION("""COMPUTED_VALUE"""),2.0)</f>
        <v>2</v>
      </c>
      <c r="M490" s="235">
        <f>IFERROR(__xludf.DUMMYFUNCTION("""COMPUTED_VALUE"""),25.0)</f>
        <v>25</v>
      </c>
      <c r="N490" s="235">
        <f>IFERROR(__xludf.DUMMYFUNCTION("""COMPUTED_VALUE"""),0.17)</f>
        <v>0.17</v>
      </c>
      <c r="O490" s="235">
        <f>IFERROR(__xludf.DUMMYFUNCTION("""COMPUTED_VALUE"""),300.0)</f>
        <v>300</v>
      </c>
      <c r="P490" s="235">
        <f>IFERROR(__xludf.DUMMYFUNCTION("""COMPUTED_VALUE"""),0.0)</f>
        <v>0</v>
      </c>
      <c r="Q490" s="235">
        <f>IFERROR(__xludf.DUMMYFUNCTION("""COMPUTED_VALUE"""),0.18)</f>
        <v>0.18</v>
      </c>
      <c r="R490" s="235">
        <f>IFERROR(__xludf.DUMMYFUNCTION("""COMPUTED_VALUE"""),1.0)</f>
        <v>1</v>
      </c>
      <c r="S490" s="235">
        <f>IFERROR(__xludf.DUMMYFUNCTION("""COMPUTED_VALUE"""),400.0)</f>
        <v>400</v>
      </c>
      <c r="T490" s="244" t="str">
        <f>IFERROR(__xludf.DUMMYFUNCTION("""COMPUTED_VALUE"""),"1.00")</f>
        <v>1.00</v>
      </c>
      <c r="U490" s="235" t="str">
        <f>IFERROR(__xludf.DUMMYFUNCTION("""COMPUTED_VALUE"""),"0.44")</f>
        <v>0.44</v>
      </c>
      <c r="V490" s="235">
        <f>IFERROR(__xludf.DUMMYFUNCTION("""COMPUTED_VALUE"""),50.0)</f>
        <v>50</v>
      </c>
      <c r="W490" s="235" t="str">
        <f>IFERROR(__xludf.DUMMYFUNCTION("""COMPUTED_VALUE"""),"3.34")</f>
        <v>3.34</v>
      </c>
      <c r="X490" s="235" t="str">
        <f>IFERROR(__xludf.DUMMYFUNCTION("""COMPUTED_VALUE"""),"0.75")</f>
        <v>0.75</v>
      </c>
      <c r="Y490" s="235" t="str">
        <f>IFERROR(__xludf.DUMMYFUNCTION("""COMPUTED_VALUE"""),"ダメージ軽減")</f>
        <v>ダメージ軽減</v>
      </c>
      <c r="Z490" s="235">
        <f>IFERROR(__xludf.DUMMYFUNCTION("""COMPUTED_VALUE"""),5.0)</f>
        <v>5</v>
      </c>
      <c r="AA490" s="235"/>
      <c r="AB490" s="235" t="str">
        <f>IFERROR(__xludf.DUMMYFUNCTION("""COMPUTED_VALUE"""),"dageki_1")</f>
        <v>dageki_1</v>
      </c>
      <c r="AC490" s="235"/>
    </row>
    <row r="491">
      <c r="A491" s="235"/>
      <c r="B491" s="235" t="str">
        <f>IFERROR(__xludf.DUMMYFUNCTION("""COMPUTED_VALUE"""),"chara_tak_00001")</f>
        <v>chara_tak_00001</v>
      </c>
      <c r="C491" s="254" t="str">
        <f>IFERROR(__xludf.DUMMYFUNCTION("""COMPUTED_VALUE"""),"_mainquest")</f>
        <v>_mainquest</v>
      </c>
      <c r="D491" s="254" t="str">
        <f>IFERROR(__xludf.DUMMYFUNCTION("""COMPUTED_VALUE"""),"c_tak_00001_mainquest_Boss_Blue")</f>
        <v>c_tak_00001_mainquest_Boss_Blue</v>
      </c>
      <c r="E491" s="254" t="str">
        <f>IFERROR(__xludf.DUMMYFUNCTION("""COMPUTED_VALUE"""),"タコピーの原罪")</f>
        <v>タコピーの原罪</v>
      </c>
      <c r="F491" s="254" t="str">
        <f>IFERROR(__xludf.DUMMYFUNCTION("""COMPUTED_VALUE"""),"ハッピー星からの使者 タコピー")</f>
        <v>ハッピー星からの使者 タコピー</v>
      </c>
      <c r="G491" s="254" t="str">
        <f>IFERROR(__xludf.DUMMYFUNCTION("""COMPUTED_VALUE"""),"ハッピー星からの使者 タコピー_mainquest")</f>
        <v>ハッピー星からの使者 タコピー_mainquest</v>
      </c>
      <c r="H491" s="235" t="str">
        <f>IFERROR(__xludf.DUMMYFUNCTION("""COMPUTED_VALUE"""),"Boss")</f>
        <v>Boss</v>
      </c>
      <c r="I491" s="235" t="str">
        <f>IFERROR(__xludf.DUMMYFUNCTION("""COMPUTED_VALUE"""),"Defense")</f>
        <v>Defense</v>
      </c>
      <c r="J491" s="235" t="str">
        <f>IFERROR(__xludf.DUMMYFUNCTION("""COMPUTED_VALUE"""),"Blue")</f>
        <v>Blue</v>
      </c>
      <c r="K491" s="235">
        <f>IFERROR(__xludf.DUMMYFUNCTION("""COMPUTED_VALUE"""),10000.0)</f>
        <v>10000</v>
      </c>
      <c r="L491" s="235">
        <f>IFERROR(__xludf.DUMMYFUNCTION("""COMPUTED_VALUE"""),2.0)</f>
        <v>2</v>
      </c>
      <c r="M491" s="235">
        <f>IFERROR(__xludf.DUMMYFUNCTION("""COMPUTED_VALUE"""),25.0)</f>
        <v>25</v>
      </c>
      <c r="N491" s="235">
        <f>IFERROR(__xludf.DUMMYFUNCTION("""COMPUTED_VALUE"""),0.17)</f>
        <v>0.17</v>
      </c>
      <c r="O491" s="235">
        <f>IFERROR(__xludf.DUMMYFUNCTION("""COMPUTED_VALUE"""),300.0)</f>
        <v>300</v>
      </c>
      <c r="P491" s="235">
        <f>IFERROR(__xludf.DUMMYFUNCTION("""COMPUTED_VALUE"""),0.0)</f>
        <v>0</v>
      </c>
      <c r="Q491" s="235">
        <f>IFERROR(__xludf.DUMMYFUNCTION("""COMPUTED_VALUE"""),0.18)</f>
        <v>0.18</v>
      </c>
      <c r="R491" s="235">
        <f>IFERROR(__xludf.DUMMYFUNCTION("""COMPUTED_VALUE"""),1.0)</f>
        <v>1</v>
      </c>
      <c r="S491" s="235">
        <f>IFERROR(__xludf.DUMMYFUNCTION("""COMPUTED_VALUE"""),400.0)</f>
        <v>400</v>
      </c>
      <c r="T491" s="244" t="str">
        <f>IFERROR(__xludf.DUMMYFUNCTION("""COMPUTED_VALUE"""),"1.00")</f>
        <v>1.00</v>
      </c>
      <c r="U491" s="235" t="str">
        <f>IFERROR(__xludf.DUMMYFUNCTION("""COMPUTED_VALUE"""),"0.44")</f>
        <v>0.44</v>
      </c>
      <c r="V491" s="235">
        <f>IFERROR(__xludf.DUMMYFUNCTION("""COMPUTED_VALUE"""),50.0)</f>
        <v>50</v>
      </c>
      <c r="W491" s="235" t="str">
        <f>IFERROR(__xludf.DUMMYFUNCTION("""COMPUTED_VALUE"""),"3.34")</f>
        <v>3.34</v>
      </c>
      <c r="X491" s="235" t="str">
        <f>IFERROR(__xludf.DUMMYFUNCTION("""COMPUTED_VALUE"""),"0.75")</f>
        <v>0.75</v>
      </c>
      <c r="Y491" s="235" t="str">
        <f>IFERROR(__xludf.DUMMYFUNCTION("""COMPUTED_VALUE"""),"ダメージ軽減")</f>
        <v>ダメージ軽減</v>
      </c>
      <c r="Z491" s="235">
        <f>IFERROR(__xludf.DUMMYFUNCTION("""COMPUTED_VALUE"""),5.0)</f>
        <v>5</v>
      </c>
      <c r="AA491" s="235"/>
      <c r="AB491" s="235" t="str">
        <f>IFERROR(__xludf.DUMMYFUNCTION("""COMPUTED_VALUE"""),"dageki_1")</f>
        <v>dageki_1</v>
      </c>
      <c r="AC491" s="235"/>
    </row>
    <row r="492">
      <c r="A492" s="235"/>
      <c r="B492" s="235" t="str">
        <f>IFERROR(__xludf.DUMMYFUNCTION("""COMPUTED_VALUE"""),"chara_tak_00001")</f>
        <v>chara_tak_00001</v>
      </c>
      <c r="C492" s="254" t="str">
        <f>IFERROR(__xludf.DUMMYFUNCTION("""COMPUTED_VALUE"""),"_mainquest")</f>
        <v>_mainquest</v>
      </c>
      <c r="D492" s="254" t="str">
        <f>IFERROR(__xludf.DUMMYFUNCTION("""COMPUTED_VALUE"""),"c_tak_00001_mainquest_Boss_Green")</f>
        <v>c_tak_00001_mainquest_Boss_Green</v>
      </c>
      <c r="E492" s="254" t="str">
        <f>IFERROR(__xludf.DUMMYFUNCTION("""COMPUTED_VALUE"""),"タコピーの原罪")</f>
        <v>タコピーの原罪</v>
      </c>
      <c r="F492" s="254" t="str">
        <f>IFERROR(__xludf.DUMMYFUNCTION("""COMPUTED_VALUE"""),"ハッピー星からの使者 タコピー")</f>
        <v>ハッピー星からの使者 タコピー</v>
      </c>
      <c r="G492" s="254" t="str">
        <f>IFERROR(__xludf.DUMMYFUNCTION("""COMPUTED_VALUE"""),"ハッピー星からの使者 タコピー_mainquest")</f>
        <v>ハッピー星からの使者 タコピー_mainquest</v>
      </c>
      <c r="H492" s="235" t="str">
        <f>IFERROR(__xludf.DUMMYFUNCTION("""COMPUTED_VALUE"""),"Boss")</f>
        <v>Boss</v>
      </c>
      <c r="I492" s="235" t="str">
        <f>IFERROR(__xludf.DUMMYFUNCTION("""COMPUTED_VALUE"""),"Defense")</f>
        <v>Defense</v>
      </c>
      <c r="J492" s="235" t="str">
        <f>IFERROR(__xludf.DUMMYFUNCTION("""COMPUTED_VALUE"""),"Green")</f>
        <v>Green</v>
      </c>
      <c r="K492" s="235">
        <f>IFERROR(__xludf.DUMMYFUNCTION("""COMPUTED_VALUE"""),10000.0)</f>
        <v>10000</v>
      </c>
      <c r="L492" s="235">
        <f>IFERROR(__xludf.DUMMYFUNCTION("""COMPUTED_VALUE"""),2.0)</f>
        <v>2</v>
      </c>
      <c r="M492" s="235">
        <f>IFERROR(__xludf.DUMMYFUNCTION("""COMPUTED_VALUE"""),25.0)</f>
        <v>25</v>
      </c>
      <c r="N492" s="235">
        <f>IFERROR(__xludf.DUMMYFUNCTION("""COMPUTED_VALUE"""),0.17)</f>
        <v>0.17</v>
      </c>
      <c r="O492" s="235">
        <f>IFERROR(__xludf.DUMMYFUNCTION("""COMPUTED_VALUE"""),300.0)</f>
        <v>300</v>
      </c>
      <c r="P492" s="235">
        <f>IFERROR(__xludf.DUMMYFUNCTION("""COMPUTED_VALUE"""),0.0)</f>
        <v>0</v>
      </c>
      <c r="Q492" s="235">
        <f>IFERROR(__xludf.DUMMYFUNCTION("""COMPUTED_VALUE"""),0.18)</f>
        <v>0.18</v>
      </c>
      <c r="R492" s="235">
        <f>IFERROR(__xludf.DUMMYFUNCTION("""COMPUTED_VALUE"""),1.0)</f>
        <v>1</v>
      </c>
      <c r="S492" s="235">
        <f>IFERROR(__xludf.DUMMYFUNCTION("""COMPUTED_VALUE"""),400.0)</f>
        <v>400</v>
      </c>
      <c r="T492" s="244" t="str">
        <f>IFERROR(__xludf.DUMMYFUNCTION("""COMPUTED_VALUE"""),"1.00")</f>
        <v>1.00</v>
      </c>
      <c r="U492" s="235" t="str">
        <f>IFERROR(__xludf.DUMMYFUNCTION("""COMPUTED_VALUE"""),"0.44")</f>
        <v>0.44</v>
      </c>
      <c r="V492" s="235">
        <f>IFERROR(__xludf.DUMMYFUNCTION("""COMPUTED_VALUE"""),50.0)</f>
        <v>50</v>
      </c>
      <c r="W492" s="235" t="str">
        <f>IFERROR(__xludf.DUMMYFUNCTION("""COMPUTED_VALUE"""),"3.34")</f>
        <v>3.34</v>
      </c>
      <c r="X492" s="235" t="str">
        <f>IFERROR(__xludf.DUMMYFUNCTION("""COMPUTED_VALUE"""),"0.75")</f>
        <v>0.75</v>
      </c>
      <c r="Y492" s="235" t="str">
        <f>IFERROR(__xludf.DUMMYFUNCTION("""COMPUTED_VALUE"""),"ダメージ軽減")</f>
        <v>ダメージ軽減</v>
      </c>
      <c r="Z492" s="235">
        <f>IFERROR(__xludf.DUMMYFUNCTION("""COMPUTED_VALUE"""),5.0)</f>
        <v>5</v>
      </c>
      <c r="AA492" s="235"/>
      <c r="AB492" s="235" t="str">
        <f>IFERROR(__xludf.DUMMYFUNCTION("""COMPUTED_VALUE"""),"dageki_1")</f>
        <v>dageki_1</v>
      </c>
      <c r="AC492" s="235"/>
    </row>
    <row r="493">
      <c r="A493" s="235"/>
      <c r="B493" s="235" t="str">
        <f>IFERROR(__xludf.DUMMYFUNCTION("""COMPUTED_VALUE"""),"chara_tak_00001")</f>
        <v>chara_tak_00001</v>
      </c>
      <c r="C493" s="254" t="str">
        <f>IFERROR(__xludf.DUMMYFUNCTION("""COMPUTED_VALUE"""),"_mainquest_spytrans_loid")</f>
        <v>_mainquest_spytrans_loid</v>
      </c>
      <c r="D493" s="254" t="str">
        <f>IFERROR(__xludf.DUMMYFUNCTION("""COMPUTED_VALUE"""),"c_tak_00001_mainquest_spytrans_loid_Boss_Colorless")</f>
        <v>c_tak_00001_mainquest_spytrans_loid_Boss_Colorless</v>
      </c>
      <c r="E493" s="254" t="str">
        <f>IFERROR(__xludf.DUMMYFUNCTION("""COMPUTED_VALUE"""),"タコピーの原罪")</f>
        <v>タコピーの原罪</v>
      </c>
      <c r="F493" s="254" t="str">
        <f>IFERROR(__xludf.DUMMYFUNCTION("""COMPUTED_VALUE"""),"ハッピー星からの使者 タコピー")</f>
        <v>ハッピー星からの使者 タコピー</v>
      </c>
      <c r="G493" s="254" t="str">
        <f>IFERROR(__xludf.DUMMYFUNCTION("""COMPUTED_VALUE"""),"ハッピー星からの使者 タコピー_mainquest_spytrans_loid")</f>
        <v>ハッピー星からの使者 タコピー_mainquest_spytrans_loid</v>
      </c>
      <c r="H493" s="235" t="str">
        <f>IFERROR(__xludf.DUMMYFUNCTION("""COMPUTED_VALUE"""),"Boss")</f>
        <v>Boss</v>
      </c>
      <c r="I493" s="235" t="str">
        <f>IFERROR(__xludf.DUMMYFUNCTION("""COMPUTED_VALUE"""),"Defense")</f>
        <v>Defense</v>
      </c>
      <c r="J493" s="235" t="str">
        <f>IFERROR(__xludf.DUMMYFUNCTION("""COMPUTED_VALUE"""),"Colorless")</f>
        <v>Colorless</v>
      </c>
      <c r="K493" s="235">
        <f>IFERROR(__xludf.DUMMYFUNCTION("""COMPUTED_VALUE"""),10000.0)</f>
        <v>10000</v>
      </c>
      <c r="L493" s="235">
        <f>IFERROR(__xludf.DUMMYFUNCTION("""COMPUTED_VALUE"""),2.0)</f>
        <v>2</v>
      </c>
      <c r="M493" s="235">
        <f>IFERROR(__xludf.DUMMYFUNCTION("""COMPUTED_VALUE"""),25.0)</f>
        <v>25</v>
      </c>
      <c r="N493" s="235">
        <f>IFERROR(__xludf.DUMMYFUNCTION("""COMPUTED_VALUE"""),0.17)</f>
        <v>0.17</v>
      </c>
      <c r="O493" s="235">
        <f>IFERROR(__xludf.DUMMYFUNCTION("""COMPUTED_VALUE"""),300.0)</f>
        <v>300</v>
      </c>
      <c r="P493" s="235">
        <f>IFERROR(__xludf.DUMMYFUNCTION("""COMPUTED_VALUE"""),0.0)</f>
        <v>0</v>
      </c>
      <c r="Q493" s="235">
        <f>IFERROR(__xludf.DUMMYFUNCTION("""COMPUTED_VALUE"""),0.18)</f>
        <v>0.18</v>
      </c>
      <c r="R493" s="235">
        <f>IFERROR(__xludf.DUMMYFUNCTION("""COMPUTED_VALUE"""),1.0)</f>
        <v>1</v>
      </c>
      <c r="S493" s="235">
        <f>IFERROR(__xludf.DUMMYFUNCTION("""COMPUTED_VALUE"""),200.0)</f>
        <v>200</v>
      </c>
      <c r="T493" s="244" t="str">
        <f>IFERROR(__xludf.DUMMYFUNCTION("""COMPUTED_VALUE"""),"1.00")</f>
        <v>1.00</v>
      </c>
      <c r="U493" s="235" t="str">
        <f>IFERROR(__xludf.DUMMYFUNCTION("""COMPUTED_VALUE"""),"0.44")</f>
        <v>0.44</v>
      </c>
      <c r="V493" s="235">
        <f>IFERROR(__xludf.DUMMYFUNCTION("""COMPUTED_VALUE"""),50.0)</f>
        <v>50</v>
      </c>
      <c r="W493" s="235" t="str">
        <f>IFERROR(__xludf.DUMMYFUNCTION("""COMPUTED_VALUE"""),"3.34")</f>
        <v>3.34</v>
      </c>
      <c r="X493" s="235" t="str">
        <f>IFERROR(__xludf.DUMMYFUNCTION("""COMPUTED_VALUE"""),"0.75")</f>
        <v>0.75</v>
      </c>
      <c r="Y493" s="235"/>
      <c r="Z493" s="235" t="str">
        <f>IFERROR(__xludf.DUMMYFUNCTION("""COMPUTED_VALUE"""),"-")</f>
        <v>-</v>
      </c>
      <c r="AA493" s="235"/>
      <c r="AB493" s="235" t="str">
        <f>IFERROR(__xludf.DUMMYFUNCTION("""COMPUTED_VALUE"""),"dageki_1")</f>
        <v>dageki_1</v>
      </c>
      <c r="AC493" s="235"/>
    </row>
    <row r="494">
      <c r="A494" s="235"/>
      <c r="B494" s="235" t="str">
        <f>IFERROR(__xludf.DUMMYFUNCTION("""COMPUTED_VALUE"""),"chara_spy_00101")</f>
        <v>chara_spy_00101</v>
      </c>
      <c r="C494" s="254" t="str">
        <f>IFERROR(__xludf.DUMMYFUNCTION("""COMPUTED_VALUE"""),"_mainquest_tak_transA2")</f>
        <v>_mainquest_tak_transA2</v>
      </c>
      <c r="D494" s="254" t="str">
        <f>IFERROR(__xludf.DUMMYFUNCTION("""COMPUTED_VALUE"""),"c_spy_00101_mainquest_tak_transA2_Normal_Blue")</f>
        <v>c_spy_00101_mainquest_tak_transA2_Normal_Blue</v>
      </c>
      <c r="E494" s="254" t="str">
        <f>IFERROR(__xludf.DUMMYFUNCTION("""COMPUTED_VALUE"""),"SPY×FAMILY")</f>
        <v>SPY×FAMILY</v>
      </c>
      <c r="F494" s="254" t="str">
        <f>IFERROR(__xludf.DUMMYFUNCTION("""COMPUTED_VALUE"""),"&lt;黄昏&gt; ロイド")</f>
        <v>&lt;黄昏&gt; ロイド</v>
      </c>
      <c r="G494" s="254" t="str">
        <f>IFERROR(__xludf.DUMMYFUNCTION("""COMPUTED_VALUE"""),"&lt;黄昏&gt; ロイド_mainquest_tak_transA2")</f>
        <v>&lt;黄昏&gt; ロイド_mainquest_tak_transA2</v>
      </c>
      <c r="H494" s="235" t="str">
        <f>IFERROR(__xludf.DUMMYFUNCTION("""COMPUTED_VALUE"""),"Normal")</f>
        <v>Normal</v>
      </c>
      <c r="I494" s="235" t="str">
        <f>IFERROR(__xludf.DUMMYFUNCTION("""COMPUTED_VALUE"""),"Attack")</f>
        <v>Attack</v>
      </c>
      <c r="J494" s="235" t="str">
        <f>IFERROR(__xludf.DUMMYFUNCTION("""COMPUTED_VALUE"""),"Blue")</f>
        <v>Blue</v>
      </c>
      <c r="K494" s="235">
        <f>IFERROR(__xludf.DUMMYFUNCTION("""COMPUTED_VALUE"""),50000.0)</f>
        <v>50000</v>
      </c>
      <c r="L494" s="235">
        <f>IFERROR(__xludf.DUMMYFUNCTION("""COMPUTED_VALUE"""),2.0)</f>
        <v>2</v>
      </c>
      <c r="M494" s="235">
        <f>IFERROR(__xludf.DUMMYFUNCTION("""COMPUTED_VALUE"""),34.0)</f>
        <v>34</v>
      </c>
      <c r="N494" s="235">
        <f>IFERROR(__xludf.DUMMYFUNCTION("""COMPUTED_VALUE"""),0.4)</f>
        <v>0.4</v>
      </c>
      <c r="O494" s="235">
        <f>IFERROR(__xludf.DUMMYFUNCTION("""COMPUTED_VALUE"""),500.0)</f>
        <v>500</v>
      </c>
      <c r="P494" s="235">
        <f>IFERROR(__xludf.DUMMYFUNCTION("""COMPUTED_VALUE"""),0.0)</f>
        <v>0</v>
      </c>
      <c r="Q494" s="235">
        <f>IFERROR(__xludf.DUMMYFUNCTION("""COMPUTED_VALUE"""),0.41)</f>
        <v>0.41</v>
      </c>
      <c r="R494" s="235">
        <f>IFERROR(__xludf.DUMMYFUNCTION("""COMPUTED_VALUE"""),1.0)</f>
        <v>1</v>
      </c>
      <c r="S494" s="235">
        <f>IFERROR(__xludf.DUMMYFUNCTION("""COMPUTED_VALUE"""),200.0)</f>
        <v>200</v>
      </c>
      <c r="T494" s="244" t="str">
        <f>IFERROR(__xludf.DUMMYFUNCTION("""COMPUTED_VALUE"""),"1.64")</f>
        <v>1.64</v>
      </c>
      <c r="U494" s="235" t="str">
        <f>IFERROR(__xludf.DUMMYFUNCTION("""COMPUTED_VALUE"""),"0.83")</f>
        <v>0.83</v>
      </c>
      <c r="V494" s="235">
        <f>IFERROR(__xludf.DUMMYFUNCTION("""COMPUTED_VALUE"""),100.0)</f>
        <v>100</v>
      </c>
      <c r="W494" s="235" t="str">
        <f>IFERROR(__xludf.DUMMYFUNCTION("""COMPUTED_VALUE"""),"2.50")</f>
        <v>2.50</v>
      </c>
      <c r="X494" s="235" t="str">
        <f>IFERROR(__xludf.DUMMYFUNCTION("""COMPUTED_VALUE"""),"1.33")</f>
        <v>1.33</v>
      </c>
      <c r="Y494" s="235" t="str">
        <f>IFERROR(__xludf.DUMMYFUNCTION("""COMPUTED_VALUE"""),"単体に300%ダメージ")</f>
        <v>単体に300%ダメージ</v>
      </c>
      <c r="Z494" s="235">
        <f>IFERROR(__xludf.DUMMYFUNCTION("""COMPUTED_VALUE"""),4.0)</f>
        <v>4</v>
      </c>
      <c r="AA494" s="235"/>
      <c r="AB494" s="235" t="str">
        <f>IFERROR(__xludf.DUMMYFUNCTION("""COMPUTED_VALUE"""),"shageki_1")</f>
        <v>shageki_1</v>
      </c>
      <c r="AC494" s="235"/>
    </row>
    <row r="495">
      <c r="A495" s="235"/>
      <c r="B495" s="235" t="str">
        <f>IFERROR(__xludf.DUMMYFUNCTION("""COMPUTED_VALUE"""),"chara_tak_00001")</f>
        <v>chara_tak_00001</v>
      </c>
      <c r="C495" s="254" t="str">
        <f>IFERROR(__xludf.DUMMYFUNCTION("""COMPUTED_VALUE"""),"_mainquest_spytrans_zanto")</f>
        <v>_mainquest_spytrans_zanto</v>
      </c>
      <c r="D495" s="254" t="str">
        <f>IFERROR(__xludf.DUMMYFUNCTION("""COMPUTED_VALUE"""),"c_tak_00001_mainquest_spytrans_zanto_Normal_Colorless")</f>
        <v>c_tak_00001_mainquest_spytrans_zanto_Normal_Colorless</v>
      </c>
      <c r="E495" s="254" t="str">
        <f>IFERROR(__xludf.DUMMYFUNCTION("""COMPUTED_VALUE"""),"タコピーの原罪")</f>
        <v>タコピーの原罪</v>
      </c>
      <c r="F495" s="254" t="str">
        <f>IFERROR(__xludf.DUMMYFUNCTION("""COMPUTED_VALUE"""),"ハッピー星からの使者 タコピー")</f>
        <v>ハッピー星からの使者 タコピー</v>
      </c>
      <c r="G495" s="254" t="str">
        <f>IFERROR(__xludf.DUMMYFUNCTION("""COMPUTED_VALUE"""),"ハッピー星からの使者 タコピー_mainquest_spytrans_zanto")</f>
        <v>ハッピー星からの使者 タコピー_mainquest_spytrans_zanto</v>
      </c>
      <c r="H495" s="235" t="str">
        <f>IFERROR(__xludf.DUMMYFUNCTION("""COMPUTED_VALUE"""),"Normal")</f>
        <v>Normal</v>
      </c>
      <c r="I495" s="235" t="str">
        <f>IFERROR(__xludf.DUMMYFUNCTION("""COMPUTED_VALUE"""),"Defense")</f>
        <v>Defense</v>
      </c>
      <c r="J495" s="235" t="str">
        <f>IFERROR(__xludf.DUMMYFUNCTION("""COMPUTED_VALUE"""),"Colorless")</f>
        <v>Colorless</v>
      </c>
      <c r="K495" s="235">
        <f>IFERROR(__xludf.DUMMYFUNCTION("""COMPUTED_VALUE"""),10000.0)</f>
        <v>10000</v>
      </c>
      <c r="L495" s="235">
        <f>IFERROR(__xludf.DUMMYFUNCTION("""COMPUTED_VALUE"""),2.0)</f>
        <v>2</v>
      </c>
      <c r="M495" s="235">
        <f>IFERROR(__xludf.DUMMYFUNCTION("""COMPUTED_VALUE"""),25.0)</f>
        <v>25</v>
      </c>
      <c r="N495" s="235">
        <f>IFERROR(__xludf.DUMMYFUNCTION("""COMPUTED_VALUE"""),0.17)</f>
        <v>0.17</v>
      </c>
      <c r="O495" s="235">
        <f>IFERROR(__xludf.DUMMYFUNCTION("""COMPUTED_VALUE"""),300.0)</f>
        <v>300</v>
      </c>
      <c r="P495" s="235">
        <f>IFERROR(__xludf.DUMMYFUNCTION("""COMPUTED_VALUE"""),0.0)</f>
        <v>0</v>
      </c>
      <c r="Q495" s="235">
        <f>IFERROR(__xludf.DUMMYFUNCTION("""COMPUTED_VALUE"""),0.18)</f>
        <v>0.18</v>
      </c>
      <c r="R495" s="235">
        <f>IFERROR(__xludf.DUMMYFUNCTION("""COMPUTED_VALUE"""),1.0)</f>
        <v>1</v>
      </c>
      <c r="S495" s="235">
        <f>IFERROR(__xludf.DUMMYFUNCTION("""COMPUTED_VALUE"""),200.0)</f>
        <v>200</v>
      </c>
      <c r="T495" s="244" t="str">
        <f>IFERROR(__xludf.DUMMYFUNCTION("""COMPUTED_VALUE"""),"1.00")</f>
        <v>1.00</v>
      </c>
      <c r="U495" s="235" t="str">
        <f>IFERROR(__xludf.DUMMYFUNCTION("""COMPUTED_VALUE"""),"0.44")</f>
        <v>0.44</v>
      </c>
      <c r="V495" s="235">
        <f>IFERROR(__xludf.DUMMYFUNCTION("""COMPUTED_VALUE"""),50.0)</f>
        <v>50</v>
      </c>
      <c r="W495" s="235" t="str">
        <f>IFERROR(__xludf.DUMMYFUNCTION("""COMPUTED_VALUE"""),"3.34")</f>
        <v>3.34</v>
      </c>
      <c r="X495" s="235" t="str">
        <f>IFERROR(__xludf.DUMMYFUNCTION("""COMPUTED_VALUE"""),"0.75")</f>
        <v>0.75</v>
      </c>
      <c r="Y495" s="235"/>
      <c r="Z495" s="235" t="str">
        <f>IFERROR(__xludf.DUMMYFUNCTION("""COMPUTED_VALUE"""),"-")</f>
        <v>-</v>
      </c>
      <c r="AA495" s="235"/>
      <c r="AB495" s="235" t="str">
        <f>IFERROR(__xludf.DUMMYFUNCTION("""COMPUTED_VALUE"""),"dageki_1")</f>
        <v>dageki_1</v>
      </c>
      <c r="AC495" s="235"/>
    </row>
    <row r="496">
      <c r="A496" s="235"/>
      <c r="B496" s="235" t="str">
        <f>IFERROR(__xludf.DUMMYFUNCTION("""COMPUTED_VALUE"""),"enemy_spy_00001")</f>
        <v>enemy_spy_00001</v>
      </c>
      <c r="C496" s="254" t="str">
        <f>IFERROR(__xludf.DUMMYFUNCTION("""COMPUTED_VALUE"""),"_mainquest_tak_transA1")</f>
        <v>_mainquest_tak_transA1</v>
      </c>
      <c r="D496" s="254" t="str">
        <f>IFERROR(__xludf.DUMMYFUNCTION("""COMPUTED_VALUE"""),"e_spy_00001_mainquest_tak_transA1_Normal_Blue")</f>
        <v>e_spy_00001_mainquest_tak_transA1_Normal_Blue</v>
      </c>
      <c r="E496" s="254" t="str">
        <f>IFERROR(__xludf.DUMMYFUNCTION("""COMPUTED_VALUE"""),"SPY×FAMILY")</f>
        <v>SPY×FAMILY</v>
      </c>
      <c r="F496" s="254" t="str">
        <f>IFERROR(__xludf.DUMMYFUNCTION("""COMPUTED_VALUE"""),"密輸組織の残党")</f>
        <v>密輸組織の残党</v>
      </c>
      <c r="G496" s="254" t="str">
        <f>IFERROR(__xludf.DUMMYFUNCTION("""COMPUTED_VALUE"""),"密輸組織の残党_mainquest_tak_transA1")</f>
        <v>密輸組織の残党_mainquest_tak_transA1</v>
      </c>
      <c r="H496" s="235" t="str">
        <f>IFERROR(__xludf.DUMMYFUNCTION("""COMPUTED_VALUE"""),"Normal")</f>
        <v>Normal</v>
      </c>
      <c r="I496" s="235" t="str">
        <f>IFERROR(__xludf.DUMMYFUNCTION("""COMPUTED_VALUE"""),"Defense")</f>
        <v>Defense</v>
      </c>
      <c r="J496" s="235" t="str">
        <f>IFERROR(__xludf.DUMMYFUNCTION("""COMPUTED_VALUE"""),"Blue")</f>
        <v>Blue</v>
      </c>
      <c r="K496" s="235">
        <f>IFERROR(__xludf.DUMMYFUNCTION("""COMPUTED_VALUE"""),25000.0)</f>
        <v>25000</v>
      </c>
      <c r="L496" s="235">
        <f>IFERROR(__xludf.DUMMYFUNCTION("""COMPUTED_VALUE"""),2.0)</f>
        <v>2</v>
      </c>
      <c r="M496" s="235">
        <f>IFERROR(__xludf.DUMMYFUNCTION("""COMPUTED_VALUE"""),27.0)</f>
        <v>27</v>
      </c>
      <c r="N496" s="235">
        <f>IFERROR(__xludf.DUMMYFUNCTION("""COMPUTED_VALUE"""),0.2)</f>
        <v>0.2</v>
      </c>
      <c r="O496" s="235">
        <f>IFERROR(__xludf.DUMMYFUNCTION("""COMPUTED_VALUE"""),375.0)</f>
        <v>375</v>
      </c>
      <c r="P496" s="235">
        <f>IFERROR(__xludf.DUMMYFUNCTION("""COMPUTED_VALUE"""),0.0)</f>
        <v>0</v>
      </c>
      <c r="Q496" s="235">
        <f>IFERROR(__xludf.DUMMYFUNCTION("""COMPUTED_VALUE"""),0.21)</f>
        <v>0.21</v>
      </c>
      <c r="R496" s="235">
        <f>IFERROR(__xludf.DUMMYFUNCTION("""COMPUTED_VALUE"""),1.0)</f>
        <v>1</v>
      </c>
      <c r="S496" s="235">
        <f>IFERROR(__xludf.DUMMYFUNCTION("""COMPUTED_VALUE"""),200.0)</f>
        <v>200</v>
      </c>
      <c r="T496" s="244" t="str">
        <f>IFERROR(__xludf.DUMMYFUNCTION("""COMPUTED_VALUE"""),"1.00")</f>
        <v>1.00</v>
      </c>
      <c r="U496" s="235" t="str">
        <f>IFERROR(__xludf.DUMMYFUNCTION("""COMPUTED_VALUE"""),"0.17")</f>
        <v>0.17</v>
      </c>
      <c r="V496" s="235">
        <f>IFERROR(__xludf.DUMMYFUNCTION("""COMPUTED_VALUE"""),40.0)</f>
        <v>40</v>
      </c>
      <c r="W496" s="235" t="str">
        <f>IFERROR(__xludf.DUMMYFUNCTION("""COMPUTED_VALUE"""),"-")</f>
        <v>-</v>
      </c>
      <c r="X496" s="235" t="str">
        <f>IFERROR(__xludf.DUMMYFUNCTION("""COMPUTED_VALUE"""),"-")</f>
        <v>-</v>
      </c>
      <c r="Y496" s="235"/>
      <c r="Z496" s="235" t="str">
        <f>IFERROR(__xludf.DUMMYFUNCTION("""COMPUTED_VALUE"""),"-")</f>
        <v>-</v>
      </c>
      <c r="AA496" s="235"/>
      <c r="AB496" s="235" t="str">
        <f>IFERROR(__xludf.DUMMYFUNCTION("""COMPUTED_VALUE"""),"shageki_1")</f>
        <v>shageki_1</v>
      </c>
      <c r="AC496" s="235"/>
    </row>
    <row r="497">
      <c r="A497" s="235"/>
      <c r="B497" s="235" t="str">
        <f>IFERROR(__xludf.DUMMYFUNCTION("""COMPUTED_VALUE"""),"chara_tak_00001")</f>
        <v>chara_tak_00001</v>
      </c>
      <c r="C497" s="254" t="str">
        <f>IFERROR(__xludf.DUMMYFUNCTION("""COMPUTED_VALUE"""),"_mainquest_jigtrans_monshin")</f>
        <v>_mainquest_jigtrans_monshin</v>
      </c>
      <c r="D497" s="254" t="str">
        <f>IFERROR(__xludf.DUMMYFUNCTION("""COMPUTED_VALUE"""),"c_tak_00001_mainquest_jigtrans_monshin_Normal_Colorless")</f>
        <v>c_tak_00001_mainquest_jigtrans_monshin_Normal_Colorless</v>
      </c>
      <c r="E497" s="254" t="str">
        <f>IFERROR(__xludf.DUMMYFUNCTION("""COMPUTED_VALUE"""),"タコピーの原罪")</f>
        <v>タコピーの原罪</v>
      </c>
      <c r="F497" s="254" t="str">
        <f>IFERROR(__xludf.DUMMYFUNCTION("""COMPUTED_VALUE"""),"ハッピー星からの使者 タコピー")</f>
        <v>ハッピー星からの使者 タコピー</v>
      </c>
      <c r="G497" s="254" t="str">
        <f>IFERROR(__xludf.DUMMYFUNCTION("""COMPUTED_VALUE"""),"ハッピー星からの使者 タコピー_mainquest_jigtrans_monshin")</f>
        <v>ハッピー星からの使者 タコピー_mainquest_jigtrans_monshin</v>
      </c>
      <c r="H497" s="235" t="str">
        <f>IFERROR(__xludf.DUMMYFUNCTION("""COMPUTED_VALUE"""),"Normal")</f>
        <v>Normal</v>
      </c>
      <c r="I497" s="235" t="str">
        <f>IFERROR(__xludf.DUMMYFUNCTION("""COMPUTED_VALUE"""),"Defense")</f>
        <v>Defense</v>
      </c>
      <c r="J497" s="235" t="str">
        <f>IFERROR(__xludf.DUMMYFUNCTION("""COMPUTED_VALUE"""),"Colorless")</f>
        <v>Colorless</v>
      </c>
      <c r="K497" s="235">
        <f>IFERROR(__xludf.DUMMYFUNCTION("""COMPUTED_VALUE"""),10000.0)</f>
        <v>10000</v>
      </c>
      <c r="L497" s="235">
        <f>IFERROR(__xludf.DUMMYFUNCTION("""COMPUTED_VALUE"""),2.0)</f>
        <v>2</v>
      </c>
      <c r="M497" s="235">
        <f>IFERROR(__xludf.DUMMYFUNCTION("""COMPUTED_VALUE"""),25.0)</f>
        <v>25</v>
      </c>
      <c r="N497" s="235">
        <f>IFERROR(__xludf.DUMMYFUNCTION("""COMPUTED_VALUE"""),0.17)</f>
        <v>0.17</v>
      </c>
      <c r="O497" s="235">
        <f>IFERROR(__xludf.DUMMYFUNCTION("""COMPUTED_VALUE"""),300.0)</f>
        <v>300</v>
      </c>
      <c r="P497" s="235">
        <f>IFERROR(__xludf.DUMMYFUNCTION("""COMPUTED_VALUE"""),0.0)</f>
        <v>0</v>
      </c>
      <c r="Q497" s="235">
        <f>IFERROR(__xludf.DUMMYFUNCTION("""COMPUTED_VALUE"""),0.18)</f>
        <v>0.18</v>
      </c>
      <c r="R497" s="235">
        <f>IFERROR(__xludf.DUMMYFUNCTION("""COMPUTED_VALUE"""),1.0)</f>
        <v>1</v>
      </c>
      <c r="S497" s="235">
        <f>IFERROR(__xludf.DUMMYFUNCTION("""COMPUTED_VALUE"""),200.0)</f>
        <v>200</v>
      </c>
      <c r="T497" s="244" t="str">
        <f>IFERROR(__xludf.DUMMYFUNCTION("""COMPUTED_VALUE"""),"1.00")</f>
        <v>1.00</v>
      </c>
      <c r="U497" s="235" t="str">
        <f>IFERROR(__xludf.DUMMYFUNCTION("""COMPUTED_VALUE"""),"0.44")</f>
        <v>0.44</v>
      </c>
      <c r="V497" s="235">
        <f>IFERROR(__xludf.DUMMYFUNCTION("""COMPUTED_VALUE"""),50.0)</f>
        <v>50</v>
      </c>
      <c r="W497" s="235" t="str">
        <f>IFERROR(__xludf.DUMMYFUNCTION("""COMPUTED_VALUE"""),"3.34")</f>
        <v>3.34</v>
      </c>
      <c r="X497" s="235" t="str">
        <f>IFERROR(__xludf.DUMMYFUNCTION("""COMPUTED_VALUE"""),"0.75")</f>
        <v>0.75</v>
      </c>
      <c r="Y497" s="235"/>
      <c r="Z497" s="235" t="str">
        <f>IFERROR(__xludf.DUMMYFUNCTION("""COMPUTED_VALUE"""),"-")</f>
        <v>-</v>
      </c>
      <c r="AA497" s="235"/>
      <c r="AB497" s="235" t="str">
        <f>IFERROR(__xludf.DUMMYFUNCTION("""COMPUTED_VALUE"""),"dageki_1")</f>
        <v>dageki_1</v>
      </c>
      <c r="AC497" s="235"/>
    </row>
    <row r="498">
      <c r="A498" s="235"/>
      <c r="B498" s="235" t="str">
        <f>IFERROR(__xludf.DUMMYFUNCTION("""COMPUTED_VALUE"""),"chara_tak_00001")</f>
        <v>chara_tak_00001</v>
      </c>
      <c r="C498" s="254" t="str">
        <f>IFERROR(__xludf.DUMMYFUNCTION("""COMPUTED_VALUE"""),"_mainquest_jigtrans_kyushin")</f>
        <v>_mainquest_jigtrans_kyushin</v>
      </c>
      <c r="D498" s="254" t="str">
        <f>IFERROR(__xludf.DUMMYFUNCTION("""COMPUTED_VALUE"""),"c_tak_00001_mainquest_jigtrans_kyushin_Normal_Colorless")</f>
        <v>c_tak_00001_mainquest_jigtrans_kyushin_Normal_Colorless</v>
      </c>
      <c r="E498" s="254" t="str">
        <f>IFERROR(__xludf.DUMMYFUNCTION("""COMPUTED_VALUE"""),"タコピーの原罪")</f>
        <v>タコピーの原罪</v>
      </c>
      <c r="F498" s="254" t="str">
        <f>IFERROR(__xludf.DUMMYFUNCTION("""COMPUTED_VALUE"""),"ハッピー星からの使者 タコピー")</f>
        <v>ハッピー星からの使者 タコピー</v>
      </c>
      <c r="G498" s="254" t="str">
        <f>IFERROR(__xludf.DUMMYFUNCTION("""COMPUTED_VALUE"""),"ハッピー星からの使者 タコピー_mainquest_jigtrans_kyushin")</f>
        <v>ハッピー星からの使者 タコピー_mainquest_jigtrans_kyushin</v>
      </c>
      <c r="H498" s="235" t="str">
        <f>IFERROR(__xludf.DUMMYFUNCTION("""COMPUTED_VALUE"""),"Normal")</f>
        <v>Normal</v>
      </c>
      <c r="I498" s="235" t="str">
        <f>IFERROR(__xludf.DUMMYFUNCTION("""COMPUTED_VALUE"""),"Defense")</f>
        <v>Defense</v>
      </c>
      <c r="J498" s="235" t="str">
        <f>IFERROR(__xludf.DUMMYFUNCTION("""COMPUTED_VALUE"""),"Colorless")</f>
        <v>Colorless</v>
      </c>
      <c r="K498" s="235">
        <f>IFERROR(__xludf.DUMMYFUNCTION("""COMPUTED_VALUE"""),10000.0)</f>
        <v>10000</v>
      </c>
      <c r="L498" s="235">
        <f>IFERROR(__xludf.DUMMYFUNCTION("""COMPUTED_VALUE"""),2.0)</f>
        <v>2</v>
      </c>
      <c r="M498" s="235">
        <f>IFERROR(__xludf.DUMMYFUNCTION("""COMPUTED_VALUE"""),25.0)</f>
        <v>25</v>
      </c>
      <c r="N498" s="235">
        <f>IFERROR(__xludf.DUMMYFUNCTION("""COMPUTED_VALUE"""),0.17)</f>
        <v>0.17</v>
      </c>
      <c r="O498" s="235">
        <f>IFERROR(__xludf.DUMMYFUNCTION("""COMPUTED_VALUE"""),300.0)</f>
        <v>300</v>
      </c>
      <c r="P498" s="235">
        <f>IFERROR(__xludf.DUMMYFUNCTION("""COMPUTED_VALUE"""),0.0)</f>
        <v>0</v>
      </c>
      <c r="Q498" s="235">
        <f>IFERROR(__xludf.DUMMYFUNCTION("""COMPUTED_VALUE"""),0.18)</f>
        <v>0.18</v>
      </c>
      <c r="R498" s="235">
        <f>IFERROR(__xludf.DUMMYFUNCTION("""COMPUTED_VALUE"""),1.0)</f>
        <v>1</v>
      </c>
      <c r="S498" s="235">
        <f>IFERROR(__xludf.DUMMYFUNCTION("""COMPUTED_VALUE"""),200.0)</f>
        <v>200</v>
      </c>
      <c r="T498" s="244" t="str">
        <f>IFERROR(__xludf.DUMMYFUNCTION("""COMPUTED_VALUE"""),"1.00")</f>
        <v>1.00</v>
      </c>
      <c r="U498" s="235" t="str">
        <f>IFERROR(__xludf.DUMMYFUNCTION("""COMPUTED_VALUE"""),"0.44")</f>
        <v>0.44</v>
      </c>
      <c r="V498" s="235">
        <f>IFERROR(__xludf.DUMMYFUNCTION("""COMPUTED_VALUE"""),50.0)</f>
        <v>50</v>
      </c>
      <c r="W498" s="235" t="str">
        <f>IFERROR(__xludf.DUMMYFUNCTION("""COMPUTED_VALUE"""),"3.34")</f>
        <v>3.34</v>
      </c>
      <c r="X498" s="235" t="str">
        <f>IFERROR(__xludf.DUMMYFUNCTION("""COMPUTED_VALUE"""),"0.75")</f>
        <v>0.75</v>
      </c>
      <c r="Y498" s="235"/>
      <c r="Z498" s="235" t="str">
        <f>IFERROR(__xludf.DUMMYFUNCTION("""COMPUTED_VALUE"""),"-")</f>
        <v>-</v>
      </c>
      <c r="AA498" s="235"/>
      <c r="AB498" s="235" t="str">
        <f>IFERROR(__xludf.DUMMYFUNCTION("""COMPUTED_VALUE"""),"dageki_1")</f>
        <v>dageki_1</v>
      </c>
      <c r="AC498" s="235"/>
    </row>
    <row r="499">
      <c r="A499" s="235"/>
      <c r="B499" s="235" t="str">
        <f>IFERROR(__xludf.DUMMYFUNCTION("""COMPUTED_VALUE"""),"chara_tak_00001")</f>
        <v>chara_tak_00001</v>
      </c>
      <c r="C499" s="254" t="str">
        <f>IFERROR(__xludf.DUMMYFUNCTION("""COMPUTED_VALUE"""),"_mainquest_jigtrans_sagiri")</f>
        <v>_mainquest_jigtrans_sagiri</v>
      </c>
      <c r="D499" s="254" t="str">
        <f>IFERROR(__xludf.DUMMYFUNCTION("""COMPUTED_VALUE"""),"c_tak_00001_mainquest_jigtrans_sagiri_Boss_Colorless")</f>
        <v>c_tak_00001_mainquest_jigtrans_sagiri_Boss_Colorless</v>
      </c>
      <c r="E499" s="254" t="str">
        <f>IFERROR(__xludf.DUMMYFUNCTION("""COMPUTED_VALUE"""),"タコピーの原罪")</f>
        <v>タコピーの原罪</v>
      </c>
      <c r="F499" s="254" t="str">
        <f>IFERROR(__xludf.DUMMYFUNCTION("""COMPUTED_VALUE"""),"ハッピー星からの使者 タコピー")</f>
        <v>ハッピー星からの使者 タコピー</v>
      </c>
      <c r="G499" s="254" t="str">
        <f>IFERROR(__xludf.DUMMYFUNCTION("""COMPUTED_VALUE"""),"ハッピー星からの使者 タコピー_mainquest_jigtrans_sagiri")</f>
        <v>ハッピー星からの使者 タコピー_mainquest_jigtrans_sagiri</v>
      </c>
      <c r="H499" s="235" t="str">
        <f>IFERROR(__xludf.DUMMYFUNCTION("""COMPUTED_VALUE"""),"Boss")</f>
        <v>Boss</v>
      </c>
      <c r="I499" s="235" t="str">
        <f>IFERROR(__xludf.DUMMYFUNCTION("""COMPUTED_VALUE"""),"Defense")</f>
        <v>Defense</v>
      </c>
      <c r="J499" s="235" t="str">
        <f>IFERROR(__xludf.DUMMYFUNCTION("""COMPUTED_VALUE"""),"Colorless")</f>
        <v>Colorless</v>
      </c>
      <c r="K499" s="235">
        <f>IFERROR(__xludf.DUMMYFUNCTION("""COMPUTED_VALUE"""),10000.0)</f>
        <v>10000</v>
      </c>
      <c r="L499" s="235">
        <f>IFERROR(__xludf.DUMMYFUNCTION("""COMPUTED_VALUE"""),2.0)</f>
        <v>2</v>
      </c>
      <c r="M499" s="235">
        <f>IFERROR(__xludf.DUMMYFUNCTION("""COMPUTED_VALUE"""),25.0)</f>
        <v>25</v>
      </c>
      <c r="N499" s="235">
        <f>IFERROR(__xludf.DUMMYFUNCTION("""COMPUTED_VALUE"""),0.17)</f>
        <v>0.17</v>
      </c>
      <c r="O499" s="235">
        <f>IFERROR(__xludf.DUMMYFUNCTION("""COMPUTED_VALUE"""),300.0)</f>
        <v>300</v>
      </c>
      <c r="P499" s="235">
        <f>IFERROR(__xludf.DUMMYFUNCTION("""COMPUTED_VALUE"""),0.0)</f>
        <v>0</v>
      </c>
      <c r="Q499" s="235">
        <f>IFERROR(__xludf.DUMMYFUNCTION("""COMPUTED_VALUE"""),0.18)</f>
        <v>0.18</v>
      </c>
      <c r="R499" s="235">
        <f>IFERROR(__xludf.DUMMYFUNCTION("""COMPUTED_VALUE"""),1.0)</f>
        <v>1</v>
      </c>
      <c r="S499" s="235">
        <f>IFERROR(__xludf.DUMMYFUNCTION("""COMPUTED_VALUE"""),200.0)</f>
        <v>200</v>
      </c>
      <c r="T499" s="244" t="str">
        <f>IFERROR(__xludf.DUMMYFUNCTION("""COMPUTED_VALUE"""),"1.00")</f>
        <v>1.00</v>
      </c>
      <c r="U499" s="235" t="str">
        <f>IFERROR(__xludf.DUMMYFUNCTION("""COMPUTED_VALUE"""),"0.44")</f>
        <v>0.44</v>
      </c>
      <c r="V499" s="235">
        <f>IFERROR(__xludf.DUMMYFUNCTION("""COMPUTED_VALUE"""),50.0)</f>
        <v>50</v>
      </c>
      <c r="W499" s="235" t="str">
        <f>IFERROR(__xludf.DUMMYFUNCTION("""COMPUTED_VALUE"""),"3.34")</f>
        <v>3.34</v>
      </c>
      <c r="X499" s="235" t="str">
        <f>IFERROR(__xludf.DUMMYFUNCTION("""COMPUTED_VALUE"""),"0.75")</f>
        <v>0.75</v>
      </c>
      <c r="Y499" s="235"/>
      <c r="Z499" s="235" t="str">
        <f>IFERROR(__xludf.DUMMYFUNCTION("""COMPUTED_VALUE"""),"-")</f>
        <v>-</v>
      </c>
      <c r="AA499" s="235"/>
      <c r="AB499" s="235" t="str">
        <f>IFERROR(__xludf.DUMMYFUNCTION("""COMPUTED_VALUE"""),"dageki_1")</f>
        <v>dageki_1</v>
      </c>
      <c r="AC499" s="235"/>
    </row>
    <row r="500">
      <c r="A500" s="235"/>
      <c r="B500" s="235"/>
      <c r="C500" s="254"/>
      <c r="D500" s="254" t="str">
        <f>IFERROR(__xludf.DUMMYFUNCTION("""COMPUTED_VALUE"""),"___")</f>
        <v>___</v>
      </c>
      <c r="E500" s="254" t="str">
        <f>IFERROR(__xludf.DUMMYFUNCTION("""COMPUTED_VALUE"""),"none")</f>
        <v>none</v>
      </c>
      <c r="F500" s="254" t="str">
        <f>IFERROR(__xludf.DUMMYFUNCTION("""COMPUTED_VALUE"""),"none")</f>
        <v>none</v>
      </c>
      <c r="G500" s="254" t="str">
        <f>IFERROR(__xludf.DUMMYFUNCTION("""COMPUTED_VALUE"""),"none")</f>
        <v>none</v>
      </c>
      <c r="H500" s="235"/>
      <c r="I500" s="235" t="str">
        <f>IFERROR(__xludf.DUMMYFUNCTION("""COMPUTED_VALUE"""),"none")</f>
        <v>none</v>
      </c>
      <c r="J500" s="235"/>
      <c r="K500" s="235"/>
      <c r="L500" s="235"/>
      <c r="M500" s="235"/>
      <c r="N500" s="235"/>
      <c r="O500" s="235"/>
      <c r="P500" s="235"/>
      <c r="Q500" s="235"/>
      <c r="R500" s="235"/>
      <c r="S500" s="235"/>
      <c r="T500" s="244" t="str">
        <f>IFERROR(__xludf.DUMMYFUNCTION("""COMPUTED_VALUE"""),"none")</f>
        <v>none</v>
      </c>
      <c r="U500" s="235" t="str">
        <f>IFERROR(__xludf.DUMMYFUNCTION("""COMPUTED_VALUE"""),"none")</f>
        <v>none</v>
      </c>
      <c r="V500" s="235"/>
      <c r="W500" s="235" t="str">
        <f>IFERROR(__xludf.DUMMYFUNCTION("""COMPUTED_VALUE"""),"none")</f>
        <v>none</v>
      </c>
      <c r="X500" s="235" t="str">
        <f>IFERROR(__xludf.DUMMYFUNCTION("""COMPUTED_VALUE"""),"none")</f>
        <v>none</v>
      </c>
      <c r="Y500" s="235"/>
      <c r="Z500" s="235" t="str">
        <f>IFERROR(__xludf.DUMMYFUNCTION("""COMPUTED_VALUE"""),"-")</f>
        <v>-</v>
      </c>
      <c r="AA500" s="235"/>
      <c r="AB500" s="235"/>
      <c r="AC500" s="235"/>
    </row>
    <row r="501">
      <c r="A501" s="235"/>
      <c r="B501" s="235" t="str">
        <f>IFERROR(__xludf.DUMMYFUNCTION("""COMPUTED_VALUE"""),"enemy_dan_00001")</f>
        <v>enemy_dan_00001</v>
      </c>
      <c r="C501" s="254" t="str">
        <f>IFERROR(__xludf.DUMMYFUNCTION("""COMPUTED_VALUE"""),"_mainquest_glo2")</f>
        <v>_mainquest_glo2</v>
      </c>
      <c r="D501" s="254" t="str">
        <f>IFERROR(__xludf.DUMMYFUNCTION("""COMPUTED_VALUE"""),"e_dan_00001_mainquest_glo2_Normal_Blue")</f>
        <v>e_dan_00001_mainquest_glo2_Normal_Blue</v>
      </c>
      <c r="E501" s="254" t="str">
        <f>IFERROR(__xludf.DUMMYFUNCTION("""COMPUTED_VALUE"""),"ダンダダン")</f>
        <v>ダンダダン</v>
      </c>
      <c r="F501" s="254" t="str">
        <f>IFERROR(__xludf.DUMMYFUNCTION("""COMPUTED_VALUE"""),"セルポ星人")</f>
        <v>セルポ星人</v>
      </c>
      <c r="G501" s="254" t="str">
        <f>IFERROR(__xludf.DUMMYFUNCTION("""COMPUTED_VALUE"""),"セルポ星人_mainquest_glo2")</f>
        <v>セルポ星人_mainquest_glo2</v>
      </c>
      <c r="H501" s="235" t="str">
        <f>IFERROR(__xludf.DUMMYFUNCTION("""COMPUTED_VALUE"""),"Normal")</f>
        <v>Normal</v>
      </c>
      <c r="I501" s="235" t="str">
        <f>IFERROR(__xludf.DUMMYFUNCTION("""COMPUTED_VALUE"""),"Attack")</f>
        <v>Attack</v>
      </c>
      <c r="J501" s="235" t="str">
        <f>IFERROR(__xludf.DUMMYFUNCTION("""COMPUTED_VALUE"""),"Blue")</f>
        <v>Blue</v>
      </c>
      <c r="K501" s="235">
        <f>IFERROR(__xludf.DUMMYFUNCTION("""COMPUTED_VALUE"""),5000.0)</f>
        <v>5000</v>
      </c>
      <c r="L501" s="235">
        <f>IFERROR(__xludf.DUMMYFUNCTION("""COMPUTED_VALUE"""),3.0)</f>
        <v>3</v>
      </c>
      <c r="M501" s="235">
        <f>IFERROR(__xludf.DUMMYFUNCTION("""COMPUTED_VALUE"""),25.0)</f>
        <v>25</v>
      </c>
      <c r="N501" s="235">
        <f>IFERROR(__xludf.DUMMYFUNCTION("""COMPUTED_VALUE"""),0.2)</f>
        <v>0.2</v>
      </c>
      <c r="O501" s="235">
        <f>IFERROR(__xludf.DUMMYFUNCTION("""COMPUTED_VALUE"""),200.0)</f>
        <v>200</v>
      </c>
      <c r="P501" s="235">
        <f>IFERROR(__xludf.DUMMYFUNCTION("""COMPUTED_VALUE"""),0.0)</f>
        <v>0</v>
      </c>
      <c r="Q501" s="235">
        <f>IFERROR(__xludf.DUMMYFUNCTION("""COMPUTED_VALUE"""),0.21)</f>
        <v>0.21</v>
      </c>
      <c r="R501" s="235">
        <f>IFERROR(__xludf.DUMMYFUNCTION("""COMPUTED_VALUE"""),1.0)</f>
        <v>1</v>
      </c>
      <c r="S501" s="235">
        <f>IFERROR(__xludf.DUMMYFUNCTION("""COMPUTED_VALUE"""),200.0)</f>
        <v>200</v>
      </c>
      <c r="T501" s="244" t="str">
        <f>IFERROR(__xludf.DUMMYFUNCTION("""COMPUTED_VALUE"""),"1.16")</f>
        <v>1.16</v>
      </c>
      <c r="U501" s="235" t="str">
        <f>IFERROR(__xludf.DUMMYFUNCTION("""COMPUTED_VALUE"""),"0.50")</f>
        <v>0.50</v>
      </c>
      <c r="V501" s="235">
        <f>IFERROR(__xludf.DUMMYFUNCTION("""COMPUTED_VALUE"""),110.0)</f>
        <v>110</v>
      </c>
      <c r="W501" s="235" t="str">
        <f>IFERROR(__xludf.DUMMYFUNCTION("""COMPUTED_VALUE"""),"-")</f>
        <v>-</v>
      </c>
      <c r="X501" s="235" t="str">
        <f>IFERROR(__xludf.DUMMYFUNCTION("""COMPUTED_VALUE"""),"-")</f>
        <v>-</v>
      </c>
      <c r="Y501" s="235"/>
      <c r="Z501" s="235" t="str">
        <f>IFERROR(__xludf.DUMMYFUNCTION("""COMPUTED_VALUE"""),"-")</f>
        <v>-</v>
      </c>
      <c r="AA501" s="235"/>
      <c r="AB501" s="235" t="str">
        <f>IFERROR(__xludf.DUMMYFUNCTION("""COMPUTED_VALUE"""),"dageki_1")</f>
        <v>dageki_1</v>
      </c>
      <c r="AC501" s="235"/>
    </row>
    <row r="502">
      <c r="A502" s="235"/>
      <c r="B502" s="235" t="str">
        <f>IFERROR(__xludf.DUMMYFUNCTION("""COMPUTED_VALUE"""),"enemy_dan_00101")</f>
        <v>enemy_dan_00101</v>
      </c>
      <c r="C502" s="254" t="str">
        <f>IFERROR(__xludf.DUMMYFUNCTION("""COMPUTED_VALUE"""),"_mainquest_glo2")</f>
        <v>_mainquest_glo2</v>
      </c>
      <c r="D502" s="254" t="str">
        <f>IFERROR(__xludf.DUMMYFUNCTION("""COMPUTED_VALUE"""),"e_dan_00101_mainquest_glo2_Normal_Blue")</f>
        <v>e_dan_00101_mainquest_glo2_Normal_Blue</v>
      </c>
      <c r="E502" s="254" t="str">
        <f>IFERROR(__xludf.DUMMYFUNCTION("""COMPUTED_VALUE"""),"ダンダダン")</f>
        <v>ダンダダン</v>
      </c>
      <c r="F502" s="254" t="str">
        <f>IFERROR(__xludf.DUMMYFUNCTION("""COMPUTED_VALUE"""),"セルポ星人（変身）")</f>
        <v>セルポ星人（変身）</v>
      </c>
      <c r="G502" s="254" t="str">
        <f>IFERROR(__xludf.DUMMYFUNCTION("""COMPUTED_VALUE"""),"セルポ星人（変身）_mainquest_glo2")</f>
        <v>セルポ星人（変身）_mainquest_glo2</v>
      </c>
      <c r="H502" s="235" t="str">
        <f>IFERROR(__xludf.DUMMYFUNCTION("""COMPUTED_VALUE"""),"Normal")</f>
        <v>Normal</v>
      </c>
      <c r="I502" s="235" t="str">
        <f>IFERROR(__xludf.DUMMYFUNCTION("""COMPUTED_VALUE"""),"Attack")</f>
        <v>Attack</v>
      </c>
      <c r="J502" s="235" t="str">
        <f>IFERROR(__xludf.DUMMYFUNCTION("""COMPUTED_VALUE"""),"Blue")</f>
        <v>Blue</v>
      </c>
      <c r="K502" s="235">
        <f>IFERROR(__xludf.DUMMYFUNCTION("""COMPUTED_VALUE"""),5000.0)</f>
        <v>5000</v>
      </c>
      <c r="L502" s="235">
        <f>IFERROR(__xludf.DUMMYFUNCTION("""COMPUTED_VALUE"""),2.0)</f>
        <v>2</v>
      </c>
      <c r="M502" s="235">
        <f>IFERROR(__xludf.DUMMYFUNCTION("""COMPUTED_VALUE"""),34.0)</f>
        <v>34</v>
      </c>
      <c r="N502" s="235">
        <f>IFERROR(__xludf.DUMMYFUNCTION("""COMPUTED_VALUE"""),0.23)</f>
        <v>0.23</v>
      </c>
      <c r="O502" s="235">
        <f>IFERROR(__xludf.DUMMYFUNCTION("""COMPUTED_VALUE"""),200.0)</f>
        <v>200</v>
      </c>
      <c r="P502" s="235">
        <f>IFERROR(__xludf.DUMMYFUNCTION("""COMPUTED_VALUE"""),0.0)</f>
        <v>0</v>
      </c>
      <c r="Q502" s="235">
        <f>IFERROR(__xludf.DUMMYFUNCTION("""COMPUTED_VALUE"""),0.24)</f>
        <v>0.24</v>
      </c>
      <c r="R502" s="235">
        <f>IFERROR(__xludf.DUMMYFUNCTION("""COMPUTED_VALUE"""),1.0)</f>
        <v>1</v>
      </c>
      <c r="S502" s="235">
        <f>IFERROR(__xludf.DUMMYFUNCTION("""COMPUTED_VALUE"""),200.0)</f>
        <v>200</v>
      </c>
      <c r="T502" s="244" t="str">
        <f>IFERROR(__xludf.DUMMYFUNCTION("""COMPUTED_VALUE"""),"1.40")</f>
        <v>1.40</v>
      </c>
      <c r="U502" s="235" t="str">
        <f>IFERROR(__xludf.DUMMYFUNCTION("""COMPUTED_VALUE"""),"0.70")</f>
        <v>0.70</v>
      </c>
      <c r="V502" s="235">
        <f>IFERROR(__xludf.DUMMYFUNCTION("""COMPUTED_VALUE"""),75.0)</f>
        <v>75</v>
      </c>
      <c r="W502" s="235" t="str">
        <f>IFERROR(__xludf.DUMMYFUNCTION("""COMPUTED_VALUE"""),"-")</f>
        <v>-</v>
      </c>
      <c r="X502" s="235" t="str">
        <f>IFERROR(__xludf.DUMMYFUNCTION("""COMPUTED_VALUE"""),"-")</f>
        <v>-</v>
      </c>
      <c r="Y502" s="235"/>
      <c r="Z502" s="235" t="str">
        <f>IFERROR(__xludf.DUMMYFUNCTION("""COMPUTED_VALUE"""),"-")</f>
        <v>-</v>
      </c>
      <c r="AA502" s="235"/>
      <c r="AB502" s="235" t="str">
        <f>IFERROR(__xludf.DUMMYFUNCTION("""COMPUTED_VALUE"""),"dageki_1")</f>
        <v>dageki_1</v>
      </c>
      <c r="AC502" s="235"/>
    </row>
    <row r="503">
      <c r="A503" s="235"/>
      <c r="B503" s="235" t="str">
        <f>IFERROR(__xludf.DUMMYFUNCTION("""COMPUTED_VALUE"""),"enemy_dan_00201")</f>
        <v>enemy_dan_00201</v>
      </c>
      <c r="C503" s="254" t="str">
        <f>IFERROR(__xludf.DUMMYFUNCTION("""COMPUTED_VALUE"""),"_mainquest_glo2")</f>
        <v>_mainquest_glo2</v>
      </c>
      <c r="D503" s="254" t="str">
        <f>IFERROR(__xludf.DUMMYFUNCTION("""COMPUTED_VALUE"""),"e_dan_00201_mainquest_glo2_Boss_Blue")</f>
        <v>e_dan_00201_mainquest_glo2_Boss_Blue</v>
      </c>
      <c r="E503" s="254" t="str">
        <f>IFERROR(__xludf.DUMMYFUNCTION("""COMPUTED_VALUE"""),"ダンダダン")</f>
        <v>ダンダダン</v>
      </c>
      <c r="F503" s="254" t="str">
        <f>IFERROR(__xludf.DUMMYFUNCTION("""COMPUTED_VALUE"""),"ターボババア")</f>
        <v>ターボババア</v>
      </c>
      <c r="G503" s="254" t="str">
        <f>IFERROR(__xludf.DUMMYFUNCTION("""COMPUTED_VALUE"""),"ターボババア_mainquest_glo2")</f>
        <v>ターボババア_mainquest_glo2</v>
      </c>
      <c r="H503" s="235" t="str">
        <f>IFERROR(__xludf.DUMMYFUNCTION("""COMPUTED_VALUE"""),"Boss")</f>
        <v>Boss</v>
      </c>
      <c r="I503" s="235" t="str">
        <f>IFERROR(__xludf.DUMMYFUNCTION("""COMPUTED_VALUE"""),"Attack")</f>
        <v>Attack</v>
      </c>
      <c r="J503" s="235" t="str">
        <f>IFERROR(__xludf.DUMMYFUNCTION("""COMPUTED_VALUE"""),"Blue")</f>
        <v>Blue</v>
      </c>
      <c r="K503" s="235">
        <f>IFERROR(__xludf.DUMMYFUNCTION("""COMPUTED_VALUE"""),30000.0)</f>
        <v>30000</v>
      </c>
      <c r="L503" s="235">
        <f>IFERROR(__xludf.DUMMYFUNCTION("""COMPUTED_VALUE"""),2.0)</f>
        <v>2</v>
      </c>
      <c r="M503" s="235">
        <f>IFERROR(__xludf.DUMMYFUNCTION("""COMPUTED_VALUE"""),55.0)</f>
        <v>55</v>
      </c>
      <c r="N503" s="235">
        <f>IFERROR(__xludf.DUMMYFUNCTION("""COMPUTED_VALUE"""),0.24)</f>
        <v>0.24</v>
      </c>
      <c r="O503" s="235">
        <f>IFERROR(__xludf.DUMMYFUNCTION("""COMPUTED_VALUE"""),400.0)</f>
        <v>400</v>
      </c>
      <c r="P503" s="235">
        <f>IFERROR(__xludf.DUMMYFUNCTION("""COMPUTED_VALUE"""),0.0)</f>
        <v>0</v>
      </c>
      <c r="Q503" s="235">
        <f>IFERROR(__xludf.DUMMYFUNCTION("""COMPUTED_VALUE"""),0.25)</f>
        <v>0.25</v>
      </c>
      <c r="R503" s="235">
        <f>IFERROR(__xludf.DUMMYFUNCTION("""COMPUTED_VALUE"""),1.0)</f>
        <v>1</v>
      </c>
      <c r="S503" s="235">
        <f>IFERROR(__xludf.DUMMYFUNCTION("""COMPUTED_VALUE"""),400.0)</f>
        <v>400</v>
      </c>
      <c r="T503" s="244" t="str">
        <f>IFERROR(__xludf.DUMMYFUNCTION("""COMPUTED_VALUE"""),"1.50")</f>
        <v>1.50</v>
      </c>
      <c r="U503" s="235" t="str">
        <f>IFERROR(__xludf.DUMMYFUNCTION("""COMPUTED_VALUE"""),"0.40")</f>
        <v>0.40</v>
      </c>
      <c r="V503" s="235">
        <f>IFERROR(__xludf.DUMMYFUNCTION("""COMPUTED_VALUE"""),200.0)</f>
        <v>200</v>
      </c>
      <c r="W503" s="235" t="str">
        <f>IFERROR(__xludf.DUMMYFUNCTION("""COMPUTED_VALUE"""),"-")</f>
        <v>-</v>
      </c>
      <c r="X503" s="235" t="str">
        <f>IFERROR(__xludf.DUMMYFUNCTION("""COMPUTED_VALUE"""),"-")</f>
        <v>-</v>
      </c>
      <c r="Y503" s="235"/>
      <c r="Z503" s="235" t="str">
        <f>IFERROR(__xludf.DUMMYFUNCTION("""COMPUTED_VALUE"""),"-")</f>
        <v>-</v>
      </c>
      <c r="AA503" s="235"/>
      <c r="AB503" s="235" t="str">
        <f>IFERROR(__xludf.DUMMYFUNCTION("""COMPUTED_VALUE"""),"dageki_1")</f>
        <v>dageki_1</v>
      </c>
      <c r="AC503" s="235"/>
    </row>
    <row r="504">
      <c r="A504" s="235"/>
      <c r="B504" s="235" t="str">
        <f>IFERROR(__xludf.DUMMYFUNCTION("""COMPUTED_VALUE"""),"enemy_jig_00301")</f>
        <v>enemy_jig_00301</v>
      </c>
      <c r="C504" s="254" t="str">
        <f>IFERROR(__xludf.DUMMYFUNCTION("""COMPUTED_VALUE"""),"_mainquest_glo2")</f>
        <v>_mainquest_glo2</v>
      </c>
      <c r="D504" s="254" t="str">
        <f>IFERROR(__xludf.DUMMYFUNCTION("""COMPUTED_VALUE"""),"e_jig_00301_mainquest_glo2_Normal_Blue")</f>
        <v>e_jig_00301_mainquest_glo2_Normal_Blue</v>
      </c>
      <c r="E504" s="254" t="str">
        <f>IFERROR(__xludf.DUMMYFUNCTION("""COMPUTED_VALUE"""),"地獄楽")</f>
        <v>地獄楽</v>
      </c>
      <c r="F504" s="254" t="str">
        <f>IFERROR(__xludf.DUMMYFUNCTION("""COMPUTED_VALUE"""),"竈神 魚")</f>
        <v>竈神 魚</v>
      </c>
      <c r="G504" s="254" t="str">
        <f>IFERROR(__xludf.DUMMYFUNCTION("""COMPUTED_VALUE"""),"竈神 魚_mainquest_glo2")</f>
        <v>竈神 魚_mainquest_glo2</v>
      </c>
      <c r="H504" s="235" t="str">
        <f>IFERROR(__xludf.DUMMYFUNCTION("""COMPUTED_VALUE"""),"Normal")</f>
        <v>Normal</v>
      </c>
      <c r="I504" s="235" t="str">
        <f>IFERROR(__xludf.DUMMYFUNCTION("""COMPUTED_VALUE"""),"Attack")</f>
        <v>Attack</v>
      </c>
      <c r="J504" s="235" t="str">
        <f>IFERROR(__xludf.DUMMYFUNCTION("""COMPUTED_VALUE"""),"Blue")</f>
        <v>Blue</v>
      </c>
      <c r="K504" s="235">
        <f>IFERROR(__xludf.DUMMYFUNCTION("""COMPUTED_VALUE"""),5000.0)</f>
        <v>5000</v>
      </c>
      <c r="L504" s="235">
        <f>IFERROR(__xludf.DUMMYFUNCTION("""COMPUTED_VALUE"""),2.0)</f>
        <v>2</v>
      </c>
      <c r="M504" s="235">
        <f>IFERROR(__xludf.DUMMYFUNCTION("""COMPUTED_VALUE"""),50.0)</f>
        <v>50</v>
      </c>
      <c r="N504" s="235">
        <f>IFERROR(__xludf.DUMMYFUNCTION("""COMPUTED_VALUE"""),0.22)</f>
        <v>0.22</v>
      </c>
      <c r="O504" s="235">
        <f>IFERROR(__xludf.DUMMYFUNCTION("""COMPUTED_VALUE"""),200.0)</f>
        <v>200</v>
      </c>
      <c r="P504" s="235">
        <f>IFERROR(__xludf.DUMMYFUNCTION("""COMPUTED_VALUE"""),0.0)</f>
        <v>0</v>
      </c>
      <c r="Q504" s="235">
        <f>IFERROR(__xludf.DUMMYFUNCTION("""COMPUTED_VALUE"""),0.23)</f>
        <v>0.23</v>
      </c>
      <c r="R504" s="235">
        <f>IFERROR(__xludf.DUMMYFUNCTION("""COMPUTED_VALUE"""),1.0)</f>
        <v>1</v>
      </c>
      <c r="S504" s="235">
        <f>IFERROR(__xludf.DUMMYFUNCTION("""COMPUTED_VALUE"""),200.0)</f>
        <v>200</v>
      </c>
      <c r="T504" s="244" t="str">
        <f>IFERROR(__xludf.DUMMYFUNCTION("""COMPUTED_VALUE"""),"1.50")</f>
        <v>1.50</v>
      </c>
      <c r="U504" s="235" t="str">
        <f>IFERROR(__xludf.DUMMYFUNCTION("""COMPUTED_VALUE"""),"0.66")</f>
        <v>0.66</v>
      </c>
      <c r="V504" s="235">
        <f>IFERROR(__xludf.DUMMYFUNCTION("""COMPUTED_VALUE"""),85.0)</f>
        <v>85</v>
      </c>
      <c r="W504" s="235" t="str">
        <f>IFERROR(__xludf.DUMMYFUNCTION("""COMPUTED_VALUE"""),"-")</f>
        <v>-</v>
      </c>
      <c r="X504" s="235" t="str">
        <f>IFERROR(__xludf.DUMMYFUNCTION("""COMPUTED_VALUE"""),"-")</f>
        <v>-</v>
      </c>
      <c r="Y504" s="235"/>
      <c r="Z504" s="235" t="str">
        <f>IFERROR(__xludf.DUMMYFUNCTION("""COMPUTED_VALUE"""),"-")</f>
        <v>-</v>
      </c>
      <c r="AA504" s="235"/>
      <c r="AB504" s="235" t="str">
        <f>IFERROR(__xludf.DUMMYFUNCTION("""COMPUTED_VALUE"""),"dageki_1")</f>
        <v>dageki_1</v>
      </c>
      <c r="AC504" s="235"/>
    </row>
    <row r="505">
      <c r="A505" s="235"/>
      <c r="B505" s="235" t="str">
        <f>IFERROR(__xludf.DUMMYFUNCTION("""COMPUTED_VALUE"""),"enemy_jig_00402")</f>
        <v>enemy_jig_00402</v>
      </c>
      <c r="C505" s="254" t="str">
        <f>IFERROR(__xludf.DUMMYFUNCTION("""COMPUTED_VALUE"""),"_mainquest_glo2")</f>
        <v>_mainquest_glo2</v>
      </c>
      <c r="D505" s="254" t="str">
        <f>IFERROR(__xludf.DUMMYFUNCTION("""COMPUTED_VALUE"""),"e_jig_00402_mainquest_glo2_Normal_Blue")</f>
        <v>e_jig_00402_mainquest_glo2_Normal_Blue</v>
      </c>
      <c r="E505" s="254" t="str">
        <f>IFERROR(__xludf.DUMMYFUNCTION("""COMPUTED_VALUE"""),"地獄楽")</f>
        <v>地獄楽</v>
      </c>
      <c r="F505" s="254" t="str">
        <f>IFERROR(__xludf.DUMMYFUNCTION("""COMPUTED_VALUE"""),"極楽蝶")</f>
        <v>極楽蝶</v>
      </c>
      <c r="G505" s="254" t="str">
        <f>IFERROR(__xludf.DUMMYFUNCTION("""COMPUTED_VALUE"""),"極楽蝶_mainquest_glo2")</f>
        <v>極楽蝶_mainquest_glo2</v>
      </c>
      <c r="H505" s="235" t="str">
        <f>IFERROR(__xludf.DUMMYFUNCTION("""COMPUTED_VALUE"""),"Normal")</f>
        <v>Normal</v>
      </c>
      <c r="I505" s="235" t="str">
        <f>IFERROR(__xludf.DUMMYFUNCTION("""COMPUTED_VALUE"""),"Attack")</f>
        <v>Attack</v>
      </c>
      <c r="J505" s="235" t="str">
        <f>IFERROR(__xludf.DUMMYFUNCTION("""COMPUTED_VALUE"""),"Blue")</f>
        <v>Blue</v>
      </c>
      <c r="K505" s="235">
        <f>IFERROR(__xludf.DUMMYFUNCTION("""COMPUTED_VALUE"""),5000.0)</f>
        <v>5000</v>
      </c>
      <c r="L505" s="235">
        <f>IFERROR(__xludf.DUMMYFUNCTION("""COMPUTED_VALUE"""),3.0)</f>
        <v>3</v>
      </c>
      <c r="M505" s="235">
        <f>IFERROR(__xludf.DUMMYFUNCTION("""COMPUTED_VALUE"""),37.0)</f>
        <v>37</v>
      </c>
      <c r="N505" s="235">
        <f>IFERROR(__xludf.DUMMYFUNCTION("""COMPUTED_VALUE"""),0.27)</f>
        <v>0.27</v>
      </c>
      <c r="O505" s="235">
        <f>IFERROR(__xludf.DUMMYFUNCTION("""COMPUTED_VALUE"""),300.0)</f>
        <v>300</v>
      </c>
      <c r="P505" s="235">
        <f>IFERROR(__xludf.DUMMYFUNCTION("""COMPUTED_VALUE"""),0.0)</f>
        <v>0</v>
      </c>
      <c r="Q505" s="235">
        <f>IFERROR(__xludf.DUMMYFUNCTION("""COMPUTED_VALUE"""),0.37)</f>
        <v>0.37</v>
      </c>
      <c r="R505" s="235">
        <f>IFERROR(__xludf.DUMMYFUNCTION("""COMPUTED_VALUE"""),100.0)</f>
        <v>100</v>
      </c>
      <c r="S505" s="235">
        <f>IFERROR(__xludf.DUMMYFUNCTION("""COMPUTED_VALUE"""),250.0)</f>
        <v>250</v>
      </c>
      <c r="T505" s="244" t="str">
        <f>IFERROR(__xludf.DUMMYFUNCTION("""COMPUTED_VALUE"""),"2.10")</f>
        <v>2.10</v>
      </c>
      <c r="U505" s="235" t="str">
        <f>IFERROR(__xludf.DUMMYFUNCTION("""COMPUTED_VALUE"""),"0.60")</f>
        <v>0.60</v>
      </c>
      <c r="V505" s="235">
        <f>IFERROR(__xludf.DUMMYFUNCTION("""COMPUTED_VALUE"""),100.0)</f>
        <v>100</v>
      </c>
      <c r="W505" s="235" t="str">
        <f>IFERROR(__xludf.DUMMYFUNCTION("""COMPUTED_VALUE"""),"-")</f>
        <v>-</v>
      </c>
      <c r="X505" s="235" t="str">
        <f>IFERROR(__xludf.DUMMYFUNCTION("""COMPUTED_VALUE"""),"-")</f>
        <v>-</v>
      </c>
      <c r="Y505" s="235"/>
      <c r="Z505" s="235" t="str">
        <f>IFERROR(__xludf.DUMMYFUNCTION("""COMPUTED_VALUE"""),"-")</f>
        <v>-</v>
      </c>
      <c r="AA505" s="235"/>
      <c r="AB505" s="235" t="str">
        <f>IFERROR(__xludf.DUMMYFUNCTION("""COMPUTED_VALUE"""),"dageki_2")</f>
        <v>dageki_2</v>
      </c>
      <c r="AC505" s="235"/>
    </row>
    <row r="506">
      <c r="A506" s="235"/>
      <c r="B506" s="235" t="str">
        <f>IFERROR(__xludf.DUMMYFUNCTION("""COMPUTED_VALUE"""),"chara_dan_00001")</f>
        <v>chara_dan_00001</v>
      </c>
      <c r="C506" s="254" t="str">
        <f>IFERROR(__xludf.DUMMYFUNCTION("""COMPUTED_VALUE"""),"_mainquest_glo2")</f>
        <v>_mainquest_glo2</v>
      </c>
      <c r="D506" s="254" t="str">
        <f>IFERROR(__xludf.DUMMYFUNCTION("""COMPUTED_VALUE"""),"c_dan_00001_mainquest_glo2_Normal_Red")</f>
        <v>c_dan_00001_mainquest_glo2_Normal_Red</v>
      </c>
      <c r="E506" s="254" t="str">
        <f>IFERROR(__xludf.DUMMYFUNCTION("""COMPUTED_VALUE"""),"ダンダダン")</f>
        <v>ダンダダン</v>
      </c>
      <c r="F506" s="254" t="str">
        <f>IFERROR(__xludf.DUMMYFUNCTION("""COMPUTED_VALUE"""),"オカルン")</f>
        <v>オカルン</v>
      </c>
      <c r="G506" s="254" t="str">
        <f>IFERROR(__xludf.DUMMYFUNCTION("""COMPUTED_VALUE"""),"オカルン_mainquest_glo2")</f>
        <v>オカルン_mainquest_glo2</v>
      </c>
      <c r="H506" s="235" t="str">
        <f>IFERROR(__xludf.DUMMYFUNCTION("""COMPUTED_VALUE"""),"Normal")</f>
        <v>Normal</v>
      </c>
      <c r="I506" s="235" t="str">
        <f>IFERROR(__xludf.DUMMYFUNCTION("""COMPUTED_VALUE"""),"Defense")</f>
        <v>Defense</v>
      </c>
      <c r="J506" s="235" t="str">
        <f>IFERROR(__xludf.DUMMYFUNCTION("""COMPUTED_VALUE"""),"Red")</f>
        <v>Red</v>
      </c>
      <c r="K506" s="235">
        <f>IFERROR(__xludf.DUMMYFUNCTION("""COMPUTED_VALUE"""),10000.0)</f>
        <v>10000</v>
      </c>
      <c r="L506" s="235">
        <f>IFERROR(__xludf.DUMMYFUNCTION("""COMPUTED_VALUE"""),4.0)</f>
        <v>4</v>
      </c>
      <c r="M506" s="235">
        <f>IFERROR(__xludf.DUMMYFUNCTION("""COMPUTED_VALUE"""),30.0)</f>
        <v>30</v>
      </c>
      <c r="N506" s="235">
        <f>IFERROR(__xludf.DUMMYFUNCTION("""COMPUTED_VALUE"""),0.16)</f>
        <v>0.16</v>
      </c>
      <c r="O506" s="235">
        <f>IFERROR(__xludf.DUMMYFUNCTION("""COMPUTED_VALUE"""),100.0)</f>
        <v>100</v>
      </c>
      <c r="P506" s="235">
        <f>IFERROR(__xludf.DUMMYFUNCTION("""COMPUTED_VALUE"""),0.0)</f>
        <v>0</v>
      </c>
      <c r="Q506" s="235">
        <f>IFERROR(__xludf.DUMMYFUNCTION("""COMPUTED_VALUE"""),0.17)</f>
        <v>0.17</v>
      </c>
      <c r="R506" s="235">
        <f>IFERROR(__xludf.DUMMYFUNCTION("""COMPUTED_VALUE"""),1.0)</f>
        <v>1</v>
      </c>
      <c r="S506" s="235">
        <f>IFERROR(__xludf.DUMMYFUNCTION("""COMPUTED_VALUE"""),300.0)</f>
        <v>300</v>
      </c>
      <c r="T506" s="244" t="str">
        <f>IFERROR(__xludf.DUMMYFUNCTION("""COMPUTED_VALUE"""),"1.43")</f>
        <v>1.43</v>
      </c>
      <c r="U506" s="235" t="str">
        <f>IFERROR(__xludf.DUMMYFUNCTION("""COMPUTED_VALUE"""),"0.53")</f>
        <v>0.53</v>
      </c>
      <c r="V506" s="235">
        <f>IFERROR(__xludf.DUMMYFUNCTION("""COMPUTED_VALUE"""),225.0)</f>
        <v>225</v>
      </c>
      <c r="W506" s="235" t="str">
        <f>IFERROR(__xludf.DUMMYFUNCTION("""COMPUTED_VALUE"""),"4.00")</f>
        <v>4.00</v>
      </c>
      <c r="X506" s="235" t="str">
        <f>IFERROR(__xludf.DUMMYFUNCTION("""COMPUTED_VALUE"""),"1.66")</f>
        <v>1.66</v>
      </c>
      <c r="Y506" s="235" t="str">
        <f>IFERROR(__xludf.DUMMYFUNCTION("""COMPUTED_VALUE"""),"ダメージ軽減")</f>
        <v>ダメージ軽減</v>
      </c>
      <c r="Z506" s="235">
        <f>IFERROR(__xludf.DUMMYFUNCTION("""COMPUTED_VALUE"""),5.0)</f>
        <v>5</v>
      </c>
      <c r="AA506" s="235"/>
      <c r="AB506" s="235" t="str">
        <f>IFERROR(__xludf.DUMMYFUNCTION("""COMPUTED_VALUE"""),"dageki_1")</f>
        <v>dageki_1</v>
      </c>
      <c r="AC506" s="235"/>
    </row>
    <row r="507">
      <c r="A507" s="235"/>
      <c r="B507" s="235" t="str">
        <f>IFERROR(__xludf.DUMMYFUNCTION("""COMPUTED_VALUE"""),"chara_dan_00002")</f>
        <v>chara_dan_00002</v>
      </c>
      <c r="C507" s="254" t="str">
        <f>IFERROR(__xludf.DUMMYFUNCTION("""COMPUTED_VALUE"""),"_mainquest_glo2")</f>
        <v>_mainquest_glo2</v>
      </c>
      <c r="D507" s="254" t="str">
        <f>IFERROR(__xludf.DUMMYFUNCTION("""COMPUTED_VALUE"""),"c_dan_00002_mainquest_glo2_Boss_Red")</f>
        <v>c_dan_00002_mainquest_glo2_Boss_Red</v>
      </c>
      <c r="E507" s="254" t="str">
        <f>IFERROR(__xludf.DUMMYFUNCTION("""COMPUTED_VALUE"""),"ダンダダン")</f>
        <v>ダンダダン</v>
      </c>
      <c r="F507" s="254" t="str">
        <f>IFERROR(__xludf.DUMMYFUNCTION("""COMPUTED_VALUE"""),"ターボババアの霊力 オカルン")</f>
        <v>ターボババアの霊力 オカルン</v>
      </c>
      <c r="G507" s="254" t="str">
        <f>IFERROR(__xludf.DUMMYFUNCTION("""COMPUTED_VALUE"""),"ターボババアの霊力 オカルン_mainquest_glo2")</f>
        <v>ターボババアの霊力 オカルン_mainquest_glo2</v>
      </c>
      <c r="H507" s="235" t="str">
        <f>IFERROR(__xludf.DUMMYFUNCTION("""COMPUTED_VALUE"""),"Boss")</f>
        <v>Boss</v>
      </c>
      <c r="I507" s="235" t="str">
        <f>IFERROR(__xludf.DUMMYFUNCTION("""COMPUTED_VALUE"""),"Attack")</f>
        <v>Attack</v>
      </c>
      <c r="J507" s="235" t="str">
        <f>IFERROR(__xludf.DUMMYFUNCTION("""COMPUTED_VALUE"""),"Red")</f>
        <v>Red</v>
      </c>
      <c r="K507" s="235">
        <f>IFERROR(__xludf.DUMMYFUNCTION("""COMPUTED_VALUE"""),30000.0)</f>
        <v>30000</v>
      </c>
      <c r="L507" s="235">
        <f>IFERROR(__xludf.DUMMYFUNCTION("""COMPUTED_VALUE"""),1.0)</f>
        <v>1</v>
      </c>
      <c r="M507" s="235">
        <f>IFERROR(__xludf.DUMMYFUNCTION("""COMPUTED_VALUE"""),65.0)</f>
        <v>65</v>
      </c>
      <c r="N507" s="235">
        <f>IFERROR(__xludf.DUMMYFUNCTION("""COMPUTED_VALUE"""),0.32)</f>
        <v>0.32</v>
      </c>
      <c r="O507" s="235">
        <f>IFERROR(__xludf.DUMMYFUNCTION("""COMPUTED_VALUE"""),300.0)</f>
        <v>300</v>
      </c>
      <c r="P507" s="235"/>
      <c r="Q507" s="235">
        <f>IFERROR(__xludf.DUMMYFUNCTION("""COMPUTED_VALUE"""),0.33)</f>
        <v>0.33</v>
      </c>
      <c r="R507" s="235">
        <f>IFERROR(__xludf.DUMMYFUNCTION("""COMPUTED_VALUE"""),1.0)</f>
        <v>1</v>
      </c>
      <c r="S507" s="235">
        <f>IFERROR(__xludf.DUMMYFUNCTION("""COMPUTED_VALUE"""),400.0)</f>
        <v>400</v>
      </c>
      <c r="T507" s="244" t="str">
        <f>IFERROR(__xludf.DUMMYFUNCTION("""COMPUTED_VALUE"""),"1.84")</f>
        <v>1.84</v>
      </c>
      <c r="U507" s="235" t="str">
        <f>IFERROR(__xludf.DUMMYFUNCTION("""COMPUTED_VALUE"""),"stop有:1回目 0.66
stop有:2回目 1.27")</f>
        <v>stop有:1回目 0.66
stop有:2回目 1.27</v>
      </c>
      <c r="V507" s="235">
        <f>IFERROR(__xludf.DUMMYFUNCTION("""COMPUTED_VALUE"""),65.0)</f>
        <v>65</v>
      </c>
      <c r="W507" s="235" t="str">
        <f>IFERROR(__xludf.DUMMYFUNCTION("""COMPUTED_VALUE"""),"5.21")</f>
        <v>5.21</v>
      </c>
      <c r="X507" s="235"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507" s="235" t="str">
        <f>IFERROR(__xludf.DUMMYFUNCTION("""COMPUTED_VALUE"""),"中範囲攻撃")</f>
        <v>中範囲攻撃</v>
      </c>
      <c r="Z507" s="235">
        <f>IFERROR(__xludf.DUMMYFUNCTION("""COMPUTED_VALUE"""),4.0)</f>
        <v>4</v>
      </c>
      <c r="AA507" s="235"/>
      <c r="AB507" s="235" t="str">
        <f>IFERROR(__xludf.DUMMYFUNCTION("""COMPUTED_VALUE"""),"dageki_1")</f>
        <v>dageki_1</v>
      </c>
      <c r="AC507" s="235"/>
    </row>
    <row r="508">
      <c r="A508" s="235"/>
      <c r="B508" s="235" t="str">
        <f>IFERROR(__xludf.DUMMYFUNCTION("""COMPUTED_VALUE"""),"chara_dan_00101")</f>
        <v>chara_dan_00101</v>
      </c>
      <c r="C508" s="254" t="str">
        <f>IFERROR(__xludf.DUMMYFUNCTION("""COMPUTED_VALUE"""),"_mainquest_glo2")</f>
        <v>_mainquest_glo2</v>
      </c>
      <c r="D508" s="254" t="str">
        <f>IFERROR(__xludf.DUMMYFUNCTION("""COMPUTED_VALUE"""),"c_dan_00101_mainquest_glo2_Normal_Red")</f>
        <v>c_dan_00101_mainquest_glo2_Normal_Red</v>
      </c>
      <c r="E508" s="254" t="str">
        <f>IFERROR(__xludf.DUMMYFUNCTION("""COMPUTED_VALUE"""),"ダンダダン")</f>
        <v>ダンダダン</v>
      </c>
      <c r="F508" s="254" t="str">
        <f>IFERROR(__xludf.DUMMYFUNCTION("""COMPUTED_VALUE"""),"モモ")</f>
        <v>モモ</v>
      </c>
      <c r="G508" s="254" t="str">
        <f>IFERROR(__xludf.DUMMYFUNCTION("""COMPUTED_VALUE"""),"モモ_mainquest_glo2")</f>
        <v>モモ_mainquest_glo2</v>
      </c>
      <c r="H508" s="235" t="str">
        <f>IFERROR(__xludf.DUMMYFUNCTION("""COMPUTED_VALUE"""),"Normal")</f>
        <v>Normal</v>
      </c>
      <c r="I508" s="235" t="str">
        <f>IFERROR(__xludf.DUMMYFUNCTION("""COMPUTED_VALUE"""),"Attack")</f>
        <v>Attack</v>
      </c>
      <c r="J508" s="235" t="str">
        <f>IFERROR(__xludf.DUMMYFUNCTION("""COMPUTED_VALUE"""),"Red")</f>
        <v>Red</v>
      </c>
      <c r="K508" s="235">
        <f>IFERROR(__xludf.DUMMYFUNCTION("""COMPUTED_VALUE"""),5000.0)</f>
        <v>5000</v>
      </c>
      <c r="L508" s="235">
        <f>IFERROR(__xludf.DUMMYFUNCTION("""COMPUTED_VALUE"""),3.0)</f>
        <v>3</v>
      </c>
      <c r="M508" s="235">
        <f>IFERROR(__xludf.DUMMYFUNCTION("""COMPUTED_VALUE"""),35.0)</f>
        <v>35</v>
      </c>
      <c r="N508" s="235">
        <f>IFERROR(__xludf.DUMMYFUNCTION("""COMPUTED_VALUE"""),0.39)</f>
        <v>0.39</v>
      </c>
      <c r="O508" s="235">
        <f>IFERROR(__xludf.DUMMYFUNCTION("""COMPUTED_VALUE"""),150.0)</f>
        <v>150</v>
      </c>
      <c r="P508" s="235">
        <f>IFERROR(__xludf.DUMMYFUNCTION("""COMPUTED_VALUE"""),0.0)</f>
        <v>0</v>
      </c>
      <c r="Q508" s="235">
        <f>IFERROR(__xludf.DUMMYFUNCTION("""COMPUTED_VALUE"""),0.42)</f>
        <v>0.42</v>
      </c>
      <c r="R508" s="235">
        <f>IFERROR(__xludf.DUMMYFUNCTION("""COMPUTED_VALUE"""),100.0)</f>
        <v>100</v>
      </c>
      <c r="S508" s="235">
        <f>IFERROR(__xludf.DUMMYFUNCTION("""COMPUTED_VALUE"""),200.0)</f>
        <v>200</v>
      </c>
      <c r="T508" s="244" t="str">
        <f>IFERROR(__xludf.DUMMYFUNCTION("""COMPUTED_VALUE"""),"1.00")</f>
        <v>1.00</v>
      </c>
      <c r="U508" s="235" t="str">
        <f>IFERROR(__xludf.DUMMYFUNCTION("""COMPUTED_VALUE"""),"0.50")</f>
        <v>0.50</v>
      </c>
      <c r="V508" s="235">
        <f>IFERROR(__xludf.DUMMYFUNCTION("""COMPUTED_VALUE"""),90.0)</f>
        <v>90</v>
      </c>
      <c r="W508" s="235" t="str">
        <f>IFERROR(__xludf.DUMMYFUNCTION("""COMPUTED_VALUE"""),"2.00")</f>
        <v>2.00</v>
      </c>
      <c r="X508" s="235" t="str">
        <f>IFERROR(__xludf.DUMMYFUNCTION("""COMPUTED_VALUE"""),"1.00")</f>
        <v>1.00</v>
      </c>
      <c r="Y508" s="235" t="str">
        <f>IFERROR(__xludf.DUMMYFUNCTION("""COMPUTED_VALUE"""),"中範囲攻撃")</f>
        <v>中範囲攻撃</v>
      </c>
      <c r="Z508" s="235">
        <f>IFERROR(__xludf.DUMMYFUNCTION("""COMPUTED_VALUE"""),6.0)</f>
        <v>6</v>
      </c>
      <c r="AA508" s="235"/>
      <c r="AB508" s="235" t="str">
        <f>IFERROR(__xludf.DUMMYFUNCTION("""COMPUTED_VALUE"""),"dageki_1")</f>
        <v>dageki_1</v>
      </c>
      <c r="AC508" s="235"/>
    </row>
    <row r="509">
      <c r="A509" s="235"/>
      <c r="B509" s="235" t="str">
        <f>IFERROR(__xludf.DUMMYFUNCTION("""COMPUTED_VALUE"""),"chara_jig_00001")</f>
        <v>chara_jig_00001</v>
      </c>
      <c r="C509" s="254" t="str">
        <f>IFERROR(__xludf.DUMMYFUNCTION("""COMPUTED_VALUE"""),"_mainquest_glo2")</f>
        <v>_mainquest_glo2</v>
      </c>
      <c r="D509" s="254" t="str">
        <f>IFERROR(__xludf.DUMMYFUNCTION("""COMPUTED_VALUE"""),"c_jig_00001_mainquest_glo2_Normal_Red")</f>
        <v>c_jig_00001_mainquest_glo2_Normal_Red</v>
      </c>
      <c r="E509" s="254" t="str">
        <f>IFERROR(__xludf.DUMMYFUNCTION("""COMPUTED_VALUE"""),"地獄楽")</f>
        <v>地獄楽</v>
      </c>
      <c r="F509" s="254" t="str">
        <f>IFERROR(__xludf.DUMMYFUNCTION("""COMPUTED_VALUE"""),"がらんの画眉丸")</f>
        <v>がらんの画眉丸</v>
      </c>
      <c r="G509" s="254" t="str">
        <f>IFERROR(__xludf.DUMMYFUNCTION("""COMPUTED_VALUE"""),"がらんの画眉丸_mainquest_glo2")</f>
        <v>がらんの画眉丸_mainquest_glo2</v>
      </c>
      <c r="H509" s="235" t="str">
        <f>IFERROR(__xludf.DUMMYFUNCTION("""COMPUTED_VALUE"""),"Normal")</f>
        <v>Normal</v>
      </c>
      <c r="I509" s="235" t="str">
        <f>IFERROR(__xludf.DUMMYFUNCTION("""COMPUTED_VALUE"""),"Technical")</f>
        <v>Technical</v>
      </c>
      <c r="J509" s="235" t="str">
        <f>IFERROR(__xludf.DUMMYFUNCTION("""COMPUTED_VALUE"""),"Red")</f>
        <v>Red</v>
      </c>
      <c r="K509" s="235">
        <f>IFERROR(__xludf.DUMMYFUNCTION("""COMPUTED_VALUE"""),5000.0)</f>
        <v>5000</v>
      </c>
      <c r="L509" s="235">
        <f>IFERROR(__xludf.DUMMYFUNCTION("""COMPUTED_VALUE"""),2.0)</f>
        <v>2</v>
      </c>
      <c r="M509" s="235">
        <f>IFERROR(__xludf.DUMMYFUNCTION("""COMPUTED_VALUE"""),41.0)</f>
        <v>41</v>
      </c>
      <c r="N509" s="235">
        <f>IFERROR(__xludf.DUMMYFUNCTION("""COMPUTED_VALUE"""),0.24)</f>
        <v>0.24</v>
      </c>
      <c r="O509" s="235">
        <f>IFERROR(__xludf.DUMMYFUNCTION("""COMPUTED_VALUE"""),300.0)</f>
        <v>300</v>
      </c>
      <c r="P509" s="235">
        <f>IFERROR(__xludf.DUMMYFUNCTION("""COMPUTED_VALUE"""),0.0)</f>
        <v>0</v>
      </c>
      <c r="Q509" s="235">
        <f>IFERROR(__xludf.DUMMYFUNCTION("""COMPUTED_VALUE"""),0.25)</f>
        <v>0.25</v>
      </c>
      <c r="R509" s="235">
        <f>IFERROR(__xludf.DUMMYFUNCTION("""COMPUTED_VALUE"""),1.0)</f>
        <v>1</v>
      </c>
      <c r="S509" s="235">
        <f>IFERROR(__xludf.DUMMYFUNCTION("""COMPUTED_VALUE"""),200.0)</f>
        <v>200</v>
      </c>
      <c r="T509" s="244" t="str">
        <f>IFERROR(__xludf.DUMMYFUNCTION("""COMPUTED_VALUE"""),"1.17")</f>
        <v>1.17</v>
      </c>
      <c r="U509" s="235" t="str">
        <f>IFERROR(__xludf.DUMMYFUNCTION("""COMPUTED_VALUE"""),"stop有:1回目0.20")</f>
        <v>stop有:1回目0.20</v>
      </c>
      <c r="V509" s="235">
        <f>IFERROR(__xludf.DUMMYFUNCTION("""COMPUTED_VALUE"""),80.0)</f>
        <v>80</v>
      </c>
      <c r="W509" s="235" t="str">
        <f>IFERROR(__xludf.DUMMYFUNCTION("""COMPUTED_VALUE"""),"2.30")</f>
        <v>2.30</v>
      </c>
      <c r="X509" s="235" t="str">
        <f>IFERROR(__xludf.DUMMYFUNCTION("""COMPUTED_VALUE"""),"stop有:1回目 0.08
stop有:2回目 0.90
stop有:3回目 1.50")</f>
        <v>stop有:1回目 0.08
stop有:2回目 0.90
stop有:3回目 1.50</v>
      </c>
      <c r="Y509" s="235" t="str">
        <f>IFERROR(__xludf.DUMMYFUNCTION("""COMPUTED_VALUE"""),"小範囲に火傷")</f>
        <v>小範囲に火傷</v>
      </c>
      <c r="Z509" s="235">
        <f>IFERROR(__xludf.DUMMYFUNCTION("""COMPUTED_VALUE"""),6.0)</f>
        <v>6</v>
      </c>
      <c r="AA509" s="235"/>
      <c r="AB509" s="235" t="str">
        <f>IFERROR(__xludf.DUMMYFUNCTION("""COMPUTED_VALUE"""),"dageki_1")</f>
        <v>dageki_1</v>
      </c>
      <c r="AC509" s="235"/>
    </row>
    <row r="510">
      <c r="A510" s="235"/>
      <c r="B510" s="235" t="str">
        <f>IFERROR(__xludf.DUMMYFUNCTION("""COMPUTED_VALUE"""),"chara_jig_00101")</f>
        <v>chara_jig_00101</v>
      </c>
      <c r="C510" s="254" t="str">
        <f>IFERROR(__xludf.DUMMYFUNCTION("""COMPUTED_VALUE"""),"_mainquest_glo2")</f>
        <v>_mainquest_glo2</v>
      </c>
      <c r="D510" s="254" t="str">
        <f>IFERROR(__xludf.DUMMYFUNCTION("""COMPUTED_VALUE"""),"c_jig_00101_mainquest_glo2_Normal_Red")</f>
        <v>c_jig_00101_mainquest_glo2_Normal_Red</v>
      </c>
      <c r="E510" s="254" t="str">
        <f>IFERROR(__xludf.DUMMYFUNCTION("""COMPUTED_VALUE"""),"地獄楽")</f>
        <v>地獄楽</v>
      </c>
      <c r="F510" s="254" t="str">
        <f>IFERROR(__xludf.DUMMYFUNCTION("""COMPUTED_VALUE"""),"山田浅ェ門 佐切")</f>
        <v>山田浅ェ門 佐切</v>
      </c>
      <c r="G510" s="254" t="str">
        <f>IFERROR(__xludf.DUMMYFUNCTION("""COMPUTED_VALUE"""),"山田浅ェ門 佐切_mainquest_glo2")</f>
        <v>山田浅ェ門 佐切_mainquest_glo2</v>
      </c>
      <c r="H510" s="235" t="str">
        <f>IFERROR(__xludf.DUMMYFUNCTION("""COMPUTED_VALUE"""),"Normal")</f>
        <v>Normal</v>
      </c>
      <c r="I510" s="235" t="str">
        <f>IFERROR(__xludf.DUMMYFUNCTION("""COMPUTED_VALUE"""),"Attack")</f>
        <v>Attack</v>
      </c>
      <c r="J510" s="235" t="str">
        <f>IFERROR(__xludf.DUMMYFUNCTION("""COMPUTED_VALUE"""),"Red")</f>
        <v>Red</v>
      </c>
      <c r="K510" s="235">
        <f>IFERROR(__xludf.DUMMYFUNCTION("""COMPUTED_VALUE"""),5000.0)</f>
        <v>5000</v>
      </c>
      <c r="L510" s="235">
        <f>IFERROR(__xludf.DUMMYFUNCTION("""COMPUTED_VALUE"""),3.0)</f>
        <v>3</v>
      </c>
      <c r="M510" s="235">
        <f>IFERROR(__xludf.DUMMYFUNCTION("""COMPUTED_VALUE"""),45.0)</f>
        <v>45</v>
      </c>
      <c r="N510" s="235">
        <f>IFERROR(__xludf.DUMMYFUNCTION("""COMPUTED_VALUE"""),0.22)</f>
        <v>0.22</v>
      </c>
      <c r="O510" s="235">
        <f>IFERROR(__xludf.DUMMYFUNCTION("""COMPUTED_VALUE"""),300.0)</f>
        <v>300</v>
      </c>
      <c r="P510" s="235">
        <f>IFERROR(__xludf.DUMMYFUNCTION("""COMPUTED_VALUE"""),0.0)</f>
        <v>0</v>
      </c>
      <c r="Q510" s="235">
        <f>IFERROR(__xludf.DUMMYFUNCTION("""COMPUTED_VALUE"""),0.23)</f>
        <v>0.23</v>
      </c>
      <c r="R510" s="235">
        <f>IFERROR(__xludf.DUMMYFUNCTION("""COMPUTED_VALUE"""),1.0)</f>
        <v>1</v>
      </c>
      <c r="S510" s="235">
        <f>IFERROR(__xludf.DUMMYFUNCTION("""COMPUTED_VALUE"""),200.0)</f>
        <v>200</v>
      </c>
      <c r="T510" s="244" t="str">
        <f>IFERROR(__xludf.DUMMYFUNCTION("""COMPUTED_VALUE"""),"1.5")</f>
        <v>1.5</v>
      </c>
      <c r="U510" s="235" t="str">
        <f>IFERROR(__xludf.DUMMYFUNCTION("""COMPUTED_VALUE"""),"0.50")</f>
        <v>0.50</v>
      </c>
      <c r="V510" s="235">
        <f>IFERROR(__xludf.DUMMYFUNCTION("""COMPUTED_VALUE"""),100.0)</f>
        <v>100</v>
      </c>
      <c r="W510" s="235" t="str">
        <f>IFERROR(__xludf.DUMMYFUNCTION("""COMPUTED_VALUE"""),"2.50")</f>
        <v>2.50</v>
      </c>
      <c r="X510" s="235" t="str">
        <f>IFERROR(__xludf.DUMMYFUNCTION("""COMPUTED_VALUE"""),"1.20")</f>
        <v>1.20</v>
      </c>
      <c r="Y510" s="235" t="str">
        <f>IFERROR(__xludf.DUMMYFUNCTION("""COMPUTED_VALUE"""),"中範囲攻撃")</f>
        <v>中範囲攻撃</v>
      </c>
      <c r="Z510" s="235">
        <f>IFERROR(__xludf.DUMMYFUNCTION("""COMPUTED_VALUE"""),5.0)</f>
        <v>5</v>
      </c>
      <c r="AA510" s="235"/>
      <c r="AB510" s="235" t="str">
        <f>IFERROR(__xludf.DUMMYFUNCTION("""COMPUTED_VALUE"""),"zangeki_1")</f>
        <v>zangeki_1</v>
      </c>
      <c r="AC510" s="235"/>
    </row>
    <row r="511">
      <c r="A511" s="235"/>
      <c r="B511" s="235" t="str">
        <f>IFERROR(__xludf.DUMMYFUNCTION("""COMPUTED_VALUE"""),"chara_tak_00001")</f>
        <v>chara_tak_00001</v>
      </c>
      <c r="C511" s="254" t="str">
        <f>IFERROR(__xludf.DUMMYFUNCTION("""COMPUTED_VALUE"""),"_mainquest_glo2")</f>
        <v>_mainquest_glo2</v>
      </c>
      <c r="D511" s="254" t="str">
        <f>IFERROR(__xludf.DUMMYFUNCTION("""COMPUTED_VALUE"""),"c_tak_00001_mainquest_glo2_Normal_Red")</f>
        <v>c_tak_00001_mainquest_glo2_Normal_Red</v>
      </c>
      <c r="E511" s="254" t="str">
        <f>IFERROR(__xludf.DUMMYFUNCTION("""COMPUTED_VALUE"""),"タコピーの原罪")</f>
        <v>タコピーの原罪</v>
      </c>
      <c r="F511" s="254" t="str">
        <f>IFERROR(__xludf.DUMMYFUNCTION("""COMPUTED_VALUE"""),"ハッピー星からの使者 タコピー")</f>
        <v>ハッピー星からの使者 タコピー</v>
      </c>
      <c r="G511" s="254" t="str">
        <f>IFERROR(__xludf.DUMMYFUNCTION("""COMPUTED_VALUE"""),"ハッピー星からの使者 タコピー_mainquest_glo2")</f>
        <v>ハッピー星からの使者 タコピー_mainquest_glo2</v>
      </c>
      <c r="H511" s="235" t="str">
        <f>IFERROR(__xludf.DUMMYFUNCTION("""COMPUTED_VALUE"""),"Normal")</f>
        <v>Normal</v>
      </c>
      <c r="I511" s="235" t="str">
        <f>IFERROR(__xludf.DUMMYFUNCTION("""COMPUTED_VALUE"""),"Defense")</f>
        <v>Defense</v>
      </c>
      <c r="J511" s="235" t="str">
        <f>IFERROR(__xludf.DUMMYFUNCTION("""COMPUTED_VALUE"""),"Red")</f>
        <v>Red</v>
      </c>
      <c r="K511" s="235">
        <f>IFERROR(__xludf.DUMMYFUNCTION("""COMPUTED_VALUE"""),10000.0)</f>
        <v>10000</v>
      </c>
      <c r="L511" s="235">
        <f>IFERROR(__xludf.DUMMYFUNCTION("""COMPUTED_VALUE"""),2.0)</f>
        <v>2</v>
      </c>
      <c r="M511" s="235">
        <f>IFERROR(__xludf.DUMMYFUNCTION("""COMPUTED_VALUE"""),32.0)</f>
        <v>32</v>
      </c>
      <c r="N511" s="235">
        <f>IFERROR(__xludf.DUMMYFUNCTION("""COMPUTED_VALUE"""),0.18)</f>
        <v>0.18</v>
      </c>
      <c r="O511" s="235">
        <f>IFERROR(__xludf.DUMMYFUNCTION("""COMPUTED_VALUE"""),100.0)</f>
        <v>100</v>
      </c>
      <c r="P511" s="235">
        <f>IFERROR(__xludf.DUMMYFUNCTION("""COMPUTED_VALUE"""),0.0)</f>
        <v>0</v>
      </c>
      <c r="Q511" s="235">
        <f>IFERROR(__xludf.DUMMYFUNCTION("""COMPUTED_VALUE"""),0.19)</f>
        <v>0.19</v>
      </c>
      <c r="R511" s="235">
        <f>IFERROR(__xludf.DUMMYFUNCTION("""COMPUTED_VALUE"""),1.0)</f>
        <v>1</v>
      </c>
      <c r="S511" s="235">
        <f>IFERROR(__xludf.DUMMYFUNCTION("""COMPUTED_VALUE"""),300.0)</f>
        <v>300</v>
      </c>
      <c r="T511" s="244" t="str">
        <f>IFERROR(__xludf.DUMMYFUNCTION("""COMPUTED_VALUE"""),"1.00")</f>
        <v>1.00</v>
      </c>
      <c r="U511" s="235" t="str">
        <f>IFERROR(__xludf.DUMMYFUNCTION("""COMPUTED_VALUE"""),"0.44")</f>
        <v>0.44</v>
      </c>
      <c r="V511" s="235">
        <f>IFERROR(__xludf.DUMMYFUNCTION("""COMPUTED_VALUE"""),100.0)</f>
        <v>100</v>
      </c>
      <c r="W511" s="235" t="str">
        <f>IFERROR(__xludf.DUMMYFUNCTION("""COMPUTED_VALUE"""),"3.34")</f>
        <v>3.34</v>
      </c>
      <c r="X511" s="235" t="str">
        <f>IFERROR(__xludf.DUMMYFUNCTION("""COMPUTED_VALUE"""),"0.75")</f>
        <v>0.75</v>
      </c>
      <c r="Y511" s="235"/>
      <c r="Z511" s="235" t="str">
        <f>IFERROR(__xludf.DUMMYFUNCTION("""COMPUTED_VALUE"""),"-")</f>
        <v>-</v>
      </c>
      <c r="AA511" s="235"/>
      <c r="AB511" s="235" t="str">
        <f>IFERROR(__xludf.DUMMYFUNCTION("""COMPUTED_VALUE"""),"dageki_1")</f>
        <v>dageki_1</v>
      </c>
      <c r="AC511" s="235"/>
    </row>
    <row r="512">
      <c r="A512" s="235"/>
      <c r="B512" s="235"/>
      <c r="C512" s="254"/>
      <c r="D512" s="254" t="str">
        <f>IFERROR(__xludf.DUMMYFUNCTION("""COMPUTED_VALUE"""),"___")</f>
        <v>___</v>
      </c>
      <c r="E512" s="254" t="str">
        <f>IFERROR(__xludf.DUMMYFUNCTION("""COMPUTED_VALUE"""),"none")</f>
        <v>none</v>
      </c>
      <c r="F512" s="254" t="str">
        <f>IFERROR(__xludf.DUMMYFUNCTION("""COMPUTED_VALUE"""),"none")</f>
        <v>none</v>
      </c>
      <c r="G512" s="254" t="str">
        <f>IFERROR(__xludf.DUMMYFUNCTION("""COMPUTED_VALUE"""),"none")</f>
        <v>none</v>
      </c>
      <c r="H512" s="235"/>
      <c r="I512" s="235" t="str">
        <f>IFERROR(__xludf.DUMMYFUNCTION("""COMPUTED_VALUE"""),"none")</f>
        <v>none</v>
      </c>
      <c r="J512" s="235"/>
      <c r="K512" s="235"/>
      <c r="L512" s="235"/>
      <c r="M512" s="235"/>
      <c r="N512" s="235"/>
      <c r="O512" s="235"/>
      <c r="P512" s="235"/>
      <c r="Q512" s="235"/>
      <c r="R512" s="235"/>
      <c r="S512" s="235"/>
      <c r="T512" s="244" t="str">
        <f>IFERROR(__xludf.DUMMYFUNCTION("""COMPUTED_VALUE"""),"none")</f>
        <v>none</v>
      </c>
      <c r="U512" s="235" t="str">
        <f>IFERROR(__xludf.DUMMYFUNCTION("""COMPUTED_VALUE"""),"none")</f>
        <v>none</v>
      </c>
      <c r="V512" s="235"/>
      <c r="W512" s="235" t="str">
        <f>IFERROR(__xludf.DUMMYFUNCTION("""COMPUTED_VALUE"""),"none")</f>
        <v>none</v>
      </c>
      <c r="X512" s="235" t="str">
        <f>IFERROR(__xludf.DUMMYFUNCTION("""COMPUTED_VALUE"""),"none")</f>
        <v>none</v>
      </c>
      <c r="Y512" s="235"/>
      <c r="Z512" s="235" t="str">
        <f>IFERROR(__xludf.DUMMYFUNCTION("""COMPUTED_VALUE"""),"-")</f>
        <v>-</v>
      </c>
      <c r="AA512" s="235"/>
      <c r="AB512" s="235"/>
      <c r="AC512" s="235"/>
    </row>
    <row r="513">
      <c r="A513" s="235"/>
      <c r="B513" s="235" t="str">
        <f>IFERROR(__xludf.DUMMYFUNCTION("""COMPUTED_VALUE"""),"enemy_glo_00001")</f>
        <v>enemy_glo_00001</v>
      </c>
      <c r="C513" s="254" t="str">
        <f>IFERROR(__xludf.DUMMYFUNCTION("""COMPUTED_VALUE"""),"_general_osh_n")</f>
        <v>_general_osh_n</v>
      </c>
      <c r="D513" s="254" t="str">
        <f>IFERROR(__xludf.DUMMYFUNCTION("""COMPUTED_VALUE"""),"e_glo_00001_general_osh_n_Normal_Yellow")</f>
        <v>e_glo_00001_general_osh_n_Normal_Yellow</v>
      </c>
      <c r="E513" s="254" t="str">
        <f>IFERROR(__xludf.DUMMYFUNCTION("""COMPUTED_VALUE"""),"GLOW")</f>
        <v>GLOW</v>
      </c>
      <c r="F513" s="254" t="str">
        <f>IFERROR(__xludf.DUMMYFUNCTION("""COMPUTED_VALUE"""),"ファントム")</f>
        <v>ファントム</v>
      </c>
      <c r="G513" s="254" t="str">
        <f>IFERROR(__xludf.DUMMYFUNCTION("""COMPUTED_VALUE"""),"ファントム_general_osh_n")</f>
        <v>ファントム_general_osh_n</v>
      </c>
      <c r="H513" s="235" t="str">
        <f>IFERROR(__xludf.DUMMYFUNCTION("""COMPUTED_VALUE"""),"Normal")</f>
        <v>Normal</v>
      </c>
      <c r="I513" s="235" t="str">
        <f>IFERROR(__xludf.DUMMYFUNCTION("""COMPUTED_VALUE"""),"Attack")</f>
        <v>Attack</v>
      </c>
      <c r="J513" s="235" t="str">
        <f>IFERROR(__xludf.DUMMYFUNCTION("""COMPUTED_VALUE"""),"Yellow")</f>
        <v>Yellow</v>
      </c>
      <c r="K513" s="235">
        <f>IFERROR(__xludf.DUMMYFUNCTION("""COMPUTED_VALUE"""),1000.0)</f>
        <v>1000</v>
      </c>
      <c r="L513" s="235">
        <f>IFERROR(__xludf.DUMMYFUNCTION("""COMPUTED_VALUE"""),3.0)</f>
        <v>3</v>
      </c>
      <c r="M513" s="235">
        <f>IFERROR(__xludf.DUMMYFUNCTION("""COMPUTED_VALUE"""),34.0)</f>
        <v>34</v>
      </c>
      <c r="N513" s="235">
        <f>IFERROR(__xludf.DUMMYFUNCTION("""COMPUTED_VALUE"""),0.22)</f>
        <v>0.22</v>
      </c>
      <c r="O513" s="235">
        <f>IFERROR(__xludf.DUMMYFUNCTION("""COMPUTED_VALUE"""),100.0)</f>
        <v>100</v>
      </c>
      <c r="P513" s="235"/>
      <c r="Q513" s="235"/>
      <c r="R513" s="235"/>
      <c r="S513" s="235">
        <f>IFERROR(__xludf.DUMMYFUNCTION("""COMPUTED_VALUE"""),50.0)</f>
        <v>50</v>
      </c>
      <c r="T513" s="244" t="str">
        <f>IFERROR(__xludf.DUMMYFUNCTION("""COMPUTED_VALUE"""),"1.00")</f>
        <v>1.00</v>
      </c>
      <c r="U513" s="235" t="str">
        <f>IFERROR(__xludf.DUMMYFUNCTION("""COMPUTED_VALUE"""),"0.50")</f>
        <v>0.50</v>
      </c>
      <c r="V513" s="235"/>
      <c r="W513" s="235"/>
      <c r="X513" s="235"/>
      <c r="Y513" s="235"/>
      <c r="Z513" s="235" t="str">
        <f>IFERROR(__xludf.DUMMYFUNCTION("""COMPUTED_VALUE"""),"-")</f>
        <v>-</v>
      </c>
      <c r="AA513" s="235"/>
      <c r="AB513" s="235"/>
      <c r="AC513" s="235"/>
    </row>
    <row r="514">
      <c r="A514" s="235"/>
      <c r="B514" s="235" t="str">
        <f>IFERROR(__xludf.DUMMYFUNCTION("""COMPUTED_VALUE"""),"enemy_glo_00001")</f>
        <v>enemy_glo_00001</v>
      </c>
      <c r="C514" s="254" t="str">
        <f>IFERROR(__xludf.DUMMYFUNCTION("""COMPUTED_VALUE"""),"_general_osh_n")</f>
        <v>_general_osh_n</v>
      </c>
      <c r="D514" s="254" t="str">
        <f>IFERROR(__xludf.DUMMYFUNCTION("""COMPUTED_VALUE"""),"e_glo_00001_general_osh_n_Normal_Green")</f>
        <v>e_glo_00001_general_osh_n_Normal_Green</v>
      </c>
      <c r="E514" s="254" t="str">
        <f>IFERROR(__xludf.DUMMYFUNCTION("""COMPUTED_VALUE"""),"GLOW")</f>
        <v>GLOW</v>
      </c>
      <c r="F514" s="254" t="str">
        <f>IFERROR(__xludf.DUMMYFUNCTION("""COMPUTED_VALUE"""),"ファントム")</f>
        <v>ファントム</v>
      </c>
      <c r="G514" s="254" t="str">
        <f>IFERROR(__xludf.DUMMYFUNCTION("""COMPUTED_VALUE"""),"ファントム_general_osh_n")</f>
        <v>ファントム_general_osh_n</v>
      </c>
      <c r="H514" s="235" t="str">
        <f>IFERROR(__xludf.DUMMYFUNCTION("""COMPUTED_VALUE"""),"Normal")</f>
        <v>Normal</v>
      </c>
      <c r="I514" s="235" t="str">
        <f>IFERROR(__xludf.DUMMYFUNCTION("""COMPUTED_VALUE"""),"Attack")</f>
        <v>Attack</v>
      </c>
      <c r="J514" s="235" t="str">
        <f>IFERROR(__xludf.DUMMYFUNCTION("""COMPUTED_VALUE"""),"Green")</f>
        <v>Green</v>
      </c>
      <c r="K514" s="235">
        <f>IFERROR(__xludf.DUMMYFUNCTION("""COMPUTED_VALUE"""),1000.0)</f>
        <v>1000</v>
      </c>
      <c r="L514" s="235">
        <f>IFERROR(__xludf.DUMMYFUNCTION("""COMPUTED_VALUE"""),3.0)</f>
        <v>3</v>
      </c>
      <c r="M514" s="235">
        <f>IFERROR(__xludf.DUMMYFUNCTION("""COMPUTED_VALUE"""),34.0)</f>
        <v>34</v>
      </c>
      <c r="N514" s="235">
        <f>IFERROR(__xludf.DUMMYFUNCTION("""COMPUTED_VALUE"""),0.22)</f>
        <v>0.22</v>
      </c>
      <c r="O514" s="235">
        <f>IFERROR(__xludf.DUMMYFUNCTION("""COMPUTED_VALUE"""),100.0)</f>
        <v>100</v>
      </c>
      <c r="P514" s="235"/>
      <c r="Q514" s="235"/>
      <c r="R514" s="235"/>
      <c r="S514" s="235">
        <f>IFERROR(__xludf.DUMMYFUNCTION("""COMPUTED_VALUE"""),50.0)</f>
        <v>50</v>
      </c>
      <c r="T514" s="244" t="str">
        <f>IFERROR(__xludf.DUMMYFUNCTION("""COMPUTED_VALUE"""),"1.00")</f>
        <v>1.00</v>
      </c>
      <c r="U514" s="235" t="str">
        <f>IFERROR(__xludf.DUMMYFUNCTION("""COMPUTED_VALUE"""),"0.50")</f>
        <v>0.50</v>
      </c>
      <c r="V514" s="235"/>
      <c r="W514" s="235"/>
      <c r="X514" s="235"/>
      <c r="Y514" s="235"/>
      <c r="Z514" s="235" t="str">
        <f>IFERROR(__xludf.DUMMYFUNCTION("""COMPUTED_VALUE"""),"-")</f>
        <v>-</v>
      </c>
      <c r="AA514" s="235"/>
      <c r="AB514" s="235"/>
      <c r="AC514" s="235"/>
    </row>
    <row r="515">
      <c r="A515" s="235"/>
      <c r="B515" s="235" t="str">
        <f>IFERROR(__xludf.DUMMYFUNCTION("""COMPUTED_VALUE"""),"enemy_glo_00001")</f>
        <v>enemy_glo_00001</v>
      </c>
      <c r="C515" s="254" t="str">
        <f>IFERROR(__xludf.DUMMYFUNCTION("""COMPUTED_VALUE"""),"_general_osh_n")</f>
        <v>_general_osh_n</v>
      </c>
      <c r="D515" s="254" t="str">
        <f>IFERROR(__xludf.DUMMYFUNCTION("""COMPUTED_VALUE"""),"e_glo_00001_general_osh_n_Boss_Yellow")</f>
        <v>e_glo_00001_general_osh_n_Boss_Yellow</v>
      </c>
      <c r="E515" s="254" t="str">
        <f>IFERROR(__xludf.DUMMYFUNCTION("""COMPUTED_VALUE"""),"GLOW")</f>
        <v>GLOW</v>
      </c>
      <c r="F515" s="254" t="str">
        <f>IFERROR(__xludf.DUMMYFUNCTION("""COMPUTED_VALUE"""),"ファントム")</f>
        <v>ファントム</v>
      </c>
      <c r="G515" s="254" t="str">
        <f>IFERROR(__xludf.DUMMYFUNCTION("""COMPUTED_VALUE"""),"ファントム_general_osh_n")</f>
        <v>ファントム_general_osh_n</v>
      </c>
      <c r="H515" s="235" t="str">
        <f>IFERROR(__xludf.DUMMYFUNCTION("""COMPUTED_VALUE"""),"Boss")</f>
        <v>Boss</v>
      </c>
      <c r="I515" s="235" t="str">
        <f>IFERROR(__xludf.DUMMYFUNCTION("""COMPUTED_VALUE"""),"Attack")</f>
        <v>Attack</v>
      </c>
      <c r="J515" s="235" t="str">
        <f>IFERROR(__xludf.DUMMYFUNCTION("""COMPUTED_VALUE"""),"Yellow")</f>
        <v>Yellow</v>
      </c>
      <c r="K515" s="235">
        <f>IFERROR(__xludf.DUMMYFUNCTION("""COMPUTED_VALUE"""),1000.0)</f>
        <v>1000</v>
      </c>
      <c r="L515" s="235">
        <f>IFERROR(__xludf.DUMMYFUNCTION("""COMPUTED_VALUE"""),2.0)</f>
        <v>2</v>
      </c>
      <c r="M515" s="235">
        <f>IFERROR(__xludf.DUMMYFUNCTION("""COMPUTED_VALUE"""),34.0)</f>
        <v>34</v>
      </c>
      <c r="N515" s="235">
        <f>IFERROR(__xludf.DUMMYFUNCTION("""COMPUTED_VALUE"""),0.22)</f>
        <v>0.22</v>
      </c>
      <c r="O515" s="235">
        <f>IFERROR(__xludf.DUMMYFUNCTION("""COMPUTED_VALUE"""),100.0)</f>
        <v>100</v>
      </c>
      <c r="P515" s="235"/>
      <c r="Q515" s="235"/>
      <c r="R515" s="235"/>
      <c r="S515" s="235">
        <f>IFERROR(__xludf.DUMMYFUNCTION("""COMPUTED_VALUE"""),100.0)</f>
        <v>100</v>
      </c>
      <c r="T515" s="244" t="str">
        <f>IFERROR(__xludf.DUMMYFUNCTION("""COMPUTED_VALUE"""),"1.00")</f>
        <v>1.00</v>
      </c>
      <c r="U515" s="235" t="str">
        <f>IFERROR(__xludf.DUMMYFUNCTION("""COMPUTED_VALUE"""),"0.50")</f>
        <v>0.50</v>
      </c>
      <c r="V515" s="235"/>
      <c r="W515" s="235"/>
      <c r="X515" s="235"/>
      <c r="Y515" s="235"/>
      <c r="Z515" s="235" t="str">
        <f>IFERROR(__xludf.DUMMYFUNCTION("""COMPUTED_VALUE"""),"-")</f>
        <v>-</v>
      </c>
      <c r="AA515" s="235"/>
      <c r="AB515" s="235"/>
      <c r="AC515" s="235"/>
    </row>
    <row r="516">
      <c r="A516" s="235"/>
      <c r="B516" s="235" t="str">
        <f>IFERROR(__xludf.DUMMYFUNCTION("""COMPUTED_VALUE"""),"enemy_glo_00002")</f>
        <v>enemy_glo_00002</v>
      </c>
      <c r="C516" s="254" t="str">
        <f>IFERROR(__xludf.DUMMYFUNCTION("""COMPUTED_VALUE"""),"_general_osh_n")</f>
        <v>_general_osh_n</v>
      </c>
      <c r="D516" s="254" t="str">
        <f>IFERROR(__xludf.DUMMYFUNCTION("""COMPUTED_VALUE"""),"e_glo_00002_general_osh_n_Normal_Green")</f>
        <v>e_glo_00002_general_osh_n_Normal_Green</v>
      </c>
      <c r="E516" s="254" t="str">
        <f>IFERROR(__xludf.DUMMYFUNCTION("""COMPUTED_VALUE"""),"GLOW")</f>
        <v>GLOW</v>
      </c>
      <c r="F516" s="254" t="str">
        <f>IFERROR(__xludf.DUMMYFUNCTION("""COMPUTED_VALUE"""),"推し活ファントム")</f>
        <v>推し活ファントム</v>
      </c>
      <c r="G516" s="254" t="str">
        <f>IFERROR(__xludf.DUMMYFUNCTION("""COMPUTED_VALUE"""),"サイリウム持ちファントム_general_osh_n")</f>
        <v>サイリウム持ちファントム_general_osh_n</v>
      </c>
      <c r="H516" s="235" t="str">
        <f>IFERROR(__xludf.DUMMYFUNCTION("""COMPUTED_VALUE"""),"Normal")</f>
        <v>Normal</v>
      </c>
      <c r="I516" s="235" t="str">
        <f>IFERROR(__xludf.DUMMYFUNCTION("""COMPUTED_VALUE"""),"Defense")</f>
        <v>Defense</v>
      </c>
      <c r="J516" s="235" t="str">
        <f>IFERROR(__xludf.DUMMYFUNCTION("""COMPUTED_VALUE"""),"Green")</f>
        <v>Green</v>
      </c>
      <c r="K516" s="235">
        <f>IFERROR(__xludf.DUMMYFUNCTION("""COMPUTED_VALUE"""),1000.0)</f>
        <v>1000</v>
      </c>
      <c r="L516" s="235">
        <f>IFERROR(__xludf.DUMMYFUNCTION("""COMPUTED_VALUE"""),1.0)</f>
        <v>1</v>
      </c>
      <c r="M516" s="235">
        <f>IFERROR(__xludf.DUMMYFUNCTION("""COMPUTED_VALUE"""),47.0)</f>
        <v>47</v>
      </c>
      <c r="N516" s="235">
        <f>IFERROR(__xludf.DUMMYFUNCTION("""COMPUTED_VALUE"""),0.22)</f>
        <v>0.22</v>
      </c>
      <c r="O516" s="235">
        <f>IFERROR(__xludf.DUMMYFUNCTION("""COMPUTED_VALUE"""),100.0)</f>
        <v>100</v>
      </c>
      <c r="P516" s="235"/>
      <c r="Q516" s="235"/>
      <c r="R516" s="235"/>
      <c r="S516" s="235">
        <f>IFERROR(__xludf.DUMMYFUNCTION("""COMPUTED_VALUE"""),50.0)</f>
        <v>50</v>
      </c>
      <c r="T516" s="244" t="str">
        <f>IFERROR(__xludf.DUMMYFUNCTION("""COMPUTED_VALUE"""),"1.17")</f>
        <v>1.17</v>
      </c>
      <c r="U516" s="235" t="str">
        <f>IFERROR(__xludf.DUMMYFUNCTION("""COMPUTED_VALUE"""),"stop有:1回目 0.6")</f>
        <v>stop有:1回目 0.6</v>
      </c>
      <c r="V516" s="235"/>
      <c r="W516" s="235"/>
      <c r="X516" s="235"/>
      <c r="Y516" s="235"/>
      <c r="Z516" s="235" t="str">
        <f>IFERROR(__xludf.DUMMYFUNCTION("""COMPUTED_VALUE"""),"-")</f>
        <v>-</v>
      </c>
      <c r="AA516" s="235"/>
      <c r="AB516" s="235"/>
      <c r="AC516" s="235" t="str">
        <f>IFERROR(__xludf.DUMMYFUNCTION("""COMPUTED_VALUE"""),"通常攻撃30%でノックバック/めっちゃ攻撃頻度短い")</f>
        <v>通常攻撃30%でノックバック/めっちゃ攻撃頻度短い</v>
      </c>
    </row>
    <row r="517">
      <c r="A517" s="235"/>
      <c r="B517" s="235" t="str">
        <f>IFERROR(__xludf.DUMMYFUNCTION("""COMPUTED_VALUE"""),"enemy_glo_00002")</f>
        <v>enemy_glo_00002</v>
      </c>
      <c r="C517" s="254" t="str">
        <f>IFERROR(__xludf.DUMMYFUNCTION("""COMPUTED_VALUE"""),"_general_osh_n")</f>
        <v>_general_osh_n</v>
      </c>
      <c r="D517" s="254" t="str">
        <f>IFERROR(__xludf.DUMMYFUNCTION("""COMPUTED_VALUE"""),"e_glo_00002_general_osh_n_Normal_Colorless")</f>
        <v>e_glo_00002_general_osh_n_Normal_Colorless</v>
      </c>
      <c r="E517" s="254" t="str">
        <f>IFERROR(__xludf.DUMMYFUNCTION("""COMPUTED_VALUE"""),"GLOW")</f>
        <v>GLOW</v>
      </c>
      <c r="F517" s="254" t="str">
        <f>IFERROR(__xludf.DUMMYFUNCTION("""COMPUTED_VALUE"""),"推し活ファントム")</f>
        <v>推し活ファントム</v>
      </c>
      <c r="G517" s="254" t="str">
        <f>IFERROR(__xludf.DUMMYFUNCTION("""COMPUTED_VALUE"""),"サイリウム持ちファントム_general_osh_n")</f>
        <v>サイリウム持ちファントム_general_osh_n</v>
      </c>
      <c r="H517" s="235" t="str">
        <f>IFERROR(__xludf.DUMMYFUNCTION("""COMPUTED_VALUE"""),"Normal")</f>
        <v>Normal</v>
      </c>
      <c r="I517" s="235" t="str">
        <f>IFERROR(__xludf.DUMMYFUNCTION("""COMPUTED_VALUE"""),"Attack")</f>
        <v>Attack</v>
      </c>
      <c r="J517" s="235" t="str">
        <f>IFERROR(__xludf.DUMMYFUNCTION("""COMPUTED_VALUE"""),"Colorless")</f>
        <v>Colorless</v>
      </c>
      <c r="K517" s="235">
        <f>IFERROR(__xludf.DUMMYFUNCTION("""COMPUTED_VALUE"""),1000.0)</f>
        <v>1000</v>
      </c>
      <c r="L517" s="235">
        <f>IFERROR(__xludf.DUMMYFUNCTION("""COMPUTED_VALUE"""),1.0)</f>
        <v>1</v>
      </c>
      <c r="M517" s="235">
        <f>IFERROR(__xludf.DUMMYFUNCTION("""COMPUTED_VALUE"""),47.0)</f>
        <v>47</v>
      </c>
      <c r="N517" s="235">
        <f>IFERROR(__xludf.DUMMYFUNCTION("""COMPUTED_VALUE"""),0.22)</f>
        <v>0.22</v>
      </c>
      <c r="O517" s="235">
        <f>IFERROR(__xludf.DUMMYFUNCTION("""COMPUTED_VALUE"""),100.0)</f>
        <v>100</v>
      </c>
      <c r="P517" s="235"/>
      <c r="Q517" s="235"/>
      <c r="R517" s="235"/>
      <c r="S517" s="235">
        <f>IFERROR(__xludf.DUMMYFUNCTION("""COMPUTED_VALUE"""),50.0)</f>
        <v>50</v>
      </c>
      <c r="T517" s="244" t="str">
        <f>IFERROR(__xludf.DUMMYFUNCTION("""COMPUTED_VALUE"""),"1.17")</f>
        <v>1.17</v>
      </c>
      <c r="U517" s="235" t="str">
        <f>IFERROR(__xludf.DUMMYFUNCTION("""COMPUTED_VALUE"""),"stop有:1回目 0.6")</f>
        <v>stop有:1回目 0.6</v>
      </c>
      <c r="V517" s="235"/>
      <c r="W517" s="235"/>
      <c r="X517" s="235"/>
      <c r="Y517" s="235"/>
      <c r="Z517" s="235" t="str">
        <f>IFERROR(__xludf.DUMMYFUNCTION("""COMPUTED_VALUE"""),"-")</f>
        <v>-</v>
      </c>
      <c r="AA517" s="235"/>
      <c r="AB517" s="235"/>
      <c r="AC517" s="235" t="str">
        <f>IFERROR(__xludf.DUMMYFUNCTION("""COMPUTED_VALUE"""),"通常攻撃：めっちゃ攻撃頻度短い")</f>
        <v>通常攻撃：めっちゃ攻撃頻度短い</v>
      </c>
    </row>
    <row r="518">
      <c r="A518" s="235"/>
      <c r="B518" s="235" t="str">
        <f>IFERROR(__xludf.DUMMYFUNCTION("""COMPUTED_VALUE"""),"chara_osh_00001")</f>
        <v>chara_osh_00001</v>
      </c>
      <c r="C518" s="254" t="str">
        <f>IFERROR(__xludf.DUMMYFUNCTION("""COMPUTED_VALUE"""),"_general_osh_n")</f>
        <v>_general_osh_n</v>
      </c>
      <c r="D518" s="254" t="str">
        <f>IFERROR(__xludf.DUMMYFUNCTION("""COMPUTED_VALUE"""),"c_osh_00001_general_osh_n_Normal_Colorless")</f>
        <v>c_osh_00001_general_osh_n_Normal_Colorless</v>
      </c>
      <c r="E518" s="254" t="str">
        <f>IFERROR(__xludf.DUMMYFUNCTION("""COMPUTED_VALUE"""),"【推しの子】")</f>
        <v>【推しの子】</v>
      </c>
      <c r="F518" s="254" t="str">
        <f>IFERROR(__xludf.DUMMYFUNCTION("""COMPUTED_VALUE"""),"B小町不動のセンター アイ")</f>
        <v>B小町不動のセンター アイ</v>
      </c>
      <c r="G518" s="254" t="str">
        <f>IFERROR(__xludf.DUMMYFUNCTION("""COMPUTED_VALUE"""),"星野 アイ_general_osh_n")</f>
        <v>星野 アイ_general_osh_n</v>
      </c>
      <c r="H518" s="235" t="str">
        <f>IFERROR(__xludf.DUMMYFUNCTION("""COMPUTED_VALUE"""),"Normal")</f>
        <v>Normal</v>
      </c>
      <c r="I518" s="235" t="str">
        <f>IFERROR(__xludf.DUMMYFUNCTION("""COMPUTED_VALUE"""),"Attack")</f>
        <v>Attack</v>
      </c>
      <c r="J518" s="235" t="str">
        <f>IFERROR(__xludf.DUMMYFUNCTION("""COMPUTED_VALUE"""),"Colorless")</f>
        <v>Colorless</v>
      </c>
      <c r="K518" s="235">
        <f>IFERROR(__xludf.DUMMYFUNCTION("""COMPUTED_VALUE"""),1000.0)</f>
        <v>1000</v>
      </c>
      <c r="L518" s="235">
        <f>IFERROR(__xludf.DUMMYFUNCTION("""COMPUTED_VALUE"""),3.0)</f>
        <v>3</v>
      </c>
      <c r="M518" s="235">
        <f>IFERROR(__xludf.DUMMYFUNCTION("""COMPUTED_VALUE"""),31.0)</f>
        <v>31</v>
      </c>
      <c r="N518" s="235"/>
      <c r="O518" s="235">
        <f>IFERROR(__xludf.DUMMYFUNCTION("""COMPUTED_VALUE"""),100.0)</f>
        <v>100</v>
      </c>
      <c r="P518" s="235"/>
      <c r="Q518" s="235"/>
      <c r="R518" s="235"/>
      <c r="S518" s="235">
        <f>IFERROR(__xludf.DUMMYFUNCTION("""COMPUTED_VALUE"""),50.0)</f>
        <v>50</v>
      </c>
      <c r="T518" s="244" t="str">
        <f>IFERROR(__xludf.DUMMYFUNCTION("""COMPUTED_VALUE"""),"1.60")</f>
        <v>1.60</v>
      </c>
      <c r="U518" s="235" t="str">
        <f>IFERROR(__xludf.DUMMYFUNCTION("""COMPUTED_VALUE"""),"stop有:1回目 0.43")</f>
        <v>stop有:1回目 0.43</v>
      </c>
      <c r="V518" s="235"/>
      <c r="W518" s="235" t="str">
        <f>IFERROR(__xludf.DUMMYFUNCTION("""COMPUTED_VALUE"""),"3.24")</f>
        <v>3.24</v>
      </c>
      <c r="X518" s="235" t="str">
        <f>IFERROR(__xludf.DUMMYFUNCTION("""COMPUTED_VALUE"""),"stop無:1回目 1.83")</f>
        <v>stop無:1回目 1.83</v>
      </c>
      <c r="Y518" s="235" t="str">
        <f>IFERROR(__xludf.DUMMYFUNCTION("""COMPUTED_VALUE"""),"20秒間自身の攻撃力100%UP")</f>
        <v>20秒間自身の攻撃力100%UP</v>
      </c>
      <c r="Z518" s="235" t="str">
        <f>IFERROR(__xludf.DUMMYFUNCTION("""COMPUTED_VALUE"""),"-")</f>
        <v>-</v>
      </c>
      <c r="AA518" s="235"/>
      <c r="AB518" s="235"/>
      <c r="AC518" s="235"/>
    </row>
    <row r="519">
      <c r="A519" s="235"/>
      <c r="B519" s="235" t="str">
        <f>IFERROR(__xludf.DUMMYFUNCTION("""COMPUTED_VALUE"""),"chara_osh_00001")</f>
        <v>chara_osh_00001</v>
      </c>
      <c r="C519" s="254" t="str">
        <f>IFERROR(__xludf.DUMMYFUNCTION("""COMPUTED_VALUE"""),"_general_osh_n")</f>
        <v>_general_osh_n</v>
      </c>
      <c r="D519" s="254" t="str">
        <f>IFERROR(__xludf.DUMMYFUNCTION("""COMPUTED_VALUE"""),"c_osh_00001_general_osh_n_Boss_Colorless")</f>
        <v>c_osh_00001_general_osh_n_Boss_Colorless</v>
      </c>
      <c r="E519" s="254" t="str">
        <f>IFERROR(__xludf.DUMMYFUNCTION("""COMPUTED_VALUE"""),"【推しの子】")</f>
        <v>【推しの子】</v>
      </c>
      <c r="F519" s="254" t="str">
        <f>IFERROR(__xludf.DUMMYFUNCTION("""COMPUTED_VALUE"""),"B小町不動のセンター アイ")</f>
        <v>B小町不動のセンター アイ</v>
      </c>
      <c r="G519" s="254" t="str">
        <f>IFERROR(__xludf.DUMMYFUNCTION("""COMPUTED_VALUE"""),"星野 アイ_general_osh_n")</f>
        <v>星野 アイ_general_osh_n</v>
      </c>
      <c r="H519" s="235" t="str">
        <f>IFERROR(__xludf.DUMMYFUNCTION("""COMPUTED_VALUE"""),"Boss")</f>
        <v>Boss</v>
      </c>
      <c r="I519" s="235" t="str">
        <f>IFERROR(__xludf.DUMMYFUNCTION("""COMPUTED_VALUE"""),"Technical")</f>
        <v>Technical</v>
      </c>
      <c r="J519" s="235" t="str">
        <f>IFERROR(__xludf.DUMMYFUNCTION("""COMPUTED_VALUE"""),"Colorless")</f>
        <v>Colorless</v>
      </c>
      <c r="K519" s="235">
        <f>IFERROR(__xludf.DUMMYFUNCTION("""COMPUTED_VALUE"""),1000.0)</f>
        <v>1000</v>
      </c>
      <c r="L519" s="235">
        <f>IFERROR(__xludf.DUMMYFUNCTION("""COMPUTED_VALUE"""),2.0)</f>
        <v>2</v>
      </c>
      <c r="M519" s="235">
        <f>IFERROR(__xludf.DUMMYFUNCTION("""COMPUTED_VALUE"""),25.0)</f>
        <v>25</v>
      </c>
      <c r="N519" s="235"/>
      <c r="O519" s="235">
        <f>IFERROR(__xludf.DUMMYFUNCTION("""COMPUTED_VALUE"""),100.0)</f>
        <v>100</v>
      </c>
      <c r="P519" s="235"/>
      <c r="Q519" s="235"/>
      <c r="R519" s="235"/>
      <c r="S519" s="235">
        <f>IFERROR(__xludf.DUMMYFUNCTION("""COMPUTED_VALUE"""),100.0)</f>
        <v>100</v>
      </c>
      <c r="T519" s="244" t="str">
        <f>IFERROR(__xludf.DUMMYFUNCTION("""COMPUTED_VALUE"""),"1.60")</f>
        <v>1.60</v>
      </c>
      <c r="U519" s="235" t="str">
        <f>IFERROR(__xludf.DUMMYFUNCTION("""COMPUTED_VALUE"""),"stop有:1回目 0.43")</f>
        <v>stop有:1回目 0.43</v>
      </c>
      <c r="V519" s="235"/>
      <c r="W519" s="235" t="str">
        <f>IFERROR(__xludf.DUMMYFUNCTION("""COMPUTED_VALUE"""),"3.24")</f>
        <v>3.24</v>
      </c>
      <c r="X519" s="235" t="str">
        <f>IFERROR(__xludf.DUMMYFUNCTION("""COMPUTED_VALUE"""),"stop無:1回目 1.83")</f>
        <v>stop無:1回目 1.83</v>
      </c>
      <c r="Y519" s="235" t="str">
        <f>IFERROR(__xludf.DUMMYFUNCTION("""COMPUTED_VALUE"""),"自身とその前のコマ1つに攻撃/100%の確率で3秒間スタン")</f>
        <v>自身とその前のコマ1つに攻撃/100%の確率で3秒間スタン</v>
      </c>
      <c r="Z519" s="235" t="str">
        <f>IFERROR(__xludf.DUMMYFUNCTION("""COMPUTED_VALUE"""),"-")</f>
        <v>-</v>
      </c>
      <c r="AA519" s="235"/>
      <c r="AB519" s="235"/>
      <c r="AC519" s="235"/>
    </row>
    <row r="520">
      <c r="A520" s="235"/>
      <c r="B520" s="235" t="str">
        <f>IFERROR(__xludf.DUMMYFUNCTION("""COMPUTED_VALUE"""),"chara_osh_00001")</f>
        <v>chara_osh_00001</v>
      </c>
      <c r="C520" s="254" t="str">
        <f>IFERROR(__xludf.DUMMYFUNCTION("""COMPUTED_VALUE"""),"_general_osh_n")</f>
        <v>_general_osh_n</v>
      </c>
      <c r="D520" s="254" t="str">
        <f>IFERROR(__xludf.DUMMYFUNCTION("""COMPUTED_VALUE"""),"c_osh_00001_general_osh_n_Boss_Green")</f>
        <v>c_osh_00001_general_osh_n_Boss_Green</v>
      </c>
      <c r="E520" s="254" t="str">
        <f>IFERROR(__xludf.DUMMYFUNCTION("""COMPUTED_VALUE"""),"【推しの子】")</f>
        <v>【推しの子】</v>
      </c>
      <c r="F520" s="254" t="str">
        <f>IFERROR(__xludf.DUMMYFUNCTION("""COMPUTED_VALUE"""),"B小町不動のセンター アイ")</f>
        <v>B小町不動のセンター アイ</v>
      </c>
      <c r="G520" s="254" t="str">
        <f>IFERROR(__xludf.DUMMYFUNCTION("""COMPUTED_VALUE"""),"星野 アイ_general_osh_n")</f>
        <v>星野 アイ_general_osh_n</v>
      </c>
      <c r="H520" s="235" t="str">
        <f>IFERROR(__xludf.DUMMYFUNCTION("""COMPUTED_VALUE"""),"Boss")</f>
        <v>Boss</v>
      </c>
      <c r="I520" s="235" t="str">
        <f>IFERROR(__xludf.DUMMYFUNCTION("""COMPUTED_VALUE"""),"Technical")</f>
        <v>Technical</v>
      </c>
      <c r="J520" s="235" t="str">
        <f>IFERROR(__xludf.DUMMYFUNCTION("""COMPUTED_VALUE"""),"Green")</f>
        <v>Green</v>
      </c>
      <c r="K520" s="235">
        <f>IFERROR(__xludf.DUMMYFUNCTION("""COMPUTED_VALUE"""),1000.0)</f>
        <v>1000</v>
      </c>
      <c r="L520" s="235">
        <f>IFERROR(__xludf.DUMMYFUNCTION("""COMPUTED_VALUE"""),2.0)</f>
        <v>2</v>
      </c>
      <c r="M520" s="235">
        <f>IFERROR(__xludf.DUMMYFUNCTION("""COMPUTED_VALUE"""),31.0)</f>
        <v>31</v>
      </c>
      <c r="N520" s="235"/>
      <c r="O520" s="235">
        <f>IFERROR(__xludf.DUMMYFUNCTION("""COMPUTED_VALUE"""),100.0)</f>
        <v>100</v>
      </c>
      <c r="P520" s="235"/>
      <c r="Q520" s="235"/>
      <c r="R520" s="235"/>
      <c r="S520" s="235">
        <f>IFERROR(__xludf.DUMMYFUNCTION("""COMPUTED_VALUE"""),100.0)</f>
        <v>100</v>
      </c>
      <c r="T520" s="244" t="str">
        <f>IFERROR(__xludf.DUMMYFUNCTION("""COMPUTED_VALUE"""),"1.60")</f>
        <v>1.60</v>
      </c>
      <c r="U520" s="235" t="str">
        <f>IFERROR(__xludf.DUMMYFUNCTION("""COMPUTED_VALUE"""),"stop有:1回目 0.43")</f>
        <v>stop有:1回目 0.43</v>
      </c>
      <c r="V520" s="235"/>
      <c r="W520" s="235" t="str">
        <f>IFERROR(__xludf.DUMMYFUNCTION("""COMPUTED_VALUE"""),"3.24")</f>
        <v>3.24</v>
      </c>
      <c r="X520" s="235" t="str">
        <f>IFERROR(__xludf.DUMMYFUNCTION("""COMPUTED_VALUE"""),"stop無:1回目 1.83")</f>
        <v>stop無:1回目 1.83</v>
      </c>
      <c r="Y520" s="235" t="str">
        <f>IFERROR(__xludf.DUMMYFUNCTION("""COMPUTED_VALUE"""),"自身とその前のコマ1つに攻撃/100%の確率で3秒間スタン")</f>
        <v>自身とその前のコマ1つに攻撃/100%の確率で3秒間スタン</v>
      </c>
      <c r="Z520" s="235" t="str">
        <f>IFERROR(__xludf.DUMMYFUNCTION("""COMPUTED_VALUE"""),"-")</f>
        <v>-</v>
      </c>
      <c r="AA520" s="235"/>
      <c r="AB520" s="235"/>
      <c r="AC520" s="235"/>
    </row>
    <row r="521">
      <c r="A521" s="235"/>
      <c r="B521" s="235" t="str">
        <f>IFERROR(__xludf.DUMMYFUNCTION("""COMPUTED_VALUE"""),"enemy_glo_00002")</f>
        <v>enemy_glo_00002</v>
      </c>
      <c r="C521" s="254" t="str">
        <f>IFERROR(__xludf.DUMMYFUNCTION("""COMPUTED_VALUE"""),"_general_osh_h")</f>
        <v>_general_osh_h</v>
      </c>
      <c r="D521" s="254" t="str">
        <f>IFERROR(__xludf.DUMMYFUNCTION("""COMPUTED_VALUE"""),"e_glo_00002_general_osh_h_Normal_Colorless")</f>
        <v>e_glo_00002_general_osh_h_Normal_Colorless</v>
      </c>
      <c r="E521" s="254" t="str">
        <f>IFERROR(__xludf.DUMMYFUNCTION("""COMPUTED_VALUE"""),"GLOW")</f>
        <v>GLOW</v>
      </c>
      <c r="F521" s="254" t="str">
        <f>IFERROR(__xludf.DUMMYFUNCTION("""COMPUTED_VALUE"""),"推し活ファントム")</f>
        <v>推し活ファントム</v>
      </c>
      <c r="G521" s="254" t="str">
        <f>IFERROR(__xludf.DUMMYFUNCTION("""COMPUTED_VALUE"""),"サイリウム持ちファントム_general_osh_h")</f>
        <v>サイリウム持ちファントム_general_osh_h</v>
      </c>
      <c r="H521" s="235" t="str">
        <f>IFERROR(__xludf.DUMMYFUNCTION("""COMPUTED_VALUE"""),"Normal")</f>
        <v>Normal</v>
      </c>
      <c r="I521" s="235" t="str">
        <f>IFERROR(__xludf.DUMMYFUNCTION("""COMPUTED_VALUE"""),"Attack")</f>
        <v>Attack</v>
      </c>
      <c r="J521" s="235" t="str">
        <f>IFERROR(__xludf.DUMMYFUNCTION("""COMPUTED_VALUE"""),"Colorless")</f>
        <v>Colorless</v>
      </c>
      <c r="K521" s="235">
        <f>IFERROR(__xludf.DUMMYFUNCTION("""COMPUTED_VALUE"""),1000.0)</f>
        <v>1000</v>
      </c>
      <c r="L521" s="235">
        <f>IFERROR(__xludf.DUMMYFUNCTION("""COMPUTED_VALUE"""),1.0)</f>
        <v>1</v>
      </c>
      <c r="M521" s="235">
        <f>IFERROR(__xludf.DUMMYFUNCTION("""COMPUTED_VALUE"""),47.0)</f>
        <v>47</v>
      </c>
      <c r="N521" s="235">
        <f>IFERROR(__xludf.DUMMYFUNCTION("""COMPUTED_VALUE"""),0.22)</f>
        <v>0.22</v>
      </c>
      <c r="O521" s="235">
        <f>IFERROR(__xludf.DUMMYFUNCTION("""COMPUTED_VALUE"""),100.0)</f>
        <v>100</v>
      </c>
      <c r="P521" s="235"/>
      <c r="Q521" s="235"/>
      <c r="R521" s="235"/>
      <c r="S521" s="235">
        <f>IFERROR(__xludf.DUMMYFUNCTION("""COMPUTED_VALUE"""),50.0)</f>
        <v>50</v>
      </c>
      <c r="T521" s="244" t="str">
        <f>IFERROR(__xludf.DUMMYFUNCTION("""COMPUTED_VALUE"""),"1.17")</f>
        <v>1.17</v>
      </c>
      <c r="U521" s="235" t="str">
        <f>IFERROR(__xludf.DUMMYFUNCTION("""COMPUTED_VALUE"""),"stop有:1回目 0.6")</f>
        <v>stop有:1回目 0.6</v>
      </c>
      <c r="V521" s="235"/>
      <c r="W521" s="235"/>
      <c r="X521" s="235"/>
      <c r="Y521" s="235"/>
      <c r="Z521" s="235" t="str">
        <f>IFERROR(__xludf.DUMMYFUNCTION("""COMPUTED_VALUE"""),"-")</f>
        <v>-</v>
      </c>
      <c r="AA521" s="235"/>
      <c r="AB521" s="235"/>
      <c r="AC521" s="235" t="str">
        <f>IFERROR(__xludf.DUMMYFUNCTION("""COMPUTED_VALUE"""),"めっちゃ攻撃頻度短い")</f>
        <v>めっちゃ攻撃頻度短い</v>
      </c>
    </row>
    <row r="522">
      <c r="A522" s="235"/>
      <c r="B522" s="235" t="str">
        <f>IFERROR(__xludf.DUMMYFUNCTION("""COMPUTED_VALUE"""),"enemy_glo_00002")</f>
        <v>enemy_glo_00002</v>
      </c>
      <c r="C522" s="254" t="str">
        <f>IFERROR(__xludf.DUMMYFUNCTION("""COMPUTED_VALUE"""),"_general_osh_h")</f>
        <v>_general_osh_h</v>
      </c>
      <c r="D522" s="254" t="str">
        <f>IFERROR(__xludf.DUMMYFUNCTION("""COMPUTED_VALUE"""),"e_glo_00002_general_osh_h_Normal_Red")</f>
        <v>e_glo_00002_general_osh_h_Normal_Red</v>
      </c>
      <c r="E522" s="254" t="str">
        <f>IFERROR(__xludf.DUMMYFUNCTION("""COMPUTED_VALUE"""),"GLOW")</f>
        <v>GLOW</v>
      </c>
      <c r="F522" s="254" t="str">
        <f>IFERROR(__xludf.DUMMYFUNCTION("""COMPUTED_VALUE"""),"推し活ファントム")</f>
        <v>推し活ファントム</v>
      </c>
      <c r="G522" s="254" t="str">
        <f>IFERROR(__xludf.DUMMYFUNCTION("""COMPUTED_VALUE"""),"サイリウム持ちファントム_general_osh_h")</f>
        <v>サイリウム持ちファントム_general_osh_h</v>
      </c>
      <c r="H522" s="235" t="str">
        <f>IFERROR(__xludf.DUMMYFUNCTION("""COMPUTED_VALUE"""),"Normal")</f>
        <v>Normal</v>
      </c>
      <c r="I522" s="235" t="str">
        <f>IFERROR(__xludf.DUMMYFUNCTION("""COMPUTED_VALUE"""),"Technical")</f>
        <v>Technical</v>
      </c>
      <c r="J522" s="235" t="str">
        <f>IFERROR(__xludf.DUMMYFUNCTION("""COMPUTED_VALUE"""),"Red")</f>
        <v>Red</v>
      </c>
      <c r="K522" s="235">
        <f>IFERROR(__xludf.DUMMYFUNCTION("""COMPUTED_VALUE"""),1000.0)</f>
        <v>1000</v>
      </c>
      <c r="L522" s="235">
        <f>IFERROR(__xludf.DUMMYFUNCTION("""COMPUTED_VALUE"""),1.0)</f>
        <v>1</v>
      </c>
      <c r="M522" s="235">
        <f>IFERROR(__xludf.DUMMYFUNCTION("""COMPUTED_VALUE"""),47.0)</f>
        <v>47</v>
      </c>
      <c r="N522" s="235">
        <f>IFERROR(__xludf.DUMMYFUNCTION("""COMPUTED_VALUE"""),0.22)</f>
        <v>0.22</v>
      </c>
      <c r="O522" s="235">
        <f>IFERROR(__xludf.DUMMYFUNCTION("""COMPUTED_VALUE"""),100.0)</f>
        <v>100</v>
      </c>
      <c r="P522" s="235"/>
      <c r="Q522" s="235"/>
      <c r="R522" s="235"/>
      <c r="S522" s="235">
        <f>IFERROR(__xludf.DUMMYFUNCTION("""COMPUTED_VALUE"""),50.0)</f>
        <v>50</v>
      </c>
      <c r="T522" s="244" t="str">
        <f>IFERROR(__xludf.DUMMYFUNCTION("""COMPUTED_VALUE"""),"1.17")</f>
        <v>1.17</v>
      </c>
      <c r="U522" s="235" t="str">
        <f>IFERROR(__xludf.DUMMYFUNCTION("""COMPUTED_VALUE"""),"stop有:1回目 0.6")</f>
        <v>stop有:1回目 0.6</v>
      </c>
      <c r="V522" s="235"/>
      <c r="W522" s="235"/>
      <c r="X522" s="235"/>
      <c r="Y522" s="235"/>
      <c r="Z522" s="235" t="str">
        <f>IFERROR(__xludf.DUMMYFUNCTION("""COMPUTED_VALUE"""),"-")</f>
        <v>-</v>
      </c>
      <c r="AA522" s="235"/>
      <c r="AB522" s="235"/>
      <c r="AC522" s="235" t="str">
        <f>IFERROR(__xludf.DUMMYFUNCTION("""COMPUTED_VALUE"""),"通常攻撃100%でノックバック/めっちゃ攻撃頻度短い")</f>
        <v>通常攻撃100%でノックバック/めっちゃ攻撃頻度短い</v>
      </c>
    </row>
    <row r="523">
      <c r="A523" s="235"/>
      <c r="B523" s="235" t="str">
        <f>IFERROR(__xludf.DUMMYFUNCTION("""COMPUTED_VALUE"""),"chara_osh_00001")</f>
        <v>chara_osh_00001</v>
      </c>
      <c r="C523" s="254" t="str">
        <f>IFERROR(__xludf.DUMMYFUNCTION("""COMPUTED_VALUE"""),"_general_osh_h")</f>
        <v>_general_osh_h</v>
      </c>
      <c r="D523" s="254" t="str">
        <f>IFERROR(__xludf.DUMMYFUNCTION("""COMPUTED_VALUE"""),"c_osh_00001_general_osh_h_Normal_Blue")</f>
        <v>c_osh_00001_general_osh_h_Normal_Blue</v>
      </c>
      <c r="E523" s="254" t="str">
        <f>IFERROR(__xludf.DUMMYFUNCTION("""COMPUTED_VALUE"""),"【推しの子】")</f>
        <v>【推しの子】</v>
      </c>
      <c r="F523" s="254" t="str">
        <f>IFERROR(__xludf.DUMMYFUNCTION("""COMPUTED_VALUE"""),"B小町不動のセンター アイ")</f>
        <v>B小町不動のセンター アイ</v>
      </c>
      <c r="G523" s="254" t="str">
        <f>IFERROR(__xludf.DUMMYFUNCTION("""COMPUTED_VALUE"""),"星野 アイ_general_osh_h")</f>
        <v>星野 アイ_general_osh_h</v>
      </c>
      <c r="H523" s="235" t="str">
        <f>IFERROR(__xludf.DUMMYFUNCTION("""COMPUTED_VALUE"""),"Normal")</f>
        <v>Normal</v>
      </c>
      <c r="I523" s="235" t="str">
        <f>IFERROR(__xludf.DUMMYFUNCTION("""COMPUTED_VALUE"""),"Attack")</f>
        <v>Attack</v>
      </c>
      <c r="J523" s="235" t="str">
        <f>IFERROR(__xludf.DUMMYFUNCTION("""COMPUTED_VALUE"""),"Blue")</f>
        <v>Blue</v>
      </c>
      <c r="K523" s="235">
        <f>IFERROR(__xludf.DUMMYFUNCTION("""COMPUTED_VALUE"""),1000.0)</f>
        <v>1000</v>
      </c>
      <c r="L523" s="235">
        <f>IFERROR(__xludf.DUMMYFUNCTION("""COMPUTED_VALUE"""),3.0)</f>
        <v>3</v>
      </c>
      <c r="M523" s="235">
        <f>IFERROR(__xludf.DUMMYFUNCTION("""COMPUTED_VALUE"""),31.0)</f>
        <v>31</v>
      </c>
      <c r="N523" s="235"/>
      <c r="O523" s="235">
        <f>IFERROR(__xludf.DUMMYFUNCTION("""COMPUTED_VALUE"""),100.0)</f>
        <v>100</v>
      </c>
      <c r="P523" s="235"/>
      <c r="Q523" s="235"/>
      <c r="R523" s="235"/>
      <c r="S523" s="235">
        <f>IFERROR(__xludf.DUMMYFUNCTION("""COMPUTED_VALUE"""),50.0)</f>
        <v>50</v>
      </c>
      <c r="T523" s="244" t="str">
        <f>IFERROR(__xludf.DUMMYFUNCTION("""COMPUTED_VALUE"""),"1.60")</f>
        <v>1.60</v>
      </c>
      <c r="U523" s="235" t="str">
        <f>IFERROR(__xludf.DUMMYFUNCTION("""COMPUTED_VALUE"""),"stop有:1回目 0.43")</f>
        <v>stop有:1回目 0.43</v>
      </c>
      <c r="V523" s="235"/>
      <c r="W523" s="235" t="str">
        <f>IFERROR(__xludf.DUMMYFUNCTION("""COMPUTED_VALUE"""),"3.24")</f>
        <v>3.24</v>
      </c>
      <c r="X523" s="235" t="str">
        <f>IFERROR(__xludf.DUMMYFUNCTION("""COMPUTED_VALUE"""),"stop無:1回目 1.83")</f>
        <v>stop無:1回目 1.83</v>
      </c>
      <c r="Y523" s="235" t="str">
        <f>IFERROR(__xludf.DUMMYFUNCTION("""COMPUTED_VALUE"""),"自身とその前のコマ1つに攻撃")</f>
        <v>自身とその前のコマ1つに攻撃</v>
      </c>
      <c r="Z523" s="235" t="str">
        <f>IFERROR(__xludf.DUMMYFUNCTION("""COMPUTED_VALUE"""),"-")</f>
        <v>-</v>
      </c>
      <c r="AA523" s="235"/>
      <c r="AB523" s="235"/>
      <c r="AC523" s="235"/>
    </row>
    <row r="524">
      <c r="A524" s="235"/>
      <c r="B524" s="235" t="str">
        <f>IFERROR(__xludf.DUMMYFUNCTION("""COMPUTED_VALUE"""),"enemy_glo_00001")</f>
        <v>enemy_glo_00001</v>
      </c>
      <c r="C524" s="254" t="str">
        <f>IFERROR(__xludf.DUMMYFUNCTION("""COMPUTED_VALUE"""),"_general_osh_h")</f>
        <v>_general_osh_h</v>
      </c>
      <c r="D524" s="254" t="str">
        <f>IFERROR(__xludf.DUMMYFUNCTION("""COMPUTED_VALUE"""),"e_glo_00001_general_osh_h_Normal_Colorless")</f>
        <v>e_glo_00001_general_osh_h_Normal_Colorless</v>
      </c>
      <c r="E524" s="254" t="str">
        <f>IFERROR(__xludf.DUMMYFUNCTION("""COMPUTED_VALUE"""),"GLOW")</f>
        <v>GLOW</v>
      </c>
      <c r="F524" s="254" t="str">
        <f>IFERROR(__xludf.DUMMYFUNCTION("""COMPUTED_VALUE"""),"ファントム")</f>
        <v>ファントム</v>
      </c>
      <c r="G524" s="254" t="str">
        <f>IFERROR(__xludf.DUMMYFUNCTION("""COMPUTED_VALUE"""),"ファントム_general_osh_h")</f>
        <v>ファントム_general_osh_h</v>
      </c>
      <c r="H524" s="235" t="str">
        <f>IFERROR(__xludf.DUMMYFUNCTION("""COMPUTED_VALUE"""),"Normal")</f>
        <v>Normal</v>
      </c>
      <c r="I524" s="235" t="str">
        <f>IFERROR(__xludf.DUMMYFUNCTION("""COMPUTED_VALUE"""),"Defense")</f>
        <v>Defense</v>
      </c>
      <c r="J524" s="235" t="str">
        <f>IFERROR(__xludf.DUMMYFUNCTION("""COMPUTED_VALUE"""),"Colorless")</f>
        <v>Colorless</v>
      </c>
      <c r="K524" s="235">
        <f>IFERROR(__xludf.DUMMYFUNCTION("""COMPUTED_VALUE"""),1000.0)</f>
        <v>1000</v>
      </c>
      <c r="L524" s="235">
        <f>IFERROR(__xludf.DUMMYFUNCTION("""COMPUTED_VALUE"""),3.0)</f>
        <v>3</v>
      </c>
      <c r="M524" s="235">
        <f>IFERROR(__xludf.DUMMYFUNCTION("""COMPUTED_VALUE"""),34.0)</f>
        <v>34</v>
      </c>
      <c r="N524" s="235">
        <f>IFERROR(__xludf.DUMMYFUNCTION("""COMPUTED_VALUE"""),0.22)</f>
        <v>0.22</v>
      </c>
      <c r="O524" s="235">
        <f>IFERROR(__xludf.DUMMYFUNCTION("""COMPUTED_VALUE"""),100.0)</f>
        <v>100</v>
      </c>
      <c r="P524" s="235"/>
      <c r="Q524" s="235"/>
      <c r="R524" s="235"/>
      <c r="S524" s="235">
        <f>IFERROR(__xludf.DUMMYFUNCTION("""COMPUTED_VALUE"""),50.0)</f>
        <v>50</v>
      </c>
      <c r="T524" s="244" t="str">
        <f>IFERROR(__xludf.DUMMYFUNCTION("""COMPUTED_VALUE"""),"1.00")</f>
        <v>1.00</v>
      </c>
      <c r="U524" s="235" t="str">
        <f>IFERROR(__xludf.DUMMYFUNCTION("""COMPUTED_VALUE"""),"0.50")</f>
        <v>0.50</v>
      </c>
      <c r="V524" s="235"/>
      <c r="W524" s="235"/>
      <c r="X524" s="235"/>
      <c r="Y524" s="235"/>
      <c r="Z524" s="235" t="str">
        <f>IFERROR(__xludf.DUMMYFUNCTION("""COMPUTED_VALUE"""),"-")</f>
        <v>-</v>
      </c>
      <c r="AA524" s="235"/>
      <c r="AB524" s="235"/>
      <c r="AC524" s="235"/>
    </row>
    <row r="525">
      <c r="A525" s="235"/>
      <c r="B525" s="235" t="str">
        <f>IFERROR(__xludf.DUMMYFUNCTION("""COMPUTED_VALUE"""),"chara_osh_00001")</f>
        <v>chara_osh_00001</v>
      </c>
      <c r="C525" s="254" t="str">
        <f>IFERROR(__xludf.DUMMYFUNCTION("""COMPUTED_VALUE"""),"_general_osh_h")</f>
        <v>_general_osh_h</v>
      </c>
      <c r="D525" s="254" t="str">
        <f>IFERROR(__xludf.DUMMYFUNCTION("""COMPUTED_VALUE"""),"c_osh_00001_general_osh_h_Boss_Red")</f>
        <v>c_osh_00001_general_osh_h_Boss_Red</v>
      </c>
      <c r="E525" s="254" t="str">
        <f>IFERROR(__xludf.DUMMYFUNCTION("""COMPUTED_VALUE"""),"【推しの子】")</f>
        <v>【推しの子】</v>
      </c>
      <c r="F525" s="254" t="str">
        <f>IFERROR(__xludf.DUMMYFUNCTION("""COMPUTED_VALUE"""),"B小町不動のセンター アイ")</f>
        <v>B小町不動のセンター アイ</v>
      </c>
      <c r="G525" s="254" t="str">
        <f>IFERROR(__xludf.DUMMYFUNCTION("""COMPUTED_VALUE"""),"星野 アイ_general_osh_h")</f>
        <v>星野 アイ_general_osh_h</v>
      </c>
      <c r="H525" s="235" t="str">
        <f>IFERROR(__xludf.DUMMYFUNCTION("""COMPUTED_VALUE"""),"Boss")</f>
        <v>Boss</v>
      </c>
      <c r="I525" s="235" t="str">
        <f>IFERROR(__xludf.DUMMYFUNCTION("""COMPUTED_VALUE"""),"Technical")</f>
        <v>Technical</v>
      </c>
      <c r="J525" s="235" t="str">
        <f>IFERROR(__xludf.DUMMYFUNCTION("""COMPUTED_VALUE"""),"Red")</f>
        <v>Red</v>
      </c>
      <c r="K525" s="235">
        <f>IFERROR(__xludf.DUMMYFUNCTION("""COMPUTED_VALUE"""),1000.0)</f>
        <v>1000</v>
      </c>
      <c r="L525" s="235">
        <f>IFERROR(__xludf.DUMMYFUNCTION("""COMPUTED_VALUE"""),2.0)</f>
        <v>2</v>
      </c>
      <c r="M525" s="235">
        <f>IFERROR(__xludf.DUMMYFUNCTION("""COMPUTED_VALUE"""),31.0)</f>
        <v>31</v>
      </c>
      <c r="N525" s="235"/>
      <c r="O525" s="235">
        <f>IFERROR(__xludf.DUMMYFUNCTION("""COMPUTED_VALUE"""),100.0)</f>
        <v>100</v>
      </c>
      <c r="P525" s="235"/>
      <c r="Q525" s="235"/>
      <c r="R525" s="235"/>
      <c r="S525" s="235">
        <f>IFERROR(__xludf.DUMMYFUNCTION("""COMPUTED_VALUE"""),100.0)</f>
        <v>100</v>
      </c>
      <c r="T525" s="244" t="str">
        <f>IFERROR(__xludf.DUMMYFUNCTION("""COMPUTED_VALUE"""),"1.60")</f>
        <v>1.60</v>
      </c>
      <c r="U525" s="235" t="str">
        <f>IFERROR(__xludf.DUMMYFUNCTION("""COMPUTED_VALUE"""),"stop有:1回目 0.43")</f>
        <v>stop有:1回目 0.43</v>
      </c>
      <c r="V525" s="235"/>
      <c r="W525" s="235" t="str">
        <f>IFERROR(__xludf.DUMMYFUNCTION("""COMPUTED_VALUE"""),"3.24")</f>
        <v>3.24</v>
      </c>
      <c r="X525" s="235" t="str">
        <f>IFERROR(__xludf.DUMMYFUNCTION("""COMPUTED_VALUE"""),"stop無:1回目 1.83")</f>
        <v>stop無:1回目 1.83</v>
      </c>
      <c r="Y525" s="235" t="str">
        <f>IFERROR(__xludf.DUMMYFUNCTION("""COMPUTED_VALUE"""),"自身とその前のコマ1つに攻撃/100%の確率で3秒間スタン+ステージ全体の敵に10秒間攻撃力UP100%")</f>
        <v>自身とその前のコマ1つに攻撃/100%の確率で3秒間スタン+ステージ全体の敵に10秒間攻撃力UP100%</v>
      </c>
      <c r="Z525" s="235" t="str">
        <f>IFERROR(__xludf.DUMMYFUNCTION("""COMPUTED_VALUE"""),"-")</f>
        <v>-</v>
      </c>
      <c r="AA525" s="235"/>
      <c r="AB525" s="235"/>
      <c r="AC525" s="235"/>
    </row>
    <row r="526">
      <c r="A526" s="235"/>
      <c r="B526" s="235" t="str">
        <f>IFERROR(__xludf.DUMMYFUNCTION("""COMPUTED_VALUE"""),"enemy_glo_00001")</f>
        <v>enemy_glo_00001</v>
      </c>
      <c r="C526" s="254" t="str">
        <f>IFERROR(__xludf.DUMMYFUNCTION("""COMPUTED_VALUE"""),"_general_osh_h")</f>
        <v>_general_osh_h</v>
      </c>
      <c r="D526" s="254" t="str">
        <f>IFERROR(__xludf.DUMMYFUNCTION("""COMPUTED_VALUE"""),"e_glo_00001_general_osh_h_Boss_Blue")</f>
        <v>e_glo_00001_general_osh_h_Boss_Blue</v>
      </c>
      <c r="E526" s="254" t="str">
        <f>IFERROR(__xludf.DUMMYFUNCTION("""COMPUTED_VALUE"""),"GLOW")</f>
        <v>GLOW</v>
      </c>
      <c r="F526" s="254" t="str">
        <f>IFERROR(__xludf.DUMMYFUNCTION("""COMPUTED_VALUE"""),"ファントム")</f>
        <v>ファントム</v>
      </c>
      <c r="G526" s="254" t="str">
        <f>IFERROR(__xludf.DUMMYFUNCTION("""COMPUTED_VALUE"""),"ファントム_general_osh_h")</f>
        <v>ファントム_general_osh_h</v>
      </c>
      <c r="H526" s="235" t="str">
        <f>IFERROR(__xludf.DUMMYFUNCTION("""COMPUTED_VALUE"""),"Boss")</f>
        <v>Boss</v>
      </c>
      <c r="I526" s="235" t="str">
        <f>IFERROR(__xludf.DUMMYFUNCTION("""COMPUTED_VALUE"""),"Technical")</f>
        <v>Technical</v>
      </c>
      <c r="J526" s="235" t="str">
        <f>IFERROR(__xludf.DUMMYFUNCTION("""COMPUTED_VALUE"""),"Blue")</f>
        <v>Blue</v>
      </c>
      <c r="K526" s="235">
        <f>IFERROR(__xludf.DUMMYFUNCTION("""COMPUTED_VALUE"""),1000.0)</f>
        <v>1000</v>
      </c>
      <c r="L526" s="235">
        <f>IFERROR(__xludf.DUMMYFUNCTION("""COMPUTED_VALUE"""),2.0)</f>
        <v>2</v>
      </c>
      <c r="M526" s="235">
        <f>IFERROR(__xludf.DUMMYFUNCTION("""COMPUTED_VALUE"""),34.0)</f>
        <v>34</v>
      </c>
      <c r="N526" s="235">
        <f>IFERROR(__xludf.DUMMYFUNCTION("""COMPUTED_VALUE"""),0.22)</f>
        <v>0.22</v>
      </c>
      <c r="O526" s="235">
        <f>IFERROR(__xludf.DUMMYFUNCTION("""COMPUTED_VALUE"""),100.0)</f>
        <v>100</v>
      </c>
      <c r="P526" s="235"/>
      <c r="Q526" s="235"/>
      <c r="R526" s="235"/>
      <c r="S526" s="235">
        <f>IFERROR(__xludf.DUMMYFUNCTION("""COMPUTED_VALUE"""),100.0)</f>
        <v>100</v>
      </c>
      <c r="T526" s="244" t="str">
        <f>IFERROR(__xludf.DUMMYFUNCTION("""COMPUTED_VALUE"""),"1.00")</f>
        <v>1.00</v>
      </c>
      <c r="U526" s="235" t="str">
        <f>IFERROR(__xludf.DUMMYFUNCTION("""COMPUTED_VALUE"""),"0.50")</f>
        <v>0.50</v>
      </c>
      <c r="V526" s="235"/>
      <c r="W526" s="235"/>
      <c r="X526" s="235"/>
      <c r="Y526" s="235"/>
      <c r="Z526" s="235" t="str">
        <f>IFERROR(__xludf.DUMMYFUNCTION("""COMPUTED_VALUE"""),"-")</f>
        <v>-</v>
      </c>
      <c r="AA526" s="235"/>
      <c r="AB526" s="235"/>
      <c r="AC526" s="235" t="str">
        <f>IFERROR(__xludf.DUMMYFUNCTION("""COMPUTED_VALUE"""),"通常攻撃25%の確率で10秒間5%の毒")</f>
        <v>通常攻撃25%の確率で10秒間5%の毒</v>
      </c>
    </row>
    <row r="527">
      <c r="A527" s="235"/>
      <c r="B527" s="235" t="str">
        <f>IFERROR(__xludf.DUMMYFUNCTION("""COMPUTED_VALUE"""),"enemy_glo_00001")</f>
        <v>enemy_glo_00001</v>
      </c>
      <c r="C527" s="254" t="str">
        <f>IFERROR(__xludf.DUMMYFUNCTION("""COMPUTED_VALUE"""),"_general_osh_h")</f>
        <v>_general_osh_h</v>
      </c>
      <c r="D527" s="254" t="str">
        <f>IFERROR(__xludf.DUMMYFUNCTION("""COMPUTED_VALUE"""),"e_glo_00001_general_osh_h_Normal_Blue")</f>
        <v>e_glo_00001_general_osh_h_Normal_Blue</v>
      </c>
      <c r="E527" s="254" t="str">
        <f>IFERROR(__xludf.DUMMYFUNCTION("""COMPUTED_VALUE"""),"GLOW")</f>
        <v>GLOW</v>
      </c>
      <c r="F527" s="254" t="str">
        <f>IFERROR(__xludf.DUMMYFUNCTION("""COMPUTED_VALUE"""),"ファントム")</f>
        <v>ファントム</v>
      </c>
      <c r="G527" s="254" t="str">
        <f>IFERROR(__xludf.DUMMYFUNCTION("""COMPUTED_VALUE"""),"ファントム_general_osh_h")</f>
        <v>ファントム_general_osh_h</v>
      </c>
      <c r="H527" s="235" t="str">
        <f>IFERROR(__xludf.DUMMYFUNCTION("""COMPUTED_VALUE"""),"Normal")</f>
        <v>Normal</v>
      </c>
      <c r="I527" s="235" t="str">
        <f>IFERROR(__xludf.DUMMYFUNCTION("""COMPUTED_VALUE"""),"Attack")</f>
        <v>Attack</v>
      </c>
      <c r="J527" s="235" t="str">
        <f>IFERROR(__xludf.DUMMYFUNCTION("""COMPUTED_VALUE"""),"Blue")</f>
        <v>Blue</v>
      </c>
      <c r="K527" s="235">
        <f>IFERROR(__xludf.DUMMYFUNCTION("""COMPUTED_VALUE"""),1000.0)</f>
        <v>1000</v>
      </c>
      <c r="L527" s="235">
        <f>IFERROR(__xludf.DUMMYFUNCTION("""COMPUTED_VALUE"""),3.0)</f>
        <v>3</v>
      </c>
      <c r="M527" s="235">
        <f>IFERROR(__xludf.DUMMYFUNCTION("""COMPUTED_VALUE"""),34.0)</f>
        <v>34</v>
      </c>
      <c r="N527" s="235">
        <f>IFERROR(__xludf.DUMMYFUNCTION("""COMPUTED_VALUE"""),0.22)</f>
        <v>0.22</v>
      </c>
      <c r="O527" s="235">
        <f>IFERROR(__xludf.DUMMYFUNCTION("""COMPUTED_VALUE"""),100.0)</f>
        <v>100</v>
      </c>
      <c r="P527" s="235"/>
      <c r="Q527" s="235"/>
      <c r="R527" s="235"/>
      <c r="S527" s="235">
        <f>IFERROR(__xludf.DUMMYFUNCTION("""COMPUTED_VALUE"""),50.0)</f>
        <v>50</v>
      </c>
      <c r="T527" s="244" t="str">
        <f>IFERROR(__xludf.DUMMYFUNCTION("""COMPUTED_VALUE"""),"1.00")</f>
        <v>1.00</v>
      </c>
      <c r="U527" s="235" t="str">
        <f>IFERROR(__xludf.DUMMYFUNCTION("""COMPUTED_VALUE"""),"0.50")</f>
        <v>0.50</v>
      </c>
      <c r="V527" s="235"/>
      <c r="W527" s="235"/>
      <c r="X527" s="235"/>
      <c r="Y527" s="235"/>
      <c r="Z527" s="235" t="str">
        <f>IFERROR(__xludf.DUMMYFUNCTION("""COMPUTED_VALUE"""),"-")</f>
        <v>-</v>
      </c>
      <c r="AA527" s="235"/>
      <c r="AB527" s="235"/>
      <c r="AC527" s="235"/>
    </row>
    <row r="528">
      <c r="A528" s="235"/>
      <c r="B528" s="235" t="str">
        <f>IFERROR(__xludf.DUMMYFUNCTION("""COMPUTED_VALUE"""),"chara_osh_00001")</f>
        <v>chara_osh_00001</v>
      </c>
      <c r="C528" s="254" t="str">
        <f>IFERROR(__xludf.DUMMYFUNCTION("""COMPUTED_VALUE"""),"_general_osh_vh")</f>
        <v>_general_osh_vh</v>
      </c>
      <c r="D528" s="254" t="str">
        <f>IFERROR(__xludf.DUMMYFUNCTION("""COMPUTED_VALUE"""),"c_osh_00001_general_osh_vh_Normal_Green")</f>
        <v>c_osh_00001_general_osh_vh_Normal_Green</v>
      </c>
      <c r="E528" s="254" t="str">
        <f>IFERROR(__xludf.DUMMYFUNCTION("""COMPUTED_VALUE"""),"【推しの子】")</f>
        <v>【推しの子】</v>
      </c>
      <c r="F528" s="254" t="str">
        <f>IFERROR(__xludf.DUMMYFUNCTION("""COMPUTED_VALUE"""),"B小町不動のセンター アイ")</f>
        <v>B小町不動のセンター アイ</v>
      </c>
      <c r="G528" s="254" t="str">
        <f>IFERROR(__xludf.DUMMYFUNCTION("""COMPUTED_VALUE"""),"星野 アイ_general_osh_vh")</f>
        <v>星野 アイ_general_osh_vh</v>
      </c>
      <c r="H528" s="235" t="str">
        <f>IFERROR(__xludf.DUMMYFUNCTION("""COMPUTED_VALUE"""),"Normal")</f>
        <v>Normal</v>
      </c>
      <c r="I528" s="235" t="str">
        <f>IFERROR(__xludf.DUMMYFUNCTION("""COMPUTED_VALUE"""),"Attack")</f>
        <v>Attack</v>
      </c>
      <c r="J528" s="235" t="str">
        <f>IFERROR(__xludf.DUMMYFUNCTION("""COMPUTED_VALUE"""),"Green")</f>
        <v>Green</v>
      </c>
      <c r="K528" s="235">
        <f>IFERROR(__xludf.DUMMYFUNCTION("""COMPUTED_VALUE"""),1000.0)</f>
        <v>1000</v>
      </c>
      <c r="L528" s="235">
        <f>IFERROR(__xludf.DUMMYFUNCTION("""COMPUTED_VALUE"""),3.0)</f>
        <v>3</v>
      </c>
      <c r="M528" s="235">
        <f>IFERROR(__xludf.DUMMYFUNCTION("""COMPUTED_VALUE"""),31.0)</f>
        <v>31</v>
      </c>
      <c r="N528" s="235"/>
      <c r="O528" s="235">
        <f>IFERROR(__xludf.DUMMYFUNCTION("""COMPUTED_VALUE"""),100.0)</f>
        <v>100</v>
      </c>
      <c r="P528" s="235"/>
      <c r="Q528" s="235"/>
      <c r="R528" s="235"/>
      <c r="S528" s="235">
        <f>IFERROR(__xludf.DUMMYFUNCTION("""COMPUTED_VALUE"""),50.0)</f>
        <v>50</v>
      </c>
      <c r="T528" s="244" t="str">
        <f>IFERROR(__xludf.DUMMYFUNCTION("""COMPUTED_VALUE"""),"1.60")</f>
        <v>1.60</v>
      </c>
      <c r="U528" s="235" t="str">
        <f>IFERROR(__xludf.DUMMYFUNCTION("""COMPUTED_VALUE"""),"stop有:1回目 0.43")</f>
        <v>stop有:1回目 0.43</v>
      </c>
      <c r="V528" s="235"/>
      <c r="W528" s="235" t="str">
        <f>IFERROR(__xludf.DUMMYFUNCTION("""COMPUTED_VALUE"""),"3.24")</f>
        <v>3.24</v>
      </c>
      <c r="X528" s="235" t="str">
        <f>IFERROR(__xludf.DUMMYFUNCTION("""COMPUTED_VALUE"""),"stop無:1回目 1.83")</f>
        <v>stop無:1回目 1.83</v>
      </c>
      <c r="Y528" s="235" t="str">
        <f>IFERROR(__xludf.DUMMYFUNCTION("""COMPUTED_VALUE"""),"自身とその前のコマ1つに攻撃+100%で10秒間自身の攻撃200%UP")</f>
        <v>自身とその前のコマ1つに攻撃+100%で10秒間自身の攻撃200%UP</v>
      </c>
      <c r="Z528" s="235" t="str">
        <f>IFERROR(__xludf.DUMMYFUNCTION("""COMPUTED_VALUE"""),"-")</f>
        <v>-</v>
      </c>
      <c r="AA528" s="235"/>
      <c r="AB528" s="235"/>
      <c r="AC528" s="235"/>
    </row>
    <row r="529">
      <c r="A529" s="235"/>
      <c r="B529" s="235" t="str">
        <f>IFERROR(__xludf.DUMMYFUNCTION("""COMPUTED_VALUE"""),"chara_osh_00001")</f>
        <v>chara_osh_00001</v>
      </c>
      <c r="C529" s="254" t="str">
        <f>IFERROR(__xludf.DUMMYFUNCTION("""COMPUTED_VALUE"""),"_general_osh_vh")</f>
        <v>_general_osh_vh</v>
      </c>
      <c r="D529" s="254" t="str">
        <f>IFERROR(__xludf.DUMMYFUNCTION("""COMPUTED_VALUE"""),"c_osh_00001_general_osh_vh_Boss_Colorless")</f>
        <v>c_osh_00001_general_osh_vh_Boss_Colorless</v>
      </c>
      <c r="E529" s="254" t="str">
        <f>IFERROR(__xludf.DUMMYFUNCTION("""COMPUTED_VALUE"""),"【推しの子】")</f>
        <v>【推しの子】</v>
      </c>
      <c r="F529" s="254" t="str">
        <f>IFERROR(__xludf.DUMMYFUNCTION("""COMPUTED_VALUE"""),"B小町不動のセンター アイ")</f>
        <v>B小町不動のセンター アイ</v>
      </c>
      <c r="G529" s="254" t="str">
        <f>IFERROR(__xludf.DUMMYFUNCTION("""COMPUTED_VALUE"""),"星野 アイ_general_osh_vh")</f>
        <v>星野 アイ_general_osh_vh</v>
      </c>
      <c r="H529" s="235" t="str">
        <f>IFERROR(__xludf.DUMMYFUNCTION("""COMPUTED_VALUE"""),"Boss")</f>
        <v>Boss</v>
      </c>
      <c r="I529" s="235" t="str">
        <f>IFERROR(__xludf.DUMMYFUNCTION("""COMPUTED_VALUE"""),"Support")</f>
        <v>Support</v>
      </c>
      <c r="J529" s="235" t="str">
        <f>IFERROR(__xludf.DUMMYFUNCTION("""COMPUTED_VALUE"""),"Colorless")</f>
        <v>Colorless</v>
      </c>
      <c r="K529" s="235">
        <f>IFERROR(__xludf.DUMMYFUNCTION("""COMPUTED_VALUE"""),1000.0)</f>
        <v>1000</v>
      </c>
      <c r="L529" s="235">
        <f>IFERROR(__xludf.DUMMYFUNCTION("""COMPUTED_VALUE"""),2.0)</f>
        <v>2</v>
      </c>
      <c r="M529" s="235">
        <f>IFERROR(__xludf.DUMMYFUNCTION("""COMPUTED_VALUE"""),25.0)</f>
        <v>25</v>
      </c>
      <c r="N529" s="235"/>
      <c r="O529" s="235">
        <f>IFERROR(__xludf.DUMMYFUNCTION("""COMPUTED_VALUE"""),100.0)</f>
        <v>100</v>
      </c>
      <c r="P529" s="235"/>
      <c r="Q529" s="235"/>
      <c r="R529" s="235"/>
      <c r="S529" s="235">
        <f>IFERROR(__xludf.DUMMYFUNCTION("""COMPUTED_VALUE"""),100.0)</f>
        <v>100</v>
      </c>
      <c r="T529" s="244" t="str">
        <f>IFERROR(__xludf.DUMMYFUNCTION("""COMPUTED_VALUE"""),"1.60")</f>
        <v>1.60</v>
      </c>
      <c r="U529" s="235" t="str">
        <f>IFERROR(__xludf.DUMMYFUNCTION("""COMPUTED_VALUE"""),"stop有:1回目 0.43")</f>
        <v>stop有:1回目 0.43</v>
      </c>
      <c r="V529" s="235"/>
      <c r="W529" s="235" t="str">
        <f>IFERROR(__xludf.DUMMYFUNCTION("""COMPUTED_VALUE"""),"3.24")</f>
        <v>3.24</v>
      </c>
      <c r="X529" s="235" t="str">
        <f>IFERROR(__xludf.DUMMYFUNCTION("""COMPUTED_VALUE"""),"stop無:1回目 1.83")</f>
        <v>stop無:1回目 1.83</v>
      </c>
      <c r="Y529" s="235" t="str">
        <f>IFERROR(__xludf.DUMMYFUNCTION("""COMPUTED_VALUE"""),"自身とその前のコマ1つに攻撃/100%の確率で3秒間スタン+ステージ全体の敵に10秒間攻撃力UP100%")</f>
        <v>自身とその前のコマ1つに攻撃/100%の確率で3秒間スタン+ステージ全体の敵に10秒間攻撃力UP100%</v>
      </c>
      <c r="Z529" s="235" t="str">
        <f>IFERROR(__xludf.DUMMYFUNCTION("""COMPUTED_VALUE"""),"-")</f>
        <v>-</v>
      </c>
      <c r="AA529" s="235"/>
      <c r="AB529" s="235"/>
      <c r="AC529" s="235"/>
    </row>
    <row r="530">
      <c r="A530" s="235"/>
      <c r="B530" s="235" t="str">
        <f>IFERROR(__xludf.DUMMYFUNCTION("""COMPUTED_VALUE"""),"chara_osh_00001")</f>
        <v>chara_osh_00001</v>
      </c>
      <c r="C530" s="254" t="str">
        <f>IFERROR(__xludf.DUMMYFUNCTION("""COMPUTED_VALUE"""),"_general_osh_vh")</f>
        <v>_general_osh_vh</v>
      </c>
      <c r="D530" s="254" t="str">
        <f>IFERROR(__xludf.DUMMYFUNCTION("""COMPUTED_VALUE"""),"c_osh_00001_general_osh_vh_Boss_Red")</f>
        <v>c_osh_00001_general_osh_vh_Boss_Red</v>
      </c>
      <c r="E530" s="254" t="str">
        <f>IFERROR(__xludf.DUMMYFUNCTION("""COMPUTED_VALUE"""),"【推しの子】")</f>
        <v>【推しの子】</v>
      </c>
      <c r="F530" s="254" t="str">
        <f>IFERROR(__xludf.DUMMYFUNCTION("""COMPUTED_VALUE"""),"B小町不動のセンター アイ")</f>
        <v>B小町不動のセンター アイ</v>
      </c>
      <c r="G530" s="254" t="str">
        <f>IFERROR(__xludf.DUMMYFUNCTION("""COMPUTED_VALUE"""),"星野 アイ_general_osh_vh")</f>
        <v>星野 アイ_general_osh_vh</v>
      </c>
      <c r="H530" s="235" t="str">
        <f>IFERROR(__xludf.DUMMYFUNCTION("""COMPUTED_VALUE"""),"Boss")</f>
        <v>Boss</v>
      </c>
      <c r="I530" s="235" t="str">
        <f>IFERROR(__xludf.DUMMYFUNCTION("""COMPUTED_VALUE"""),"Technical")</f>
        <v>Technical</v>
      </c>
      <c r="J530" s="235" t="str">
        <f>IFERROR(__xludf.DUMMYFUNCTION("""COMPUTED_VALUE"""),"Red")</f>
        <v>Red</v>
      </c>
      <c r="K530" s="235">
        <f>IFERROR(__xludf.DUMMYFUNCTION("""COMPUTED_VALUE"""),1000.0)</f>
        <v>1000</v>
      </c>
      <c r="L530" s="235">
        <f>IFERROR(__xludf.DUMMYFUNCTION("""COMPUTED_VALUE"""),2.0)</f>
        <v>2</v>
      </c>
      <c r="M530" s="235">
        <f>IFERROR(__xludf.DUMMYFUNCTION("""COMPUTED_VALUE"""),25.0)</f>
        <v>25</v>
      </c>
      <c r="N530" s="235"/>
      <c r="O530" s="235">
        <f>IFERROR(__xludf.DUMMYFUNCTION("""COMPUTED_VALUE"""),100.0)</f>
        <v>100</v>
      </c>
      <c r="P530" s="235"/>
      <c r="Q530" s="235"/>
      <c r="R530" s="235"/>
      <c r="S530" s="235">
        <f>IFERROR(__xludf.DUMMYFUNCTION("""COMPUTED_VALUE"""),100.0)</f>
        <v>100</v>
      </c>
      <c r="T530" s="244" t="str">
        <f>IFERROR(__xludf.DUMMYFUNCTION("""COMPUTED_VALUE"""),"1.60")</f>
        <v>1.60</v>
      </c>
      <c r="U530" s="235" t="str">
        <f>IFERROR(__xludf.DUMMYFUNCTION("""COMPUTED_VALUE"""),"stop有:1回目 0.43")</f>
        <v>stop有:1回目 0.43</v>
      </c>
      <c r="V530" s="235"/>
      <c r="W530" s="235" t="str">
        <f>IFERROR(__xludf.DUMMYFUNCTION("""COMPUTED_VALUE"""),"3.24")</f>
        <v>3.24</v>
      </c>
      <c r="X530" s="235" t="str">
        <f>IFERROR(__xludf.DUMMYFUNCTION("""COMPUTED_VALUE"""),"stop無:1回目 1.83")</f>
        <v>stop無:1回目 1.83</v>
      </c>
      <c r="Y530" s="235" t="str">
        <f>IFERROR(__xludf.DUMMYFUNCTION("""COMPUTED_VALUE"""),"自身とその前のコマ1つに攻撃/100%の確率で3秒間スタン+ステージ全体の敵に20秒間攻撃力UP35%+100%の確率で最大体力の20%回復")</f>
        <v>自身とその前のコマ1つに攻撃/100%の確率で3秒間スタン+ステージ全体の敵に20秒間攻撃力UP35%+100%の確率で最大体力の20%回復</v>
      </c>
      <c r="Z530" s="235" t="str">
        <f>IFERROR(__xludf.DUMMYFUNCTION("""COMPUTED_VALUE"""),"-")</f>
        <v>-</v>
      </c>
      <c r="AA530" s="235"/>
      <c r="AB530" s="235"/>
      <c r="AC530" s="235"/>
    </row>
    <row r="531">
      <c r="A531" s="235"/>
      <c r="B531" s="235" t="str">
        <f>IFERROR(__xludf.DUMMYFUNCTION("""COMPUTED_VALUE"""),"enemy_glo_00001")</f>
        <v>enemy_glo_00001</v>
      </c>
      <c r="C531" s="254" t="str">
        <f>IFERROR(__xludf.DUMMYFUNCTION("""COMPUTED_VALUE"""),"_general_osh_vh")</f>
        <v>_general_osh_vh</v>
      </c>
      <c r="D531" s="254" t="str">
        <f>IFERROR(__xludf.DUMMYFUNCTION("""COMPUTED_VALUE"""),"e_glo_00001_general_osh_vh_Boss_Blue")</f>
        <v>e_glo_00001_general_osh_vh_Boss_Blue</v>
      </c>
      <c r="E531" s="254" t="str">
        <f>IFERROR(__xludf.DUMMYFUNCTION("""COMPUTED_VALUE"""),"GLOW")</f>
        <v>GLOW</v>
      </c>
      <c r="F531" s="254" t="str">
        <f>IFERROR(__xludf.DUMMYFUNCTION("""COMPUTED_VALUE"""),"ファントム")</f>
        <v>ファントム</v>
      </c>
      <c r="G531" s="254" t="str">
        <f>IFERROR(__xludf.DUMMYFUNCTION("""COMPUTED_VALUE"""),"ファントム_general_osh_vh")</f>
        <v>ファントム_general_osh_vh</v>
      </c>
      <c r="H531" s="235" t="str">
        <f>IFERROR(__xludf.DUMMYFUNCTION("""COMPUTED_VALUE"""),"Boss")</f>
        <v>Boss</v>
      </c>
      <c r="I531" s="235" t="str">
        <f>IFERROR(__xludf.DUMMYFUNCTION("""COMPUTED_VALUE"""),"Technical")</f>
        <v>Technical</v>
      </c>
      <c r="J531" s="235" t="str">
        <f>IFERROR(__xludf.DUMMYFUNCTION("""COMPUTED_VALUE"""),"Blue")</f>
        <v>Blue</v>
      </c>
      <c r="K531" s="235">
        <f>IFERROR(__xludf.DUMMYFUNCTION("""COMPUTED_VALUE"""),1000.0)</f>
        <v>1000</v>
      </c>
      <c r="L531" s="235">
        <f>IFERROR(__xludf.DUMMYFUNCTION("""COMPUTED_VALUE"""),2.0)</f>
        <v>2</v>
      </c>
      <c r="M531" s="235">
        <f>IFERROR(__xludf.DUMMYFUNCTION("""COMPUTED_VALUE"""),34.0)</f>
        <v>34</v>
      </c>
      <c r="N531" s="235">
        <f>IFERROR(__xludf.DUMMYFUNCTION("""COMPUTED_VALUE"""),0.22)</f>
        <v>0.22</v>
      </c>
      <c r="O531" s="235">
        <f>IFERROR(__xludf.DUMMYFUNCTION("""COMPUTED_VALUE"""),100.0)</f>
        <v>100</v>
      </c>
      <c r="P531" s="235"/>
      <c r="Q531" s="235"/>
      <c r="R531" s="235"/>
      <c r="S531" s="235">
        <f>IFERROR(__xludf.DUMMYFUNCTION("""COMPUTED_VALUE"""),100.0)</f>
        <v>100</v>
      </c>
      <c r="T531" s="244" t="str">
        <f>IFERROR(__xludf.DUMMYFUNCTION("""COMPUTED_VALUE"""),"1.00")</f>
        <v>1.00</v>
      </c>
      <c r="U531" s="235" t="str">
        <f>IFERROR(__xludf.DUMMYFUNCTION("""COMPUTED_VALUE"""),"0.50")</f>
        <v>0.50</v>
      </c>
      <c r="V531" s="235"/>
      <c r="W531" s="235"/>
      <c r="X531" s="235"/>
      <c r="Y531" s="235"/>
      <c r="Z531" s="235" t="str">
        <f>IFERROR(__xludf.DUMMYFUNCTION("""COMPUTED_VALUE"""),"-")</f>
        <v>-</v>
      </c>
      <c r="AA531" s="235"/>
      <c r="AB531" s="235"/>
      <c r="AC531" s="235" t="str">
        <f>IFERROR(__xludf.DUMMYFUNCTION("""COMPUTED_VALUE"""),"通常攻撃25%の確率で12秒間8%の毒")</f>
        <v>通常攻撃25%の確率で12秒間8%の毒</v>
      </c>
    </row>
    <row r="532">
      <c r="A532" s="235"/>
      <c r="B532" s="235" t="str">
        <f>IFERROR(__xludf.DUMMYFUNCTION("""COMPUTED_VALUE"""),"enemy_glo_00002")</f>
        <v>enemy_glo_00002</v>
      </c>
      <c r="C532" s="254" t="str">
        <f>IFERROR(__xludf.DUMMYFUNCTION("""COMPUTED_VALUE"""),"_general_osh_vh")</f>
        <v>_general_osh_vh</v>
      </c>
      <c r="D532" s="254" t="str">
        <f>IFERROR(__xludf.DUMMYFUNCTION("""COMPUTED_VALUE"""),"e_glo_00002_general_osh_vh_Normal_Red")</f>
        <v>e_glo_00002_general_osh_vh_Normal_Red</v>
      </c>
      <c r="E532" s="254" t="str">
        <f>IFERROR(__xludf.DUMMYFUNCTION("""COMPUTED_VALUE"""),"GLOW")</f>
        <v>GLOW</v>
      </c>
      <c r="F532" s="254" t="str">
        <f>IFERROR(__xludf.DUMMYFUNCTION("""COMPUTED_VALUE"""),"推し活ファントム")</f>
        <v>推し活ファントム</v>
      </c>
      <c r="G532" s="254" t="str">
        <f>IFERROR(__xludf.DUMMYFUNCTION("""COMPUTED_VALUE"""),"サイリウム持ちファントム_general_osh_vh")</f>
        <v>サイリウム持ちファントム_general_osh_vh</v>
      </c>
      <c r="H532" s="235" t="str">
        <f>IFERROR(__xludf.DUMMYFUNCTION("""COMPUTED_VALUE"""),"Normal")</f>
        <v>Normal</v>
      </c>
      <c r="I532" s="235" t="str">
        <f>IFERROR(__xludf.DUMMYFUNCTION("""COMPUTED_VALUE"""),"Technical")</f>
        <v>Technical</v>
      </c>
      <c r="J532" s="235" t="str">
        <f>IFERROR(__xludf.DUMMYFUNCTION("""COMPUTED_VALUE"""),"Red")</f>
        <v>Red</v>
      </c>
      <c r="K532" s="235">
        <f>IFERROR(__xludf.DUMMYFUNCTION("""COMPUTED_VALUE"""),1000.0)</f>
        <v>1000</v>
      </c>
      <c r="L532" s="235">
        <f>IFERROR(__xludf.DUMMYFUNCTION("""COMPUTED_VALUE"""),1.0)</f>
        <v>1</v>
      </c>
      <c r="M532" s="235">
        <f>IFERROR(__xludf.DUMMYFUNCTION("""COMPUTED_VALUE"""),47.0)</f>
        <v>47</v>
      </c>
      <c r="N532" s="235">
        <f>IFERROR(__xludf.DUMMYFUNCTION("""COMPUTED_VALUE"""),0.22)</f>
        <v>0.22</v>
      </c>
      <c r="O532" s="235">
        <f>IFERROR(__xludf.DUMMYFUNCTION("""COMPUTED_VALUE"""),100.0)</f>
        <v>100</v>
      </c>
      <c r="P532" s="235"/>
      <c r="Q532" s="235"/>
      <c r="R532" s="235"/>
      <c r="S532" s="235">
        <f>IFERROR(__xludf.DUMMYFUNCTION("""COMPUTED_VALUE"""),50.0)</f>
        <v>50</v>
      </c>
      <c r="T532" s="244" t="str">
        <f>IFERROR(__xludf.DUMMYFUNCTION("""COMPUTED_VALUE"""),"1.17")</f>
        <v>1.17</v>
      </c>
      <c r="U532" s="235" t="str">
        <f>IFERROR(__xludf.DUMMYFUNCTION("""COMPUTED_VALUE"""),"stop有:1回目 0.6")</f>
        <v>stop有:1回目 0.6</v>
      </c>
      <c r="V532" s="235"/>
      <c r="W532" s="235"/>
      <c r="X532" s="235"/>
      <c r="Y532" s="235"/>
      <c r="Z532" s="235" t="str">
        <f>IFERROR(__xludf.DUMMYFUNCTION("""COMPUTED_VALUE"""),"-")</f>
        <v>-</v>
      </c>
      <c r="AA532" s="235"/>
      <c r="AB532" s="235"/>
      <c r="AC532" s="235" t="str">
        <f>IFERROR(__xludf.DUMMYFUNCTION("""COMPUTED_VALUE"""),"通常攻撃100%で毒+ノックバック/めっちゃ攻撃頻度短い")</f>
        <v>通常攻撃100%で毒+ノックバック/めっちゃ攻撃頻度短い</v>
      </c>
    </row>
    <row r="533">
      <c r="A533" s="235"/>
      <c r="B533" s="235" t="str">
        <f>IFERROR(__xludf.DUMMYFUNCTION("""COMPUTED_VALUE"""),"enemy_glo_00002")</f>
        <v>enemy_glo_00002</v>
      </c>
      <c r="C533" s="254" t="str">
        <f>IFERROR(__xludf.DUMMYFUNCTION("""COMPUTED_VALUE"""),"_general_osh_vh")</f>
        <v>_general_osh_vh</v>
      </c>
      <c r="D533" s="254" t="str">
        <f>IFERROR(__xludf.DUMMYFUNCTION("""COMPUTED_VALUE"""),"e_glo_00002_general_osh_vh_Normal_Colorless")</f>
        <v>e_glo_00002_general_osh_vh_Normal_Colorless</v>
      </c>
      <c r="E533" s="254" t="str">
        <f>IFERROR(__xludf.DUMMYFUNCTION("""COMPUTED_VALUE"""),"GLOW")</f>
        <v>GLOW</v>
      </c>
      <c r="F533" s="254" t="str">
        <f>IFERROR(__xludf.DUMMYFUNCTION("""COMPUTED_VALUE"""),"推し活ファントム")</f>
        <v>推し活ファントム</v>
      </c>
      <c r="G533" s="254" t="str">
        <f>IFERROR(__xludf.DUMMYFUNCTION("""COMPUTED_VALUE"""),"サイリウム持ちファントム_general_osh_vh")</f>
        <v>サイリウム持ちファントム_general_osh_vh</v>
      </c>
      <c r="H533" s="235" t="str">
        <f>IFERROR(__xludf.DUMMYFUNCTION("""COMPUTED_VALUE"""),"Normal")</f>
        <v>Normal</v>
      </c>
      <c r="I533" s="235" t="str">
        <f>IFERROR(__xludf.DUMMYFUNCTION("""COMPUTED_VALUE"""),"Support")</f>
        <v>Support</v>
      </c>
      <c r="J533" s="235" t="str">
        <f>IFERROR(__xludf.DUMMYFUNCTION("""COMPUTED_VALUE"""),"Colorless")</f>
        <v>Colorless</v>
      </c>
      <c r="K533" s="235">
        <f>IFERROR(__xludf.DUMMYFUNCTION("""COMPUTED_VALUE"""),1000.0)</f>
        <v>1000</v>
      </c>
      <c r="L533" s="235">
        <f>IFERROR(__xludf.DUMMYFUNCTION("""COMPUTED_VALUE"""),1.0)</f>
        <v>1</v>
      </c>
      <c r="M533" s="235">
        <f>IFERROR(__xludf.DUMMYFUNCTION("""COMPUTED_VALUE"""),47.0)</f>
        <v>47</v>
      </c>
      <c r="N533" s="235">
        <f>IFERROR(__xludf.DUMMYFUNCTION("""COMPUTED_VALUE"""),0.22)</f>
        <v>0.22</v>
      </c>
      <c r="O533" s="235">
        <f>IFERROR(__xludf.DUMMYFUNCTION("""COMPUTED_VALUE"""),100.0)</f>
        <v>100</v>
      </c>
      <c r="P533" s="235"/>
      <c r="Q533" s="235"/>
      <c r="R533" s="235"/>
      <c r="S533" s="235">
        <f>IFERROR(__xludf.DUMMYFUNCTION("""COMPUTED_VALUE"""),50.0)</f>
        <v>50</v>
      </c>
      <c r="T533" s="244" t="str">
        <f>IFERROR(__xludf.DUMMYFUNCTION("""COMPUTED_VALUE"""),"1.17")</f>
        <v>1.17</v>
      </c>
      <c r="U533" s="235" t="str">
        <f>IFERROR(__xludf.DUMMYFUNCTION("""COMPUTED_VALUE"""),"stop有:1回目 0.6")</f>
        <v>stop有:1回目 0.6</v>
      </c>
      <c r="V533" s="235"/>
      <c r="W533" s="235"/>
      <c r="X533" s="235"/>
      <c r="Y533" s="235"/>
      <c r="Z533" s="235" t="str">
        <f>IFERROR(__xludf.DUMMYFUNCTION("""COMPUTED_VALUE"""),"-")</f>
        <v>-</v>
      </c>
      <c r="AA533" s="235"/>
      <c r="AB533" s="235"/>
      <c r="AC533" s="235" t="str">
        <f>IFERROR(__xludf.DUMMYFUNCTION("""COMPUTED_VALUE"""),"通常攻撃100%で同じコマの味方を最大体力の3%回復")</f>
        <v>通常攻撃100%で同じコマの味方を最大体力の3%回復</v>
      </c>
    </row>
    <row r="534">
      <c r="A534" s="235"/>
      <c r="B534" s="235" t="str">
        <f>IFERROR(__xludf.DUMMYFUNCTION("""COMPUTED_VALUE"""),"enemy_glo_00002")</f>
        <v>enemy_glo_00002</v>
      </c>
      <c r="C534" s="254" t="str">
        <f>IFERROR(__xludf.DUMMYFUNCTION("""COMPUTED_VALUE"""),"_general_osh_vh")</f>
        <v>_general_osh_vh</v>
      </c>
      <c r="D534" s="254" t="str">
        <f>IFERROR(__xludf.DUMMYFUNCTION("""COMPUTED_VALUE"""),"e_glo_00002_general_osh_vh_Normal_Blue")</f>
        <v>e_glo_00002_general_osh_vh_Normal_Blue</v>
      </c>
      <c r="E534" s="254" t="str">
        <f>IFERROR(__xludf.DUMMYFUNCTION("""COMPUTED_VALUE"""),"GLOW")</f>
        <v>GLOW</v>
      </c>
      <c r="F534" s="254" t="str">
        <f>IFERROR(__xludf.DUMMYFUNCTION("""COMPUTED_VALUE"""),"推し活ファントム")</f>
        <v>推し活ファントム</v>
      </c>
      <c r="G534" s="254" t="str">
        <f>IFERROR(__xludf.DUMMYFUNCTION("""COMPUTED_VALUE"""),"サイリウム持ちファントム_general_osh_vh")</f>
        <v>サイリウム持ちファントム_general_osh_vh</v>
      </c>
      <c r="H534" s="235" t="str">
        <f>IFERROR(__xludf.DUMMYFUNCTION("""COMPUTED_VALUE"""),"Normal")</f>
        <v>Normal</v>
      </c>
      <c r="I534" s="235" t="str">
        <f>IFERROR(__xludf.DUMMYFUNCTION("""COMPUTED_VALUE"""),"Technical")</f>
        <v>Technical</v>
      </c>
      <c r="J534" s="235" t="str">
        <f>IFERROR(__xludf.DUMMYFUNCTION("""COMPUTED_VALUE"""),"Blue")</f>
        <v>Blue</v>
      </c>
      <c r="K534" s="235">
        <f>IFERROR(__xludf.DUMMYFUNCTION("""COMPUTED_VALUE"""),1000.0)</f>
        <v>1000</v>
      </c>
      <c r="L534" s="235">
        <f>IFERROR(__xludf.DUMMYFUNCTION("""COMPUTED_VALUE"""),1.0)</f>
        <v>1</v>
      </c>
      <c r="M534" s="235">
        <f>IFERROR(__xludf.DUMMYFUNCTION("""COMPUTED_VALUE"""),47.0)</f>
        <v>47</v>
      </c>
      <c r="N534" s="235">
        <f>IFERROR(__xludf.DUMMYFUNCTION("""COMPUTED_VALUE"""),0.22)</f>
        <v>0.22</v>
      </c>
      <c r="O534" s="235">
        <f>IFERROR(__xludf.DUMMYFUNCTION("""COMPUTED_VALUE"""),100.0)</f>
        <v>100</v>
      </c>
      <c r="P534" s="235"/>
      <c r="Q534" s="235"/>
      <c r="R534" s="235"/>
      <c r="S534" s="235">
        <f>IFERROR(__xludf.DUMMYFUNCTION("""COMPUTED_VALUE"""),50.0)</f>
        <v>50</v>
      </c>
      <c r="T534" s="244" t="str">
        <f>IFERROR(__xludf.DUMMYFUNCTION("""COMPUTED_VALUE"""),"1.17")</f>
        <v>1.17</v>
      </c>
      <c r="U534" s="235" t="str">
        <f>IFERROR(__xludf.DUMMYFUNCTION("""COMPUTED_VALUE"""),"stop有:1回目 0.6")</f>
        <v>stop有:1回目 0.6</v>
      </c>
      <c r="V534" s="235"/>
      <c r="W534" s="235"/>
      <c r="X534" s="235"/>
      <c r="Y534" s="235"/>
      <c r="Z534" s="235" t="str">
        <f>IFERROR(__xludf.DUMMYFUNCTION("""COMPUTED_VALUE"""),"-")</f>
        <v>-</v>
      </c>
      <c r="AA534" s="235"/>
      <c r="AB534" s="235"/>
      <c r="AC534" s="235" t="str">
        <f>IFERROR(__xludf.DUMMYFUNCTION("""COMPUTED_VALUE"""),"通常攻撃100%で6秒間2000の火傷/めっちゃ攻撃頻度短い")</f>
        <v>通常攻撃100%で6秒間2000の火傷/めっちゃ攻撃頻度短い</v>
      </c>
    </row>
    <row r="535">
      <c r="A535" s="235"/>
      <c r="B535" s="235"/>
      <c r="C535" s="254"/>
      <c r="D535" s="254" t="str">
        <f>IFERROR(__xludf.DUMMYFUNCTION("""COMPUTED_VALUE"""),"___")</f>
        <v>___</v>
      </c>
      <c r="E535" s="254" t="str">
        <f>IFERROR(__xludf.DUMMYFUNCTION("""COMPUTED_VALUE"""),"none")</f>
        <v>none</v>
      </c>
      <c r="F535" s="254" t="str">
        <f>IFERROR(__xludf.DUMMYFUNCTION("""COMPUTED_VALUE"""),"none")</f>
        <v>none</v>
      </c>
      <c r="G535" s="254" t="str">
        <f>IFERROR(__xludf.DUMMYFUNCTION("""COMPUTED_VALUE"""),"none")</f>
        <v>none</v>
      </c>
      <c r="H535" s="235"/>
      <c r="I535" s="235" t="str">
        <f>IFERROR(__xludf.DUMMYFUNCTION("""COMPUTED_VALUE"""),"none")</f>
        <v>none</v>
      </c>
      <c r="J535" s="235"/>
      <c r="K535" s="235"/>
      <c r="L535" s="235"/>
      <c r="M535" s="235"/>
      <c r="N535" s="235"/>
      <c r="O535" s="235"/>
      <c r="P535" s="235"/>
      <c r="Q535" s="235"/>
      <c r="R535" s="235"/>
      <c r="S535" s="235"/>
      <c r="T535" s="244" t="str">
        <f>IFERROR(__xludf.DUMMYFUNCTION("""COMPUTED_VALUE"""),"none")</f>
        <v>none</v>
      </c>
      <c r="U535" s="235" t="str">
        <f>IFERROR(__xludf.DUMMYFUNCTION("""COMPUTED_VALUE"""),"none")</f>
        <v>none</v>
      </c>
      <c r="V535" s="235"/>
      <c r="W535" s="235" t="str">
        <f>IFERROR(__xludf.DUMMYFUNCTION("""COMPUTED_VALUE"""),"none")</f>
        <v>none</v>
      </c>
      <c r="X535" s="235" t="str">
        <f>IFERROR(__xludf.DUMMYFUNCTION("""COMPUTED_VALUE"""),"none")</f>
        <v>none</v>
      </c>
      <c r="Y535" s="235"/>
      <c r="Z535" s="235" t="str">
        <f>IFERROR(__xludf.DUMMYFUNCTION("""COMPUTED_VALUE"""),"-")</f>
        <v>-</v>
      </c>
      <c r="AA535" s="235"/>
      <c r="AB535" s="235"/>
      <c r="AC535" s="235"/>
    </row>
    <row r="536">
      <c r="A536" s="235"/>
      <c r="B536" s="235"/>
      <c r="C536" s="254"/>
      <c r="D536" s="254" t="str">
        <f>IFERROR(__xludf.DUMMYFUNCTION("""COMPUTED_VALUE"""),"___")</f>
        <v>___</v>
      </c>
      <c r="E536" s="254" t="str">
        <f>IFERROR(__xludf.DUMMYFUNCTION("""COMPUTED_VALUE"""),"none")</f>
        <v>none</v>
      </c>
      <c r="F536" s="254" t="str">
        <f>IFERROR(__xludf.DUMMYFUNCTION("""COMPUTED_VALUE"""),"none")</f>
        <v>none</v>
      </c>
      <c r="G536" s="254" t="str">
        <f>IFERROR(__xludf.DUMMYFUNCTION("""COMPUTED_VALUE"""),"none")</f>
        <v>none</v>
      </c>
      <c r="H536" s="235"/>
      <c r="I536" s="235" t="str">
        <f>IFERROR(__xludf.DUMMYFUNCTION("""COMPUTED_VALUE"""),"none")</f>
        <v>none</v>
      </c>
      <c r="J536" s="235"/>
      <c r="K536" s="235"/>
      <c r="L536" s="235"/>
      <c r="M536" s="235"/>
      <c r="N536" s="235"/>
      <c r="O536" s="235"/>
      <c r="P536" s="235"/>
      <c r="Q536" s="235"/>
      <c r="R536" s="235"/>
      <c r="S536" s="235"/>
      <c r="T536" s="244" t="str">
        <f>IFERROR(__xludf.DUMMYFUNCTION("""COMPUTED_VALUE"""),"none")</f>
        <v>none</v>
      </c>
      <c r="U536" s="235" t="str">
        <f>IFERROR(__xludf.DUMMYFUNCTION("""COMPUTED_VALUE"""),"none")</f>
        <v>none</v>
      </c>
      <c r="V536" s="235"/>
      <c r="W536" s="235" t="str">
        <f>IFERROR(__xludf.DUMMYFUNCTION("""COMPUTED_VALUE"""),"none")</f>
        <v>none</v>
      </c>
      <c r="X536" s="235" t="str">
        <f>IFERROR(__xludf.DUMMYFUNCTION("""COMPUTED_VALUE"""),"none")</f>
        <v>none</v>
      </c>
      <c r="Y536" s="235"/>
      <c r="Z536" s="235" t="str">
        <f>IFERROR(__xludf.DUMMYFUNCTION("""COMPUTED_VALUE"""),"-")</f>
        <v>-</v>
      </c>
      <c r="AA536" s="235"/>
      <c r="AB536" s="235"/>
      <c r="AC536" s="235"/>
    </row>
    <row r="537">
      <c r="A537" s="235"/>
      <c r="B537" s="235"/>
      <c r="C537" s="254"/>
      <c r="D537" s="254" t="str">
        <f>IFERROR(__xludf.DUMMYFUNCTION("""COMPUTED_VALUE"""),"___")</f>
        <v>___</v>
      </c>
      <c r="E537" s="254" t="str">
        <f>IFERROR(__xludf.DUMMYFUNCTION("""COMPUTED_VALUE"""),"none")</f>
        <v>none</v>
      </c>
      <c r="F537" s="254" t="str">
        <f>IFERROR(__xludf.DUMMYFUNCTION("""COMPUTED_VALUE"""),"none")</f>
        <v>none</v>
      </c>
      <c r="G537" s="254" t="str">
        <f>IFERROR(__xludf.DUMMYFUNCTION("""COMPUTED_VALUE"""),"none")</f>
        <v>none</v>
      </c>
      <c r="H537" s="235"/>
      <c r="I537" s="235" t="str">
        <f>IFERROR(__xludf.DUMMYFUNCTION("""COMPUTED_VALUE"""),"none")</f>
        <v>none</v>
      </c>
      <c r="J537" s="235"/>
      <c r="K537" s="235"/>
      <c r="L537" s="235"/>
      <c r="M537" s="235"/>
      <c r="N537" s="235"/>
      <c r="O537" s="235"/>
      <c r="P537" s="235"/>
      <c r="Q537" s="235"/>
      <c r="R537" s="235"/>
      <c r="S537" s="235"/>
      <c r="T537" s="244" t="str">
        <f>IFERROR(__xludf.DUMMYFUNCTION("""COMPUTED_VALUE"""),"none")</f>
        <v>none</v>
      </c>
      <c r="U537" s="235" t="str">
        <f>IFERROR(__xludf.DUMMYFUNCTION("""COMPUTED_VALUE"""),"none")</f>
        <v>none</v>
      </c>
      <c r="V537" s="235"/>
      <c r="W537" s="235" t="str">
        <f>IFERROR(__xludf.DUMMYFUNCTION("""COMPUTED_VALUE"""),"none")</f>
        <v>none</v>
      </c>
      <c r="X537" s="235" t="str">
        <f>IFERROR(__xludf.DUMMYFUNCTION("""COMPUTED_VALUE"""),"none")</f>
        <v>none</v>
      </c>
      <c r="Y537" s="235"/>
      <c r="Z537" s="235" t="str">
        <f>IFERROR(__xludf.DUMMYFUNCTION("""COMPUTED_VALUE"""),"-")</f>
        <v>-</v>
      </c>
      <c r="AA537" s="235"/>
      <c r="AB537" s="235"/>
      <c r="AC537" s="235"/>
    </row>
    <row r="538">
      <c r="A538" s="235"/>
      <c r="B538" s="235"/>
      <c r="C538" s="254"/>
      <c r="D538" s="254" t="str">
        <f>IFERROR(__xludf.DUMMYFUNCTION("""COMPUTED_VALUE"""),"___")</f>
        <v>___</v>
      </c>
      <c r="E538" s="254" t="str">
        <f>IFERROR(__xludf.DUMMYFUNCTION("""COMPUTED_VALUE"""),"none")</f>
        <v>none</v>
      </c>
      <c r="F538" s="254" t="str">
        <f>IFERROR(__xludf.DUMMYFUNCTION("""COMPUTED_VALUE"""),"none")</f>
        <v>none</v>
      </c>
      <c r="G538" s="254" t="str">
        <f>IFERROR(__xludf.DUMMYFUNCTION("""COMPUTED_VALUE"""),"none")</f>
        <v>none</v>
      </c>
      <c r="H538" s="235"/>
      <c r="I538" s="235" t="str">
        <f>IFERROR(__xludf.DUMMYFUNCTION("""COMPUTED_VALUE"""),"none")</f>
        <v>none</v>
      </c>
      <c r="J538" s="235"/>
      <c r="K538" s="235"/>
      <c r="L538" s="235"/>
      <c r="M538" s="235"/>
      <c r="N538" s="235"/>
      <c r="O538" s="235"/>
      <c r="P538" s="235"/>
      <c r="Q538" s="235"/>
      <c r="R538" s="235"/>
      <c r="S538" s="235"/>
      <c r="T538" s="244" t="str">
        <f>IFERROR(__xludf.DUMMYFUNCTION("""COMPUTED_VALUE"""),"none")</f>
        <v>none</v>
      </c>
      <c r="U538" s="235" t="str">
        <f>IFERROR(__xludf.DUMMYFUNCTION("""COMPUTED_VALUE"""),"none")</f>
        <v>none</v>
      </c>
      <c r="V538" s="235"/>
      <c r="W538" s="235" t="str">
        <f>IFERROR(__xludf.DUMMYFUNCTION("""COMPUTED_VALUE"""),"none")</f>
        <v>none</v>
      </c>
      <c r="X538" s="235" t="str">
        <f>IFERROR(__xludf.DUMMYFUNCTION("""COMPUTED_VALUE"""),"none")</f>
        <v>none</v>
      </c>
      <c r="Y538" s="235"/>
      <c r="Z538" s="235" t="str">
        <f>IFERROR(__xludf.DUMMYFUNCTION("""COMPUTED_VALUE"""),"-")</f>
        <v>-</v>
      </c>
      <c r="AA538" s="235"/>
      <c r="AB538" s="235"/>
      <c r="AC538" s="235"/>
    </row>
    <row r="539">
      <c r="A539" s="235"/>
      <c r="B539" s="235"/>
      <c r="C539" s="254"/>
      <c r="D539" s="254" t="str">
        <f>IFERROR(__xludf.DUMMYFUNCTION("""COMPUTED_VALUE"""),"___")</f>
        <v>___</v>
      </c>
      <c r="E539" s="254" t="str">
        <f>IFERROR(__xludf.DUMMYFUNCTION("""COMPUTED_VALUE"""),"none")</f>
        <v>none</v>
      </c>
      <c r="F539" s="254" t="str">
        <f>IFERROR(__xludf.DUMMYFUNCTION("""COMPUTED_VALUE"""),"none")</f>
        <v>none</v>
      </c>
      <c r="G539" s="254" t="str">
        <f>IFERROR(__xludf.DUMMYFUNCTION("""COMPUTED_VALUE"""),"none")</f>
        <v>none</v>
      </c>
      <c r="H539" s="235"/>
      <c r="I539" s="235" t="str">
        <f>IFERROR(__xludf.DUMMYFUNCTION("""COMPUTED_VALUE"""),"none")</f>
        <v>none</v>
      </c>
      <c r="J539" s="235"/>
      <c r="K539" s="235"/>
      <c r="L539" s="235"/>
      <c r="M539" s="235"/>
      <c r="N539" s="235"/>
      <c r="O539" s="235"/>
      <c r="P539" s="235"/>
      <c r="Q539" s="235"/>
      <c r="R539" s="235"/>
      <c r="S539" s="235"/>
      <c r="T539" s="244" t="str">
        <f>IFERROR(__xludf.DUMMYFUNCTION("""COMPUTED_VALUE"""),"none")</f>
        <v>none</v>
      </c>
      <c r="U539" s="235" t="str">
        <f>IFERROR(__xludf.DUMMYFUNCTION("""COMPUTED_VALUE"""),"none")</f>
        <v>none</v>
      </c>
      <c r="V539" s="235"/>
      <c r="W539" s="235" t="str">
        <f>IFERROR(__xludf.DUMMYFUNCTION("""COMPUTED_VALUE"""),"none")</f>
        <v>none</v>
      </c>
      <c r="X539" s="235" t="str">
        <f>IFERROR(__xludf.DUMMYFUNCTION("""COMPUTED_VALUE"""),"none")</f>
        <v>none</v>
      </c>
      <c r="Y539" s="235"/>
      <c r="Z539" s="235" t="str">
        <f>IFERROR(__xludf.DUMMYFUNCTION("""COMPUTED_VALUE"""),"-")</f>
        <v>-</v>
      </c>
      <c r="AA539" s="235"/>
      <c r="AB539" s="235"/>
      <c r="AC539" s="235"/>
    </row>
    <row r="540">
      <c r="A540" s="235"/>
      <c r="B540" s="235"/>
      <c r="C540" s="254"/>
      <c r="D540" s="254" t="str">
        <f>IFERROR(__xludf.DUMMYFUNCTION("""COMPUTED_VALUE"""),"___")</f>
        <v>___</v>
      </c>
      <c r="E540" s="254" t="str">
        <f>IFERROR(__xludf.DUMMYFUNCTION("""COMPUTED_VALUE"""),"none")</f>
        <v>none</v>
      </c>
      <c r="F540" s="254" t="str">
        <f>IFERROR(__xludf.DUMMYFUNCTION("""COMPUTED_VALUE"""),"none")</f>
        <v>none</v>
      </c>
      <c r="G540" s="254" t="str">
        <f>IFERROR(__xludf.DUMMYFUNCTION("""COMPUTED_VALUE"""),"none")</f>
        <v>none</v>
      </c>
      <c r="H540" s="235"/>
      <c r="I540" s="235" t="str">
        <f>IFERROR(__xludf.DUMMYFUNCTION("""COMPUTED_VALUE"""),"none")</f>
        <v>none</v>
      </c>
      <c r="J540" s="235"/>
      <c r="K540" s="235"/>
      <c r="L540" s="235"/>
      <c r="M540" s="235"/>
      <c r="N540" s="235"/>
      <c r="O540" s="235"/>
      <c r="P540" s="235"/>
      <c r="Q540" s="235"/>
      <c r="R540" s="235"/>
      <c r="S540" s="235"/>
      <c r="T540" s="244" t="str">
        <f>IFERROR(__xludf.DUMMYFUNCTION("""COMPUTED_VALUE"""),"none")</f>
        <v>none</v>
      </c>
      <c r="U540" s="235" t="str">
        <f>IFERROR(__xludf.DUMMYFUNCTION("""COMPUTED_VALUE"""),"none")</f>
        <v>none</v>
      </c>
      <c r="V540" s="235"/>
      <c r="W540" s="235" t="str">
        <f>IFERROR(__xludf.DUMMYFUNCTION("""COMPUTED_VALUE"""),"none")</f>
        <v>none</v>
      </c>
      <c r="X540" s="235" t="str">
        <f>IFERROR(__xludf.DUMMYFUNCTION("""COMPUTED_VALUE"""),"none")</f>
        <v>none</v>
      </c>
      <c r="Y540" s="235"/>
      <c r="Z540" s="235" t="str">
        <f>IFERROR(__xludf.DUMMYFUNCTION("""COMPUTED_VALUE"""),"-")</f>
        <v>-</v>
      </c>
      <c r="AA540" s="235"/>
      <c r="AB540" s="235"/>
      <c r="AC540" s="235"/>
    </row>
    <row r="541">
      <c r="A541" s="235"/>
      <c r="B541" s="235"/>
      <c r="C541" s="254"/>
      <c r="D541" s="254" t="str">
        <f>IFERROR(__xludf.DUMMYFUNCTION("""COMPUTED_VALUE"""),"___")</f>
        <v>___</v>
      </c>
      <c r="E541" s="254" t="str">
        <f>IFERROR(__xludf.DUMMYFUNCTION("""COMPUTED_VALUE"""),"none")</f>
        <v>none</v>
      </c>
      <c r="F541" s="254" t="str">
        <f>IFERROR(__xludf.DUMMYFUNCTION("""COMPUTED_VALUE"""),"none")</f>
        <v>none</v>
      </c>
      <c r="G541" s="254" t="str">
        <f>IFERROR(__xludf.DUMMYFUNCTION("""COMPUTED_VALUE"""),"none")</f>
        <v>none</v>
      </c>
      <c r="H541" s="235"/>
      <c r="I541" s="235" t="str">
        <f>IFERROR(__xludf.DUMMYFUNCTION("""COMPUTED_VALUE"""),"none")</f>
        <v>none</v>
      </c>
      <c r="J541" s="235"/>
      <c r="K541" s="235"/>
      <c r="L541" s="235"/>
      <c r="M541" s="235"/>
      <c r="N541" s="235"/>
      <c r="O541" s="235"/>
      <c r="P541" s="235"/>
      <c r="Q541" s="235"/>
      <c r="R541" s="235"/>
      <c r="S541" s="235"/>
      <c r="T541" s="244" t="str">
        <f>IFERROR(__xludf.DUMMYFUNCTION("""COMPUTED_VALUE"""),"none")</f>
        <v>none</v>
      </c>
      <c r="U541" s="235" t="str">
        <f>IFERROR(__xludf.DUMMYFUNCTION("""COMPUTED_VALUE"""),"none")</f>
        <v>none</v>
      </c>
      <c r="V541" s="235"/>
      <c r="W541" s="235" t="str">
        <f>IFERROR(__xludf.DUMMYFUNCTION("""COMPUTED_VALUE"""),"none")</f>
        <v>none</v>
      </c>
      <c r="X541" s="235" t="str">
        <f>IFERROR(__xludf.DUMMYFUNCTION("""COMPUTED_VALUE"""),"none")</f>
        <v>none</v>
      </c>
      <c r="Y541" s="235"/>
      <c r="Z541" s="235" t="str">
        <f>IFERROR(__xludf.DUMMYFUNCTION("""COMPUTED_VALUE"""),"-")</f>
        <v>-</v>
      </c>
      <c r="AA541" s="235"/>
      <c r="AB541" s="235"/>
      <c r="AC541" s="235"/>
    </row>
    <row r="542">
      <c r="A542" s="235"/>
      <c r="B542" s="235"/>
      <c r="C542" s="254"/>
      <c r="D542" s="254" t="str">
        <f>IFERROR(__xludf.DUMMYFUNCTION("""COMPUTED_VALUE"""),"___")</f>
        <v>___</v>
      </c>
      <c r="E542" s="254" t="str">
        <f>IFERROR(__xludf.DUMMYFUNCTION("""COMPUTED_VALUE"""),"none")</f>
        <v>none</v>
      </c>
      <c r="F542" s="254" t="str">
        <f>IFERROR(__xludf.DUMMYFUNCTION("""COMPUTED_VALUE"""),"none")</f>
        <v>none</v>
      </c>
      <c r="G542" s="254" t="str">
        <f>IFERROR(__xludf.DUMMYFUNCTION("""COMPUTED_VALUE"""),"none")</f>
        <v>none</v>
      </c>
      <c r="H542" s="235"/>
      <c r="I542" s="235" t="str">
        <f>IFERROR(__xludf.DUMMYFUNCTION("""COMPUTED_VALUE"""),"none")</f>
        <v>none</v>
      </c>
      <c r="J542" s="235"/>
      <c r="K542" s="235"/>
      <c r="L542" s="235"/>
      <c r="M542" s="235"/>
      <c r="N542" s="235"/>
      <c r="O542" s="235"/>
      <c r="P542" s="235"/>
      <c r="Q542" s="235"/>
      <c r="R542" s="235"/>
      <c r="S542" s="235"/>
      <c r="T542" s="244" t="str">
        <f>IFERROR(__xludf.DUMMYFUNCTION("""COMPUTED_VALUE"""),"none")</f>
        <v>none</v>
      </c>
      <c r="U542" s="235" t="str">
        <f>IFERROR(__xludf.DUMMYFUNCTION("""COMPUTED_VALUE"""),"none")</f>
        <v>none</v>
      </c>
      <c r="V542" s="235"/>
      <c r="W542" s="235" t="str">
        <f>IFERROR(__xludf.DUMMYFUNCTION("""COMPUTED_VALUE"""),"none")</f>
        <v>none</v>
      </c>
      <c r="X542" s="235" t="str">
        <f>IFERROR(__xludf.DUMMYFUNCTION("""COMPUTED_VALUE"""),"none")</f>
        <v>none</v>
      </c>
      <c r="Y542" s="235"/>
      <c r="Z542" s="235" t="str">
        <f>IFERROR(__xludf.DUMMYFUNCTION("""COMPUTED_VALUE"""),"-")</f>
        <v>-</v>
      </c>
      <c r="AA542" s="235"/>
      <c r="AB542" s="235"/>
      <c r="AC542" s="235"/>
    </row>
    <row r="543">
      <c r="A543" s="235"/>
      <c r="B543" s="235"/>
      <c r="C543" s="254"/>
      <c r="D543" s="254" t="str">
        <f>IFERROR(__xludf.DUMMYFUNCTION("""COMPUTED_VALUE"""),"___")</f>
        <v>___</v>
      </c>
      <c r="E543" s="254" t="str">
        <f>IFERROR(__xludf.DUMMYFUNCTION("""COMPUTED_VALUE"""),"none")</f>
        <v>none</v>
      </c>
      <c r="F543" s="254" t="str">
        <f>IFERROR(__xludf.DUMMYFUNCTION("""COMPUTED_VALUE"""),"none")</f>
        <v>none</v>
      </c>
      <c r="G543" s="254" t="str">
        <f>IFERROR(__xludf.DUMMYFUNCTION("""COMPUTED_VALUE"""),"none")</f>
        <v>none</v>
      </c>
      <c r="H543" s="235"/>
      <c r="I543" s="235" t="str">
        <f>IFERROR(__xludf.DUMMYFUNCTION("""COMPUTED_VALUE"""),"none")</f>
        <v>none</v>
      </c>
      <c r="J543" s="235"/>
      <c r="K543" s="235"/>
      <c r="L543" s="235"/>
      <c r="M543" s="235"/>
      <c r="N543" s="235"/>
      <c r="O543" s="235"/>
      <c r="P543" s="235"/>
      <c r="Q543" s="235"/>
      <c r="R543" s="235"/>
      <c r="S543" s="235"/>
      <c r="T543" s="244" t="str">
        <f>IFERROR(__xludf.DUMMYFUNCTION("""COMPUTED_VALUE"""),"none")</f>
        <v>none</v>
      </c>
      <c r="U543" s="235" t="str">
        <f>IFERROR(__xludf.DUMMYFUNCTION("""COMPUTED_VALUE"""),"none")</f>
        <v>none</v>
      </c>
      <c r="V543" s="235"/>
      <c r="W543" s="235" t="str">
        <f>IFERROR(__xludf.DUMMYFUNCTION("""COMPUTED_VALUE"""),"none")</f>
        <v>none</v>
      </c>
      <c r="X543" s="235" t="str">
        <f>IFERROR(__xludf.DUMMYFUNCTION("""COMPUTED_VALUE"""),"none")</f>
        <v>none</v>
      </c>
      <c r="Y543" s="235"/>
      <c r="Z543" s="235" t="str">
        <f>IFERROR(__xludf.DUMMYFUNCTION("""COMPUTED_VALUE"""),"-")</f>
        <v>-</v>
      </c>
      <c r="AA543" s="235"/>
      <c r="AB543" s="235"/>
      <c r="AC543" s="235"/>
    </row>
    <row r="544">
      <c r="A544" s="235"/>
      <c r="B544" s="235"/>
      <c r="C544" s="254"/>
      <c r="D544" s="254" t="str">
        <f>IFERROR(__xludf.DUMMYFUNCTION("""COMPUTED_VALUE"""),"___")</f>
        <v>___</v>
      </c>
      <c r="E544" s="254" t="str">
        <f>IFERROR(__xludf.DUMMYFUNCTION("""COMPUTED_VALUE"""),"none")</f>
        <v>none</v>
      </c>
      <c r="F544" s="254" t="str">
        <f>IFERROR(__xludf.DUMMYFUNCTION("""COMPUTED_VALUE"""),"none")</f>
        <v>none</v>
      </c>
      <c r="G544" s="254" t="str">
        <f>IFERROR(__xludf.DUMMYFUNCTION("""COMPUTED_VALUE"""),"none")</f>
        <v>none</v>
      </c>
      <c r="H544" s="235"/>
      <c r="I544" s="235" t="str">
        <f>IFERROR(__xludf.DUMMYFUNCTION("""COMPUTED_VALUE"""),"none")</f>
        <v>none</v>
      </c>
      <c r="J544" s="235"/>
      <c r="K544" s="235"/>
      <c r="L544" s="235"/>
      <c r="M544" s="235"/>
      <c r="N544" s="235"/>
      <c r="O544" s="235"/>
      <c r="P544" s="235"/>
      <c r="Q544" s="235"/>
      <c r="R544" s="235"/>
      <c r="S544" s="235"/>
      <c r="T544" s="244" t="str">
        <f>IFERROR(__xludf.DUMMYFUNCTION("""COMPUTED_VALUE"""),"none")</f>
        <v>none</v>
      </c>
      <c r="U544" s="235" t="str">
        <f>IFERROR(__xludf.DUMMYFUNCTION("""COMPUTED_VALUE"""),"none")</f>
        <v>none</v>
      </c>
      <c r="V544" s="235"/>
      <c r="W544" s="235" t="str">
        <f>IFERROR(__xludf.DUMMYFUNCTION("""COMPUTED_VALUE"""),"none")</f>
        <v>none</v>
      </c>
      <c r="X544" s="235" t="str">
        <f>IFERROR(__xludf.DUMMYFUNCTION("""COMPUTED_VALUE"""),"none")</f>
        <v>none</v>
      </c>
      <c r="Y544" s="235"/>
      <c r="Z544" s="235" t="str">
        <f>IFERROR(__xludf.DUMMYFUNCTION("""COMPUTED_VALUE"""),"-")</f>
        <v>-</v>
      </c>
      <c r="AA544" s="235"/>
      <c r="AB544" s="235"/>
      <c r="AC544" s="235"/>
    </row>
    <row r="545">
      <c r="A545" s="235"/>
      <c r="B545" s="235"/>
      <c r="C545" s="254"/>
      <c r="D545" s="254" t="str">
        <f>IFERROR(__xludf.DUMMYFUNCTION("""COMPUTED_VALUE"""),"___")</f>
        <v>___</v>
      </c>
      <c r="E545" s="254" t="str">
        <f>IFERROR(__xludf.DUMMYFUNCTION("""COMPUTED_VALUE"""),"none")</f>
        <v>none</v>
      </c>
      <c r="F545" s="254" t="str">
        <f>IFERROR(__xludf.DUMMYFUNCTION("""COMPUTED_VALUE"""),"none")</f>
        <v>none</v>
      </c>
      <c r="G545" s="254" t="str">
        <f>IFERROR(__xludf.DUMMYFUNCTION("""COMPUTED_VALUE"""),"none")</f>
        <v>none</v>
      </c>
      <c r="H545" s="235"/>
      <c r="I545" s="235" t="str">
        <f>IFERROR(__xludf.DUMMYFUNCTION("""COMPUTED_VALUE"""),"none")</f>
        <v>none</v>
      </c>
      <c r="J545" s="235"/>
      <c r="K545" s="235"/>
      <c r="L545" s="235"/>
      <c r="M545" s="235"/>
      <c r="N545" s="235"/>
      <c r="O545" s="235"/>
      <c r="P545" s="235"/>
      <c r="Q545" s="235"/>
      <c r="R545" s="235"/>
      <c r="S545" s="235"/>
      <c r="T545" s="244" t="str">
        <f>IFERROR(__xludf.DUMMYFUNCTION("""COMPUTED_VALUE"""),"none")</f>
        <v>none</v>
      </c>
      <c r="U545" s="235" t="str">
        <f>IFERROR(__xludf.DUMMYFUNCTION("""COMPUTED_VALUE"""),"none")</f>
        <v>none</v>
      </c>
      <c r="V545" s="235"/>
      <c r="W545" s="235" t="str">
        <f>IFERROR(__xludf.DUMMYFUNCTION("""COMPUTED_VALUE"""),"none")</f>
        <v>none</v>
      </c>
      <c r="X545" s="235" t="str">
        <f>IFERROR(__xludf.DUMMYFUNCTION("""COMPUTED_VALUE"""),"none")</f>
        <v>none</v>
      </c>
      <c r="Y545" s="235"/>
      <c r="Z545" s="235" t="str">
        <f>IFERROR(__xludf.DUMMYFUNCTION("""COMPUTED_VALUE"""),"-")</f>
        <v>-</v>
      </c>
      <c r="AA545" s="235"/>
      <c r="AB545" s="235"/>
      <c r="AC545" s="235"/>
    </row>
    <row r="546">
      <c r="A546" s="235"/>
      <c r="B546" s="235"/>
      <c r="C546" s="254"/>
      <c r="D546" s="254" t="str">
        <f>IFERROR(__xludf.DUMMYFUNCTION("""COMPUTED_VALUE"""),"___")</f>
        <v>___</v>
      </c>
      <c r="E546" s="254" t="str">
        <f>IFERROR(__xludf.DUMMYFUNCTION("""COMPUTED_VALUE"""),"none")</f>
        <v>none</v>
      </c>
      <c r="F546" s="254" t="str">
        <f>IFERROR(__xludf.DUMMYFUNCTION("""COMPUTED_VALUE"""),"none")</f>
        <v>none</v>
      </c>
      <c r="G546" s="254" t="str">
        <f>IFERROR(__xludf.DUMMYFUNCTION("""COMPUTED_VALUE"""),"none")</f>
        <v>none</v>
      </c>
      <c r="H546" s="235"/>
      <c r="I546" s="235" t="str">
        <f>IFERROR(__xludf.DUMMYFUNCTION("""COMPUTED_VALUE"""),"none")</f>
        <v>none</v>
      </c>
      <c r="J546" s="235"/>
      <c r="K546" s="235"/>
      <c r="L546" s="235"/>
      <c r="M546" s="235"/>
      <c r="N546" s="235"/>
      <c r="O546" s="235"/>
      <c r="P546" s="235"/>
      <c r="Q546" s="235"/>
      <c r="R546" s="235"/>
      <c r="S546" s="235"/>
      <c r="T546" s="244" t="str">
        <f>IFERROR(__xludf.DUMMYFUNCTION("""COMPUTED_VALUE"""),"none")</f>
        <v>none</v>
      </c>
      <c r="U546" s="235" t="str">
        <f>IFERROR(__xludf.DUMMYFUNCTION("""COMPUTED_VALUE"""),"none")</f>
        <v>none</v>
      </c>
      <c r="V546" s="235"/>
      <c r="W546" s="235" t="str">
        <f>IFERROR(__xludf.DUMMYFUNCTION("""COMPUTED_VALUE"""),"none")</f>
        <v>none</v>
      </c>
      <c r="X546" s="235" t="str">
        <f>IFERROR(__xludf.DUMMYFUNCTION("""COMPUTED_VALUE"""),"none")</f>
        <v>none</v>
      </c>
      <c r="Y546" s="235"/>
      <c r="Z546" s="235" t="str">
        <f>IFERROR(__xludf.DUMMYFUNCTION("""COMPUTED_VALUE"""),"-")</f>
        <v>-</v>
      </c>
      <c r="AA546" s="235"/>
      <c r="AB546" s="235"/>
      <c r="AC546" s="235"/>
    </row>
    <row r="547">
      <c r="A547" s="235"/>
      <c r="B547" s="235"/>
      <c r="C547" s="254"/>
      <c r="D547" s="254" t="str">
        <f>IFERROR(__xludf.DUMMYFUNCTION("""COMPUTED_VALUE"""),"___")</f>
        <v>___</v>
      </c>
      <c r="E547" s="254" t="str">
        <f>IFERROR(__xludf.DUMMYFUNCTION("""COMPUTED_VALUE"""),"none")</f>
        <v>none</v>
      </c>
      <c r="F547" s="254" t="str">
        <f>IFERROR(__xludf.DUMMYFUNCTION("""COMPUTED_VALUE"""),"none")</f>
        <v>none</v>
      </c>
      <c r="G547" s="254" t="str">
        <f>IFERROR(__xludf.DUMMYFUNCTION("""COMPUTED_VALUE"""),"none")</f>
        <v>none</v>
      </c>
      <c r="H547" s="235"/>
      <c r="I547" s="235" t="str">
        <f>IFERROR(__xludf.DUMMYFUNCTION("""COMPUTED_VALUE"""),"none")</f>
        <v>none</v>
      </c>
      <c r="J547" s="235"/>
      <c r="K547" s="235"/>
      <c r="L547" s="235"/>
      <c r="M547" s="235"/>
      <c r="N547" s="235"/>
      <c r="O547" s="235"/>
      <c r="P547" s="235"/>
      <c r="Q547" s="235"/>
      <c r="R547" s="235"/>
      <c r="S547" s="235"/>
      <c r="T547" s="244" t="str">
        <f>IFERROR(__xludf.DUMMYFUNCTION("""COMPUTED_VALUE"""),"none")</f>
        <v>none</v>
      </c>
      <c r="U547" s="235" t="str">
        <f>IFERROR(__xludf.DUMMYFUNCTION("""COMPUTED_VALUE"""),"none")</f>
        <v>none</v>
      </c>
      <c r="V547" s="235"/>
      <c r="W547" s="235" t="str">
        <f>IFERROR(__xludf.DUMMYFUNCTION("""COMPUTED_VALUE"""),"none")</f>
        <v>none</v>
      </c>
      <c r="X547" s="235" t="str">
        <f>IFERROR(__xludf.DUMMYFUNCTION("""COMPUTED_VALUE"""),"none")</f>
        <v>none</v>
      </c>
      <c r="Y547" s="235"/>
      <c r="Z547" s="235" t="str">
        <f>IFERROR(__xludf.DUMMYFUNCTION("""COMPUTED_VALUE"""),"-")</f>
        <v>-</v>
      </c>
      <c r="AA547" s="235"/>
      <c r="AB547" s="235"/>
      <c r="AC547" s="235"/>
    </row>
    <row r="548">
      <c r="A548" s="235"/>
      <c r="B548" s="235"/>
      <c r="C548" s="254"/>
      <c r="D548" s="254" t="str">
        <f>IFERROR(__xludf.DUMMYFUNCTION("""COMPUTED_VALUE"""),"___")</f>
        <v>___</v>
      </c>
      <c r="E548" s="254" t="str">
        <f>IFERROR(__xludf.DUMMYFUNCTION("""COMPUTED_VALUE"""),"none")</f>
        <v>none</v>
      </c>
      <c r="F548" s="254" t="str">
        <f>IFERROR(__xludf.DUMMYFUNCTION("""COMPUTED_VALUE"""),"none")</f>
        <v>none</v>
      </c>
      <c r="G548" s="254" t="str">
        <f>IFERROR(__xludf.DUMMYFUNCTION("""COMPUTED_VALUE"""),"none")</f>
        <v>none</v>
      </c>
      <c r="H548" s="235"/>
      <c r="I548" s="235" t="str">
        <f>IFERROR(__xludf.DUMMYFUNCTION("""COMPUTED_VALUE"""),"none")</f>
        <v>none</v>
      </c>
      <c r="J548" s="235"/>
      <c r="K548" s="235"/>
      <c r="L548" s="235"/>
      <c r="M548" s="235"/>
      <c r="N548" s="235"/>
      <c r="O548" s="235"/>
      <c r="P548" s="235"/>
      <c r="Q548" s="235"/>
      <c r="R548" s="235"/>
      <c r="S548" s="235"/>
      <c r="T548" s="244" t="str">
        <f>IFERROR(__xludf.DUMMYFUNCTION("""COMPUTED_VALUE"""),"none")</f>
        <v>none</v>
      </c>
      <c r="U548" s="235" t="str">
        <f>IFERROR(__xludf.DUMMYFUNCTION("""COMPUTED_VALUE"""),"none")</f>
        <v>none</v>
      </c>
      <c r="V548" s="235"/>
      <c r="W548" s="235" t="str">
        <f>IFERROR(__xludf.DUMMYFUNCTION("""COMPUTED_VALUE"""),"none")</f>
        <v>none</v>
      </c>
      <c r="X548" s="235" t="str">
        <f>IFERROR(__xludf.DUMMYFUNCTION("""COMPUTED_VALUE"""),"none")</f>
        <v>none</v>
      </c>
      <c r="Y548" s="235"/>
      <c r="Z548" s="235" t="str">
        <f>IFERROR(__xludf.DUMMYFUNCTION("""COMPUTED_VALUE"""),"-")</f>
        <v>-</v>
      </c>
      <c r="AA548" s="235"/>
      <c r="AB548" s="235"/>
      <c r="AC548" s="235"/>
    </row>
    <row r="549">
      <c r="A549" s="235"/>
      <c r="B549" s="235"/>
      <c r="C549" s="254"/>
      <c r="D549" s="254" t="str">
        <f>IFERROR(__xludf.DUMMYFUNCTION("""COMPUTED_VALUE"""),"___")</f>
        <v>___</v>
      </c>
      <c r="E549" s="254" t="str">
        <f>IFERROR(__xludf.DUMMYFUNCTION("""COMPUTED_VALUE"""),"none")</f>
        <v>none</v>
      </c>
      <c r="F549" s="254" t="str">
        <f>IFERROR(__xludf.DUMMYFUNCTION("""COMPUTED_VALUE"""),"none")</f>
        <v>none</v>
      </c>
      <c r="G549" s="254" t="str">
        <f>IFERROR(__xludf.DUMMYFUNCTION("""COMPUTED_VALUE"""),"none")</f>
        <v>none</v>
      </c>
      <c r="H549" s="235"/>
      <c r="I549" s="235" t="str">
        <f>IFERROR(__xludf.DUMMYFUNCTION("""COMPUTED_VALUE"""),"none")</f>
        <v>none</v>
      </c>
      <c r="J549" s="235"/>
      <c r="K549" s="235"/>
      <c r="L549" s="235"/>
      <c r="M549" s="235"/>
      <c r="N549" s="235"/>
      <c r="O549" s="235"/>
      <c r="P549" s="235"/>
      <c r="Q549" s="235"/>
      <c r="R549" s="235"/>
      <c r="S549" s="235"/>
      <c r="T549" s="244" t="str">
        <f>IFERROR(__xludf.DUMMYFUNCTION("""COMPUTED_VALUE"""),"none")</f>
        <v>none</v>
      </c>
      <c r="U549" s="235" t="str">
        <f>IFERROR(__xludf.DUMMYFUNCTION("""COMPUTED_VALUE"""),"none")</f>
        <v>none</v>
      </c>
      <c r="V549" s="235"/>
      <c r="W549" s="235" t="str">
        <f>IFERROR(__xludf.DUMMYFUNCTION("""COMPUTED_VALUE"""),"none")</f>
        <v>none</v>
      </c>
      <c r="X549" s="235" t="str">
        <f>IFERROR(__xludf.DUMMYFUNCTION("""COMPUTED_VALUE"""),"none")</f>
        <v>none</v>
      </c>
      <c r="Y549" s="235"/>
      <c r="Z549" s="235" t="str">
        <f>IFERROR(__xludf.DUMMYFUNCTION("""COMPUTED_VALUE"""),"-")</f>
        <v>-</v>
      </c>
      <c r="AA549" s="235"/>
      <c r="AB549" s="235"/>
      <c r="AC549" s="235"/>
    </row>
    <row r="550">
      <c r="A550" s="235"/>
      <c r="B550" s="235"/>
      <c r="C550" s="254"/>
      <c r="D550" s="254" t="str">
        <f>IFERROR(__xludf.DUMMYFUNCTION("""COMPUTED_VALUE"""),"___")</f>
        <v>___</v>
      </c>
      <c r="E550" s="254" t="str">
        <f>IFERROR(__xludf.DUMMYFUNCTION("""COMPUTED_VALUE"""),"none")</f>
        <v>none</v>
      </c>
      <c r="F550" s="254" t="str">
        <f>IFERROR(__xludf.DUMMYFUNCTION("""COMPUTED_VALUE"""),"none")</f>
        <v>none</v>
      </c>
      <c r="G550" s="254" t="str">
        <f>IFERROR(__xludf.DUMMYFUNCTION("""COMPUTED_VALUE"""),"none")</f>
        <v>none</v>
      </c>
      <c r="H550" s="235"/>
      <c r="I550" s="235" t="str">
        <f>IFERROR(__xludf.DUMMYFUNCTION("""COMPUTED_VALUE"""),"none")</f>
        <v>none</v>
      </c>
      <c r="J550" s="235"/>
      <c r="K550" s="235"/>
      <c r="L550" s="235"/>
      <c r="M550" s="235"/>
      <c r="N550" s="235"/>
      <c r="O550" s="235"/>
      <c r="P550" s="235"/>
      <c r="Q550" s="235"/>
      <c r="R550" s="235"/>
      <c r="S550" s="235"/>
      <c r="T550" s="244" t="str">
        <f>IFERROR(__xludf.DUMMYFUNCTION("""COMPUTED_VALUE"""),"none")</f>
        <v>none</v>
      </c>
      <c r="U550" s="235" t="str">
        <f>IFERROR(__xludf.DUMMYFUNCTION("""COMPUTED_VALUE"""),"none")</f>
        <v>none</v>
      </c>
      <c r="V550" s="235"/>
      <c r="W550" s="235" t="str">
        <f>IFERROR(__xludf.DUMMYFUNCTION("""COMPUTED_VALUE"""),"none")</f>
        <v>none</v>
      </c>
      <c r="X550" s="235" t="str">
        <f>IFERROR(__xludf.DUMMYFUNCTION("""COMPUTED_VALUE"""),"none")</f>
        <v>none</v>
      </c>
      <c r="Y550" s="235"/>
      <c r="Z550" s="235" t="str">
        <f>IFERROR(__xludf.DUMMYFUNCTION("""COMPUTED_VALUE"""),"-")</f>
        <v>-</v>
      </c>
      <c r="AA550" s="235"/>
      <c r="AB550" s="235"/>
      <c r="AC550" s="235"/>
    </row>
    <row r="551">
      <c r="A551" s="235"/>
      <c r="B551" s="235"/>
      <c r="C551" s="254"/>
      <c r="D551" s="254" t="str">
        <f>IFERROR(__xludf.DUMMYFUNCTION("""COMPUTED_VALUE"""),"___")</f>
        <v>___</v>
      </c>
      <c r="E551" s="254" t="str">
        <f>IFERROR(__xludf.DUMMYFUNCTION("""COMPUTED_VALUE"""),"none")</f>
        <v>none</v>
      </c>
      <c r="F551" s="254" t="str">
        <f>IFERROR(__xludf.DUMMYFUNCTION("""COMPUTED_VALUE"""),"none")</f>
        <v>none</v>
      </c>
      <c r="G551" s="254" t="str">
        <f>IFERROR(__xludf.DUMMYFUNCTION("""COMPUTED_VALUE"""),"none")</f>
        <v>none</v>
      </c>
      <c r="H551" s="235"/>
      <c r="I551" s="235" t="str">
        <f>IFERROR(__xludf.DUMMYFUNCTION("""COMPUTED_VALUE"""),"none")</f>
        <v>none</v>
      </c>
      <c r="J551" s="235"/>
      <c r="K551" s="235"/>
      <c r="L551" s="235"/>
      <c r="M551" s="235"/>
      <c r="N551" s="235"/>
      <c r="O551" s="235"/>
      <c r="P551" s="235"/>
      <c r="Q551" s="235"/>
      <c r="R551" s="235"/>
      <c r="S551" s="235"/>
      <c r="T551" s="244" t="str">
        <f>IFERROR(__xludf.DUMMYFUNCTION("""COMPUTED_VALUE"""),"none")</f>
        <v>none</v>
      </c>
      <c r="U551" s="235" t="str">
        <f>IFERROR(__xludf.DUMMYFUNCTION("""COMPUTED_VALUE"""),"none")</f>
        <v>none</v>
      </c>
      <c r="V551" s="235"/>
      <c r="W551" s="235" t="str">
        <f>IFERROR(__xludf.DUMMYFUNCTION("""COMPUTED_VALUE"""),"none")</f>
        <v>none</v>
      </c>
      <c r="X551" s="235" t="str">
        <f>IFERROR(__xludf.DUMMYFUNCTION("""COMPUTED_VALUE"""),"none")</f>
        <v>none</v>
      </c>
      <c r="Y551" s="235"/>
      <c r="Z551" s="235" t="str">
        <f>IFERROR(__xludf.DUMMYFUNCTION("""COMPUTED_VALUE"""),"-")</f>
        <v>-</v>
      </c>
      <c r="AA551" s="235"/>
      <c r="AB551" s="235"/>
      <c r="AC551" s="235"/>
    </row>
    <row r="552">
      <c r="C552" s="254"/>
      <c r="D552" s="254"/>
      <c r="E552" s="254"/>
      <c r="F552" s="254"/>
      <c r="G552" s="254"/>
    </row>
    <row r="553">
      <c r="C553" s="254"/>
      <c r="D553" s="254"/>
      <c r="E553" s="254"/>
      <c r="F553" s="254"/>
      <c r="G553" s="254"/>
    </row>
    <row r="554">
      <c r="C554" s="254"/>
      <c r="D554" s="254"/>
      <c r="E554" s="254"/>
      <c r="F554" s="254"/>
      <c r="G554" s="254"/>
    </row>
    <row r="555">
      <c r="C555" s="254"/>
      <c r="D555" s="254"/>
      <c r="E555" s="254"/>
      <c r="F555" s="254"/>
      <c r="G555" s="254"/>
    </row>
    <row r="556">
      <c r="C556" s="254"/>
      <c r="D556" s="254"/>
      <c r="E556" s="254"/>
      <c r="F556" s="254"/>
      <c r="G556" s="254"/>
    </row>
    <row r="557">
      <c r="C557" s="254"/>
      <c r="D557" s="254"/>
      <c r="E557" s="254"/>
      <c r="F557" s="254"/>
      <c r="G557" s="254"/>
    </row>
    <row r="558">
      <c r="C558" s="254"/>
      <c r="D558" s="254"/>
      <c r="E558" s="254"/>
      <c r="F558" s="254"/>
      <c r="G558" s="254"/>
    </row>
    <row r="559">
      <c r="C559" s="254"/>
      <c r="D559" s="254"/>
      <c r="E559" s="254"/>
      <c r="F559" s="254"/>
      <c r="G559" s="254"/>
    </row>
    <row r="560">
      <c r="C560" s="254"/>
      <c r="D560" s="254"/>
      <c r="E560" s="254"/>
      <c r="F560" s="254"/>
      <c r="G560" s="254"/>
    </row>
    <row r="561">
      <c r="C561" s="254"/>
      <c r="D561" s="254"/>
      <c r="E561" s="254"/>
      <c r="F561" s="254"/>
      <c r="G561" s="254"/>
    </row>
    <row r="562">
      <c r="C562" s="254"/>
      <c r="D562" s="254"/>
      <c r="E562" s="254"/>
      <c r="F562" s="254"/>
      <c r="G562" s="254"/>
    </row>
    <row r="563">
      <c r="C563" s="254"/>
      <c r="D563" s="254"/>
      <c r="E563" s="254"/>
      <c r="F563" s="254"/>
      <c r="G563" s="254"/>
    </row>
    <row r="564">
      <c r="C564" s="254"/>
      <c r="D564" s="254"/>
      <c r="E564" s="254"/>
      <c r="F564" s="254"/>
      <c r="G564" s="254"/>
    </row>
    <row r="565">
      <c r="C565" s="254"/>
      <c r="D565" s="254"/>
      <c r="E565" s="254"/>
      <c r="F565" s="254"/>
      <c r="G565" s="254"/>
    </row>
    <row r="566">
      <c r="C566" s="254"/>
      <c r="D566" s="254"/>
      <c r="E566" s="254"/>
      <c r="F566" s="254"/>
      <c r="G566" s="254"/>
    </row>
    <row r="567">
      <c r="C567" s="254"/>
      <c r="D567" s="254"/>
      <c r="E567" s="254"/>
      <c r="F567" s="254"/>
      <c r="G567" s="254"/>
    </row>
    <row r="568">
      <c r="C568" s="254"/>
      <c r="D568" s="254"/>
      <c r="E568" s="254"/>
      <c r="F568" s="254"/>
      <c r="G568" s="254"/>
    </row>
    <row r="569">
      <c r="C569" s="254"/>
      <c r="D569" s="254"/>
      <c r="E569" s="254"/>
      <c r="F569" s="254"/>
      <c r="G569" s="254"/>
    </row>
    <row r="570">
      <c r="C570" s="254"/>
      <c r="D570" s="254"/>
      <c r="E570" s="254"/>
      <c r="F570" s="254"/>
      <c r="G570" s="254"/>
    </row>
    <row r="571">
      <c r="C571" s="254"/>
      <c r="D571" s="254"/>
      <c r="E571" s="254"/>
      <c r="F571" s="254"/>
      <c r="G571" s="254"/>
    </row>
    <row r="572">
      <c r="C572" s="254"/>
      <c r="D572" s="254"/>
      <c r="E572" s="254"/>
      <c r="F572" s="254"/>
      <c r="G572" s="254"/>
    </row>
    <row r="573">
      <c r="C573" s="254"/>
      <c r="D573" s="254"/>
      <c r="E573" s="254"/>
      <c r="F573" s="254"/>
      <c r="G573" s="254"/>
    </row>
    <row r="574">
      <c r="C574" s="254"/>
      <c r="D574" s="254"/>
      <c r="E574" s="254"/>
      <c r="F574" s="254"/>
      <c r="G574" s="254"/>
    </row>
    <row r="575">
      <c r="C575" s="254"/>
      <c r="D575" s="254"/>
      <c r="E575" s="254"/>
      <c r="F575" s="254"/>
      <c r="G575" s="254"/>
    </row>
    <row r="576">
      <c r="C576" s="254"/>
      <c r="D576" s="254"/>
      <c r="E576" s="254"/>
      <c r="F576" s="254"/>
      <c r="G576" s="254"/>
    </row>
    <row r="577">
      <c r="C577" s="254"/>
      <c r="D577" s="254"/>
      <c r="E577" s="254"/>
      <c r="F577" s="254"/>
      <c r="G577" s="254"/>
    </row>
    <row r="578">
      <c r="C578" s="254"/>
      <c r="D578" s="254"/>
      <c r="E578" s="254"/>
      <c r="F578" s="254"/>
      <c r="G578" s="254"/>
    </row>
    <row r="579">
      <c r="C579" s="254"/>
      <c r="D579" s="254"/>
      <c r="E579" s="254"/>
      <c r="F579" s="254"/>
      <c r="G579" s="254"/>
    </row>
    <row r="580">
      <c r="C580" s="254"/>
      <c r="D580" s="254"/>
      <c r="E580" s="254"/>
      <c r="F580" s="254"/>
      <c r="G580" s="254"/>
    </row>
    <row r="581">
      <c r="C581" s="254"/>
      <c r="D581" s="254"/>
      <c r="E581" s="254"/>
      <c r="F581" s="254"/>
      <c r="G581" s="254"/>
    </row>
    <row r="582">
      <c r="C582" s="254"/>
      <c r="D582" s="254"/>
      <c r="E582" s="254"/>
      <c r="F582" s="254"/>
      <c r="G582" s="254"/>
    </row>
    <row r="583">
      <c r="C583" s="254"/>
      <c r="D583" s="254"/>
      <c r="E583" s="254"/>
      <c r="F583" s="254"/>
      <c r="G583" s="254"/>
    </row>
    <row r="584">
      <c r="C584" s="254"/>
      <c r="D584" s="254"/>
      <c r="E584" s="254"/>
      <c r="F584" s="254"/>
      <c r="G584" s="254"/>
    </row>
    <row r="585">
      <c r="C585" s="254"/>
      <c r="D585" s="254"/>
      <c r="E585" s="254"/>
      <c r="F585" s="254"/>
      <c r="G585" s="254"/>
    </row>
    <row r="586">
      <c r="C586" s="254"/>
      <c r="D586" s="254"/>
      <c r="E586" s="254"/>
      <c r="F586" s="254"/>
      <c r="G586" s="254"/>
    </row>
    <row r="587">
      <c r="C587" s="254"/>
      <c r="D587" s="254"/>
      <c r="E587" s="254"/>
      <c r="F587" s="254"/>
      <c r="G587" s="254"/>
    </row>
    <row r="588">
      <c r="C588" s="254"/>
      <c r="D588" s="254"/>
      <c r="E588" s="254"/>
      <c r="F588" s="254"/>
      <c r="G588" s="254"/>
    </row>
    <row r="589">
      <c r="C589" s="254"/>
      <c r="D589" s="254"/>
      <c r="E589" s="254"/>
      <c r="F589" s="254"/>
      <c r="G589" s="254"/>
    </row>
    <row r="590">
      <c r="C590" s="254"/>
      <c r="D590" s="254"/>
      <c r="E590" s="254"/>
      <c r="F590" s="254"/>
      <c r="G590" s="254"/>
    </row>
    <row r="591">
      <c r="C591" s="254"/>
      <c r="D591" s="254"/>
      <c r="E591" s="254"/>
      <c r="F591" s="254"/>
      <c r="G591" s="254"/>
    </row>
    <row r="592">
      <c r="C592" s="254"/>
      <c r="D592" s="254"/>
      <c r="E592" s="254"/>
      <c r="F592" s="254"/>
      <c r="G592" s="254"/>
    </row>
    <row r="593">
      <c r="C593" s="254"/>
      <c r="D593" s="254"/>
      <c r="E593" s="254"/>
      <c r="F593" s="254"/>
      <c r="G593" s="254"/>
    </row>
    <row r="594">
      <c r="C594" s="254"/>
      <c r="D594" s="254"/>
      <c r="E594" s="254"/>
      <c r="F594" s="254"/>
      <c r="G594" s="254"/>
    </row>
    <row r="595">
      <c r="C595" s="254"/>
      <c r="D595" s="254"/>
      <c r="E595" s="254"/>
      <c r="F595" s="254"/>
      <c r="G595" s="254"/>
    </row>
    <row r="596">
      <c r="C596" s="254"/>
      <c r="D596" s="254"/>
      <c r="E596" s="254"/>
      <c r="F596" s="254"/>
      <c r="G596" s="254"/>
    </row>
    <row r="597">
      <c r="C597" s="254"/>
      <c r="D597" s="254"/>
      <c r="E597" s="254"/>
      <c r="F597" s="254"/>
      <c r="G597" s="254"/>
    </row>
    <row r="598">
      <c r="C598" s="254"/>
      <c r="D598" s="254"/>
      <c r="E598" s="254"/>
      <c r="F598" s="254"/>
      <c r="G598" s="254"/>
    </row>
    <row r="599">
      <c r="C599" s="254"/>
      <c r="D599" s="254"/>
      <c r="E599" s="254"/>
      <c r="F599" s="254"/>
      <c r="G599" s="254"/>
    </row>
    <row r="600">
      <c r="C600" s="254"/>
      <c r="D600" s="254"/>
      <c r="E600" s="254"/>
      <c r="F600" s="254"/>
      <c r="G600" s="254"/>
    </row>
    <row r="601">
      <c r="C601" s="254"/>
      <c r="D601" s="254"/>
      <c r="E601" s="254"/>
      <c r="F601" s="254"/>
      <c r="G601" s="254"/>
    </row>
    <row r="602">
      <c r="C602" s="254"/>
      <c r="D602" s="254"/>
      <c r="E602" s="254"/>
      <c r="F602" s="254"/>
      <c r="G602" s="254"/>
    </row>
    <row r="603">
      <c r="C603" s="254"/>
      <c r="D603" s="254"/>
      <c r="E603" s="254"/>
      <c r="F603" s="254"/>
      <c r="G603" s="254"/>
    </row>
    <row r="604">
      <c r="C604" s="254"/>
      <c r="D604" s="254"/>
      <c r="E604" s="254"/>
      <c r="F604" s="254"/>
      <c r="G604" s="254"/>
    </row>
    <row r="605">
      <c r="C605" s="254"/>
      <c r="D605" s="254"/>
      <c r="E605" s="254"/>
      <c r="F605" s="254"/>
      <c r="G605" s="254"/>
    </row>
    <row r="606">
      <c r="C606" s="254"/>
      <c r="D606" s="254"/>
      <c r="E606" s="254"/>
      <c r="F606" s="254"/>
      <c r="G606" s="254"/>
    </row>
    <row r="607">
      <c r="C607" s="254"/>
      <c r="D607" s="254"/>
      <c r="E607" s="254"/>
      <c r="F607" s="254"/>
      <c r="G607" s="254"/>
    </row>
    <row r="608">
      <c r="C608" s="254"/>
      <c r="D608" s="254"/>
      <c r="E608" s="254"/>
      <c r="F608" s="254"/>
      <c r="G608" s="254"/>
    </row>
    <row r="609">
      <c r="C609" s="254"/>
      <c r="D609" s="254"/>
      <c r="E609" s="254"/>
      <c r="F609" s="254"/>
      <c r="G609" s="254"/>
    </row>
    <row r="610">
      <c r="C610" s="254"/>
      <c r="D610" s="254"/>
      <c r="E610" s="254"/>
      <c r="F610" s="254"/>
      <c r="G610" s="254"/>
    </row>
    <row r="611">
      <c r="C611" s="254"/>
      <c r="D611" s="254"/>
      <c r="E611" s="254"/>
      <c r="F611" s="254"/>
      <c r="G611" s="254"/>
    </row>
    <row r="612">
      <c r="C612" s="254"/>
      <c r="D612" s="254"/>
      <c r="E612" s="254"/>
      <c r="F612" s="254"/>
      <c r="G612" s="254"/>
    </row>
    <row r="613">
      <c r="C613" s="254"/>
      <c r="D613" s="254"/>
      <c r="E613" s="254"/>
      <c r="F613" s="254"/>
      <c r="G613" s="254"/>
    </row>
    <row r="614">
      <c r="C614" s="254"/>
      <c r="D614" s="254"/>
      <c r="E614" s="254"/>
      <c r="F614" s="254"/>
      <c r="G614" s="254"/>
    </row>
    <row r="615">
      <c r="C615" s="254"/>
      <c r="D615" s="254"/>
      <c r="E615" s="254"/>
      <c r="F615" s="254"/>
      <c r="G615" s="254"/>
    </row>
    <row r="616">
      <c r="C616" s="254"/>
      <c r="D616" s="254"/>
      <c r="E616" s="254"/>
      <c r="F616" s="254"/>
      <c r="G616" s="254"/>
    </row>
    <row r="617">
      <c r="C617" s="254"/>
      <c r="D617" s="254"/>
      <c r="E617" s="254"/>
      <c r="F617" s="254"/>
      <c r="G617" s="254"/>
    </row>
    <row r="618">
      <c r="C618" s="254"/>
      <c r="D618" s="254"/>
      <c r="E618" s="254"/>
      <c r="F618" s="254"/>
      <c r="G618" s="254"/>
    </row>
    <row r="619">
      <c r="C619" s="254"/>
      <c r="D619" s="254"/>
      <c r="E619" s="254"/>
      <c r="F619" s="254"/>
      <c r="G619" s="254"/>
    </row>
    <row r="620">
      <c r="C620" s="254"/>
      <c r="D620" s="254"/>
      <c r="E620" s="254"/>
      <c r="F620" s="254"/>
      <c r="G620" s="254"/>
    </row>
    <row r="621">
      <c r="C621" s="254"/>
      <c r="D621" s="254"/>
      <c r="E621" s="254"/>
      <c r="F621" s="254"/>
      <c r="G621" s="254"/>
    </row>
    <row r="622">
      <c r="C622" s="254"/>
      <c r="D622" s="254"/>
      <c r="E622" s="254"/>
      <c r="F622" s="254"/>
      <c r="G622" s="254"/>
    </row>
    <row r="623">
      <c r="C623" s="254"/>
      <c r="D623" s="254"/>
      <c r="E623" s="254"/>
      <c r="F623" s="254"/>
      <c r="G623" s="254"/>
    </row>
    <row r="624">
      <c r="C624" s="254"/>
      <c r="D624" s="254"/>
      <c r="E624" s="254"/>
      <c r="F624" s="254"/>
      <c r="G624" s="254"/>
    </row>
    <row r="625">
      <c r="C625" s="254"/>
      <c r="D625" s="254"/>
      <c r="E625" s="254"/>
      <c r="F625" s="254"/>
      <c r="G625" s="254"/>
    </row>
    <row r="626">
      <c r="C626" s="254"/>
      <c r="D626" s="254"/>
      <c r="E626" s="254"/>
      <c r="F626" s="254"/>
      <c r="G626" s="254"/>
    </row>
    <row r="627">
      <c r="C627" s="254"/>
      <c r="D627" s="254"/>
      <c r="E627" s="254"/>
      <c r="F627" s="254"/>
      <c r="G627" s="254"/>
    </row>
    <row r="628">
      <c r="C628" s="254"/>
      <c r="D628" s="254"/>
      <c r="E628" s="254"/>
      <c r="F628" s="254"/>
      <c r="G628" s="254"/>
    </row>
    <row r="629">
      <c r="C629" s="254"/>
      <c r="D629" s="254"/>
      <c r="E629" s="254"/>
      <c r="F629" s="254"/>
      <c r="G629" s="254"/>
    </row>
    <row r="630">
      <c r="C630" s="254"/>
      <c r="D630" s="254"/>
      <c r="E630" s="254"/>
      <c r="F630" s="254"/>
      <c r="G630" s="254"/>
    </row>
    <row r="631">
      <c r="C631" s="254"/>
      <c r="D631" s="254"/>
      <c r="E631" s="254"/>
      <c r="F631" s="254"/>
      <c r="G631" s="254"/>
    </row>
    <row r="632">
      <c r="C632" s="254"/>
      <c r="D632" s="254"/>
      <c r="E632" s="254"/>
      <c r="F632" s="254"/>
      <c r="G632" s="254"/>
    </row>
    <row r="633">
      <c r="C633" s="254"/>
      <c r="D633" s="254"/>
      <c r="E633" s="254"/>
      <c r="F633" s="254"/>
      <c r="G633" s="254"/>
    </row>
    <row r="634">
      <c r="C634" s="254"/>
      <c r="D634" s="254"/>
      <c r="E634" s="254"/>
      <c r="F634" s="254"/>
      <c r="G634" s="254"/>
    </row>
    <row r="635">
      <c r="C635" s="254"/>
      <c r="D635" s="254"/>
      <c r="E635" s="254"/>
      <c r="F635" s="254"/>
      <c r="G635" s="254"/>
    </row>
    <row r="636">
      <c r="C636" s="254"/>
      <c r="D636" s="254"/>
      <c r="E636" s="254"/>
      <c r="F636" s="254"/>
      <c r="G636" s="254"/>
    </row>
    <row r="637">
      <c r="C637" s="254"/>
      <c r="D637" s="254"/>
      <c r="E637" s="254"/>
      <c r="F637" s="254"/>
      <c r="G637" s="254"/>
    </row>
    <row r="638">
      <c r="C638" s="254"/>
      <c r="D638" s="254"/>
      <c r="E638" s="254"/>
      <c r="F638" s="254"/>
      <c r="G638" s="254"/>
    </row>
    <row r="639">
      <c r="C639" s="254"/>
      <c r="D639" s="254"/>
      <c r="E639" s="254"/>
      <c r="F639" s="254"/>
      <c r="G639" s="254"/>
    </row>
    <row r="640">
      <c r="C640" s="254"/>
      <c r="D640" s="254"/>
      <c r="E640" s="254"/>
      <c r="F640" s="254"/>
      <c r="G640" s="254"/>
    </row>
    <row r="641">
      <c r="C641" s="254"/>
      <c r="D641" s="254"/>
      <c r="E641" s="254"/>
      <c r="F641" s="254"/>
      <c r="G641" s="254"/>
    </row>
    <row r="642">
      <c r="C642" s="254"/>
      <c r="D642" s="254"/>
      <c r="E642" s="254"/>
      <c r="F642" s="254"/>
      <c r="G642" s="254"/>
    </row>
    <row r="643">
      <c r="C643" s="254"/>
      <c r="D643" s="254"/>
      <c r="E643" s="254"/>
      <c r="F643" s="254"/>
      <c r="G643" s="254"/>
    </row>
    <row r="644">
      <c r="C644" s="254"/>
      <c r="D644" s="254"/>
      <c r="E644" s="254"/>
      <c r="F644" s="254"/>
      <c r="G644" s="254"/>
    </row>
    <row r="645">
      <c r="C645" s="254"/>
      <c r="D645" s="254"/>
      <c r="E645" s="254"/>
      <c r="F645" s="254"/>
      <c r="G645" s="254"/>
    </row>
    <row r="646">
      <c r="C646" s="254"/>
      <c r="D646" s="254"/>
      <c r="E646" s="254"/>
      <c r="F646" s="254"/>
      <c r="G646" s="254"/>
    </row>
    <row r="647">
      <c r="C647" s="254"/>
      <c r="D647" s="254"/>
      <c r="E647" s="254"/>
      <c r="F647" s="254"/>
      <c r="G647" s="254"/>
    </row>
    <row r="648">
      <c r="C648" s="254"/>
      <c r="D648" s="254"/>
      <c r="E648" s="254"/>
      <c r="F648" s="254"/>
      <c r="G648" s="254"/>
    </row>
    <row r="649">
      <c r="C649" s="254"/>
      <c r="D649" s="254"/>
      <c r="E649" s="254"/>
      <c r="F649" s="254"/>
      <c r="G649" s="254"/>
    </row>
    <row r="650">
      <c r="C650" s="254"/>
      <c r="D650" s="254"/>
      <c r="E650" s="254"/>
      <c r="F650" s="254"/>
      <c r="G650" s="254"/>
    </row>
    <row r="651">
      <c r="C651" s="254"/>
      <c r="D651" s="254"/>
      <c r="E651" s="254"/>
      <c r="F651" s="254"/>
      <c r="G651" s="254"/>
    </row>
    <row r="652">
      <c r="C652" s="254"/>
      <c r="D652" s="254"/>
      <c r="E652" s="254"/>
      <c r="F652" s="254"/>
      <c r="G652" s="254"/>
    </row>
    <row r="653">
      <c r="C653" s="254"/>
      <c r="D653" s="254"/>
      <c r="E653" s="254"/>
      <c r="F653" s="254"/>
      <c r="G653" s="254"/>
    </row>
    <row r="654">
      <c r="C654" s="254"/>
      <c r="D654" s="254"/>
      <c r="E654" s="254"/>
      <c r="F654" s="254"/>
      <c r="G654" s="254"/>
    </row>
    <row r="655">
      <c r="C655" s="254"/>
      <c r="D655" s="254"/>
      <c r="E655" s="254"/>
      <c r="F655" s="254"/>
      <c r="G655" s="254"/>
    </row>
    <row r="656">
      <c r="C656" s="254"/>
      <c r="D656" s="254"/>
      <c r="E656" s="254"/>
      <c r="F656" s="254"/>
      <c r="G656" s="254"/>
    </row>
    <row r="657">
      <c r="C657" s="254"/>
      <c r="D657" s="254"/>
      <c r="E657" s="254"/>
      <c r="F657" s="254"/>
      <c r="G657" s="254"/>
    </row>
    <row r="658">
      <c r="C658" s="254"/>
      <c r="D658" s="254"/>
      <c r="E658" s="254"/>
      <c r="F658" s="254"/>
      <c r="G658" s="254"/>
    </row>
    <row r="659">
      <c r="C659" s="254"/>
      <c r="D659" s="254"/>
      <c r="E659" s="254"/>
      <c r="F659" s="254"/>
      <c r="G659" s="254"/>
    </row>
    <row r="660">
      <c r="C660" s="254"/>
      <c r="D660" s="254"/>
      <c r="E660" s="254"/>
      <c r="F660" s="254"/>
      <c r="G660" s="254"/>
    </row>
    <row r="661">
      <c r="C661" s="254"/>
      <c r="D661" s="254"/>
      <c r="E661" s="254"/>
      <c r="F661" s="254"/>
      <c r="G661" s="254"/>
    </row>
    <row r="662">
      <c r="C662" s="254"/>
      <c r="D662" s="254"/>
      <c r="E662" s="254"/>
      <c r="F662" s="254"/>
      <c r="G662" s="254"/>
    </row>
    <row r="663">
      <c r="C663" s="254"/>
      <c r="D663" s="254"/>
      <c r="E663" s="254"/>
      <c r="F663" s="254"/>
      <c r="G663" s="254"/>
    </row>
    <row r="664">
      <c r="C664" s="254"/>
      <c r="D664" s="254"/>
      <c r="E664" s="254"/>
      <c r="F664" s="254"/>
      <c r="G664" s="254"/>
    </row>
    <row r="665">
      <c r="C665" s="254"/>
      <c r="D665" s="254"/>
      <c r="E665" s="254"/>
      <c r="F665" s="254"/>
      <c r="G665" s="254"/>
    </row>
    <row r="666">
      <c r="C666" s="254"/>
      <c r="D666" s="254"/>
      <c r="E666" s="254"/>
      <c r="F666" s="254"/>
      <c r="G666" s="254"/>
    </row>
    <row r="667">
      <c r="C667" s="254"/>
      <c r="D667" s="254"/>
      <c r="E667" s="254"/>
      <c r="F667" s="254"/>
      <c r="G667" s="254"/>
    </row>
    <row r="668">
      <c r="C668" s="254"/>
      <c r="D668" s="254"/>
      <c r="E668" s="254"/>
      <c r="F668" s="254"/>
      <c r="G668" s="254"/>
    </row>
    <row r="669">
      <c r="C669" s="254"/>
      <c r="D669" s="254"/>
      <c r="E669" s="254"/>
      <c r="F669" s="254"/>
      <c r="G669" s="254"/>
    </row>
    <row r="670">
      <c r="C670" s="254"/>
      <c r="D670" s="254"/>
      <c r="E670" s="254"/>
      <c r="F670" s="254"/>
      <c r="G670" s="254"/>
    </row>
    <row r="671">
      <c r="C671" s="254"/>
      <c r="D671" s="254"/>
      <c r="E671" s="254"/>
      <c r="F671" s="254"/>
      <c r="G671" s="254"/>
    </row>
    <row r="672">
      <c r="C672" s="254"/>
      <c r="D672" s="254"/>
      <c r="E672" s="254"/>
      <c r="F672" s="254"/>
      <c r="G672" s="254"/>
    </row>
    <row r="673">
      <c r="C673" s="254"/>
      <c r="D673" s="254"/>
      <c r="E673" s="254"/>
      <c r="F673" s="254"/>
      <c r="G673" s="254"/>
    </row>
    <row r="674">
      <c r="C674" s="254"/>
      <c r="D674" s="254"/>
      <c r="E674" s="254"/>
      <c r="F674" s="254"/>
      <c r="G674" s="254"/>
    </row>
    <row r="675">
      <c r="C675" s="254"/>
      <c r="D675" s="254"/>
      <c r="E675" s="254"/>
      <c r="F675" s="254"/>
      <c r="G675" s="254"/>
    </row>
    <row r="676">
      <c r="C676" s="254"/>
      <c r="D676" s="254"/>
      <c r="E676" s="254"/>
      <c r="F676" s="254"/>
      <c r="G676" s="254"/>
    </row>
    <row r="677">
      <c r="C677" s="254"/>
      <c r="D677" s="254"/>
      <c r="E677" s="254"/>
      <c r="F677" s="254"/>
      <c r="G677" s="254"/>
    </row>
    <row r="678">
      <c r="C678" s="254"/>
      <c r="D678" s="254"/>
      <c r="E678" s="254"/>
      <c r="F678" s="254"/>
      <c r="G678" s="254"/>
    </row>
    <row r="679">
      <c r="C679" s="254"/>
      <c r="D679" s="254"/>
      <c r="E679" s="254"/>
      <c r="F679" s="254"/>
      <c r="G679" s="254"/>
    </row>
    <row r="680">
      <c r="C680" s="254"/>
      <c r="D680" s="254"/>
      <c r="E680" s="254"/>
      <c r="F680" s="254"/>
      <c r="G680" s="254"/>
    </row>
    <row r="681">
      <c r="C681" s="254"/>
      <c r="D681" s="254"/>
      <c r="E681" s="254"/>
      <c r="F681" s="254"/>
      <c r="G681" s="254"/>
    </row>
    <row r="682">
      <c r="C682" s="254"/>
      <c r="D682" s="254"/>
      <c r="E682" s="254"/>
      <c r="F682" s="254"/>
      <c r="G682" s="254"/>
    </row>
    <row r="683">
      <c r="C683" s="254"/>
      <c r="D683" s="254"/>
      <c r="E683" s="254"/>
      <c r="F683" s="254"/>
      <c r="G683" s="254"/>
    </row>
    <row r="684">
      <c r="C684" s="254"/>
      <c r="D684" s="254"/>
      <c r="E684" s="254"/>
      <c r="F684" s="254"/>
      <c r="G684" s="254"/>
    </row>
    <row r="685">
      <c r="C685" s="254"/>
      <c r="D685" s="254"/>
      <c r="E685" s="254"/>
      <c r="F685" s="254"/>
      <c r="G685" s="254"/>
    </row>
    <row r="686">
      <c r="C686" s="254"/>
      <c r="D686" s="254"/>
      <c r="E686" s="254"/>
      <c r="F686" s="254"/>
      <c r="G686" s="254"/>
    </row>
    <row r="687">
      <c r="C687" s="254"/>
      <c r="D687" s="254"/>
      <c r="E687" s="254"/>
      <c r="F687" s="254"/>
      <c r="G687" s="254"/>
    </row>
    <row r="688">
      <c r="C688" s="254"/>
      <c r="D688" s="254"/>
      <c r="E688" s="254"/>
      <c r="F688" s="254"/>
      <c r="G688" s="254"/>
    </row>
    <row r="689">
      <c r="C689" s="254"/>
      <c r="D689" s="254"/>
      <c r="E689" s="254"/>
      <c r="F689" s="254"/>
      <c r="G689" s="254"/>
    </row>
    <row r="690">
      <c r="C690" s="254"/>
      <c r="D690" s="254"/>
      <c r="E690" s="254"/>
      <c r="F690" s="254"/>
      <c r="G690" s="254"/>
    </row>
    <row r="691">
      <c r="C691" s="254"/>
      <c r="D691" s="254"/>
      <c r="E691" s="254"/>
      <c r="F691" s="254"/>
      <c r="G691" s="254"/>
    </row>
    <row r="692">
      <c r="C692" s="254"/>
      <c r="D692" s="254"/>
      <c r="E692" s="254"/>
      <c r="F692" s="254"/>
      <c r="G692" s="254"/>
    </row>
    <row r="693">
      <c r="C693" s="254"/>
      <c r="D693" s="254"/>
      <c r="E693" s="254"/>
      <c r="F693" s="254"/>
      <c r="G693" s="254"/>
    </row>
    <row r="694">
      <c r="C694" s="254"/>
      <c r="D694" s="254"/>
      <c r="E694" s="254"/>
      <c r="F694" s="254"/>
      <c r="G694" s="254"/>
    </row>
    <row r="695">
      <c r="C695" s="254"/>
      <c r="D695" s="254"/>
      <c r="E695" s="254"/>
      <c r="F695" s="254"/>
      <c r="G695" s="254"/>
    </row>
    <row r="696">
      <c r="C696" s="254"/>
      <c r="D696" s="254"/>
      <c r="E696" s="254"/>
      <c r="F696" s="254"/>
      <c r="G696" s="254"/>
    </row>
    <row r="697">
      <c r="C697" s="254"/>
      <c r="D697" s="254"/>
      <c r="E697" s="254"/>
      <c r="F697" s="254"/>
      <c r="G697" s="254"/>
    </row>
    <row r="698">
      <c r="C698" s="254"/>
      <c r="D698" s="254"/>
      <c r="E698" s="254"/>
      <c r="F698" s="254"/>
      <c r="G698" s="254"/>
    </row>
    <row r="699">
      <c r="C699" s="254"/>
      <c r="D699" s="254"/>
      <c r="E699" s="254"/>
      <c r="F699" s="254"/>
      <c r="G699" s="254"/>
    </row>
    <row r="700">
      <c r="C700" s="254"/>
      <c r="D700" s="254"/>
      <c r="E700" s="254"/>
      <c r="F700" s="254"/>
      <c r="G700" s="254"/>
    </row>
    <row r="701">
      <c r="C701" s="254"/>
      <c r="D701" s="254"/>
      <c r="E701" s="254"/>
      <c r="F701" s="254"/>
      <c r="G701" s="254"/>
    </row>
    <row r="702">
      <c r="C702" s="254"/>
      <c r="D702" s="254"/>
      <c r="E702" s="254"/>
      <c r="F702" s="254"/>
      <c r="G702" s="254"/>
    </row>
    <row r="703">
      <c r="C703" s="254"/>
      <c r="D703" s="254"/>
      <c r="E703" s="254"/>
      <c r="F703" s="254"/>
      <c r="G703" s="254"/>
    </row>
    <row r="704">
      <c r="C704" s="254"/>
      <c r="D704" s="254"/>
      <c r="E704" s="254"/>
      <c r="F704" s="254"/>
      <c r="G704" s="254"/>
    </row>
    <row r="705">
      <c r="C705" s="254"/>
      <c r="D705" s="254"/>
      <c r="E705" s="254"/>
      <c r="F705" s="254"/>
      <c r="G705" s="254"/>
    </row>
    <row r="706">
      <c r="C706" s="254"/>
      <c r="D706" s="254"/>
      <c r="E706" s="254"/>
      <c r="F706" s="254"/>
      <c r="G706" s="254"/>
    </row>
    <row r="707">
      <c r="C707" s="254"/>
      <c r="D707" s="254"/>
      <c r="E707" s="254"/>
      <c r="F707" s="254"/>
      <c r="G707" s="254"/>
    </row>
    <row r="708">
      <c r="C708" s="254"/>
      <c r="D708" s="254"/>
      <c r="E708" s="254"/>
      <c r="F708" s="254"/>
      <c r="G708" s="254"/>
    </row>
    <row r="709">
      <c r="C709" s="254"/>
      <c r="D709" s="254"/>
      <c r="E709" s="254"/>
      <c r="F709" s="254"/>
      <c r="G709" s="254"/>
    </row>
    <row r="710">
      <c r="C710" s="254"/>
      <c r="D710" s="254"/>
      <c r="E710" s="254"/>
      <c r="F710" s="254"/>
      <c r="G710" s="254"/>
    </row>
    <row r="711">
      <c r="C711" s="254"/>
      <c r="D711" s="254"/>
      <c r="E711" s="254"/>
      <c r="F711" s="254"/>
      <c r="G711" s="254"/>
    </row>
    <row r="712">
      <c r="C712" s="254"/>
      <c r="D712" s="254"/>
      <c r="E712" s="254"/>
      <c r="F712" s="254"/>
      <c r="G712" s="254"/>
    </row>
    <row r="713">
      <c r="C713" s="254"/>
      <c r="D713" s="254"/>
      <c r="E713" s="254"/>
      <c r="F713" s="254"/>
      <c r="G713" s="254"/>
    </row>
    <row r="714">
      <c r="C714" s="254"/>
      <c r="D714" s="254"/>
      <c r="E714" s="254"/>
      <c r="F714" s="254"/>
      <c r="G714" s="254"/>
    </row>
    <row r="715">
      <c r="C715" s="254"/>
      <c r="D715" s="254"/>
      <c r="E715" s="254"/>
      <c r="F715" s="254"/>
      <c r="G715" s="254"/>
    </row>
    <row r="716">
      <c r="C716" s="254"/>
      <c r="D716" s="254"/>
      <c r="E716" s="254"/>
      <c r="F716" s="254"/>
      <c r="G716" s="254"/>
    </row>
    <row r="717">
      <c r="C717" s="254"/>
      <c r="D717" s="254"/>
      <c r="E717" s="254"/>
      <c r="F717" s="254"/>
      <c r="G717" s="254"/>
    </row>
    <row r="718">
      <c r="C718" s="254"/>
      <c r="D718" s="254"/>
      <c r="E718" s="254"/>
      <c r="F718" s="254"/>
      <c r="G718" s="254"/>
    </row>
    <row r="719">
      <c r="C719" s="254"/>
      <c r="D719" s="254"/>
      <c r="E719" s="254"/>
      <c r="F719" s="254"/>
      <c r="G719" s="254"/>
    </row>
    <row r="720">
      <c r="C720" s="254"/>
      <c r="D720" s="254"/>
      <c r="E720" s="254"/>
      <c r="F720" s="254"/>
      <c r="G720" s="254"/>
    </row>
    <row r="721">
      <c r="C721" s="254"/>
      <c r="D721" s="254"/>
      <c r="E721" s="254"/>
      <c r="F721" s="254"/>
      <c r="G721" s="254"/>
    </row>
    <row r="722">
      <c r="C722" s="254"/>
      <c r="D722" s="254"/>
      <c r="E722" s="254"/>
      <c r="F722" s="254"/>
      <c r="G722" s="254"/>
    </row>
    <row r="723">
      <c r="C723" s="254"/>
      <c r="D723" s="254"/>
      <c r="E723" s="254"/>
      <c r="F723" s="254"/>
      <c r="G723" s="254"/>
    </row>
    <row r="724">
      <c r="C724" s="254"/>
      <c r="D724" s="254"/>
      <c r="E724" s="254"/>
      <c r="F724" s="254"/>
      <c r="G724" s="254"/>
    </row>
    <row r="725">
      <c r="C725" s="254"/>
      <c r="D725" s="254"/>
      <c r="E725" s="254"/>
      <c r="F725" s="254"/>
      <c r="G725" s="254"/>
    </row>
    <row r="726">
      <c r="C726" s="254"/>
      <c r="D726" s="254"/>
      <c r="E726" s="254"/>
      <c r="F726" s="254"/>
      <c r="G726" s="254"/>
    </row>
    <row r="727">
      <c r="C727" s="254"/>
      <c r="D727" s="254"/>
      <c r="E727" s="254"/>
      <c r="F727" s="254"/>
      <c r="G727" s="254"/>
    </row>
    <row r="728">
      <c r="C728" s="254"/>
      <c r="D728" s="254"/>
      <c r="E728" s="254"/>
      <c r="F728" s="254"/>
      <c r="G728" s="254"/>
    </row>
    <row r="729">
      <c r="C729" s="254"/>
      <c r="D729" s="254"/>
      <c r="E729" s="254"/>
      <c r="F729" s="254"/>
      <c r="G729" s="254"/>
    </row>
    <row r="730">
      <c r="C730" s="254"/>
      <c r="D730" s="254"/>
      <c r="E730" s="254"/>
      <c r="F730" s="254"/>
      <c r="G730" s="254"/>
    </row>
    <row r="731">
      <c r="C731" s="254"/>
      <c r="D731" s="254"/>
      <c r="E731" s="254"/>
      <c r="F731" s="254"/>
      <c r="G731" s="254"/>
    </row>
    <row r="732">
      <c r="C732" s="254"/>
      <c r="D732" s="254"/>
      <c r="E732" s="254"/>
      <c r="F732" s="254"/>
      <c r="G732" s="254"/>
    </row>
    <row r="733">
      <c r="C733" s="254"/>
      <c r="D733" s="254"/>
      <c r="E733" s="254"/>
      <c r="F733" s="254"/>
      <c r="G733" s="254"/>
    </row>
    <row r="734">
      <c r="C734" s="254"/>
      <c r="D734" s="254"/>
      <c r="E734" s="254"/>
      <c r="F734" s="254"/>
      <c r="G734" s="254"/>
    </row>
    <row r="735">
      <c r="C735" s="254"/>
      <c r="D735" s="254"/>
      <c r="E735" s="254"/>
      <c r="F735" s="254"/>
      <c r="G735" s="254"/>
    </row>
    <row r="736">
      <c r="C736" s="254"/>
      <c r="D736" s="254"/>
      <c r="E736" s="254"/>
      <c r="F736" s="254"/>
      <c r="G736" s="254"/>
    </row>
    <row r="737">
      <c r="C737" s="254"/>
      <c r="D737" s="254"/>
      <c r="E737" s="254"/>
      <c r="F737" s="254"/>
      <c r="G737" s="254"/>
    </row>
    <row r="738">
      <c r="C738" s="254"/>
      <c r="D738" s="254"/>
      <c r="E738" s="254"/>
      <c r="F738" s="254"/>
      <c r="G738" s="254"/>
    </row>
    <row r="739">
      <c r="C739" s="254"/>
      <c r="D739" s="254"/>
      <c r="E739" s="254"/>
      <c r="F739" s="254"/>
      <c r="G739" s="254"/>
    </row>
    <row r="740">
      <c r="C740" s="254"/>
      <c r="D740" s="254"/>
      <c r="E740" s="254"/>
      <c r="F740" s="254"/>
      <c r="G740" s="254"/>
    </row>
    <row r="741">
      <c r="C741" s="254"/>
      <c r="D741" s="254"/>
      <c r="E741" s="254"/>
      <c r="F741" s="254"/>
      <c r="G741" s="254"/>
    </row>
    <row r="742">
      <c r="C742" s="254"/>
      <c r="D742" s="254"/>
      <c r="E742" s="254"/>
      <c r="F742" s="254"/>
      <c r="G742" s="254"/>
    </row>
    <row r="743">
      <c r="C743" s="254"/>
      <c r="D743" s="254"/>
      <c r="E743" s="254"/>
      <c r="F743" s="254"/>
      <c r="G743" s="254"/>
    </row>
    <row r="744">
      <c r="C744" s="254"/>
      <c r="D744" s="254"/>
      <c r="E744" s="254"/>
      <c r="F744" s="254"/>
      <c r="G744" s="254"/>
    </row>
    <row r="745">
      <c r="C745" s="254"/>
      <c r="D745" s="254"/>
      <c r="E745" s="254"/>
      <c r="F745" s="254"/>
      <c r="G745" s="254"/>
    </row>
    <row r="746">
      <c r="C746" s="254"/>
      <c r="D746" s="254"/>
      <c r="E746" s="254"/>
      <c r="F746" s="254"/>
      <c r="G746" s="254"/>
    </row>
    <row r="747">
      <c r="C747" s="254"/>
      <c r="D747" s="254"/>
      <c r="E747" s="254"/>
      <c r="F747" s="254"/>
      <c r="G747" s="254"/>
    </row>
    <row r="748">
      <c r="C748" s="254"/>
      <c r="D748" s="254"/>
      <c r="E748" s="254"/>
      <c r="F748" s="254"/>
      <c r="G748" s="254"/>
    </row>
    <row r="749">
      <c r="C749" s="254"/>
      <c r="D749" s="254"/>
      <c r="E749" s="254"/>
      <c r="F749" s="254"/>
      <c r="G749" s="254"/>
    </row>
    <row r="750">
      <c r="C750" s="254"/>
      <c r="D750" s="254"/>
      <c r="E750" s="254"/>
      <c r="F750" s="254"/>
      <c r="G750" s="254"/>
    </row>
    <row r="751">
      <c r="C751" s="254"/>
      <c r="D751" s="254"/>
      <c r="E751" s="254"/>
      <c r="F751" s="254"/>
      <c r="G751" s="254"/>
    </row>
    <row r="752">
      <c r="C752" s="254"/>
      <c r="D752" s="254"/>
      <c r="E752" s="254"/>
      <c r="F752" s="254"/>
      <c r="G752" s="254"/>
    </row>
    <row r="753">
      <c r="C753" s="254"/>
      <c r="D753" s="254"/>
      <c r="E753" s="254"/>
      <c r="F753" s="254"/>
      <c r="G753" s="254"/>
    </row>
    <row r="754">
      <c r="C754" s="254"/>
      <c r="D754" s="254"/>
      <c r="E754" s="254"/>
      <c r="F754" s="254"/>
      <c r="G754" s="254"/>
    </row>
    <row r="755">
      <c r="C755" s="254"/>
      <c r="D755" s="254"/>
      <c r="E755" s="254"/>
      <c r="F755" s="254"/>
      <c r="G755" s="254"/>
    </row>
    <row r="756">
      <c r="C756" s="254"/>
      <c r="D756" s="254"/>
      <c r="E756" s="254"/>
      <c r="F756" s="254"/>
      <c r="G756" s="254"/>
    </row>
    <row r="757">
      <c r="C757" s="254"/>
      <c r="D757" s="254"/>
      <c r="E757" s="254"/>
      <c r="F757" s="254"/>
      <c r="G757" s="254"/>
    </row>
    <row r="758">
      <c r="C758" s="254"/>
      <c r="D758" s="254"/>
      <c r="E758" s="254"/>
      <c r="F758" s="254"/>
      <c r="G758" s="254"/>
    </row>
    <row r="759">
      <c r="C759" s="254"/>
      <c r="D759" s="254"/>
      <c r="E759" s="254"/>
      <c r="F759" s="254"/>
      <c r="G759" s="254"/>
    </row>
    <row r="760">
      <c r="C760" s="254"/>
      <c r="D760" s="254"/>
      <c r="E760" s="254"/>
      <c r="F760" s="254"/>
      <c r="G760" s="254"/>
    </row>
    <row r="761">
      <c r="C761" s="254"/>
      <c r="D761" s="254"/>
      <c r="E761" s="254"/>
      <c r="F761" s="254"/>
      <c r="G761" s="254"/>
    </row>
    <row r="762">
      <c r="C762" s="254"/>
      <c r="D762" s="254"/>
      <c r="E762" s="254"/>
      <c r="F762" s="254"/>
      <c r="G762" s="254"/>
    </row>
    <row r="763">
      <c r="C763" s="254"/>
      <c r="D763" s="254"/>
      <c r="E763" s="254"/>
      <c r="F763" s="254"/>
      <c r="G763" s="254"/>
    </row>
    <row r="764">
      <c r="C764" s="254"/>
      <c r="D764" s="254"/>
      <c r="E764" s="254"/>
      <c r="F764" s="254"/>
      <c r="G764" s="254"/>
    </row>
    <row r="765">
      <c r="C765" s="254"/>
      <c r="D765" s="254"/>
      <c r="E765" s="254"/>
      <c r="F765" s="254"/>
      <c r="G765" s="254"/>
    </row>
    <row r="766">
      <c r="C766" s="254"/>
      <c r="D766" s="254"/>
      <c r="E766" s="254"/>
      <c r="F766" s="254"/>
      <c r="G766" s="254"/>
    </row>
    <row r="767">
      <c r="C767" s="254"/>
      <c r="D767" s="254"/>
      <c r="E767" s="254"/>
      <c r="F767" s="254"/>
      <c r="G767" s="254"/>
    </row>
    <row r="768">
      <c r="C768" s="254"/>
      <c r="D768" s="254"/>
      <c r="E768" s="254"/>
      <c r="F768" s="254"/>
      <c r="G768" s="254"/>
    </row>
    <row r="769">
      <c r="C769" s="254"/>
      <c r="D769" s="254"/>
      <c r="E769" s="254"/>
      <c r="F769" s="254"/>
      <c r="G769" s="254"/>
    </row>
    <row r="770">
      <c r="C770" s="254"/>
      <c r="D770" s="254"/>
      <c r="E770" s="254"/>
      <c r="F770" s="254"/>
      <c r="G770" s="254"/>
    </row>
    <row r="771">
      <c r="C771" s="254"/>
      <c r="D771" s="254"/>
      <c r="E771" s="254"/>
      <c r="F771" s="254"/>
      <c r="G771" s="254"/>
    </row>
    <row r="772">
      <c r="C772" s="254"/>
      <c r="D772" s="254"/>
      <c r="E772" s="254"/>
      <c r="F772" s="254"/>
      <c r="G772" s="254"/>
    </row>
    <row r="773">
      <c r="C773" s="254"/>
      <c r="D773" s="254"/>
      <c r="E773" s="254"/>
      <c r="F773" s="254"/>
      <c r="G773" s="254"/>
    </row>
    <row r="774">
      <c r="C774" s="254"/>
      <c r="D774" s="254"/>
      <c r="E774" s="254"/>
      <c r="F774" s="254"/>
      <c r="G774" s="254"/>
    </row>
    <row r="775">
      <c r="C775" s="254"/>
      <c r="D775" s="254"/>
      <c r="E775" s="254"/>
      <c r="F775" s="254"/>
      <c r="G775" s="254"/>
    </row>
    <row r="776">
      <c r="C776" s="254"/>
      <c r="D776" s="254"/>
      <c r="E776" s="254"/>
      <c r="F776" s="254"/>
      <c r="G776" s="254"/>
    </row>
    <row r="777">
      <c r="C777" s="254"/>
      <c r="D777" s="254"/>
      <c r="E777" s="254"/>
      <c r="F777" s="254"/>
      <c r="G777" s="254"/>
    </row>
    <row r="778">
      <c r="C778" s="254"/>
      <c r="D778" s="254"/>
      <c r="E778" s="254"/>
      <c r="F778" s="254"/>
      <c r="G778" s="254"/>
    </row>
    <row r="779">
      <c r="C779" s="254"/>
      <c r="D779" s="254"/>
      <c r="E779" s="254"/>
      <c r="F779" s="254"/>
      <c r="G779" s="254"/>
    </row>
    <row r="780">
      <c r="C780" s="254"/>
      <c r="D780" s="254"/>
      <c r="E780" s="254"/>
      <c r="F780" s="254"/>
      <c r="G780" s="254"/>
    </row>
    <row r="781">
      <c r="C781" s="254"/>
      <c r="D781" s="254"/>
      <c r="E781" s="254"/>
      <c r="F781" s="254"/>
      <c r="G781" s="254"/>
    </row>
    <row r="782">
      <c r="C782" s="254"/>
      <c r="D782" s="254"/>
      <c r="E782" s="254"/>
      <c r="F782" s="254"/>
      <c r="G782" s="254"/>
    </row>
    <row r="783">
      <c r="C783" s="254"/>
      <c r="D783" s="254"/>
      <c r="E783" s="254"/>
      <c r="F783" s="254"/>
      <c r="G783" s="254"/>
    </row>
    <row r="784">
      <c r="C784" s="254"/>
      <c r="D784" s="254"/>
      <c r="E784" s="254"/>
      <c r="F784" s="254"/>
      <c r="G784" s="254"/>
    </row>
    <row r="785">
      <c r="C785" s="254"/>
      <c r="D785" s="254"/>
      <c r="E785" s="254"/>
      <c r="F785" s="254"/>
      <c r="G785" s="254"/>
    </row>
    <row r="786">
      <c r="C786" s="254"/>
      <c r="D786" s="254"/>
      <c r="E786" s="254"/>
      <c r="F786" s="254"/>
      <c r="G786" s="254"/>
    </row>
    <row r="787">
      <c r="C787" s="254"/>
      <c r="D787" s="254"/>
      <c r="E787" s="254"/>
      <c r="F787" s="254"/>
      <c r="G787" s="254"/>
    </row>
    <row r="788">
      <c r="C788" s="254"/>
      <c r="D788" s="254"/>
      <c r="E788" s="254"/>
      <c r="F788" s="254"/>
      <c r="G788" s="254"/>
    </row>
    <row r="789">
      <c r="C789" s="254"/>
      <c r="D789" s="254"/>
      <c r="E789" s="254"/>
      <c r="F789" s="254"/>
      <c r="G789" s="254"/>
    </row>
    <row r="790">
      <c r="C790" s="254"/>
      <c r="D790" s="254"/>
      <c r="E790" s="254"/>
      <c r="F790" s="254"/>
      <c r="G790" s="254"/>
    </row>
    <row r="791">
      <c r="C791" s="254"/>
      <c r="D791" s="254"/>
      <c r="E791" s="254"/>
      <c r="F791" s="254"/>
      <c r="G791" s="254"/>
    </row>
    <row r="792">
      <c r="C792" s="254"/>
      <c r="D792" s="254"/>
      <c r="E792" s="254"/>
      <c r="F792" s="254"/>
      <c r="G792" s="254"/>
    </row>
    <row r="793">
      <c r="C793" s="254"/>
      <c r="D793" s="254"/>
      <c r="E793" s="254"/>
      <c r="F793" s="254"/>
      <c r="G793" s="254"/>
    </row>
    <row r="794">
      <c r="C794" s="254"/>
      <c r="D794" s="254"/>
      <c r="E794" s="254"/>
      <c r="F794" s="254"/>
      <c r="G794" s="254"/>
    </row>
    <row r="795">
      <c r="C795" s="254"/>
      <c r="D795" s="254"/>
      <c r="E795" s="254"/>
      <c r="F795" s="254"/>
      <c r="G795" s="254"/>
    </row>
    <row r="796">
      <c r="C796" s="254"/>
      <c r="D796" s="254"/>
      <c r="E796" s="254"/>
      <c r="F796" s="254"/>
      <c r="G796" s="254"/>
    </row>
    <row r="797">
      <c r="C797" s="254"/>
      <c r="D797" s="254"/>
      <c r="E797" s="254"/>
      <c r="F797" s="254"/>
      <c r="G797" s="254"/>
    </row>
    <row r="798">
      <c r="C798" s="254"/>
      <c r="D798" s="254"/>
      <c r="E798" s="254"/>
      <c r="F798" s="254"/>
      <c r="G798" s="254"/>
    </row>
    <row r="799">
      <c r="C799" s="254"/>
      <c r="D799" s="254"/>
      <c r="E799" s="254"/>
      <c r="F799" s="254"/>
      <c r="G799" s="254"/>
    </row>
    <row r="800">
      <c r="C800" s="254"/>
      <c r="D800" s="254"/>
      <c r="E800" s="254"/>
      <c r="F800" s="254"/>
      <c r="G800" s="254"/>
    </row>
    <row r="801">
      <c r="C801" s="254"/>
      <c r="D801" s="254"/>
      <c r="E801" s="254"/>
      <c r="F801" s="254"/>
      <c r="G801" s="254"/>
    </row>
    <row r="802">
      <c r="C802" s="254"/>
      <c r="D802" s="254"/>
      <c r="E802" s="254"/>
      <c r="F802" s="254"/>
      <c r="G802" s="254"/>
    </row>
    <row r="803">
      <c r="C803" s="254"/>
      <c r="D803" s="254"/>
      <c r="E803" s="254"/>
      <c r="F803" s="254"/>
      <c r="G803" s="254"/>
    </row>
    <row r="804">
      <c r="C804" s="254"/>
      <c r="D804" s="254"/>
      <c r="E804" s="254"/>
      <c r="F804" s="254"/>
      <c r="G804" s="254"/>
    </row>
    <row r="805">
      <c r="C805" s="254"/>
      <c r="D805" s="254"/>
      <c r="E805" s="254"/>
      <c r="F805" s="254"/>
      <c r="G805" s="254"/>
    </row>
    <row r="806">
      <c r="C806" s="254"/>
      <c r="D806" s="254"/>
      <c r="E806" s="254"/>
      <c r="F806" s="254"/>
      <c r="G806" s="254"/>
    </row>
    <row r="807">
      <c r="C807" s="254"/>
      <c r="D807" s="254"/>
      <c r="E807" s="254"/>
      <c r="F807" s="254"/>
      <c r="G807" s="254"/>
    </row>
    <row r="808">
      <c r="C808" s="254"/>
      <c r="D808" s="254"/>
      <c r="E808" s="254"/>
      <c r="F808" s="254"/>
      <c r="G808" s="254"/>
    </row>
    <row r="809">
      <c r="C809" s="254"/>
      <c r="D809" s="254"/>
      <c r="E809" s="254"/>
      <c r="F809" s="254"/>
      <c r="G809" s="254"/>
    </row>
    <row r="810">
      <c r="C810" s="254"/>
      <c r="D810" s="254"/>
      <c r="E810" s="254"/>
      <c r="F810" s="254"/>
      <c r="G810" s="254"/>
    </row>
    <row r="811">
      <c r="C811" s="254"/>
      <c r="D811" s="254"/>
      <c r="E811" s="254"/>
      <c r="F811" s="254"/>
      <c r="G811" s="254"/>
    </row>
    <row r="812">
      <c r="C812" s="254"/>
      <c r="D812" s="254"/>
      <c r="E812" s="254"/>
      <c r="F812" s="254"/>
      <c r="G812" s="254"/>
    </row>
    <row r="813">
      <c r="C813" s="254"/>
      <c r="D813" s="254"/>
      <c r="E813" s="254"/>
      <c r="F813" s="254"/>
      <c r="G813" s="254"/>
    </row>
    <row r="814">
      <c r="C814" s="254"/>
      <c r="D814" s="254"/>
      <c r="E814" s="254"/>
      <c r="F814" s="254"/>
      <c r="G814" s="254"/>
    </row>
    <row r="815">
      <c r="C815" s="254"/>
      <c r="D815" s="254"/>
      <c r="E815" s="254"/>
      <c r="F815" s="254"/>
      <c r="G815" s="254"/>
    </row>
    <row r="816">
      <c r="C816" s="254"/>
      <c r="D816" s="254"/>
      <c r="E816" s="254"/>
      <c r="F816" s="254"/>
      <c r="G816" s="254"/>
    </row>
    <row r="817">
      <c r="C817" s="254"/>
      <c r="D817" s="254"/>
      <c r="E817" s="254"/>
      <c r="F817" s="254"/>
      <c r="G817" s="254"/>
    </row>
    <row r="818">
      <c r="C818" s="254"/>
      <c r="D818" s="254"/>
      <c r="E818" s="254"/>
      <c r="F818" s="254"/>
      <c r="G818" s="254"/>
    </row>
    <row r="819">
      <c r="C819" s="254"/>
      <c r="D819" s="254"/>
      <c r="E819" s="254"/>
      <c r="F819" s="254"/>
      <c r="G819" s="254"/>
    </row>
    <row r="820">
      <c r="C820" s="254"/>
      <c r="D820" s="254"/>
      <c r="E820" s="254"/>
      <c r="F820" s="254"/>
      <c r="G820" s="254"/>
    </row>
    <row r="821">
      <c r="C821" s="254"/>
      <c r="D821" s="254"/>
      <c r="E821" s="254"/>
      <c r="F821" s="254"/>
      <c r="G821" s="254"/>
    </row>
    <row r="822">
      <c r="C822" s="254"/>
      <c r="D822" s="254"/>
      <c r="E822" s="254"/>
      <c r="F822" s="254"/>
      <c r="G822" s="254"/>
    </row>
    <row r="823">
      <c r="C823" s="254"/>
      <c r="D823" s="254"/>
      <c r="E823" s="254"/>
      <c r="F823" s="254"/>
      <c r="G823" s="254"/>
    </row>
    <row r="824">
      <c r="C824" s="254"/>
      <c r="D824" s="254"/>
      <c r="E824" s="254"/>
      <c r="F824" s="254"/>
      <c r="G824" s="254"/>
    </row>
    <row r="825">
      <c r="C825" s="254"/>
      <c r="D825" s="254"/>
      <c r="E825" s="254"/>
      <c r="F825" s="254"/>
      <c r="G825" s="254"/>
    </row>
    <row r="826">
      <c r="C826" s="254"/>
      <c r="D826" s="254"/>
      <c r="E826" s="254"/>
      <c r="F826" s="254"/>
      <c r="G826" s="254"/>
    </row>
    <row r="827">
      <c r="C827" s="254"/>
      <c r="D827" s="254"/>
      <c r="E827" s="254"/>
      <c r="F827" s="254"/>
      <c r="G827" s="254"/>
    </row>
    <row r="828">
      <c r="C828" s="254"/>
      <c r="D828" s="254"/>
      <c r="E828" s="254"/>
      <c r="F828" s="254"/>
      <c r="G828" s="254"/>
    </row>
    <row r="829">
      <c r="C829" s="254"/>
      <c r="D829" s="254"/>
      <c r="E829" s="254"/>
      <c r="F829" s="254"/>
      <c r="G829" s="254"/>
    </row>
    <row r="830">
      <c r="C830" s="254"/>
      <c r="D830" s="254"/>
      <c r="E830" s="254"/>
      <c r="F830" s="254"/>
      <c r="G830" s="254"/>
    </row>
    <row r="831">
      <c r="C831" s="254"/>
      <c r="D831" s="254"/>
      <c r="E831" s="254"/>
      <c r="F831" s="254"/>
      <c r="G831" s="254"/>
    </row>
    <row r="832">
      <c r="C832" s="254"/>
      <c r="D832" s="254"/>
      <c r="E832" s="254"/>
      <c r="F832" s="254"/>
      <c r="G832" s="254"/>
    </row>
    <row r="833">
      <c r="C833" s="254"/>
      <c r="D833" s="254"/>
      <c r="E833" s="254"/>
      <c r="F833" s="254"/>
      <c r="G833" s="254"/>
    </row>
    <row r="834">
      <c r="C834" s="254"/>
      <c r="D834" s="254"/>
      <c r="E834" s="254"/>
      <c r="F834" s="254"/>
      <c r="G834" s="254"/>
    </row>
    <row r="835">
      <c r="C835" s="254"/>
      <c r="D835" s="254"/>
      <c r="E835" s="254"/>
      <c r="F835" s="254"/>
      <c r="G835" s="254"/>
    </row>
    <row r="836">
      <c r="C836" s="254"/>
      <c r="D836" s="254"/>
      <c r="E836" s="254"/>
      <c r="F836" s="254"/>
      <c r="G836" s="254"/>
    </row>
    <row r="837">
      <c r="C837" s="254"/>
      <c r="D837" s="254"/>
      <c r="E837" s="254"/>
      <c r="F837" s="254"/>
      <c r="G837" s="254"/>
    </row>
    <row r="838">
      <c r="C838" s="254"/>
      <c r="D838" s="254"/>
      <c r="E838" s="254"/>
      <c r="F838" s="254"/>
      <c r="G838" s="254"/>
    </row>
    <row r="839">
      <c r="C839" s="254"/>
      <c r="D839" s="254"/>
      <c r="E839" s="254"/>
      <c r="F839" s="254"/>
      <c r="G839" s="254"/>
    </row>
    <row r="840">
      <c r="C840" s="254"/>
      <c r="D840" s="254"/>
      <c r="E840" s="254"/>
      <c r="F840" s="254"/>
      <c r="G840" s="254"/>
    </row>
    <row r="841">
      <c r="C841" s="254"/>
      <c r="D841" s="254"/>
      <c r="E841" s="254"/>
      <c r="F841" s="254"/>
      <c r="G841" s="254"/>
    </row>
    <row r="842">
      <c r="C842" s="254"/>
      <c r="D842" s="254"/>
      <c r="E842" s="254"/>
      <c r="F842" s="254"/>
      <c r="G842" s="254"/>
    </row>
    <row r="843">
      <c r="C843" s="254"/>
      <c r="D843" s="254"/>
      <c r="E843" s="254"/>
      <c r="F843" s="254"/>
      <c r="G843" s="254"/>
    </row>
    <row r="844">
      <c r="C844" s="254"/>
      <c r="D844" s="254"/>
      <c r="E844" s="254"/>
      <c r="F844" s="254"/>
      <c r="G844" s="254"/>
    </row>
    <row r="845">
      <c r="C845" s="254"/>
      <c r="D845" s="254"/>
      <c r="E845" s="254"/>
      <c r="F845" s="254"/>
      <c r="G845" s="254"/>
    </row>
    <row r="846">
      <c r="C846" s="254"/>
      <c r="D846" s="254"/>
      <c r="E846" s="254"/>
      <c r="F846" s="254"/>
      <c r="G846" s="254"/>
    </row>
    <row r="847">
      <c r="C847" s="254"/>
      <c r="D847" s="254"/>
      <c r="E847" s="254"/>
      <c r="F847" s="254"/>
      <c r="G847" s="254"/>
    </row>
    <row r="848">
      <c r="C848" s="254"/>
      <c r="D848" s="254"/>
      <c r="E848" s="254"/>
      <c r="F848" s="254"/>
      <c r="G848" s="254"/>
    </row>
    <row r="849">
      <c r="C849" s="254"/>
      <c r="D849" s="254"/>
      <c r="E849" s="254"/>
      <c r="F849" s="254"/>
      <c r="G849" s="254"/>
    </row>
    <row r="850">
      <c r="C850" s="254"/>
      <c r="D850" s="254"/>
      <c r="E850" s="254"/>
      <c r="F850" s="254"/>
      <c r="G850" s="254"/>
    </row>
    <row r="851">
      <c r="C851" s="254"/>
      <c r="D851" s="254"/>
      <c r="E851" s="254"/>
      <c r="F851" s="254"/>
      <c r="G851" s="254"/>
    </row>
    <row r="852">
      <c r="C852" s="254"/>
      <c r="D852" s="254"/>
      <c r="E852" s="254"/>
      <c r="F852" s="254"/>
      <c r="G852" s="254"/>
    </row>
    <row r="853">
      <c r="C853" s="254"/>
      <c r="D853" s="254"/>
      <c r="E853" s="254"/>
      <c r="F853" s="254"/>
      <c r="G853" s="254"/>
    </row>
    <row r="854">
      <c r="C854" s="254"/>
      <c r="D854" s="254"/>
      <c r="E854" s="254"/>
      <c r="F854" s="254"/>
      <c r="G854" s="254"/>
    </row>
    <row r="855">
      <c r="C855" s="254"/>
      <c r="D855" s="254"/>
      <c r="E855" s="254"/>
      <c r="F855" s="254"/>
      <c r="G855" s="254"/>
    </row>
    <row r="856">
      <c r="C856" s="254"/>
      <c r="D856" s="254"/>
      <c r="E856" s="254"/>
      <c r="F856" s="254"/>
      <c r="G856" s="254"/>
    </row>
    <row r="857">
      <c r="C857" s="254"/>
      <c r="D857" s="254"/>
      <c r="E857" s="254"/>
      <c r="F857" s="254"/>
      <c r="G857" s="254"/>
    </row>
    <row r="858">
      <c r="C858" s="254"/>
      <c r="D858" s="254"/>
      <c r="E858" s="254"/>
      <c r="F858" s="254"/>
      <c r="G858" s="254"/>
    </row>
    <row r="859">
      <c r="C859" s="254"/>
      <c r="D859" s="254"/>
      <c r="E859" s="254"/>
      <c r="F859" s="254"/>
      <c r="G859" s="254"/>
    </row>
    <row r="860">
      <c r="C860" s="254"/>
      <c r="D860" s="254"/>
      <c r="E860" s="254"/>
      <c r="F860" s="254"/>
      <c r="G860" s="254"/>
    </row>
    <row r="861">
      <c r="C861" s="254"/>
      <c r="D861" s="254"/>
      <c r="E861" s="254"/>
      <c r="F861" s="254"/>
      <c r="G861" s="254"/>
    </row>
    <row r="862">
      <c r="C862" s="254"/>
      <c r="D862" s="254"/>
      <c r="E862" s="254"/>
      <c r="F862" s="254"/>
      <c r="G862" s="254"/>
    </row>
    <row r="863">
      <c r="C863" s="254"/>
      <c r="D863" s="254"/>
      <c r="E863" s="254"/>
      <c r="F863" s="254"/>
      <c r="G863" s="254"/>
    </row>
    <row r="864">
      <c r="C864" s="254"/>
      <c r="D864" s="254"/>
      <c r="E864" s="254"/>
      <c r="F864" s="254"/>
      <c r="G864" s="254"/>
    </row>
    <row r="865">
      <c r="C865" s="254"/>
      <c r="D865" s="254"/>
      <c r="E865" s="254"/>
      <c r="F865" s="254"/>
      <c r="G865" s="254"/>
    </row>
    <row r="866">
      <c r="C866" s="254"/>
      <c r="D866" s="254"/>
      <c r="E866" s="254"/>
      <c r="F866" s="254"/>
      <c r="G866" s="254"/>
    </row>
    <row r="867">
      <c r="C867" s="254"/>
      <c r="D867" s="254"/>
      <c r="E867" s="254"/>
      <c r="F867" s="254"/>
      <c r="G867" s="254"/>
    </row>
    <row r="868">
      <c r="C868" s="254"/>
      <c r="D868" s="254"/>
      <c r="E868" s="254"/>
      <c r="F868" s="254"/>
      <c r="G868" s="254"/>
    </row>
    <row r="869">
      <c r="C869" s="254"/>
      <c r="D869" s="254"/>
      <c r="E869" s="254"/>
      <c r="F869" s="254"/>
      <c r="G869" s="254"/>
    </row>
    <row r="870">
      <c r="C870" s="254"/>
      <c r="D870" s="254"/>
      <c r="E870" s="254"/>
      <c r="F870" s="254"/>
      <c r="G870" s="254"/>
    </row>
    <row r="871">
      <c r="C871" s="254"/>
      <c r="D871" s="254"/>
      <c r="E871" s="254"/>
      <c r="F871" s="254"/>
      <c r="G871" s="254"/>
    </row>
    <row r="872">
      <c r="C872" s="254"/>
      <c r="D872" s="254"/>
      <c r="E872" s="254"/>
      <c r="F872" s="254"/>
      <c r="G872" s="254"/>
    </row>
    <row r="873">
      <c r="C873" s="254"/>
      <c r="D873" s="254"/>
      <c r="E873" s="254"/>
      <c r="F873" s="254"/>
      <c r="G873" s="254"/>
    </row>
    <row r="874">
      <c r="C874" s="254"/>
      <c r="D874" s="254"/>
      <c r="E874" s="254"/>
      <c r="F874" s="254"/>
      <c r="G874" s="254"/>
    </row>
    <row r="875">
      <c r="C875" s="254"/>
      <c r="D875" s="254"/>
      <c r="E875" s="254"/>
      <c r="F875" s="254"/>
      <c r="G875" s="254"/>
    </row>
    <row r="876">
      <c r="C876" s="254"/>
      <c r="D876" s="254"/>
      <c r="E876" s="254"/>
      <c r="F876" s="254"/>
      <c r="G876" s="254"/>
    </row>
    <row r="877">
      <c r="C877" s="254"/>
      <c r="D877" s="254"/>
      <c r="E877" s="254"/>
      <c r="F877" s="254"/>
      <c r="G877" s="254"/>
    </row>
    <row r="878">
      <c r="C878" s="254"/>
      <c r="D878" s="254"/>
      <c r="E878" s="254"/>
      <c r="F878" s="254"/>
      <c r="G878" s="254"/>
    </row>
    <row r="879">
      <c r="C879" s="254"/>
      <c r="D879" s="254"/>
      <c r="E879" s="254"/>
      <c r="F879" s="254"/>
      <c r="G879" s="254"/>
    </row>
    <row r="880">
      <c r="C880" s="254"/>
      <c r="D880" s="254"/>
      <c r="E880" s="254"/>
      <c r="F880" s="254"/>
      <c r="G880" s="254"/>
    </row>
    <row r="881">
      <c r="C881" s="254"/>
      <c r="D881" s="254"/>
      <c r="E881" s="254"/>
      <c r="F881" s="254"/>
      <c r="G881" s="254"/>
    </row>
    <row r="882">
      <c r="C882" s="254"/>
      <c r="D882" s="254"/>
      <c r="E882" s="254"/>
      <c r="F882" s="254"/>
      <c r="G882" s="254"/>
    </row>
    <row r="883">
      <c r="C883" s="254"/>
      <c r="D883" s="254"/>
      <c r="E883" s="254"/>
      <c r="F883" s="254"/>
      <c r="G883" s="254"/>
    </row>
    <row r="884">
      <c r="C884" s="254"/>
      <c r="D884" s="254"/>
      <c r="E884" s="254"/>
      <c r="F884" s="254"/>
      <c r="G884" s="254"/>
    </row>
    <row r="885">
      <c r="C885" s="254"/>
      <c r="D885" s="254"/>
      <c r="E885" s="254"/>
      <c r="F885" s="254"/>
      <c r="G885" s="254"/>
    </row>
    <row r="886">
      <c r="C886" s="254"/>
      <c r="D886" s="254"/>
      <c r="E886" s="254"/>
      <c r="F886" s="254"/>
      <c r="G886" s="254"/>
    </row>
    <row r="887">
      <c r="C887" s="254"/>
      <c r="D887" s="254"/>
      <c r="E887" s="254"/>
      <c r="F887" s="254"/>
      <c r="G887" s="254"/>
    </row>
    <row r="888">
      <c r="C888" s="254"/>
      <c r="D888" s="254"/>
      <c r="E888" s="254"/>
      <c r="F888" s="254"/>
      <c r="G888" s="254"/>
    </row>
    <row r="889">
      <c r="C889" s="254"/>
      <c r="D889" s="254"/>
      <c r="E889" s="254"/>
      <c r="F889" s="254"/>
      <c r="G889" s="254"/>
    </row>
    <row r="890">
      <c r="C890" s="254"/>
      <c r="D890" s="254"/>
      <c r="E890" s="254"/>
      <c r="F890" s="254"/>
      <c r="G890" s="254"/>
    </row>
    <row r="891">
      <c r="C891" s="254"/>
      <c r="D891" s="254"/>
      <c r="E891" s="254"/>
      <c r="F891" s="254"/>
      <c r="G891" s="254"/>
    </row>
    <row r="892">
      <c r="C892" s="254"/>
      <c r="D892" s="254"/>
      <c r="E892" s="254"/>
      <c r="F892" s="254"/>
      <c r="G892" s="254"/>
    </row>
    <row r="893">
      <c r="C893" s="254"/>
      <c r="D893" s="254"/>
      <c r="E893" s="254"/>
      <c r="F893" s="254"/>
      <c r="G893" s="254"/>
    </row>
    <row r="894">
      <c r="C894" s="254"/>
      <c r="D894" s="254"/>
      <c r="E894" s="254"/>
      <c r="F894" s="254"/>
      <c r="G894" s="254"/>
    </row>
    <row r="895">
      <c r="C895" s="254"/>
      <c r="D895" s="254"/>
      <c r="E895" s="254"/>
      <c r="F895" s="254"/>
      <c r="G895" s="254"/>
    </row>
    <row r="896">
      <c r="C896" s="254"/>
      <c r="D896" s="254"/>
      <c r="E896" s="254"/>
      <c r="F896" s="254"/>
      <c r="G896" s="254"/>
    </row>
    <row r="897">
      <c r="C897" s="254"/>
      <c r="D897" s="254"/>
      <c r="E897" s="254"/>
      <c r="F897" s="254"/>
      <c r="G897" s="254"/>
    </row>
    <row r="898">
      <c r="C898" s="254"/>
      <c r="D898" s="254"/>
      <c r="E898" s="254"/>
      <c r="F898" s="254"/>
      <c r="G898" s="254"/>
    </row>
    <row r="899">
      <c r="C899" s="254"/>
      <c r="D899" s="254"/>
      <c r="E899" s="254"/>
      <c r="F899" s="254"/>
      <c r="G899" s="254"/>
    </row>
    <row r="900">
      <c r="C900" s="254"/>
      <c r="D900" s="254"/>
      <c r="E900" s="254"/>
      <c r="F900" s="254"/>
      <c r="G900" s="254"/>
    </row>
    <row r="901">
      <c r="C901" s="254"/>
      <c r="D901" s="254"/>
      <c r="E901" s="254"/>
      <c r="F901" s="254"/>
      <c r="G901" s="254"/>
    </row>
    <row r="902">
      <c r="C902" s="254"/>
      <c r="D902" s="254"/>
      <c r="E902" s="254"/>
      <c r="F902" s="254"/>
      <c r="G902" s="254"/>
    </row>
    <row r="903">
      <c r="C903" s="254"/>
      <c r="D903" s="254"/>
      <c r="E903" s="254"/>
      <c r="F903" s="254"/>
      <c r="G903" s="254"/>
    </row>
    <row r="904">
      <c r="C904" s="254"/>
      <c r="D904" s="254"/>
      <c r="E904" s="254"/>
      <c r="F904" s="254"/>
      <c r="G904" s="254"/>
    </row>
    <row r="905">
      <c r="C905" s="254"/>
      <c r="D905" s="254"/>
      <c r="E905" s="254"/>
      <c r="F905" s="254"/>
      <c r="G905" s="254"/>
    </row>
    <row r="906">
      <c r="C906" s="254"/>
      <c r="D906" s="254"/>
      <c r="E906" s="254"/>
      <c r="F906" s="254"/>
      <c r="G906" s="254"/>
    </row>
    <row r="907">
      <c r="C907" s="254"/>
      <c r="D907" s="254"/>
      <c r="E907" s="254"/>
      <c r="F907" s="254"/>
      <c r="G907" s="254"/>
    </row>
    <row r="908">
      <c r="C908" s="254"/>
      <c r="D908" s="254"/>
      <c r="E908" s="254"/>
      <c r="F908" s="254"/>
      <c r="G908" s="254"/>
    </row>
    <row r="909">
      <c r="C909" s="254"/>
      <c r="D909" s="254"/>
      <c r="E909" s="254"/>
      <c r="F909" s="254"/>
      <c r="G909" s="254"/>
    </row>
    <row r="910">
      <c r="C910" s="254"/>
      <c r="D910" s="254"/>
      <c r="E910" s="254"/>
      <c r="F910" s="254"/>
      <c r="G910" s="254"/>
    </row>
    <row r="911">
      <c r="C911" s="254"/>
      <c r="D911" s="254"/>
      <c r="E911" s="254"/>
      <c r="F911" s="254"/>
      <c r="G911" s="254"/>
    </row>
    <row r="912">
      <c r="C912" s="254"/>
      <c r="D912" s="254"/>
      <c r="E912" s="254"/>
      <c r="F912" s="254"/>
      <c r="G912" s="254"/>
    </row>
    <row r="913">
      <c r="C913" s="254"/>
      <c r="D913" s="254"/>
      <c r="E913" s="254"/>
      <c r="F913" s="254"/>
      <c r="G913" s="254"/>
    </row>
    <row r="914">
      <c r="C914" s="254"/>
      <c r="D914" s="254"/>
      <c r="E914" s="254"/>
      <c r="F914" s="254"/>
      <c r="G914" s="254"/>
    </row>
    <row r="915">
      <c r="C915" s="254"/>
      <c r="D915" s="254"/>
      <c r="E915" s="254"/>
      <c r="F915" s="254"/>
      <c r="G915" s="254"/>
    </row>
    <row r="916">
      <c r="C916" s="254"/>
      <c r="D916" s="254"/>
      <c r="E916" s="254"/>
      <c r="F916" s="254"/>
      <c r="G916" s="254"/>
    </row>
    <row r="917">
      <c r="C917" s="254"/>
      <c r="D917" s="254"/>
      <c r="E917" s="254"/>
      <c r="F917" s="254"/>
      <c r="G917" s="254"/>
    </row>
    <row r="918">
      <c r="C918" s="254"/>
      <c r="D918" s="254"/>
      <c r="E918" s="254"/>
      <c r="F918" s="254"/>
      <c r="G918" s="254"/>
    </row>
    <row r="919">
      <c r="C919" s="254"/>
      <c r="D919" s="254"/>
      <c r="E919" s="254"/>
      <c r="F919" s="254"/>
      <c r="G919" s="254"/>
    </row>
    <row r="920">
      <c r="C920" s="254"/>
      <c r="D920" s="254"/>
      <c r="E920" s="254"/>
      <c r="F920" s="254"/>
      <c r="G920" s="254"/>
    </row>
    <row r="921">
      <c r="C921" s="254"/>
      <c r="D921" s="254"/>
      <c r="E921" s="254"/>
      <c r="F921" s="254"/>
      <c r="G921" s="254"/>
    </row>
    <row r="922">
      <c r="C922" s="254"/>
      <c r="D922" s="254"/>
      <c r="E922" s="254"/>
      <c r="F922" s="254"/>
      <c r="G922" s="254"/>
    </row>
    <row r="923">
      <c r="C923" s="254"/>
      <c r="D923" s="254"/>
      <c r="E923" s="254"/>
      <c r="F923" s="254"/>
      <c r="G923" s="254"/>
    </row>
    <row r="924">
      <c r="C924" s="254"/>
      <c r="D924" s="254"/>
      <c r="E924" s="254"/>
      <c r="F924" s="254"/>
      <c r="G924" s="254"/>
    </row>
    <row r="925">
      <c r="C925" s="254"/>
      <c r="D925" s="254"/>
      <c r="E925" s="254"/>
      <c r="F925" s="254"/>
      <c r="G925" s="254"/>
    </row>
    <row r="926">
      <c r="C926" s="254"/>
      <c r="D926" s="254"/>
      <c r="E926" s="254"/>
      <c r="F926" s="254"/>
      <c r="G926" s="254"/>
    </row>
    <row r="927">
      <c r="C927" s="254"/>
      <c r="D927" s="254"/>
      <c r="E927" s="254"/>
      <c r="F927" s="254"/>
      <c r="G927" s="254"/>
    </row>
    <row r="928">
      <c r="C928" s="254"/>
      <c r="D928" s="254"/>
      <c r="E928" s="254"/>
      <c r="F928" s="254"/>
      <c r="G928" s="254"/>
    </row>
    <row r="929">
      <c r="C929" s="254"/>
      <c r="D929" s="254"/>
      <c r="E929" s="254"/>
      <c r="F929" s="254"/>
      <c r="G929" s="254"/>
    </row>
    <row r="930">
      <c r="C930" s="254"/>
      <c r="D930" s="254"/>
      <c r="E930" s="254"/>
      <c r="F930" s="254"/>
      <c r="G930" s="254"/>
    </row>
    <row r="931">
      <c r="C931" s="254"/>
      <c r="D931" s="254"/>
      <c r="E931" s="254"/>
      <c r="F931" s="254"/>
      <c r="G931" s="254"/>
    </row>
    <row r="932">
      <c r="C932" s="254"/>
      <c r="D932" s="254"/>
      <c r="E932" s="254"/>
      <c r="F932" s="254"/>
      <c r="G932" s="254"/>
    </row>
    <row r="933">
      <c r="C933" s="254"/>
      <c r="D933" s="254"/>
      <c r="E933" s="254"/>
      <c r="F933" s="254"/>
      <c r="G933" s="254"/>
    </row>
    <row r="934">
      <c r="C934" s="254"/>
      <c r="D934" s="254"/>
      <c r="E934" s="254"/>
      <c r="F934" s="254"/>
      <c r="G934" s="254"/>
    </row>
    <row r="935">
      <c r="C935" s="254"/>
      <c r="D935" s="254"/>
      <c r="E935" s="254"/>
      <c r="F935" s="254"/>
      <c r="G935" s="254"/>
    </row>
    <row r="936">
      <c r="C936" s="254"/>
      <c r="D936" s="254"/>
      <c r="E936" s="254"/>
      <c r="F936" s="254"/>
      <c r="G936" s="254"/>
    </row>
    <row r="937">
      <c r="C937" s="254"/>
      <c r="D937" s="254"/>
      <c r="E937" s="254"/>
      <c r="F937" s="254"/>
      <c r="G937" s="254"/>
    </row>
    <row r="938">
      <c r="C938" s="254"/>
      <c r="D938" s="254"/>
      <c r="E938" s="254"/>
      <c r="F938" s="254"/>
      <c r="G938" s="254"/>
    </row>
    <row r="939">
      <c r="C939" s="254"/>
      <c r="D939" s="254"/>
      <c r="E939" s="254"/>
      <c r="F939" s="254"/>
      <c r="G939" s="254"/>
    </row>
    <row r="940">
      <c r="C940" s="254"/>
      <c r="D940" s="254"/>
      <c r="E940" s="254"/>
      <c r="F940" s="254"/>
      <c r="G940" s="254"/>
    </row>
    <row r="941">
      <c r="C941" s="254"/>
      <c r="D941" s="254"/>
      <c r="E941" s="254"/>
      <c r="F941" s="254"/>
      <c r="G941" s="254"/>
    </row>
    <row r="942">
      <c r="C942" s="254"/>
      <c r="D942" s="254"/>
      <c r="E942" s="254"/>
      <c r="F942" s="254"/>
      <c r="G942" s="254"/>
    </row>
    <row r="943">
      <c r="C943" s="254"/>
      <c r="D943" s="254"/>
      <c r="E943" s="254"/>
      <c r="F943" s="254"/>
      <c r="G943" s="254"/>
    </row>
    <row r="944">
      <c r="C944" s="254"/>
      <c r="D944" s="254"/>
      <c r="E944" s="254"/>
      <c r="F944" s="254"/>
      <c r="G944" s="254"/>
    </row>
    <row r="945">
      <c r="C945" s="254"/>
      <c r="D945" s="254"/>
      <c r="E945" s="254"/>
      <c r="F945" s="254"/>
      <c r="G945" s="254"/>
    </row>
    <row r="946">
      <c r="C946" s="254"/>
      <c r="D946" s="254"/>
      <c r="E946" s="254"/>
      <c r="F946" s="254"/>
      <c r="G946" s="254"/>
    </row>
    <row r="947">
      <c r="C947" s="254"/>
      <c r="D947" s="254"/>
      <c r="E947" s="254"/>
      <c r="F947" s="254"/>
      <c r="G947" s="254"/>
    </row>
    <row r="948">
      <c r="C948" s="254"/>
      <c r="D948" s="254"/>
      <c r="E948" s="254"/>
      <c r="F948" s="254"/>
      <c r="G948" s="254"/>
    </row>
    <row r="949">
      <c r="C949" s="254"/>
      <c r="D949" s="254"/>
      <c r="E949" s="254"/>
      <c r="F949" s="254"/>
      <c r="G949" s="254"/>
    </row>
    <row r="950">
      <c r="C950" s="254"/>
      <c r="D950" s="254"/>
      <c r="E950" s="254"/>
      <c r="F950" s="254"/>
      <c r="G950" s="254"/>
    </row>
    <row r="951">
      <c r="C951" s="254"/>
      <c r="D951" s="254"/>
      <c r="E951" s="254"/>
      <c r="F951" s="254"/>
      <c r="G951" s="254"/>
    </row>
    <row r="952">
      <c r="C952" s="254"/>
      <c r="D952" s="254"/>
      <c r="E952" s="254"/>
      <c r="F952" s="254"/>
      <c r="G952" s="254"/>
    </row>
    <row r="953">
      <c r="C953" s="254"/>
      <c r="D953" s="254"/>
      <c r="E953" s="254"/>
      <c r="F953" s="254"/>
      <c r="G953" s="254"/>
    </row>
    <row r="954">
      <c r="C954" s="254"/>
      <c r="D954" s="254"/>
      <c r="E954" s="254"/>
      <c r="F954" s="254"/>
      <c r="G954" s="254"/>
    </row>
    <row r="955">
      <c r="C955" s="254"/>
      <c r="D955" s="254"/>
      <c r="E955" s="254"/>
      <c r="F955" s="254"/>
      <c r="G955" s="254"/>
    </row>
    <row r="956">
      <c r="C956" s="254"/>
      <c r="D956" s="254"/>
      <c r="E956" s="254"/>
      <c r="F956" s="254"/>
      <c r="G956" s="254"/>
    </row>
    <row r="957">
      <c r="C957" s="254"/>
      <c r="D957" s="254"/>
      <c r="E957" s="254"/>
      <c r="F957" s="254"/>
      <c r="G957" s="254"/>
    </row>
    <row r="958">
      <c r="C958" s="254"/>
      <c r="D958" s="254"/>
      <c r="E958" s="254"/>
      <c r="F958" s="254"/>
      <c r="G958" s="254"/>
    </row>
    <row r="959">
      <c r="C959" s="254"/>
      <c r="D959" s="254"/>
      <c r="E959" s="254"/>
      <c r="F959" s="254"/>
      <c r="G959" s="254"/>
    </row>
    <row r="960">
      <c r="C960" s="254"/>
      <c r="D960" s="254"/>
      <c r="E960" s="254"/>
      <c r="F960" s="254"/>
      <c r="G960" s="254"/>
    </row>
    <row r="961">
      <c r="C961" s="254"/>
      <c r="D961" s="254"/>
      <c r="E961" s="254"/>
      <c r="F961" s="254"/>
      <c r="G961" s="254"/>
    </row>
    <row r="962">
      <c r="C962" s="254"/>
      <c r="D962" s="254"/>
      <c r="E962" s="254"/>
      <c r="F962" s="254"/>
      <c r="G962" s="254"/>
    </row>
    <row r="963">
      <c r="C963" s="254"/>
      <c r="D963" s="254"/>
      <c r="E963" s="254"/>
      <c r="F963" s="254"/>
      <c r="G963" s="254"/>
    </row>
    <row r="964">
      <c r="C964" s="254"/>
      <c r="D964" s="254"/>
      <c r="E964" s="254"/>
      <c r="F964" s="254"/>
      <c r="G964" s="254"/>
    </row>
    <row r="965">
      <c r="C965" s="254"/>
      <c r="D965" s="254"/>
      <c r="E965" s="254"/>
      <c r="F965" s="254"/>
      <c r="G965" s="254"/>
    </row>
    <row r="966">
      <c r="C966" s="254"/>
      <c r="D966" s="254"/>
      <c r="E966" s="254"/>
      <c r="F966" s="254"/>
      <c r="G966" s="254"/>
    </row>
    <row r="967">
      <c r="C967" s="254"/>
      <c r="D967" s="254"/>
      <c r="E967" s="254"/>
      <c r="F967" s="254"/>
      <c r="G967" s="254"/>
    </row>
    <row r="968">
      <c r="C968" s="254"/>
      <c r="D968" s="254"/>
      <c r="E968" s="254"/>
      <c r="F968" s="254"/>
      <c r="G968" s="254"/>
    </row>
    <row r="969">
      <c r="C969" s="254"/>
      <c r="D969" s="254"/>
      <c r="E969" s="254"/>
      <c r="F969" s="254"/>
      <c r="G969" s="254"/>
    </row>
    <row r="970">
      <c r="C970" s="254"/>
      <c r="D970" s="254"/>
      <c r="E970" s="254"/>
      <c r="F970" s="254"/>
      <c r="G970" s="254"/>
    </row>
    <row r="971">
      <c r="C971" s="254"/>
      <c r="D971" s="254"/>
      <c r="E971" s="254"/>
      <c r="F971" s="254"/>
      <c r="G971" s="254"/>
    </row>
    <row r="972">
      <c r="C972" s="254"/>
      <c r="D972" s="254"/>
      <c r="E972" s="254"/>
      <c r="F972" s="254"/>
      <c r="G972" s="254"/>
    </row>
    <row r="973">
      <c r="C973" s="254"/>
      <c r="D973" s="254"/>
      <c r="E973" s="254"/>
      <c r="F973" s="254"/>
      <c r="G973" s="254"/>
    </row>
    <row r="974">
      <c r="C974" s="254"/>
      <c r="D974" s="254"/>
      <c r="E974" s="254"/>
      <c r="F974" s="254"/>
      <c r="G974" s="254"/>
    </row>
    <row r="975">
      <c r="C975" s="254"/>
      <c r="D975" s="254"/>
      <c r="E975" s="254"/>
      <c r="F975" s="254"/>
      <c r="G975" s="254"/>
    </row>
    <row r="976">
      <c r="C976" s="254"/>
      <c r="D976" s="254"/>
      <c r="E976" s="254"/>
      <c r="F976" s="254"/>
      <c r="G976" s="254"/>
    </row>
    <row r="977">
      <c r="C977" s="254"/>
      <c r="D977" s="254"/>
      <c r="E977" s="254"/>
      <c r="F977" s="254"/>
      <c r="G977" s="254"/>
    </row>
    <row r="978">
      <c r="C978" s="254"/>
      <c r="D978" s="254"/>
      <c r="E978" s="254"/>
      <c r="F978" s="254"/>
      <c r="G978" s="254"/>
    </row>
    <row r="979">
      <c r="C979" s="254"/>
      <c r="D979" s="254"/>
      <c r="E979" s="254"/>
      <c r="F979" s="254"/>
      <c r="G979" s="254"/>
    </row>
    <row r="980">
      <c r="C980" s="254"/>
      <c r="D980" s="254"/>
      <c r="E980" s="254"/>
      <c r="F980" s="254"/>
      <c r="G980" s="254"/>
    </row>
    <row r="981">
      <c r="C981" s="254"/>
      <c r="D981" s="254"/>
      <c r="E981" s="254"/>
      <c r="F981" s="254"/>
      <c r="G981" s="254"/>
    </row>
    <row r="982">
      <c r="C982" s="254"/>
      <c r="D982" s="254"/>
      <c r="E982" s="254"/>
      <c r="F982" s="254"/>
      <c r="G982" s="254"/>
    </row>
    <row r="983">
      <c r="C983" s="254"/>
      <c r="D983" s="254"/>
      <c r="E983" s="254"/>
      <c r="F983" s="254"/>
      <c r="G983" s="254"/>
    </row>
    <row r="984">
      <c r="C984" s="254"/>
      <c r="D984" s="254"/>
      <c r="E984" s="254"/>
      <c r="F984" s="254"/>
      <c r="G984" s="254"/>
    </row>
    <row r="985">
      <c r="C985" s="254"/>
      <c r="D985" s="254"/>
      <c r="E985" s="254"/>
      <c r="F985" s="254"/>
      <c r="G985" s="254"/>
    </row>
    <row r="986">
      <c r="C986" s="254"/>
      <c r="D986" s="254"/>
      <c r="E986" s="254"/>
      <c r="F986" s="254"/>
      <c r="G986" s="254"/>
    </row>
    <row r="987">
      <c r="C987" s="254"/>
      <c r="D987" s="254"/>
      <c r="E987" s="254"/>
      <c r="F987" s="254"/>
      <c r="G987" s="254"/>
    </row>
    <row r="988">
      <c r="C988" s="254"/>
      <c r="D988" s="254"/>
      <c r="E988" s="254"/>
      <c r="F988" s="254"/>
      <c r="G988" s="254"/>
    </row>
    <row r="989">
      <c r="C989" s="254"/>
      <c r="D989" s="254"/>
      <c r="E989" s="254"/>
      <c r="F989" s="254"/>
      <c r="G989" s="254"/>
    </row>
    <row r="990">
      <c r="C990" s="254"/>
      <c r="D990" s="254"/>
      <c r="E990" s="254"/>
      <c r="F990" s="254"/>
      <c r="G990" s="254"/>
    </row>
    <row r="991">
      <c r="C991" s="254"/>
      <c r="D991" s="254"/>
      <c r="E991" s="254"/>
      <c r="F991" s="254"/>
      <c r="G991" s="254"/>
    </row>
    <row r="992">
      <c r="C992" s="254"/>
      <c r="D992" s="254"/>
      <c r="E992" s="254"/>
      <c r="F992" s="254"/>
      <c r="G992" s="254"/>
    </row>
    <row r="993">
      <c r="C993" s="254"/>
      <c r="D993" s="254"/>
      <c r="E993" s="254"/>
      <c r="F993" s="254"/>
      <c r="G993" s="254"/>
    </row>
    <row r="994">
      <c r="C994" s="254"/>
      <c r="D994" s="254"/>
      <c r="E994" s="254"/>
      <c r="F994" s="254"/>
      <c r="G994" s="254"/>
    </row>
    <row r="995">
      <c r="C995" s="254"/>
      <c r="D995" s="254"/>
      <c r="E995" s="254"/>
      <c r="F995" s="254"/>
      <c r="G995" s="254"/>
    </row>
    <row r="996">
      <c r="C996" s="254"/>
      <c r="D996" s="254"/>
      <c r="E996" s="254"/>
      <c r="F996" s="254"/>
      <c r="G996" s="254"/>
    </row>
    <row r="997">
      <c r="C997" s="254"/>
      <c r="D997" s="254"/>
      <c r="E997" s="254"/>
      <c r="F997" s="254"/>
      <c r="G997" s="254"/>
    </row>
    <row r="998">
      <c r="C998" s="254"/>
      <c r="D998" s="254"/>
      <c r="E998" s="254"/>
      <c r="F998" s="254"/>
      <c r="G998" s="254"/>
    </row>
    <row r="999">
      <c r="C999" s="254"/>
      <c r="D999" s="254"/>
      <c r="E999" s="254"/>
      <c r="F999" s="254"/>
      <c r="G999" s="254"/>
    </row>
    <row r="1000">
      <c r="C1000" s="254"/>
      <c r="D1000" s="254"/>
      <c r="E1000" s="254"/>
      <c r="F1000" s="254"/>
      <c r="G1000" s="254"/>
    </row>
  </sheetData>
  <drawing r:id="rId1"/>
</worksheet>
</file>